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resolved_criteria">'All Questions'!$H$81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resolved_criteria">'All Questions'!$H$92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resolved_criteria">'All Questions'!$H$103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H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H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H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81" t="str">
        <f>"|" &amp; SUBSTITUTE(All_Questions_Q_EXTRA_1_F_V, ", ", "|") &amp; "|"</f>
        <v>|(All)|</v>
      </c>
      <c r="H81" t="str">
        <f>IFERROR(INDEX(All_Questions_Value_Criteria,MATCH(All_Questions_Q_EXTRA_1_F_Q&amp;"|"&amp;All_Questions_Q_EXTRA_1_F_V,All_Questions_Value_Keys,0)),All_Questions_Q_EXTRA_1_F_V)</f>
        <v>(All)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IF(All_Questions_Q_EXTRA_1_CT="(None)","",IFERROR(INDEX(INDIRECT(IFERROR(INDEX(Cross_Tab_Questions_Options_Names,MATCH(All_Questions_Q_EXTRA_1_CT,Cross_Tab_Questions,0)),"'_Options'!$E$2:$E$2")),2),""))</f>
        <v/>
      </c>
      <c r="H84" s="2" t="str">
        <f>IF(All_Questions_Q_EXTRA_1_CT="(None)","",IFERROR(INDEX(INDIRECT(IFERROR(INDEX(Cross_Tab_Questions_Options_Names,MATCH(All_Questions_Q_EXTRA_1_CT,Cross_Tab_Questions,0)),"'_Options'!$E$2:$E$2")),3),""))</f>
        <v/>
      </c>
      <c r="I84" s="2" t="str">
        <f>IF(All_Questions_Q_EXTRA_1_CT="(None)","",IFERROR(INDEX(INDIRECT(IFERROR(INDEX(Cross_Tab_Questions_Options_Names,MATCH(All_Questions_Q_EXTRA_1_CT,Cross_Tab_Questions,0)),"'_Options'!$E$2:$E$2")),4),""))</f>
        <v/>
      </c>
      <c r="J84" s="2" t="str">
        <f>IF(All_Questions_Q_EXTRA_1_CT="(None)","",IFERROR(INDEX(INDIRECT(IFERROR(INDEX(Cross_Tab_Questions_Options_Names,MATCH(All_Questions_Q_EXTRA_1_CT,Cross_Tab_Questions,0)),"'_Options'!$E$2:$E$2")),5),""))</f>
        <v/>
      </c>
      <c r="K84" s="2" t="str">
        <f>IF(All_Questions_Q_EXTRA_1_CT="(None)","",IFERROR(INDEX(INDIRECT(IFERROR(INDEX(Cross_Tab_Questions_Options_Names,MATCH(All_Questions_Q_EXTRA_1_CT,Cross_Tab_Questions,0)),"'_Options'!$E$2:$E$2")),6),""))</f>
        <v/>
      </c>
      <c r="L84" s="2" t="str">
        <f>IF(All_Questions_Q_EXTRA_1_CT="(None)","",IFERROR(INDEX(INDIRECT(IFERROR(INDEX(Cross_Tab_Questions_Options_Names,MATCH(All_Questions_Q_EXTRA_1_CT,Cross_Tab_Questions,0)),"'_Options'!$E$2:$E$2")),7),""))</f>
        <v/>
      </c>
      <c r="M84" s="2" t="str">
        <f>IF(All_Questions_Q_EXTRA_1_CT="(None)","",IFERROR(INDEX(INDIRECT(IFERROR(INDEX(Cross_Tab_Questions_Options_Names,MATCH(All_Questions_Q_EXTRA_1_CT,Cross_Tab_Questions,0)),"'_Options'!$E$2:$E$2")),8),""))</f>
        <v/>
      </c>
      <c r="N84" s="2" t="str">
        <f>IF(All_Questions_Q_EXTRA_1_CT="(None)","",IFERROR(INDEX(INDIRECT(IFERROR(INDEX(Cross_Tab_Questions_Options_Names,MATCH(All_Questions_Q_EXTRA_1_CT,Cross_Tab_Questions,0)),"'_Options'!$E$2:$E$2")),9),""))</f>
        <v/>
      </c>
      <c r="O84" s="2" t="str">
        <f>IF(All_Questions_Q_EXTRA_1_CT="(None)","",IFERROR(INDEX(INDIRECT(IFERROR(INDEX(Cross_Tab_Questions_Options_Names,MATCH(All_Questions_Q_EXTRA_1_CT,Cross_Tab_Questions,0)),"'_Options'!$E$2:$E$2")),10),""))</f>
        <v/>
      </c>
      <c r="P84" s="2" t="str">
        <f>IF(All_Questions_Q_EXTRA_1_CT="(None)","",IFERROR(INDEX(INDIRECT(IFERROR(INDEX(Cross_Tab_Questions_Options_Names,MATCH(All_Questions_Q_EXTRA_1_CT,Cross_Tab_Questions,0)),"'_Options'!$E$2:$E$2")),11),""))</f>
        <v/>
      </c>
      <c r="Q84" s="2" t="str">
        <f>IF(All_Questions_Q_EXTRA_1_CT="(None)","",IFERROR(INDEX(INDIRECT(IFERROR(INDEX(Cross_Tab_Questions_Options_Names,MATCH(All_Questions_Q_EXTRA_1_CT,Cross_Tab_Questions,0)),"'_Options'!$E$2:$E$2")),12),""))</f>
        <v/>
      </c>
      <c r="R84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92" t="str">
        <f>"|" &amp; SUBSTITUTE(All_Questions_Q_EXTRA_2_F_V, ", ", "|") &amp; "|"</f>
        <v>|(All)|</v>
      </c>
      <c r="H92" t="str">
        <f>IFERROR(INDEX(All_Questions_Value_Criteria,MATCH(All_Questions_Q_EXTRA_2_F_Q&amp;"|"&amp;All_Questions_Q_EXTRA_2_F_V,All_Questions_Value_Keys,0)),All_Questions_Q_EXTRA_2_F_V)</f>
        <v>(All)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IF(All_Questions_Q_EXTRA_2_CT="(None)","",IFERROR(INDEX(INDIRECT(IFERROR(INDEX(Cross_Tab_Questions_Options_Names,MATCH(All_Questions_Q_EXTRA_2_CT,Cross_Tab_Questions,0)),"'_Options'!$E$2:$E$2")),2),""))</f>
        <v/>
      </c>
      <c r="H95" s="2" t="str">
        <f>IF(All_Questions_Q_EXTRA_2_CT="(None)","",IFERROR(INDEX(INDIRECT(IFERROR(INDEX(Cross_Tab_Questions_Options_Names,MATCH(All_Questions_Q_EXTRA_2_CT,Cross_Tab_Questions,0)),"'_Options'!$E$2:$E$2")),3),""))</f>
        <v/>
      </c>
      <c r="I95" s="2" t="str">
        <f>IF(All_Questions_Q_EXTRA_2_CT="(None)","",IFERROR(INDEX(INDIRECT(IFERROR(INDEX(Cross_Tab_Questions_Options_Names,MATCH(All_Questions_Q_EXTRA_2_CT,Cross_Tab_Questions,0)),"'_Options'!$E$2:$E$2")),4),""))</f>
        <v/>
      </c>
      <c r="J95" s="2" t="str">
        <f>IF(All_Questions_Q_EXTRA_2_CT="(None)","",IFERROR(INDEX(INDIRECT(IFERROR(INDEX(Cross_Tab_Questions_Options_Names,MATCH(All_Questions_Q_EXTRA_2_CT,Cross_Tab_Questions,0)),"'_Options'!$E$2:$E$2")),5),""))</f>
        <v/>
      </c>
      <c r="K95" s="2" t="str">
        <f>IF(All_Questions_Q_EXTRA_2_CT="(None)","",IFERROR(INDEX(INDIRECT(IFERROR(INDEX(Cross_Tab_Questions_Options_Names,MATCH(All_Questions_Q_EXTRA_2_CT,Cross_Tab_Questions,0)),"'_Options'!$E$2:$E$2")),6),""))</f>
        <v/>
      </c>
      <c r="L95" s="2" t="str">
        <f>IF(All_Questions_Q_EXTRA_2_CT="(None)","",IFERROR(INDEX(INDIRECT(IFERROR(INDEX(Cross_Tab_Questions_Options_Names,MATCH(All_Questions_Q_EXTRA_2_CT,Cross_Tab_Questions,0)),"'_Options'!$E$2:$E$2")),7),""))</f>
        <v/>
      </c>
      <c r="M95" s="2" t="str">
        <f>IF(All_Questions_Q_EXTRA_2_CT="(None)","",IFERROR(INDEX(INDIRECT(IFERROR(INDEX(Cross_Tab_Questions_Options_Names,MATCH(All_Questions_Q_EXTRA_2_CT,Cross_Tab_Questions,0)),"'_Options'!$E$2:$E$2")),8),""))</f>
        <v/>
      </c>
      <c r="N95" s="2" t="str">
        <f>IF(All_Questions_Q_EXTRA_2_CT="(None)","",IFERROR(INDEX(INDIRECT(IFERROR(INDEX(Cross_Tab_Questions_Options_Names,MATCH(All_Questions_Q_EXTRA_2_CT,Cross_Tab_Questions,0)),"'_Options'!$E$2:$E$2")),9),""))</f>
        <v/>
      </c>
      <c r="O95" s="2" t="str">
        <f>IF(All_Questions_Q_EXTRA_2_CT="(None)","",IFERROR(INDEX(INDIRECT(IFERROR(INDEX(Cross_Tab_Questions_Options_Names,MATCH(All_Questions_Q_EXTRA_2_CT,Cross_Tab_Questions,0)),"'_Options'!$E$2:$E$2")),10),""))</f>
        <v/>
      </c>
      <c r="P95" s="2" t="str">
        <f>IF(All_Questions_Q_EXTRA_2_CT="(None)","",IFERROR(INDEX(INDIRECT(IFERROR(INDEX(Cross_Tab_Questions_Options_Names,MATCH(All_Questions_Q_EXTRA_2_CT,Cross_Tab_Questions,0)),"'_Options'!$E$2:$E$2")),11),""))</f>
        <v/>
      </c>
      <c r="Q95" s="2" t="str">
        <f>IF(All_Questions_Q_EXTRA_2_CT="(None)","",IFERROR(INDEX(INDIRECT(IFERROR(INDEX(Cross_Tab_Questions_Options_Names,MATCH(All_Questions_Q_EXTRA_2_CT,Cross_Tab_Questions,0)),"'_Options'!$E$2:$E$2")),12),""))</f>
        <v/>
      </c>
      <c r="R95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03" t="str">
        <f>"|" &amp; SUBSTITUTE(All_Questions_Q_EXTRA_3_F_V, ", ", "|") &amp; "|"</f>
        <v>|(All)|</v>
      </c>
      <c r="H103" t="str">
        <f>IFERROR(INDEX(All_Questions_Value_Criteria,MATCH(All_Questions_Q_EXTRA_3_F_Q&amp;"|"&amp;All_Questions_Q_EXTRA_3_F_V,All_Questions_Value_Keys,0)),All_Questions_Q_EXTRA_3_F_V)</f>
        <v>(All)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IF(All_Questions_Q_EXTRA_3_CT="(None)","",IFERROR(INDEX(INDIRECT(IFERROR(INDEX(Cross_Tab_Questions_Options_Names,MATCH(All_Questions_Q_EXTRA_3_CT,Cross_Tab_Questions,0)),"'_Options'!$E$2:$E$2")),2),""))</f>
        <v/>
      </c>
      <c r="H106" s="2" t="str">
        <f>IF(All_Questions_Q_EXTRA_3_CT="(None)","",IFERROR(INDEX(INDIRECT(IFERROR(INDEX(Cross_Tab_Questions_Options_Names,MATCH(All_Questions_Q_EXTRA_3_CT,Cross_Tab_Questions,0)),"'_Options'!$E$2:$E$2")),3),""))</f>
        <v/>
      </c>
      <c r="I106" s="2" t="str">
        <f>IF(All_Questions_Q_EXTRA_3_CT="(None)","",IFERROR(INDEX(INDIRECT(IFERROR(INDEX(Cross_Tab_Questions_Options_Names,MATCH(All_Questions_Q_EXTRA_3_CT,Cross_Tab_Questions,0)),"'_Options'!$E$2:$E$2")),4),""))</f>
        <v/>
      </c>
      <c r="J106" s="2" t="str">
        <f>IF(All_Questions_Q_EXTRA_3_CT="(None)","",IFERROR(INDEX(INDIRECT(IFERROR(INDEX(Cross_Tab_Questions_Options_Names,MATCH(All_Questions_Q_EXTRA_3_CT,Cross_Tab_Questions,0)),"'_Options'!$E$2:$E$2")),5),""))</f>
        <v/>
      </c>
      <c r="K106" s="2" t="str">
        <f>IF(All_Questions_Q_EXTRA_3_CT="(None)","",IFERROR(INDEX(INDIRECT(IFERROR(INDEX(Cross_Tab_Questions_Options_Names,MATCH(All_Questions_Q_EXTRA_3_CT,Cross_Tab_Questions,0)),"'_Options'!$E$2:$E$2")),6),""))</f>
        <v/>
      </c>
      <c r="L106" s="2" t="str">
        <f>IF(All_Questions_Q_EXTRA_3_CT="(None)","",IFERROR(INDEX(INDIRECT(IFERROR(INDEX(Cross_Tab_Questions_Options_Names,MATCH(All_Questions_Q_EXTRA_3_CT,Cross_Tab_Questions,0)),"'_Options'!$E$2:$E$2")),7),""))</f>
        <v/>
      </c>
      <c r="M106" s="2" t="str">
        <f>IF(All_Questions_Q_EXTRA_3_CT="(None)","",IFERROR(INDEX(INDIRECT(IFERROR(INDEX(Cross_Tab_Questions_Options_Names,MATCH(All_Questions_Q_EXTRA_3_CT,Cross_Tab_Questions,0)),"'_Options'!$E$2:$E$2")),8),""))</f>
        <v/>
      </c>
      <c r="N106" s="2" t="str">
        <f>IF(All_Questions_Q_EXTRA_3_CT="(None)","",IFERROR(INDEX(INDIRECT(IFERROR(INDEX(Cross_Tab_Questions_Options_Names,MATCH(All_Questions_Q_EXTRA_3_CT,Cross_Tab_Questions,0)),"'_Options'!$E$2:$E$2")),9),""))</f>
        <v/>
      </c>
      <c r="O106" s="2" t="str">
        <f>IF(All_Questions_Q_EXTRA_3_CT="(None)","",IFERROR(INDEX(INDIRECT(IFERROR(INDEX(Cross_Tab_Questions_Options_Names,MATCH(All_Questions_Q_EXTRA_3_CT,Cross_Tab_Questions,0)),"'_Options'!$E$2:$E$2")),10),""))</f>
        <v/>
      </c>
      <c r="P106" s="2" t="str">
        <f>IF(All_Questions_Q_EXTRA_3_CT="(None)","",IFERROR(INDEX(INDIRECT(IFERROR(INDEX(Cross_Tab_Questions_Options_Names,MATCH(All_Questions_Q_EXTRA_3_CT,Cross_Tab_Questions,0)),"'_Options'!$E$2:$E$2")),11),""))</f>
        <v/>
      </c>
      <c r="Q106" s="2" t="str">
        <f>IF(All_Questions_Q_EXTRA_3_CT="(None)","",IFERROR(INDEX(INDIRECT(IFERROR(INDEX(Cross_Tab_Questions_Options_Names,MATCH(All_Questions_Q_EXTRA_3_CT,Cross_Tab_Questions,0)),"'_Options'!$E$2:$E$2")),12),""))</f>
        <v/>
      </c>
      <c r="R106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=Cross_Tab_Questions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=Cross_Tab_Questions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2026-06-09T06:56:11.118928+00:00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2026-06-09T06:56:11.119266+00:00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2026-06-09T06:56:11.119543+00:00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2026-06-09T06:56:11.119813+00:00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2026-06-09T06:56:11.120140+00:00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2026-06-09T06:56:11.120414+00:00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2026-06-09T06:56:11.120686+00:00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2026-06-09T06:56:11.120995+00:00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2026-06-09T06:56:11.121269+00:00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2026-06-09T06:56:11.121534+00:00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2026-06-09T06:56:11.121801+00:00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2026-06-09T06:56:11.122201+00:00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2026-06-09T06:56:11.122680+00:00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2026-06-09T06:56:11.122991+00:00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2026-06-09T06:56:11.123273+00:00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2026-06-09T06:56:11.123540+00:00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2026-06-09T06:56:11.123809+00:00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2026-06-09T06:56:11.124130+00:00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2026-06-09T06:56:11.124401+00:00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2026-06-09T06:56:11.124668+00:00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2026-06-09T06:56:11.124978+00:00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2026-06-09T06:56:11.125260+00:00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2026-06-09T06:56:11.125527+00:00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2026-06-09T06:56:11.125871+00:00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2026-06-09T06:56:11.150031+00:00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2026-06-09T06:56:11.150255+00:00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2026-06-09T06:56:11.150450+00:00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2026-06-09T06:56:11.150642+00:00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2026-06-09T06:56:11.150831+00:00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2026-06-09T06:56:11.151073+00:00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2026-06-09T06:56:11.151267+00:00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2026-06-09T06:56:11.151454+00:00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2026-06-09T06:56:11.151640+00:00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2026-06-09T06:56:11.151824+00:00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2026-06-09T06:56:11.152064+00:00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2026-06-09T06:56:11.152334+00:00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2026-06-09T06:56:07Z</dcterms:created>
  <dcterms:modified xmlns:dcterms="http://purl.org/dc/terms/" xmlns:xsi="http://www.w3.org/2001/XMLSchema-instance" xsi:type="dcterms:W3CDTF">2026-06-09T06:56:11Z</dcterms:modified>
</cp:coreProperties>
</file>