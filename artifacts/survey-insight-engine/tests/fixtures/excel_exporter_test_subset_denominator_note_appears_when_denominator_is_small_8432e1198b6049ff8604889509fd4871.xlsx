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G50" i="7"/>
  <c r="H50" i="7"/>
  <c r="I50" i="7"/>
  <c r="J50" i="7"/>
  <c r="K50" i="7"/>
  <c r="L50" i="7"/>
  <c r="M50" i="7"/>
  <c r="N50" i="7"/>
  <c r="O50" i="7"/>
  <c r="P50" i="7"/>
  <c r="Q50" i="7"/>
  <c r="R50" i="7"/>
  <c r="B51" i="7"/>
  <c r="C51" i="7"/>
  <c r="D51" i="7"/>
  <c r="B52" i="7"/>
  <c r="C52" i="7"/>
  <c r="D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S54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0_1" displayName="T_All_Questions_50_1" ref="A50:D54" headerRowCount="1">
  <autoFilter ref="A50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50">
      <c r="A50" s="4" t="inlineStr">
        <is>
          <t>Option</t>
        </is>
      </c>
      <c r="B50" s="4" t="inlineStr">
        <is>
          <t>Count</t>
        </is>
      </c>
      <c r="C50" s="4" t="inlineStr">
        <is>
          <t>%</t>
        </is>
      </c>
      <c r="D50" s="4" t="inlineStr">
        <is>
          <t>Denominator</t>
        </is>
      </c>
      <c r="F50" s="4" t="inlineStr">
        <is>
          <t>Option</t>
        </is>
      </c>
      <c r="G50" s="2" t="str">
        <f>IF(All_Questions_Q_GRID_EXPORT_CT="(None)","",IFERROR(INDEX(INDIRECT(IFERROR(INDEX(All_Questions_Options_Names,MATCH(All_Questions_Q_GRID_EXPORT_CT,All_Questions,0)),"'_Options'!$E$2:$E$2")),2),""))</f>
        <v/>
      </c>
      <c r="H50" s="2" t="str">
        <f>IF(All_Questions_Q_GRID_EXPORT_CT="(None)","",IFERROR(INDEX(INDIRECT(IFERROR(INDEX(All_Questions_Options_Names,MATCH(All_Questions_Q_GRID_EXPORT_CT,All_Questions,0)),"'_Options'!$E$2:$E$2")),3),""))</f>
        <v/>
      </c>
      <c r="I50" s="2" t="str">
        <f>IF(All_Questions_Q_GRID_EXPORT_CT="(None)","",IFERROR(INDEX(INDIRECT(IFERROR(INDEX(All_Questions_Options_Names,MATCH(All_Questions_Q_GRID_EXPORT_CT,All_Questions,0)),"'_Options'!$E$2:$E$2")),4),""))</f>
        <v/>
      </c>
      <c r="J50" s="2" t="str">
        <f>IF(All_Questions_Q_GRID_EXPORT_CT="(None)","",IFERROR(INDEX(INDIRECT(IFERROR(INDEX(All_Questions_Options_Names,MATCH(All_Questions_Q_GRID_EXPORT_CT,All_Questions,0)),"'_Options'!$E$2:$E$2")),5),""))</f>
        <v/>
      </c>
      <c r="K50" s="2" t="str">
        <f>IF(All_Questions_Q_GRID_EXPORT_CT="(None)","",IFERROR(INDEX(INDIRECT(IFERROR(INDEX(All_Questions_Options_Names,MATCH(All_Questions_Q_GRID_EXPORT_CT,All_Questions,0)),"'_Options'!$E$2:$E$2")),6),""))</f>
        <v/>
      </c>
      <c r="L50" s="2" t="str">
        <f>IF(All_Questions_Q_GRID_EXPORT_CT="(None)","",IFERROR(INDEX(INDIRECT(IFERROR(INDEX(All_Questions_Options_Names,MATCH(All_Questions_Q_GRID_EXPORT_CT,All_Questions,0)),"'_Options'!$E$2:$E$2")),7),""))</f>
        <v/>
      </c>
      <c r="M50" s="2" t="str">
        <f>IF(All_Questions_Q_GRID_EXPORT_CT="(None)","",IFERROR(INDEX(INDIRECT(IFERROR(INDEX(All_Questions_Options_Names,MATCH(All_Questions_Q_GRID_EXPORT_CT,All_Questions,0)),"'_Options'!$E$2:$E$2")),8),""))</f>
        <v/>
      </c>
      <c r="N50" s="2" t="str">
        <f>IF(All_Questions_Q_GRID_EXPORT_CT="(None)","",IFERROR(INDEX(INDIRECT(IFERROR(INDEX(All_Questions_Options_Names,MATCH(All_Questions_Q_GRID_EXPORT_CT,All_Questions,0)),"'_Options'!$E$2:$E$2")),9),""))</f>
        <v/>
      </c>
      <c r="O50" s="2" t="str">
        <f>IF(All_Questions_Q_GRID_EXPORT_CT="(None)","",IFERROR(INDEX(INDIRECT(IFERROR(INDEX(All_Questions_Options_Names,MATCH(All_Questions_Q_GRID_EXPORT_CT,All_Questions,0)),"'_Options'!$E$2:$E$2")),10),""))</f>
        <v/>
      </c>
      <c r="P50" s="2" t="str">
        <f>IF(All_Questions_Q_GRID_EXPORT_CT="(None)","",IFERROR(INDEX(INDIRECT(IFERROR(INDEX(All_Questions_Options_Names,MATCH(All_Questions_Q_GRID_EXPORT_CT,All_Questions,0)),"'_Options'!$E$2:$E$2")),11),""))</f>
        <v/>
      </c>
      <c r="Q50" s="2" t="str">
        <f>IF(All_Questions_Q_GRID_EXPORT_CT="(None)","",IFERROR(INDEX(INDIRECT(IFERROR(INDEX(All_Questions_Options_Names,MATCH(All_Questions_Q_GRID_EXPORT_CT,All_Questions,0)),"'_Options'!$E$2:$E$2")),12),""))</f>
        <v/>
      </c>
      <c r="R5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0" s="4" t="inlineStr">
        <is>
          <t>Total</t>
        </is>
      </c>
    </row>
    <row r="51">
      <c r="A51" t="inlineStr">
        <is>
          <t>Grid first row</t>
        </is>
      </c>
      <c r="B51">
        <f>COUNTIFS(Q_GRID_EXPORTr1_data,"Selected",passes_workbook_filters_data,1,passes_workbook_custom_filters_data,1,All_Questions_passes_local_filters_data,1,All_Questions_Q_GRID_EXPORT_F_passes_per_q_filter_data,1)</f>
        <v>10</v>
      </c>
      <c r="C51" s="7">
        <f>IFERROR(B51/SUBTOTAL(9,B51:B52),0)</f>
        <v>0.5</v>
      </c>
      <c r="D51" s="15">
        <f>SUBTOTAL(9,B51:B52)</f>
        <v>20</v>
      </c>
      <c r="F51" s="4" t="inlineStr"/>
      <c r="G51" s="4" t="inlineStr">
        <is>
          <t># of resp</t>
        </is>
      </c>
      <c r="H51" s="4" t="inlineStr">
        <is>
          <t># of resp</t>
        </is>
      </c>
      <c r="I51" s="4" t="inlineStr">
        <is>
          <t># of resp</t>
        </is>
      </c>
      <c r="J51" s="4" t="inlineStr">
        <is>
          <t># of resp</t>
        </is>
      </c>
      <c r="K51" s="4" t="inlineStr">
        <is>
          <t># of resp</t>
        </is>
      </c>
      <c r="L51" s="4" t="inlineStr">
        <is>
          <t># of resp</t>
        </is>
      </c>
      <c r="M51" s="4" t="inlineStr">
        <is>
          <t># of resp</t>
        </is>
      </c>
      <c r="N51" s="4" t="inlineStr">
        <is>
          <t># of resp</t>
        </is>
      </c>
      <c r="O51" s="4" t="inlineStr">
        <is>
          <t># of resp</t>
        </is>
      </c>
      <c r="P51" s="4" t="inlineStr">
        <is>
          <t># of resp</t>
        </is>
      </c>
      <c r="Q51" s="4" t="inlineStr">
        <is>
          <t># of resp</t>
        </is>
      </c>
      <c r="R51" s="4" t="inlineStr">
        <is>
          <t># of resp</t>
        </is>
      </c>
      <c r="S51" s="4" t="inlineStr">
        <is>
          <t># of resp</t>
        </is>
      </c>
    </row>
    <row r="52">
      <c r="A52" t="inlineStr">
        <is>
          <t>Grid second row</t>
        </is>
      </c>
      <c r="B52">
        <f>COUNTIFS(Q_GRID_EXPORTr2_data,"Selected",passes_workbook_filters_data,1,passes_workbook_custom_filters_data,1,All_Questions_passes_local_filters_data,1,All_Questions_Q_GRID_EXPORT_F_passes_per_q_filter_data,1)</f>
        <v>10</v>
      </c>
      <c r="C52" s="7">
        <f>IFERROR(B52/SUBTOTAL(9,B51:B52),0)</f>
        <v>0.5</v>
      </c>
      <c r="D52" s="15">
        <f>SUBTOTAL(9,B51:B52)</f>
        <v>20</v>
      </c>
      <c r="F52" t="inlineStr">
        <is>
          <t>Grid first row</t>
        </is>
      </c>
      <c r="G52">
        <f>IF(OR(All_Questions_Q_GRID_EXPORT_CT="(None)",G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2">
        <f>IF(OR(All_Questions_Q_GRID_EXPORT_CT="(None)",H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2">
        <f>IF(OR(All_Questions_Q_GRID_EXPORT_CT="(None)",I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2">
        <f>IF(OR(All_Questions_Q_GRID_EXPORT_CT="(None)",J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2">
        <f>IF(OR(All_Questions_Q_GRID_EXPORT_CT="(None)",K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2">
        <f>IF(OR(All_Questions_Q_GRID_EXPORT_CT="(None)",L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2">
        <f>IF(OR(All_Questions_Q_GRID_EXPORT_CT="(None)",M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2">
        <f>IF(OR(All_Questions_Q_GRID_EXPORT_CT="(None)",N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2">
        <f>IF(OR(All_Questions_Q_GRID_EXPORT_CT="(None)",O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2">
        <f>IF(OR(All_Questions_Q_GRID_EXPORT_CT="(None)",P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2">
        <f>IF(OR(All_Questions_Q_GRID_EXPORT_CT="(None)",Q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2">
        <f>IF(OR(All_Questions_Q_GRID_EXPORT_CT="(None)",R$50=""),"",IF(R$50="Other",COUNTIFS(Q_GRID_EXPORTr1_data,"Selected",passes_workbook_filters_data,1,passes_workbook_custom_filters_data,1,All_Questions_passes_local_filters_data,1,All_Questions_Q_GRID_EXPORT_F_passes_per_q_filter_data,1)-SUM(G52,H52,I52,J52,K52,L52,M52,N52,O52,P52,Q52)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3">
      <c r="A53" s="16" t="inlineStr">
        <is>
          <t>Total respondents</t>
        </is>
      </c>
      <c r="B53" s="16" t="n">
        <v>10</v>
      </c>
      <c r="C53" s="16" t="n"/>
      <c r="D53" s="16" t="n"/>
      <c r="F53" t="inlineStr">
        <is>
          <t>Grid second row</t>
        </is>
      </c>
      <c r="G53">
        <f>IF(OR(All_Questions_Q_GRID_EXPORT_CT="(None)",G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3">
        <f>IF(OR(All_Questions_Q_GRID_EXPORT_CT="(None)",H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3">
        <f>IF(OR(All_Questions_Q_GRID_EXPORT_CT="(None)",I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3">
        <f>IF(OR(All_Questions_Q_GRID_EXPORT_CT="(None)",J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3">
        <f>IF(OR(All_Questions_Q_GRID_EXPORT_CT="(None)",K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3">
        <f>IF(OR(All_Questions_Q_GRID_EXPORT_CT="(None)",L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3">
        <f>IF(OR(All_Questions_Q_GRID_EXPORT_CT="(None)",M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3">
        <f>IF(OR(All_Questions_Q_GRID_EXPORT_CT="(None)",N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3">
        <f>IF(OR(All_Questions_Q_GRID_EXPORT_CT="(None)",O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3">
        <f>IF(OR(All_Questions_Q_GRID_EXPORT_CT="(None)",P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3">
        <f>IF(OR(All_Questions_Q_GRID_EXPORT_CT="(None)",Q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3">
        <f>IF(OR(All_Questions_Q_GRID_EXPORT_CT="(None)",R$50=""),"",IF(R$50="Other",COUNTIFS(Q_GRID_EXPORTr2_data,"Selected",passes_workbook_filters_data,1,passes_workbook_custom_filters_data,1,All_Questions_passes_local_filters_data,1,All_Questions_Q_GRID_EXPORT_F_passes_per_q_filter_data,1)-SUM(G53,H53,I53,J53,K53,L53,M53,N53,O53,P53,Q53)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4">
      <c r="A54" s="4" t="inlineStr">
        <is>
          <t>Total responses</t>
        </is>
      </c>
      <c r="B54" s="4" t="n">
        <v>20</v>
      </c>
      <c r="C54" s="4" t="n"/>
      <c r="D54" s="4" t="n"/>
      <c r="F54" s="4" t="inlineStr">
        <is>
          <t>Total respondents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5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5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6" t="inlineStr">
        <is>
          <t>Total respondents</t>
        </is>
      </c>
      <c r="B64" s="16" t="n">
        <v>10</v>
      </c>
      <c r="C64" s="16" t="n"/>
      <c r="D64" s="16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2:G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2:H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2:I5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2:J53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2:K53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2:L53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2:M53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2:N53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2:O53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2:P53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2:Q53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2:R53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2026-05-26T14:58:36Z</dcterms:created>
  <dcterms:modified xmlns:dcterms="http://purl.org/dc/terms/" xmlns:xsi="http://www.w3.org/2001/XMLSchema-instance" xsi:type="dcterms:W3CDTF">2026-05-26T14:58:37Z</dcterms:modified>
</cp:coreProperties>
</file>