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IF(All_Questions_Q_STREAM_CT="(None)","",IFERROR(INDEX(INDIRECT(XLOOKUP(All_Questions_Q_STREAM_CT,All_Questions,All_Questions_Options_Names,"None_options")),2),""))</f>
        <v/>
      </c>
      <c r="H16" s="2" t="n"/>
      <c r="I16" s="2" t="str">
        <f>IF(All_Questions_Q_STREAM_CT="(None)","",IFERROR(INDEX(INDIRECT(XLOOKUP(All_Questions_Q_STREAM_CT,All_Questions,All_Questions_Options_Names,"None_options")),3),""))</f>
        <v/>
      </c>
      <c r="J16" s="2" t="n"/>
      <c r="K16" s="2" t="str">
        <f>IF(All_Questions_Q_STREAM_CT="(None)","",IFERROR(INDEX(INDIRECT(XLOOKUP(All_Questions_Q_STREAM_CT,All_Questions,All_Questions_Options_Names,"None_options")),4),""))</f>
        <v/>
      </c>
      <c r="L16" s="2" t="n"/>
      <c r="M16" s="2" t="str">
        <f>IF(All_Questions_Q_STREAM_CT="(None)","",IFERROR(INDEX(INDIRECT(XLOOKUP(All_Questions_Q_STREAM_CT,All_Questions,All_Questions_Options_Names,"None_options")),5),""))</f>
        <v/>
      </c>
      <c r="N16" s="2" t="n"/>
      <c r="O16" s="2" t="str">
        <f>IF(All_Questions_Q_STREAM_CT="(None)","",IFERROR(INDEX(INDIRECT(XLOOKUP(All_Questions_Q_STREAM_CT,All_Questions,All_Questions_Options_Names,"None_options")),6),""))</f>
        <v/>
      </c>
      <c r="P16" s="2" t="n"/>
      <c r="Q16" s="2" t="str">
        <f>IF(All_Questions_Q_STREAM_CT="(None)","",IFERROR(INDEX(INDIRECT(XLOOKUP(All_Questions_Q_STREAM_CT,All_Questions,All_Questions_Options_Names,"None_options")),7),""))</f>
        <v/>
      </c>
      <c r="R16" s="2" t="n"/>
      <c r="S16" s="2" t="str">
        <f>IF(All_Questions_Q_STREAM_CT="(None)","",IFERROR(INDEX(INDIRECT(XLOOKUP(All_Questions_Q_STREAM_CT,All_Questions,All_Questions_Options_Names,"None_options")),8),""))</f>
        <v/>
      </c>
      <c r="T16" s="2" t="n"/>
      <c r="U16" s="2" t="str">
        <f>IF(All_Questions_Q_STREAM_CT="(None)","",IFERROR(INDEX(INDIRECT(XLOOKUP(All_Questions_Q_STREAM_CT,All_Questions,All_Questions_Options_Names,"None_options")),9),""))</f>
        <v/>
      </c>
      <c r="V16" s="2" t="n"/>
      <c r="W16" s="2" t="str">
        <f>IF(All_Questions_Q_STREAM_CT="(None)","",IFERROR(INDEX(INDIRECT(XLOOKUP(All_Questions_Q_STREAM_CT,All_Questions,All_Questions_Options_Names,"None_options")),10),""))</f>
        <v/>
      </c>
      <c r="X16" s="2" t="n"/>
      <c r="Y16" s="2" t="str">
        <f>IF(All_Questions_Q_STREAM_CT="(None)","",IFERROR(INDEX(INDIRECT(XLOOKUP(All_Questions_Q_STREAM_CT,All_Questions,All_Questions_Options_Names,"None_options")),11),""))</f>
        <v/>
      </c>
      <c r="Z16" s="2" t="n"/>
      <c r="AA16" s="2" t="str">
        <f>IF(All_Questions_Q_STREAM_CT="(None)","",IFERROR(INDEX(INDIRECT(XLOOKUP(All_Questions_Q_STREAM_CT,All_Questions,All_Questions_Options_Names,"None_options")),12),""))</f>
        <v/>
      </c>
      <c r="AB16" s="2" t="n"/>
      <c r="AC16" s="2" t="str">
        <f>IF(All_Questions_Q_STREAM_CT="(None)","",IF(COUNTA(INDIRECT(XLOOKUP(All_Questions_Q_STREAM_CT,All_Questions,All_Questions_Options_Names,"None_options")))-1&gt;11,"Other",IFERROR(INDEX(INDIRECT(XLOOKUP(All_Questions_Q_STREAM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2026-05-18T10:55:35Z</dcterms:created>
  <dcterms:modified xmlns:dcterms="http://purl.org/dc/terms/" xmlns:xsi="http://www.w3.org/2001/XMLSchema-instance" xsi:type="dcterms:W3CDTF">2026-05-18T10:55:40Z</dcterms:modified>
</cp:coreProperties>
</file>