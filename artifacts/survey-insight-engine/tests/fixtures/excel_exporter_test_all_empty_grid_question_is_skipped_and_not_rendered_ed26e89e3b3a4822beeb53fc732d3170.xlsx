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resolved_criteria">'All Questions'!$H$13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IF(OR(All_Questions_Q1_F_Q="(None)",All_Questions_Q1_F_Q="",ISBLANK(All_Questions_Q1_F_Q),All_Questions_Q1_F_V="(All)",All_Questions_Q1_F_V="",ISBLANK(All_Questions_Q1_F_V)),1,IFERROR(IF(ISNUMBER(SEARCH("|"&amp;INDEX(INDIRECT(All_Questions_Q1_F_resolved_column),1)&amp;"|",("|" &amp; SUBSTITUTE(All_Questions_Q1_F_resolved_criteria, ", ", "|") &amp; "|"))),1,0),0))*1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IF(OR(All_Questions_Q1_F_Q="(None)",All_Questions_Q1_F_Q="",ISBLANK(All_Questions_Q1_F_Q),All_Questions_Q1_F_V="(All)",All_Questions_Q1_F_V="",ISBLANK(All_Questions_Q1_F_V)),1,IFERROR(IF(ISNUMBER(SEARCH("|"&amp;INDEX(INDIRECT(All_Questions_Q1_F_resolved_column),2)&amp;"|",("|" &amp; SUBSTITUTE(All_Questions_Q1_F_resolved_criteria, ", ", "|") &amp; "|"))),1,0),0))*1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IF(OR(All_Questions_Q1_F_Q="(None)",All_Questions_Q1_F_Q="",ISBLANK(All_Questions_Q1_F_Q),All_Questions_Q1_F_V="(All)",All_Questions_Q1_F_V="",ISBLANK(All_Questions_Q1_F_V)),1,IFERROR(IF(ISNUMBER(SEARCH("|"&amp;INDEX(INDIRECT(All_Questions_Q1_F_resolved_column),3)&amp;"|",("|" &amp; SUBSTITUTE(All_Questions_Q1_F_resolved_criteria,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'_RawData'!$A$2:$A$4</t>
        </is>
      </c>
      <c r="N2" t="inlineStr">
        <is>
          <t>'_Options'!$E$2:$E$2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Q1 - Purchase Decision</t>
        </is>
      </c>
      <c r="M3" t="inlineStr">
        <is>
          <t>'_RawData'!$B$2:$B$4</t>
        </is>
      </c>
      <c r="N3" t="inlineStr">
        <is>
          <t>'_Options'!$F$2:$F$4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2026-06-09T11:18:54.985653+00:00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Q26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IFERROR(INDEX(All_Questions_Value_Data_Names,MATCH(All_Questions_Q1_F_Q&amp;"|"&amp;All_Questions_Q1_F_V,All_Questions_Value_Keys,0)),IFERROR(INDEX(All_Questions_Data_Names,MATCH(All_Questions_Q1_F_Q,All_Questions,0)),"'_RawData'!$A:$A"))</f>
        <v>respondent_id_data</v>
      </c>
      <c r="G13" t="str">
        <f>"|" &amp; SUBSTITUTE(All_Questions_Q1_F_V, ", ", "|") &amp; "|"</f>
        <v>|(All)|</v>
      </c>
      <c r="H13" t="str">
        <f>IFERROR(INDEX(All_Questions_Value_Criteria,MATCH(All_Questions_Q1_F_Q&amp;"|"&amp;All_Questions_Q1_F_V,All_Questions_Value_Keys,0)),All_Questions_Q1_F_V)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IF(All_Questions_Q1_CT="(None)","",IFERROR(INDEX(INDIRECT(IFERROR(INDEX(Cross_Tab_Questions_Options_Names,MATCH(All_Questions_Q1_CT,Cross_Tab_Questions,0)),"'_Options'!$E$2:$E$2")),2),""))</f>
        <v/>
      </c>
      <c r="C21" s="2" t="str">
        <f>IF(All_Questions_Q1_CT="(None)","",IFERROR(INDEX(INDIRECT(IFERROR(INDEX(Cross_Tab_Questions_Options_Names,MATCH(All_Questions_Q1_CT,Cross_Tab_Questions,0)),"'_Options'!$E$2:$E$2")),3),""))</f>
        <v/>
      </c>
      <c r="D21" s="2" t="str">
        <f>IF(All_Questions_Q1_CT="(None)","",IFERROR(INDEX(INDIRECT(IFERROR(INDEX(Cross_Tab_Questions_Options_Names,MATCH(All_Questions_Q1_CT,Cross_Tab_Questions,0)),"'_Options'!$E$2:$E$2")),4),""))</f>
        <v/>
      </c>
      <c r="E21" s="2" t="str">
        <f>IF(All_Questions_Q1_CT="(None)","",IFERROR(INDEX(INDIRECT(IFERROR(INDEX(Cross_Tab_Questions_Options_Names,MATCH(All_Questions_Q1_CT,Cross_Tab_Questions,0)),"'_Options'!$E$2:$E$2")),5),""))</f>
        <v/>
      </c>
      <c r="F21" s="2" t="str">
        <f>IF(All_Questions_Q1_CT="(None)","",IFERROR(INDEX(INDIRECT(IFERROR(INDEX(Cross_Tab_Questions_Options_Names,MATCH(All_Questions_Q1_CT,Cross_Tab_Questions,0)),"'_Options'!$E$2:$E$2")),6),""))</f>
        <v/>
      </c>
      <c r="G21" s="2" t="str">
        <f>IF(All_Questions_Q1_CT="(None)","",IFERROR(INDEX(INDIRECT(IFERROR(INDEX(Cross_Tab_Questions_Options_Names,MATCH(All_Questions_Q1_CT,Cross_Tab_Questions,0)),"'_Options'!$E$2:$E$2")),7),""))</f>
        <v/>
      </c>
      <c r="H21" s="2" t="str">
        <f>IF(All_Questions_Q1_CT="(None)","",IFERROR(INDEX(INDIRECT(IFERROR(INDEX(Cross_Tab_Questions_Options_Names,MATCH(All_Questions_Q1_CT,Cross_Tab_Questions,0)),"'_Options'!$E$2:$E$2")),8),""))</f>
        <v/>
      </c>
      <c r="I21" s="2" t="str">
        <f>IF(All_Questions_Q1_CT="(None)","",IFERROR(INDEX(INDIRECT(IFERROR(INDEX(Cross_Tab_Questions_Options_Names,MATCH(All_Questions_Q1_CT,Cross_Tab_Questions,0)),"'_Options'!$E$2:$E$2")),9),""))</f>
        <v/>
      </c>
      <c r="J21" s="2" t="str">
        <f>IF(All_Questions_Q1_CT="(None)","",IFERROR(INDEX(INDIRECT(IFERROR(INDEX(Cross_Tab_Questions_Options_Names,MATCH(All_Questions_Q1_CT,Cross_Tab_Questions,0)),"'_Options'!$E$2:$E$2")),10),""))</f>
        <v/>
      </c>
      <c r="K21" s="2" t="str">
        <f>IF(All_Questions_Q1_CT="(None)","",IFERROR(INDEX(INDIRECT(IFERROR(INDEX(Cross_Tab_Questions_Options_Names,MATCH(All_Questions_Q1_CT,Cross_Tab_Questions,0)),"'_Options'!$E$2:$E$2")),11),""))</f>
        <v/>
      </c>
      <c r="L21" s="2" t="str">
        <f>IF(All_Questions_Q1_CT="(None)","",IFERROR(INDEX(INDIRECT(IFERROR(INDEX(Cross_Tab_Questions_Options_Names,MATCH(All_Questions_Q1_CT,Cross_Tab_Questions,0)),"'_Options'!$E$2:$E$2")),12),""))</f>
        <v/>
      </c>
      <c r="M21" s="2" t="str">
        <f>IF(All_Questions_Q1_CT="(None)","",IF(COUNTA(INDIRECT(IFERROR(INDEX(Cross_Tab_Questions_Options_Names,MATCH(All_Questions_Q1_CT,Cross_Tab_Questions,0)),"'_Options'!$E$2:$E$2")))-1&gt;11,"Other",IFERROR(INDEX(INDIRECT(IFERROR(INDEX(Cross_Tab_Questions_Options_Names,MATCH(All_Questions_Q1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1_CT="(None)",B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B$21))</f>
        <v>0</v>
      </c>
      <c r="C23" s="14">
        <f>IF(OR(All_Questions_Q1_CT="(None)",C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C$21))</f>
        <v>0</v>
      </c>
      <c r="D23" s="14">
        <f>IF(OR(All_Questions_Q1_CT="(None)",D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D$21))</f>
        <v>0</v>
      </c>
      <c r="E23" s="14">
        <f>IF(OR(All_Questions_Q1_CT="(None)",E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E$21))</f>
        <v>0</v>
      </c>
      <c r="F23" s="14">
        <f>IF(OR(All_Questions_Q1_CT="(None)",F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F$21))</f>
        <v>0</v>
      </c>
      <c r="G23" s="14">
        <f>IF(OR(All_Questions_Q1_CT="(None)",G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$21))</f>
        <v>0</v>
      </c>
      <c r="H23" s="14">
        <f>IF(OR(All_Questions_Q1_CT="(None)",H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$21))</f>
        <v>0</v>
      </c>
      <c r="I23" s="14">
        <f>IF(OR(All_Questions_Q1_CT="(None)",I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$21))</f>
        <v>0</v>
      </c>
      <c r="J23" s="14">
        <f>IF(OR(All_Questions_Q1_CT="(None)",J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$21))</f>
        <v>0</v>
      </c>
      <c r="K23" s="14">
        <f>IF(OR(All_Questions_Q1_CT="(None)",K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$21))</f>
        <v>0</v>
      </c>
      <c r="L23" s="14">
        <f>IF(OR(All_Questions_Q1_CT="(None)",L$21=""),""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$21))</f>
        <v>0</v>
      </c>
      <c r="M23" s="14">
        <f>IF(OR(All_Questions_Q1_CT="(None)",M$21=""),"",IF(M$21="Other",COUNTIFS(Q1_data,"Yes",passes_workbook_filters_data,1,passes_workbook_custom_filters_data,1,All_Questions_passes_local_filters_data,1,All_Questions_Q1_F_passes_per_q_filter_data,1)-SUM(B23,C23,D23,E23,F23,G23,H23,I23,J23,K23,L23),COUNTIFS(Q1_data,"Yes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$21)))</f>
        <v>0</v>
      </c>
      <c r="N23" s="14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24">
      <c r="A24" t="inlineStr">
        <is>
          <t>No</t>
        </is>
      </c>
      <c r="B24" s="14">
        <f>IF(OR(All_Questions_Q1_CT="(None)",B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B$21))</f>
        <v>0</v>
      </c>
      <c r="C24" s="14">
        <f>IF(OR(All_Questions_Q1_CT="(None)",C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C$21))</f>
        <v>0</v>
      </c>
      <c r="D24" s="14">
        <f>IF(OR(All_Questions_Q1_CT="(None)",D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D$21))</f>
        <v>0</v>
      </c>
      <c r="E24" s="14">
        <f>IF(OR(All_Questions_Q1_CT="(None)",E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E$21))</f>
        <v>0</v>
      </c>
      <c r="F24" s="14">
        <f>IF(OR(All_Questions_Q1_CT="(None)",F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F$21))</f>
        <v>0</v>
      </c>
      <c r="G24" s="14">
        <f>IF(OR(All_Questions_Q1_CT="(None)",G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G$21))</f>
        <v>0</v>
      </c>
      <c r="H24" s="14">
        <f>IF(OR(All_Questions_Q1_CT="(None)",H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H$21))</f>
        <v>0</v>
      </c>
      <c r="I24" s="14">
        <f>IF(OR(All_Questions_Q1_CT="(None)",I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I$21))</f>
        <v>0</v>
      </c>
      <c r="J24" s="14">
        <f>IF(OR(All_Questions_Q1_CT="(None)",J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J$21))</f>
        <v>0</v>
      </c>
      <c r="K24" s="14">
        <f>IF(OR(All_Questions_Q1_CT="(None)",K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K$21))</f>
        <v>0</v>
      </c>
      <c r="L24" s="14">
        <f>IF(OR(All_Questions_Q1_CT="(None)",L$21=""),""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L$21))</f>
        <v>0</v>
      </c>
      <c r="M24" s="14">
        <f>IF(OR(All_Questions_Q1_CT="(None)",M$21=""),"",IF(M$21="Other",COUNTIFS(Q1_data,"No",passes_workbook_filters_data,1,passes_workbook_custom_filters_data,1,All_Questions_passes_local_filters_data,1,All_Questions_Q1_F_passes_per_q_filter_data,1)-SUM(B24,C24,D24,E24,F24,G24,H24,I24,J24,K24,L24),COUNTIFS(Q1_data,"No",passes_workbook_filters_data,1,passes_workbook_custom_filters_data,1,All_Questions_passes_local_filters_data,1,All_Questions_Q1_F_passes_per_q_filter_data,1,INDIRECT(IFERROR(INDEX(Cross_Tab_Questions_Data_Names,MATCH(All_Questions_Q1_CT,Cross_Tab_Questions,0)),"'_RawData'!$A:$A")),M$21)))</f>
        <v>0</v>
      </c>
      <c r="N24" s="14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2026-06-09T11:18:54.986751+00:00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skip:Q26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2026-06-09T11:18:54Z</dcterms:created>
  <dcterms:modified xmlns:dcterms="http://purl.org/dc/terms/" xmlns:xsi="http://www.w3.org/2001/XMLSchema-instance" xsi:type="dcterms:W3CDTF">2026-06-09T11:18:58Z</dcterms:modified>
</cp:coreProperties>
</file>