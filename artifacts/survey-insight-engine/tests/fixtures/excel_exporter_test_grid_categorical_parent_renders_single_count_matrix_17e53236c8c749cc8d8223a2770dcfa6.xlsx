
<file path=[Content_Types].xml><?xml version="1.0" encoding="utf-8"?>
<ns0:Types xmlns:ns0="http://schemas.openxmlformats.org/package/2006/content-types">
  <ns0:Default Extension="rels" ContentType="application/vnd.openxmlformats-package.relationships+xml"/>
  <ns0:Default Extension="xml" ContentType="application/xml"/>
  <ns0:Override PartName="/xl/styles.xml" ContentType="application/vnd.openxmlformats-officedocument.spreadsheetml.styles+xml"/>
  <ns0:Override PartName="/xl/theme/theme1.xml" ContentType="application/vnd.openxmlformats-officedocument.theme+xml"/>
  <ns0:Override PartName="/docProps/core.xml" ContentType="application/vnd.openxmlformats-package.core-properties+xml"/>
  <ns0:Override PartName="/docProps/app.xml" ContentType="application/vnd.openxmlformats-officedocument.extended-properties+xml"/>
  <ns0:Override PartName="/xl/worksheets/sheet1.xml" ContentType="application/vnd.openxmlformats-officedocument.spreadsheetml.worksheet+xml"/>
  <ns0:Override PartName="/xl/worksheets/sheet2.xml" ContentType="application/vnd.openxmlformats-officedocument.spreadsheetml.worksheet+xml"/>
  <ns0:Override PartName="/xl/worksheets/sheet3.xml" ContentType="application/vnd.openxmlformats-officedocument.spreadsheetml.worksheet+xml"/>
  <ns0:Override PartName="/xl/worksheets/sheet4.xml" ContentType="application/vnd.openxmlformats-officedocument.spreadsheetml.worksheet+xml"/>
  <ns0:Override PartName="/xl/worksheets/sheet5.xml" ContentType="application/vnd.openxmlformats-officedocument.spreadsheetml.worksheet+xml"/>
  <ns0:Override PartName="/xl/worksheets/sheet6.xml" ContentType="application/vnd.openxmlformats-officedocument.spreadsheetml.worksheet+xml"/>
  <ns0:Override PartName="/xl/worksheets/sheet7.xml" ContentType="application/vnd.openxmlformats-officedocument.spreadsheetml.worksheet+xml"/>
  <ns0:Override PartName="/xl/worksheets/sheet8.xml" ContentType="application/vnd.openxmlformats-officedocument.spreadsheetml.worksheet+xml"/>
  <ns0:Override PartName="/xl/worksheets/sheet9.xml" ContentType="application/vnd.openxmlformats-officedocument.spreadsheetml.worksheet+xml"/>
  <ns0:Override PartName="/xl/worksheets/sheet10.xml" ContentType="application/vnd.openxmlformats-officedocument.spreadsheetml.worksheet+xml"/>
  <ns0:Override PartName="/xl/workbook.xml" ContentType="application/vnd.openxmlformats-officedocument.spreadsheetml.sheet.main+xml"/>
  <ns0:Override PartName="/xl/calcChain.xml" ContentType="application/vnd.openxmlformats-officedocument.spreadsheetml.calcChain+xml"/>
</ns0: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2" autoFilterDateGrouping="1"/>
  </bookViews>
  <sheets>
    <sheet xmlns:r="http://schemas.openxmlformats.org/officeDocument/2006/relationships" name="_RawData" sheetId="1" state="hidden" r:id="rId1"/>
    <sheet xmlns:r="http://schemas.openxmlformats.org/officeDocument/2006/relationships" name="_Options" sheetId="2" state="hidden" r:id="rId2"/>
    <sheet xmlns:r="http://schemas.openxmlformats.org/officeDocument/2006/relationships" name="Filters" sheetId="3" state="visible" r:id="rId3"/>
    <sheet xmlns:r="http://schemas.openxmlformats.org/officeDocument/2006/relationships" name="Run_Summary" sheetId="4" state="visible" r:id="rId4"/>
    <sheet xmlns:r="http://schemas.openxmlformats.org/officeDocument/2006/relationships" name="Question_Metadata" sheetId="5" state="visible" r:id="rId5"/>
    <sheet xmlns:r="http://schemas.openxmlformats.org/officeDocument/2006/relationships" name="Single_Cut_Index" sheetId="6" state="visible" r:id="rId6"/>
    <sheet xmlns:r="http://schemas.openxmlformats.org/officeDocument/2006/relationships" name="All Questions" sheetId="7" state="visible" r:id="rId7"/>
    <sheet xmlns:r="http://schemas.openxmlformats.org/officeDocument/2006/relationships" name="Calculation_Log" sheetId="8" state="visible" r:id="rId8"/>
    <sheet xmlns:r="http://schemas.openxmlformats.org/officeDocument/2006/relationships" name="Filter_Log" sheetId="9" state="visible" r:id="rId9"/>
    <sheet xmlns:r="http://schemas.openxmlformats.org/officeDocument/2006/relationships" name="Warnings" sheetId="10" state="visible" r:id="rId10"/>
  </sheets>
  <definedNames>
    <definedName name="respondent_id_data">'_RawData'!$A$2:$A$11</definedName>
    <definedName name="Q_CATGRIDr1_data">'_RawData'!$B$2:$B$11</definedName>
    <definedName name="Q_CATGRIDr2_data">'_RawData'!$C$2:$C$11</definedName>
    <definedName name="Q_CATGRIDr3_data">'_RawData'!$D$2:$D$11</definedName>
    <definedName name="All_Questions">'_Options'!$A$2:$A$2</definedName>
    <definedName name="All_Questions_Local">'_Options'!$B$2:$B$3</definedName>
    <definedName name="None_options">'_Options'!$E$2:$E$2</definedName>
    <definedName name="Q_CATGRIDr1_options">'_Options'!$F$2:$F$5</definedName>
    <definedName name="Q_CATGRIDr1_local_options">'_Options'!$I$2:$I$6</definedName>
    <definedName name="Q_CATGRIDr2_options">'_Options'!$G$2:$G$5</definedName>
    <definedName name="Q_CATGRIDr2_local_options">'_Options'!$J$2:$J$6</definedName>
    <definedName name="Q_CATGRIDr3_options">'_Options'!$H$2:$H$5</definedName>
    <definedName name="Q_CATGRIDr3_local_options">'_Options'!$K$2:$K$6</definedName>
    <definedName name="All_Questions_Data_Names">'_Options'!$C$2:$C$2</definedName>
    <definedName name="All_Questions_Options_Names">'_Options'!$D$2:$D$2</definedName>
    <definedName name="F_Custom1_Q">'Filters'!$B$6</definedName>
    <definedName name="F_Custom1_V">'Filters'!$D$6</definedName>
    <definedName name="F_Custom1_resolved_column">'Filters'!$E$6</definedName>
    <definedName name="F_Custom1_wrapped">'Filters'!$F$6</definedName>
    <definedName name="F_Custom2_Q">'Filters'!$B$7</definedName>
    <definedName name="F_Custom2_V">'Filters'!$D$7</definedName>
    <definedName name="F_Custom2_resolved_column">'Filters'!$E$7</definedName>
    <definedName name="F_Custom2_wrapped">'Filters'!$F$7</definedName>
    <definedName name="passes_workbook_filters_data">'_RawData'!$E$2:$E$11</definedName>
    <definedName name="F_Custom1_match_data">'_RawData'!$F$2:$F$11</definedName>
    <definedName name="F_Custom2_match_data">'_RawData'!$G$2:$G$11</definedName>
    <definedName name="passes_workbook_custom_filters_data">'_RawData'!$H$2:$H$11</definedName>
    <definedName name="All_Questions_F_Custom1_Q">'All Questions'!$B$5</definedName>
    <definedName name="All_Questions_F_Custom1_Q_resolved">'All Questions'!$C$5</definedName>
    <definedName name="All_Questions_F_Custom1_V">'All Questions'!$B$6</definedName>
    <definedName name="All_Questions_F_Custom1_V_resolved">'All Questions'!$C$6</definedName>
    <definedName name="All_Questions_F_Custom1_wrapped">'All Questions'!$D$6</definedName>
    <definedName name="All_Questions_F_Custom1_resolved_column">'All Questions'!$F$6</definedName>
    <definedName name="All_Questions_F_Custom2_Q">'All Questions'!$B$7</definedName>
    <definedName name="All_Questions_F_Custom2_Q_resolved">'All Questions'!$C$7</definedName>
    <definedName name="All_Questions_F_Custom2_V">'All Questions'!$B$8</definedName>
    <definedName name="All_Questions_F_Custom2_V_resolved">'All Questions'!$C$8</definedName>
    <definedName name="All_Questions_F_Custom2_wrapped">'All Questions'!$D$8</definedName>
    <definedName name="All_Questions_F_Custom2_resolved_column">'All Questions'!$F$8</definedName>
    <definedName name="All_Questions_passes_local_filters_data">'_RawData'!$I$2:$I$11</definedName>
    <definedName name="All_Questions_Q_CATGRID_F_Q">'All Questions'!$C$13</definedName>
    <definedName name="All_Questions_Q_CATGRID_F_V">'All Questions'!$E$13</definedName>
    <definedName name="All_Questions_Q_CATGRID_F_resolved_column">'All Questions'!$F$13</definedName>
    <definedName name="All_Questions_Q_CATGRID_F_wrapped">'All Questions'!$G$13</definedName>
    <definedName name="All_Questions_Q_CATGRID_F_passes_per_q_filter_data">'_RawData'!$J$2:$J$11</definedName>
    <definedName name="All_Questions_Q_CATGRID_CT">'All Questions'!$C$14</definedName>
  </definedNames>
  <calcPr calcId="124519" fullCalcOnLoad="1"/>
</workbook>
</file>

<file path=xl/calcChain.xml><?xml version="1.0" encoding="utf-8"?>
<calcChain xmlns="http://schemas.openxmlformats.org/spreadsheetml/2006/main">
  <c r="E2" i="1"/>
  <c r="F2" i="1"/>
  <c r="G2" i="1"/>
  <c r="H2" i="1"/>
  <c r="I2" i="1"/>
  <c r="J2" i="1"/>
  <c r="E3" i="1"/>
  <c r="F3" i="1"/>
  <c r="G3" i="1"/>
  <c r="H3" i="1"/>
  <c r="I3" i="1"/>
  <c r="J3" i="1"/>
  <c r="E4" i="1"/>
  <c r="F4" i="1"/>
  <c r="G4" i="1"/>
  <c r="H4" i="1"/>
  <c r="I4" i="1"/>
  <c r="J4" i="1"/>
  <c r="E5" i="1"/>
  <c r="F5" i="1"/>
  <c r="G5" i="1"/>
  <c r="H5" i="1"/>
  <c r="I5" i="1"/>
  <c r="J5" i="1"/>
  <c r="E6" i="1"/>
  <c r="F6" i="1"/>
  <c r="G6" i="1"/>
  <c r="H6" i="1"/>
  <c r="I6" i="1"/>
  <c r="J6" i="1"/>
  <c r="E7" i="1"/>
  <c r="F7" i="1"/>
  <c r="G7" i="1"/>
  <c r="H7" i="1"/>
  <c r="I7" i="1"/>
  <c r="J7" i="1"/>
  <c r="E8" i="1"/>
  <c r="F8" i="1"/>
  <c r="G8" i="1"/>
  <c r="H8" i="1"/>
  <c r="I8" i="1"/>
  <c r="J8" i="1"/>
  <c r="E9" i="1"/>
  <c r="F9" i="1"/>
  <c r="G9" i="1"/>
  <c r="H9" i="1"/>
  <c r="I9" i="1"/>
  <c r="J9" i="1"/>
  <c r="E10" i="1"/>
  <c r="F10" i="1"/>
  <c r="G10" i="1"/>
  <c r="H10" i="1"/>
  <c r="I10" i="1"/>
  <c r="J10" i="1"/>
  <c r="E11" i="1"/>
  <c r="F11" i="1"/>
  <c r="G11" i="1"/>
  <c r="H11" i="1"/>
  <c r="I11" i="1"/>
  <c r="J11" i="1"/>
  <c r="E6" i="3"/>
  <c r="F6" i="3"/>
  <c r="E7" i="3"/>
  <c r="F7" i="3"/>
  <c r="C5" i="7"/>
  <c r="C6" i="7"/>
  <c r="D6" i="7"/>
  <c r="F6" i="7"/>
  <c r="C7" i="7"/>
  <c r="C8" i="7"/>
  <c r="D8" i="7"/>
  <c r="F8" i="7"/>
  <c r="F13" i="7"/>
  <c r="G13" i="7"/>
  <c r="C18" i="7"/>
  <c r="D18" i="7"/>
  <c r="E18" i="7"/>
  <c r="F18" i="7"/>
  <c r="G18" i="7"/>
  <c r="H18" i="7"/>
  <c r="C19" i="7"/>
  <c r="D19" i="7"/>
  <c r="E19" i="7"/>
  <c r="F19" i="7"/>
  <c r="G19" i="7"/>
  <c r="H19" i="7"/>
  <c r="C20" i="7"/>
  <c r="D20" i="7"/>
  <c r="E20" i="7"/>
  <c r="F20" i="7"/>
  <c r="G20" i="7"/>
  <c r="H20" i="7"/>
</calcChain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b val="1"/>
      <color rgb="00FFFFFF"/>
      <sz val="10"/>
    </font>
    <font>
      <name val="Arial"/>
      <i val="1"/>
      <color rgb="00666666"/>
      <sz val="10"/>
    </font>
    <font>
      <name val="Calibri"/>
      <family val="2"/>
      <color theme="10"/>
      <sz val="12"/>
      <scheme val="minor"/>
    </font>
    <font>
      <name val="Arial"/>
      <b val="1"/>
      <color rgb="00FFFFFF"/>
      <sz val="12"/>
    </font>
    <font>
      <name val="Arial"/>
      <i val="1"/>
      <color rgb="00666666"/>
      <sz val="9"/>
    </font>
    <font>
      <name val="Arial"/>
      <b val="1"/>
      <color rgb="FFFFFFFF"/>
      <sz val="11"/>
    </font>
    <font>
      <name val="Arial"/>
      <b val="1"/>
      <sz val="9"/>
    </font>
    <font>
      <name val="Arial"/>
      <color rgb="00808080"/>
      <sz val="10"/>
    </font>
  </fonts>
  <fills count="5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CC0000"/>
        <bgColor rgb="00CC0000"/>
      </patternFill>
    </fill>
    <fill>
      <patternFill patternType="solid">
        <fgColor rgb="FFCC0000"/>
        <bgColor rgb="FFCC0000"/>
      </patternFill>
    </fill>
  </fills>
  <borders count="3">
    <border>
      <left/>
      <right/>
      <top/>
      <bottom/>
      <diagonal/>
    </border>
    <border>
      <bottom style="thin">
        <color rgb="00BFBFBF"/>
      </bottom>
    </border>
    <border>
      <top style="thin">
        <color rgb="00BFBFBF"/>
      </top>
    </border>
  </borders>
  <cellStyleXfs count="2">
    <xf numFmtId="0" fontId="0" fillId="0" borderId="0"/>
    <xf numFmtId="0" fontId="4" fillId="0" borderId="0"/>
  </cellStyleXfs>
  <cellXfs count="16">
    <xf numFmtId="0" fontId="0" fillId="0" borderId="0" pivotButton="0" quotePrefix="0" xfId="0"/>
    <xf numFmtId="0" fontId="2" fillId="3" borderId="0" pivotButton="0" quotePrefix="0" xfId="0"/>
    <xf numFmtId="0" fontId="0" fillId="2" borderId="0" pivotButton="0" quotePrefix="0" xfId="0"/>
    <xf numFmtId="0" fontId="3" fillId="0" borderId="0" pivotButton="0" quotePrefix="0" xfId="0"/>
    <xf numFmtId="0" fontId="1" fillId="2" borderId="0" pivotButton="0" quotePrefix="0" xfId="0"/>
    <xf numFmtId="0" fontId="1" fillId="0" borderId="0" pivotButton="0" quotePrefix="0" xfId="0"/>
    <xf numFmtId="0" fontId="4" fillId="0" borderId="0" pivotButton="0" quotePrefix="0" xfId="1"/>
    <xf numFmtId="164" fontId="0" fillId="0" borderId="0" pivotButton="0" quotePrefix="0" xfId="0"/>
    <xf numFmtId="0" fontId="5" fillId="3" borderId="0" applyAlignment="1" pivotButton="0" quotePrefix="0" xfId="0">
      <alignment vertical="center"/>
    </xf>
    <xf numFmtId="0" fontId="0" fillId="3" borderId="0" pivotButton="0" quotePrefix="0" xfId="0"/>
    <xf numFmtId="0" fontId="6" fillId="0" borderId="0" pivotButton="0" quotePrefix="0" xfId="0"/>
    <xf numFmtId="0" fontId="0" fillId="0" borderId="1" pivotButton="0" quotePrefix="0" xfId="0"/>
    <xf numFmtId="0" fontId="7" fillId="4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1" fillId="2" borderId="2" pivotButton="0" quotePrefix="0" xfId="0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'1.0' encoding='utf-8'?>
<ns0:Relationships xmlns:ns0="http://schemas.openxmlformats.org/package/2006/relationships"><ns0:Relationship Type="http://schemas.openxmlformats.org/officeDocument/2006/relationships/worksheet" Target="/xl/worksheets/sheet1.xml" Id="rId1" /><ns0:Relationship Type="http://schemas.openxmlformats.org/officeDocument/2006/relationships/worksheet" Target="/xl/worksheets/sheet2.xml" Id="rId2" /><ns0:Relationship Type="http://schemas.openxmlformats.org/officeDocument/2006/relationships/worksheet" Target="/xl/worksheets/sheet3.xml" Id="rId3" /><ns0:Relationship Type="http://schemas.openxmlformats.org/officeDocument/2006/relationships/worksheet" Target="/xl/worksheets/sheet4.xml" Id="rId4" /><ns0:Relationship Type="http://schemas.openxmlformats.org/officeDocument/2006/relationships/worksheet" Target="/xl/worksheets/sheet5.xml" Id="rId5" /><ns0:Relationship Type="http://schemas.openxmlformats.org/officeDocument/2006/relationships/worksheet" Target="/xl/worksheets/sheet6.xml" Id="rId6" /><ns0:Relationship Type="http://schemas.openxmlformats.org/officeDocument/2006/relationships/worksheet" Target="/xl/worksheets/sheet7.xml" Id="rId7" /><ns0:Relationship Type="http://schemas.openxmlformats.org/officeDocument/2006/relationships/worksheet" Target="/xl/worksheets/sheet8.xml" Id="rId8" /><ns0:Relationship Type="http://schemas.openxmlformats.org/officeDocument/2006/relationships/worksheet" Target="/xl/worksheets/sheet9.xml" Id="rId9" /><ns0:Relationship Type="http://schemas.openxmlformats.org/officeDocument/2006/relationships/worksheet" Target="/xl/worksheets/sheet10.xml" Id="rId10" /><ns0:Relationship Type="http://schemas.openxmlformats.org/officeDocument/2006/relationships/styles" Target="styles.xml" Id="rId11" /><ns0:Relationship Type="http://schemas.openxmlformats.org/officeDocument/2006/relationships/theme" Target="theme/theme1.xml" Id="rId12" /><ns0:Relationship Id="rId13" Type="http://schemas.openxmlformats.org/officeDocument/2006/relationships/calcChain" Target="calcChain.xml" /></ns0: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6.xml.rels><Relationships xmlns="http://schemas.openxmlformats.org/package/2006/relationships"><Relationship Type="http://schemas.openxmlformats.org/officeDocument/2006/relationships/hyperlink" Target="#'All Questions'!A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respondent_id</t>
        </is>
      </c>
      <c r="B1" t="inlineStr">
        <is>
          <t>Q_CATGRIDr1</t>
        </is>
      </c>
      <c r="C1" t="inlineStr">
        <is>
          <t>Q_CATGRIDr2</t>
        </is>
      </c>
      <c r="D1" t="inlineStr">
        <is>
          <t>Q_CATGRIDr3</t>
        </is>
      </c>
      <c r="E1" t="inlineStr">
        <is>
          <t>passes_workbook_filters</t>
        </is>
      </c>
      <c r="F1" t="inlineStr">
        <is>
          <t>F_Custom1_match</t>
        </is>
      </c>
      <c r="G1" t="inlineStr">
        <is>
          <t>F_Custom2_match</t>
        </is>
      </c>
      <c r="H1" t="inlineStr">
        <is>
          <t>passes_workbook_custom_filters</t>
        </is>
      </c>
      <c r="I1" t="inlineStr">
        <is>
          <t>All_Questions_passes_local_filters</t>
        </is>
      </c>
      <c r="J1" t="inlineStr">
        <is>
          <t>All_Questions_Q_CATGRID_F_passes_per_q_filter</t>
        </is>
      </c>
    </row>
    <row r="2">
      <c r="A2" t="n">
        <v>1</v>
      </c>
      <c r="B2" t="inlineStr">
        <is>
          <t>Decision maker</t>
        </is>
      </c>
      <c r="C2" t="inlineStr">
        <is>
          <t>Decision maker</t>
        </is>
      </c>
      <c r="D2" t="inlineStr">
        <is>
          <t>Decision maker</t>
        </is>
      </c>
      <c r="E2">
        <f>1</f>
        <v>1</v>
      </c>
      <c r="F2">
        <f>IF(OR(F_Custom1_Q="(None)",F_Custom1_Q="",ISBLANK(F_Custom1_Q),F_Custom1_V="(All)",F_Custom1_V="",ISBLANK(F_Custom1_V)),1,IFERROR(IF(ISNUMBER(SEARCH("|"&amp;INDEX(INDIRECT(F_Custom1_resolved_column),1)&amp;"|",F_Custom1_wrapped)),1,0),0))</f>
        <v>1</v>
      </c>
      <c r="G2">
        <f>IF(OR(F_Custom2_Q="(None)",F_Custom2_Q="",ISBLANK(F_Custom2_Q),F_Custom2_V="(All)",F_Custom2_V="",ISBLANK(F_Custom2_V)),1,IFERROR(IF(ISNUMBER(SEARCH("|"&amp;INDEX(INDIRECT(F_Custom2_resolved_column),1)&amp;"|",F_Custom2_wrapped)),1,0),0))</f>
        <v>1</v>
      </c>
      <c r="H2">
        <f>F2*G2*1</f>
        <v>1</v>
      </c>
      <c r="I2">
        <f>1</f>
        <v>1</v>
      </c>
      <c r="J2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1)&amp;"|",All_Questions_Q_CATGRID_F_wrapped)),1,0),0))</f>
        <v>1</v>
      </c>
    </row>
    <row r="3">
      <c r="A3" t="n">
        <v>2</v>
      </c>
      <c r="B3" t="inlineStr">
        <is>
          <t>Decision maker</t>
        </is>
      </c>
      <c r="C3" t="inlineStr">
        <is>
          <t>Influencer</t>
        </is>
      </c>
      <c r="D3" t="inlineStr">
        <is>
          <t>Decision maker</t>
        </is>
      </c>
      <c r="E3">
        <f>1</f>
        <v>1</v>
      </c>
      <c r="F3">
        <f>IF(OR(F_Custom1_Q="(None)",F_Custom1_Q="",ISBLANK(F_Custom1_Q),F_Custom1_V="(All)",F_Custom1_V="",ISBLANK(F_Custom1_V)),1,IFERROR(IF(ISNUMBER(SEARCH("|"&amp;INDEX(INDIRECT(F_Custom1_resolved_column),2)&amp;"|",F_Custom1_wrapped)),1,0),0))</f>
        <v>1</v>
      </c>
      <c r="G3">
        <f>IF(OR(F_Custom2_Q="(None)",F_Custom2_Q="",ISBLANK(F_Custom2_Q),F_Custom2_V="(All)",F_Custom2_V="",ISBLANK(F_Custom2_V)),1,IFERROR(IF(ISNUMBER(SEARCH("|"&amp;INDEX(INDIRECT(F_Custom2_resolved_column),2)&amp;"|",F_Custom2_wrapped)),1,0),0))</f>
        <v>1</v>
      </c>
      <c r="H3">
        <f>F3*G3*1</f>
        <v>1</v>
      </c>
      <c r="I3">
        <f>1</f>
        <v>1</v>
      </c>
      <c r="J3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2)&amp;"|",All_Questions_Q_CATGRID_F_wrapped)),1,0),0))</f>
        <v>1</v>
      </c>
    </row>
    <row r="4">
      <c r="A4" t="n">
        <v>3</v>
      </c>
      <c r="B4" t="inlineStr">
        <is>
          <t>Decision maker</t>
        </is>
      </c>
      <c r="C4" t="inlineStr">
        <is>
          <t>Influencer</t>
        </is>
      </c>
      <c r="D4" t="inlineStr">
        <is>
          <t>Influencer</t>
        </is>
      </c>
      <c r="E4">
        <f>1</f>
        <v>1</v>
      </c>
      <c r="F4">
        <f>IF(OR(F_Custom1_Q="(None)",F_Custom1_Q="",ISBLANK(F_Custom1_Q),F_Custom1_V="(All)",F_Custom1_V="",ISBLANK(F_Custom1_V)),1,IFERROR(IF(ISNUMBER(SEARCH("|"&amp;INDEX(INDIRECT(F_Custom1_resolved_column),3)&amp;"|",F_Custom1_wrapped)),1,0),0))</f>
        <v>1</v>
      </c>
      <c r="G4">
        <f>IF(OR(F_Custom2_Q="(None)",F_Custom2_Q="",ISBLANK(F_Custom2_Q),F_Custom2_V="(All)",F_Custom2_V="",ISBLANK(F_Custom2_V)),1,IFERROR(IF(ISNUMBER(SEARCH("|"&amp;INDEX(INDIRECT(F_Custom2_resolved_column),3)&amp;"|",F_Custom2_wrapped)),1,0),0))</f>
        <v>1</v>
      </c>
      <c r="H4">
        <f>F4*G4*1</f>
        <v>1</v>
      </c>
      <c r="I4">
        <f>1</f>
        <v>1</v>
      </c>
      <c r="J4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3)&amp;"|",All_Questions_Q_CATGRID_F_wrapped)),1,0),0))</f>
        <v>1</v>
      </c>
    </row>
    <row r="5">
      <c r="A5" t="n">
        <v>4</v>
      </c>
      <c r="B5" t="inlineStr">
        <is>
          <t>Influencer</t>
        </is>
      </c>
      <c r="C5" t="inlineStr">
        <is>
          <t>Influencer</t>
        </is>
      </c>
      <c r="D5" t="inlineStr">
        <is>
          <t>Influencer</t>
        </is>
      </c>
      <c r="E5">
        <f>1</f>
        <v>1</v>
      </c>
      <c r="F5">
        <f>IF(OR(F_Custom1_Q="(None)",F_Custom1_Q="",ISBLANK(F_Custom1_Q),F_Custom1_V="(All)",F_Custom1_V="",ISBLANK(F_Custom1_V)),1,IFERROR(IF(ISNUMBER(SEARCH("|"&amp;INDEX(INDIRECT(F_Custom1_resolved_column),4)&amp;"|",F_Custom1_wrapped)),1,0),0))</f>
        <v>1</v>
      </c>
      <c r="G5">
        <f>IF(OR(F_Custom2_Q="(None)",F_Custom2_Q="",ISBLANK(F_Custom2_Q),F_Custom2_V="(All)",F_Custom2_V="",ISBLANK(F_Custom2_V)),1,IFERROR(IF(ISNUMBER(SEARCH("|"&amp;INDEX(INDIRECT(F_Custom2_resolved_column),4)&amp;"|",F_Custom2_wrapped)),1,0),0))</f>
        <v>1</v>
      </c>
      <c r="H5">
        <f>F5*G5*1</f>
        <v>1</v>
      </c>
      <c r="I5">
        <f>1</f>
        <v>1</v>
      </c>
      <c r="J5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4)&amp;"|",All_Questions_Q_CATGRID_F_wrapped)),1,0),0))</f>
        <v>1</v>
      </c>
    </row>
    <row r="6">
      <c r="A6" t="n">
        <v>5</v>
      </c>
      <c r="B6" t="inlineStr">
        <is>
          <t>Influencer</t>
        </is>
      </c>
      <c r="C6" t="inlineStr">
        <is>
          <t>Influencer</t>
        </is>
      </c>
      <c r="D6" t="inlineStr">
        <is>
          <t>Not involved</t>
        </is>
      </c>
      <c r="E6">
        <f>1</f>
        <v>1</v>
      </c>
      <c r="F6">
        <f>IF(OR(F_Custom1_Q="(None)",F_Custom1_Q="",ISBLANK(F_Custom1_Q),F_Custom1_V="(All)",F_Custom1_V="",ISBLANK(F_Custom1_V)),1,IFERROR(IF(ISNUMBER(SEARCH("|"&amp;INDEX(INDIRECT(F_Custom1_resolved_column),5)&amp;"|",F_Custom1_wrapped)),1,0),0))</f>
        <v>1</v>
      </c>
      <c r="G6">
        <f>IF(OR(F_Custom2_Q="(None)",F_Custom2_Q="",ISBLANK(F_Custom2_Q),F_Custom2_V="(All)",F_Custom2_V="",ISBLANK(F_Custom2_V)),1,IFERROR(IF(ISNUMBER(SEARCH("|"&amp;INDEX(INDIRECT(F_Custom2_resolved_column),5)&amp;"|",F_Custom2_wrapped)),1,0),0))</f>
        <v>1</v>
      </c>
      <c r="H6">
        <f>F6*G6*1</f>
        <v>1</v>
      </c>
      <c r="I6">
        <f>1</f>
        <v>1</v>
      </c>
      <c r="J6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5)&amp;"|",All_Questions_Q_CATGRID_F_wrapped)),1,0),0))</f>
        <v>1</v>
      </c>
    </row>
    <row r="7">
      <c r="A7" t="n">
        <v>6</v>
      </c>
      <c r="B7" t="inlineStr">
        <is>
          <t>Influencer</t>
        </is>
      </c>
      <c r="C7" t="inlineStr">
        <is>
          <t>Influencer</t>
        </is>
      </c>
      <c r="D7" t="inlineStr">
        <is>
          <t>Not involved</t>
        </is>
      </c>
      <c r="E7">
        <f>1</f>
        <v>1</v>
      </c>
      <c r="F7">
        <f>IF(OR(F_Custom1_Q="(None)",F_Custom1_Q="",ISBLANK(F_Custom1_Q),F_Custom1_V="(All)",F_Custom1_V="",ISBLANK(F_Custom1_V)),1,IFERROR(IF(ISNUMBER(SEARCH("|"&amp;INDEX(INDIRECT(F_Custom1_resolved_column),6)&amp;"|",F_Custom1_wrapped)),1,0),0))</f>
        <v>1</v>
      </c>
      <c r="G7">
        <f>IF(OR(F_Custom2_Q="(None)",F_Custom2_Q="",ISBLANK(F_Custom2_Q),F_Custom2_V="(All)",F_Custom2_V="",ISBLANK(F_Custom2_V)),1,IFERROR(IF(ISNUMBER(SEARCH("|"&amp;INDEX(INDIRECT(F_Custom2_resolved_column),6)&amp;"|",F_Custom2_wrapped)),1,0),0))</f>
        <v>1</v>
      </c>
      <c r="H7">
        <f>F7*G7*1</f>
        <v>1</v>
      </c>
      <c r="I7">
        <f>1</f>
        <v>1</v>
      </c>
      <c r="J7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6)&amp;"|",All_Questions_Q_CATGRID_F_wrapped)),1,0),0))</f>
        <v>1</v>
      </c>
    </row>
    <row r="8">
      <c r="A8" t="n">
        <v>7</v>
      </c>
      <c r="B8" t="inlineStr">
        <is>
          <t>Influencer</t>
        </is>
      </c>
      <c r="C8" t="inlineStr">
        <is>
          <t>Not involved</t>
        </is>
      </c>
      <c r="D8" t="inlineStr">
        <is>
          <t>Not involved</t>
        </is>
      </c>
      <c r="E8">
        <f>1</f>
        <v>1</v>
      </c>
      <c r="F8">
        <f>IF(OR(F_Custom1_Q="(None)",F_Custom1_Q="",ISBLANK(F_Custom1_Q),F_Custom1_V="(All)",F_Custom1_V="",ISBLANK(F_Custom1_V)),1,IFERROR(IF(ISNUMBER(SEARCH("|"&amp;INDEX(INDIRECT(F_Custom1_resolved_column),7)&amp;"|",F_Custom1_wrapped)),1,0),0))</f>
        <v>1</v>
      </c>
      <c r="G8">
        <f>IF(OR(F_Custom2_Q="(None)",F_Custom2_Q="",ISBLANK(F_Custom2_Q),F_Custom2_V="(All)",F_Custom2_V="",ISBLANK(F_Custom2_V)),1,IFERROR(IF(ISNUMBER(SEARCH("|"&amp;INDEX(INDIRECT(F_Custom2_resolved_column),7)&amp;"|",F_Custom2_wrapped)),1,0),0))</f>
        <v>1</v>
      </c>
      <c r="H8">
        <f>F8*G8*1</f>
        <v>1</v>
      </c>
      <c r="I8">
        <f>1</f>
        <v>1</v>
      </c>
      <c r="J8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7)&amp;"|",All_Questions_Q_CATGRID_F_wrapped)),1,0),0))</f>
        <v>1</v>
      </c>
    </row>
    <row r="9">
      <c r="A9" t="n">
        <v>8</v>
      </c>
      <c r="B9" t="inlineStr">
        <is>
          <t>Not involved</t>
        </is>
      </c>
      <c r="C9" t="inlineStr">
        <is>
          <t>Not involved</t>
        </is>
      </c>
      <c r="D9" t="inlineStr">
        <is>
          <t>Not involved</t>
        </is>
      </c>
      <c r="E9">
        <f>1</f>
        <v>1</v>
      </c>
      <c r="F9">
        <f>IF(OR(F_Custom1_Q="(None)",F_Custom1_Q="",ISBLANK(F_Custom1_Q),F_Custom1_V="(All)",F_Custom1_V="",ISBLANK(F_Custom1_V)),1,IFERROR(IF(ISNUMBER(SEARCH("|"&amp;INDEX(INDIRECT(F_Custom1_resolved_column),8)&amp;"|",F_Custom1_wrapped)),1,0),0))</f>
        <v>1</v>
      </c>
      <c r="G9">
        <f>IF(OR(F_Custom2_Q="(None)",F_Custom2_Q="",ISBLANK(F_Custom2_Q),F_Custom2_V="(All)",F_Custom2_V="",ISBLANK(F_Custom2_V)),1,IFERROR(IF(ISNUMBER(SEARCH("|"&amp;INDEX(INDIRECT(F_Custom2_resolved_column),8)&amp;"|",F_Custom2_wrapped)),1,0),0))</f>
        <v>1</v>
      </c>
      <c r="H9">
        <f>F9*G9*1</f>
        <v>1</v>
      </c>
      <c r="I9">
        <f>1</f>
        <v>1</v>
      </c>
      <c r="J9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8)&amp;"|",All_Questions_Q_CATGRID_F_wrapped)),1,0),0))</f>
        <v>1</v>
      </c>
    </row>
    <row r="10">
      <c r="A10" t="n">
        <v>9</v>
      </c>
      <c r="B10" t="inlineStr">
        <is>
          <t>Not involved</t>
        </is>
      </c>
      <c r="C10" t="inlineStr">
        <is>
          <t>Not involved</t>
        </is>
      </c>
      <c r="D10" t="inlineStr">
        <is>
          <t>Not involved</t>
        </is>
      </c>
      <c r="E10">
        <f>1</f>
        <v>1</v>
      </c>
      <c r="F10">
        <f>IF(OR(F_Custom1_Q="(None)",F_Custom1_Q="",ISBLANK(F_Custom1_Q),F_Custom1_V="(All)",F_Custom1_V="",ISBLANK(F_Custom1_V)),1,IFERROR(IF(ISNUMBER(SEARCH("|"&amp;INDEX(INDIRECT(F_Custom1_resolved_column),9)&amp;"|",F_Custom1_wrapped)),1,0),0))</f>
        <v>1</v>
      </c>
      <c r="G10">
        <f>IF(OR(F_Custom2_Q="(None)",F_Custom2_Q="",ISBLANK(F_Custom2_Q),F_Custom2_V="(All)",F_Custom2_V="",ISBLANK(F_Custom2_V)),1,IFERROR(IF(ISNUMBER(SEARCH("|"&amp;INDEX(INDIRECT(F_Custom2_resolved_column),9)&amp;"|",F_Custom2_wrapped)),1,0),0))</f>
        <v>1</v>
      </c>
      <c r="H10">
        <f>F10*G10*1</f>
        <v>1</v>
      </c>
      <c r="I10">
        <f>1</f>
        <v>1</v>
      </c>
      <c r="J10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9)&amp;"|",All_Questions_Q_CATGRID_F_wrapped)),1,0),0))</f>
        <v>1</v>
      </c>
    </row>
    <row r="11">
      <c r="A11" t="n">
        <v>10</v>
      </c>
      <c r="B11" t="inlineStr">
        <is>
          <t>Not involved</t>
        </is>
      </c>
      <c r="C11" t="inlineStr">
        <is>
          <t>Not involved</t>
        </is>
      </c>
      <c r="D11" t="inlineStr">
        <is>
          <t>Not involved</t>
        </is>
      </c>
      <c r="E11">
        <f>1</f>
        <v>1</v>
      </c>
      <c r="F11">
        <f>IF(OR(F_Custom1_Q="(None)",F_Custom1_Q="",ISBLANK(F_Custom1_Q),F_Custom1_V="(All)",F_Custom1_V="",ISBLANK(F_Custom1_V)),1,IFERROR(IF(ISNUMBER(SEARCH("|"&amp;INDEX(INDIRECT(F_Custom1_resolved_column),10)&amp;"|",F_Custom1_wrapped)),1,0),0))</f>
        <v>1</v>
      </c>
      <c r="G11">
        <f>IF(OR(F_Custom2_Q="(None)",F_Custom2_Q="",ISBLANK(F_Custom2_Q),F_Custom2_V="(All)",F_Custom2_V="",ISBLANK(F_Custom2_V)),1,IFERROR(IF(ISNUMBER(SEARCH("|"&amp;INDEX(INDIRECT(F_Custom2_resolved_column),10)&amp;"|",F_Custom2_wrapped)),1,0),0))</f>
        <v>1</v>
      </c>
      <c r="H11">
        <f>F11*G11*1</f>
        <v>1</v>
      </c>
      <c r="I11">
        <f>1</f>
        <v>1</v>
      </c>
      <c r="J11">
        <f>IF(OR(All_Questions_Q_CATGRID_F_Q="(None)",All_Questions_Q_CATGRID_F_Q="",ISBLANK(All_Questions_Q_CATGRID_F_Q),All_Questions_Q_CATGRID_F_V="(All)",All_Questions_Q_CATGRID_F_V="",ISBLANK(All_Questions_Q_CATGRID_F_V)),1,IFERROR(IF(ISNUMBER(SEARCH("|"&amp;INDEX(INDIRECT(All_Questions_Q_CATGRID_F_resolved_column),10)&amp;"|",All_Questions_Q_CATGRID_F_wrapped)),1,0),0))</f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t="inlineStr">
        <is>
          <t>All_Questions</t>
        </is>
      </c>
      <c r="B1" t="inlineStr">
        <is>
          <t>All_Questions_Local</t>
        </is>
      </c>
      <c r="C1" t="inlineStr">
        <is>
          <t>All_Questions_Data_Names</t>
        </is>
      </c>
      <c r="D1" t="inlineStr">
        <is>
          <t>All_Questions_Options_Names</t>
        </is>
      </c>
      <c r="E1" t="inlineStr">
        <is>
          <t>None_options</t>
        </is>
      </c>
      <c r="F1" t="inlineStr">
        <is>
          <t>Q_CATGRIDr1_options</t>
        </is>
      </c>
      <c r="G1" t="inlineStr">
        <is>
          <t>Q_CATGRIDr2_options</t>
        </is>
      </c>
      <c r="H1" t="inlineStr">
        <is>
          <t>Q_CATGRIDr3_options</t>
        </is>
      </c>
      <c r="I1" t="inlineStr">
        <is>
          <t>Q_CATGRIDr1_local_options</t>
        </is>
      </c>
      <c r="J1" t="inlineStr">
        <is>
          <t>Q_CATGRIDr2_local_options</t>
        </is>
      </c>
      <c r="K1" t="inlineStr">
        <is>
          <t>Q_CATGRIDr3_local_options</t>
        </is>
      </c>
    </row>
    <row r="2">
      <c r="A2" t="inlineStr">
        <is>
          <t>(None)</t>
        </is>
      </c>
      <c r="B2" t="inlineStr">
        <is>
          <t>(Inherit)</t>
        </is>
      </c>
      <c r="C2" t="inlineStr">
        <is>
          <t>'_RawData'!$A$2:$A$11</t>
        </is>
      </c>
      <c r="D2" t="inlineStr">
        <is>
          <t>'_Options'!$E$2:$E$2</t>
        </is>
      </c>
      <c r="E2" t="inlineStr">
        <is>
          <t>(All)</t>
        </is>
      </c>
      <c r="F2" t="inlineStr">
        <is>
          <t>(All)</t>
        </is>
      </c>
      <c r="G2" t="inlineStr">
        <is>
          <t>(All)</t>
        </is>
      </c>
      <c r="H2" t="inlineStr">
        <is>
          <t>(All)</t>
        </is>
      </c>
      <c r="I2" t="inlineStr">
        <is>
          <t>(Inherit)</t>
        </is>
      </c>
      <c r="J2" t="inlineStr">
        <is>
          <t>(Inherit)</t>
        </is>
      </c>
      <c r="K2" t="inlineStr">
        <is>
          <t>(Inherit)</t>
        </is>
      </c>
    </row>
    <row r="3">
      <c r="B3" t="inlineStr">
        <is>
          <t>(None)</t>
        </is>
      </c>
      <c r="F3" t="inlineStr">
        <is>
          <t>Decision maker</t>
        </is>
      </c>
      <c r="G3" t="inlineStr">
        <is>
          <t>Decision maker</t>
        </is>
      </c>
      <c r="H3" t="inlineStr">
        <is>
          <t>Decision maker</t>
        </is>
      </c>
      <c r="I3" t="inlineStr">
        <is>
          <t>(All)</t>
        </is>
      </c>
      <c r="J3" t="inlineStr">
        <is>
          <t>(All)</t>
        </is>
      </c>
      <c r="K3" t="inlineStr">
        <is>
          <t>(All)</t>
        </is>
      </c>
    </row>
    <row r="4">
      <c r="F4" t="inlineStr">
        <is>
          <t>Influencer</t>
        </is>
      </c>
      <c r="G4" t="inlineStr">
        <is>
          <t>Influencer</t>
        </is>
      </c>
      <c r="H4" t="inlineStr">
        <is>
          <t>Influencer</t>
        </is>
      </c>
      <c r="I4" t="inlineStr">
        <is>
          <t>Decision maker</t>
        </is>
      </c>
      <c r="J4" t="inlineStr">
        <is>
          <t>Decision maker</t>
        </is>
      </c>
      <c r="K4" t="inlineStr">
        <is>
          <t>Decision maker</t>
        </is>
      </c>
    </row>
    <row r="5">
      <c r="F5" t="inlineStr">
        <is>
          <t>Not involved</t>
        </is>
      </c>
      <c r="G5" t="inlineStr">
        <is>
          <t>Not involved</t>
        </is>
      </c>
      <c r="H5" t="inlineStr">
        <is>
          <t>Not involved</t>
        </is>
      </c>
      <c r="I5" t="inlineStr">
        <is>
          <t>Influencer</t>
        </is>
      </c>
      <c r="J5" t="inlineStr">
        <is>
          <t>Influencer</t>
        </is>
      </c>
      <c r="K5" t="inlineStr">
        <is>
          <t>Influencer</t>
        </is>
      </c>
    </row>
    <row r="6">
      <c r="I6" t="inlineStr">
        <is>
          <t>Not involved</t>
        </is>
      </c>
      <c r="J6" t="inlineStr">
        <is>
          <t>Not involved</t>
        </is>
      </c>
      <c r="K6" t="inlineStr">
        <is>
          <t>Not involved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2" customWidth="1" min="1" max="1"/>
    <col width="28" customWidth="1" min="2" max="2"/>
    <col width="28" customWidth="1" min="3" max="3"/>
    <col width="28" customWidth="1" min="4" max="4"/>
    <col width="34" customWidth="1" min="5" max="5"/>
    <col width="28" customWidth="1" min="6" max="6"/>
    <col width="28" customWidth="1" min="7" max="7"/>
  </cols>
  <sheetData>
    <row r="1">
      <c r="A1" s="1" t="inlineStr">
        <is>
          <t>DEMOGRAPHIC FILTERS</t>
        </is>
      </c>
      <c r="B1" s="2" t="n"/>
      <c r="C1" s="2" t="n"/>
      <c r="D1" s="2" t="n"/>
      <c r="E1" s="2" t="n"/>
      <c r="F1" s="2" t="n"/>
    </row>
    <row r="2">
      <c r="A2" s="3" t="inlineStr">
        <is>
          <t>To filter by multiple values, separate with ", " (comma + space). Example: India, USA, UK</t>
        </is>
      </c>
    </row>
    <row r="3">
      <c r="A3" s="4" t="inlineStr">
        <is>
          <t>Filter</t>
        </is>
      </c>
      <c r="B3" s="4" t="inlineStr">
        <is>
          <t>Value</t>
        </is>
      </c>
      <c r="C3" s="4" t="inlineStr">
        <is>
          <t>Wrapped</t>
        </is>
      </c>
      <c r="D3" s="4" t="inlineStr">
        <is>
          <t>Available values</t>
        </is>
      </c>
    </row>
    <row r="5">
      <c r="A5" s="4" t="inlineStr">
        <is>
          <t>CUSTOM FILTERS</t>
        </is>
      </c>
      <c r="B5" s="2" t="n"/>
      <c r="C5" s="2" t="n"/>
      <c r="D5" s="2" t="n"/>
      <c r="E5" s="2" t="n"/>
      <c r="F5" s="2" t="n"/>
    </row>
    <row r="6">
      <c r="A6" t="inlineStr">
        <is>
          <t>Filter 1 question</t>
        </is>
      </c>
      <c r="B6" t="inlineStr">
        <is>
          <t>(None)</t>
        </is>
      </c>
      <c r="C6" t="inlineStr">
        <is>
          <t>Filter value</t>
        </is>
      </c>
      <c r="D6" t="inlineStr">
        <is>
          <t>(All)</t>
        </is>
      </c>
      <c r="E6" t="str">
        <f>IFERROR(INDEX(All_Questions_Data_Names,MATCH(F_Custom1_Q,All_Questions,0)),"'_RawData'!$A:$A")</f>
        <v>respondent_id_data</v>
      </c>
      <c r="F6" t="str">
        <f>"|" &amp; SUBSTITUTE(F_Custom1_V, ", ", "|") &amp; "|"</f>
        <v>|(All)|</v>
      </c>
    </row>
    <row r="7">
      <c r="A7" t="inlineStr">
        <is>
          <t>Filter 2 question</t>
        </is>
      </c>
      <c r="B7" t="inlineStr">
        <is>
          <t>(None)</t>
        </is>
      </c>
      <c r="C7" t="inlineStr">
        <is>
          <t>Filter value</t>
        </is>
      </c>
      <c r="D7" t="inlineStr">
        <is>
          <t>(All)</t>
        </is>
      </c>
      <c r="E7" t="str">
        <f>IFERROR(INDEX(All_Questions_Data_Names,MATCH(F_Custom2_Q,All_Questions,0)),"'_RawData'!$A:$A")</f>
        <v>respondent_id_data</v>
      </c>
      <c r="F7" t="str">
        <f>"|" &amp; SUBSTITUTE(F_Custom2_V, ", ", "|") &amp; "|"</f>
        <v>|(All)|</v>
      </c>
    </row>
  </sheetData>
  <dataValidations count="4">
    <dataValidation sqref="B6" showDropDown="0" showInputMessage="0" showErrorMessage="0" allowBlank="1" type="list">
      <formula1>=All_Questions</formula1>
    </dataValidation>
    <dataValidation sqref="D6" showDropDown="0" showInputMessage="0" showErrorMessage="0" allowBlank="1" type="list">
      <formula1>=INDIRECT(IFERROR(INDEX(All_Questions_Options_Names,MATCH(F_Custom1_Q,All_Questions,0)),"'_Options'!$E$2:$E$2"))</formula1>
    </dataValidation>
    <dataValidation sqref="B7" showDropDown="0" showInputMessage="0" showErrorMessage="0" allowBlank="1" type="list">
      <formula1>=All_Questions</formula1>
    </dataValidation>
    <dataValidation sqref="D7" showDropDown="0" showInputMessage="0" showErrorMessage="0" allowBlank="1" type="list">
      <formula1>=INDIRECT(IFERROR(INDEX(All_Questions_Options_Names,MATCH(F_Custom2_Q,All_Questions,0)),"'_Options'!$E$2:$E$2"))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cols>
    <col width="22" customWidth="1" min="1" max="1"/>
    <col width="27" customWidth="1" min="2" max="2"/>
  </cols>
  <sheetData>
    <row r="1">
      <c r="A1" s="5" t="inlineStr">
        <is>
          <t>Source datamap:</t>
        </is>
      </c>
      <c r="B1" t="inlineStr">
        <is>
          <t>datamap.xlsx</t>
        </is>
      </c>
    </row>
    <row r="2">
      <c r="A2" s="5" t="inlineStr">
        <is>
          <t>Source raw data:</t>
        </is>
      </c>
      <c r="B2" t="inlineStr">
        <is>
          <t>raw.csv</t>
        </is>
      </c>
    </row>
    <row r="3">
      <c r="A3" s="5" t="inlineStr">
        <is>
          <t>Run timestamp:</t>
        </is>
      </c>
      <c r="B3" t="inlineStr">
        <is>
          <t>2026-05-04T12:00:00+00:00</t>
        </is>
      </c>
    </row>
    <row r="4">
      <c r="A4" s="5" t="inlineStr">
        <is>
          <t>Total respondents:</t>
        </is>
      </c>
      <c r="B4" t="n">
        <v>10</v>
      </c>
    </row>
    <row r="5">
      <c r="A5" s="5" t="inlineStr">
        <is>
          <t>Total questions:</t>
        </is>
      </c>
      <c r="B5" t="n">
        <v>1</v>
      </c>
    </row>
    <row r="6">
      <c r="A6" s="5" t="inlineStr">
        <is>
          <t>Results produced:</t>
        </is>
      </c>
      <c r="B6" t="n">
        <v>1</v>
      </c>
    </row>
    <row r="7">
      <c r="A7" s="5" t="inlineStr">
        <is>
          <t>Questions skipped:</t>
        </is>
      </c>
      <c r="B7" t="n">
        <v>0</v>
      </c>
    </row>
    <row r="8">
      <c r="A8" s="5" t="inlineStr">
        <is>
          <t>Cross cuts produced:</t>
        </is>
      </c>
      <c r="B8" t="n">
        <v>0</v>
      </c>
    </row>
    <row r="9">
      <c r="A9" s="5" t="inlineStr">
        <is>
          <t>Cross cut skips:</t>
        </is>
      </c>
      <c r="B9" t="n">
        <v>0</v>
      </c>
    </row>
    <row r="10">
      <c r="A10" s="5" t="inlineStr">
        <is>
          <t>Audit log records:</t>
        </is>
      </c>
      <c r="B10" t="n">
        <v>0</v>
      </c>
    </row>
    <row r="11">
      <c r="A11" s="5" t="inlineStr">
        <is>
          <t>Quality warnings:</t>
        </is>
      </c>
      <c r="B11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42" customWidth="1" min="3" max="3"/>
    <col width="20" customWidth="1" min="4" max="4"/>
    <col width="39" customWidth="1" min="5" max="5"/>
    <col width="15" customWidth="1" min="6" max="6"/>
    <col width="19" customWidth="1" min="7" max="7"/>
    <col width="13" customWidth="1" min="8" max="8"/>
    <col width="17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Question Text</t>
        </is>
      </c>
      <c r="D1" s="4" t="inlineStr">
        <is>
          <t>Type</t>
        </is>
      </c>
      <c r="E1" s="4" t="inlineStr">
        <is>
          <t>Raw Columns</t>
        </is>
      </c>
      <c r="F1" s="4" t="inlineStr">
        <is>
          <t>Options Count</t>
        </is>
      </c>
      <c r="G1" s="4" t="inlineStr">
        <is>
          <t>Analysis Eligible</t>
        </is>
      </c>
      <c r="H1" s="4" t="inlineStr">
        <is>
          <t>Demographic</t>
        </is>
      </c>
      <c r="I1" s="4" t="inlineStr">
        <is>
          <t>Parent Question</t>
        </is>
      </c>
    </row>
    <row r="2">
      <c r="A2" t="inlineStr">
        <is>
          <t>[Q_CATGRID]</t>
        </is>
      </c>
      <c r="B2" t="inlineStr">
        <is>
          <t>Q_CATGRID</t>
        </is>
      </c>
      <c r="C2" t="inlineStr">
        <is>
          <t>Q_CATGRID - Stakeholder role by function</t>
        </is>
      </c>
      <c r="D2" t="inlineStr">
        <is>
          <t>GRID_SINGLE_SELECT</t>
        </is>
      </c>
      <c r="E2" t="inlineStr">
        <is>
          <t>Q_CATGRIDr1, Q_CATGRIDr2, Q_CATGRIDr3</t>
        </is>
      </c>
      <c r="F2" t="n">
        <v>3</v>
      </c>
      <c r="G2" t="inlineStr">
        <is>
          <t>Yes</t>
        </is>
      </c>
      <c r="H2" t="inlineStr">
        <is>
          <t>No</t>
        </is>
      </c>
      <c r="I2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20" customWidth="1" min="3" max="3"/>
    <col width="15" customWidth="1" min="4" max="4"/>
    <col width="15" customWidth="1" min="5" max="5"/>
    <col width="9" customWidth="1" min="6" max="6"/>
    <col width="11" customWidth="1" min="7" max="7"/>
    <col width="11" customWidth="1" min="8" max="8"/>
    <col width="10" customWidth="1" min="9" max="9"/>
  </cols>
  <sheetData>
    <row r="1">
      <c r="A1" s="4" t="inlineStr">
        <is>
          <t>Question ID</t>
        </is>
      </c>
      <c r="B1" s="4" t="inlineStr">
        <is>
          <t>Canonical ID</t>
        </is>
      </c>
      <c r="C1" s="4" t="inlineStr">
        <is>
          <t>Type</t>
        </is>
      </c>
      <c r="D1" s="4" t="inlineStr">
        <is>
          <t>Theme</t>
        </is>
      </c>
      <c r="E1" s="4" t="inlineStr">
        <is>
          <t>Sheet Name</t>
        </is>
      </c>
      <c r="F1" s="4" t="inlineStr">
        <is>
          <t>Valid N</t>
        </is>
      </c>
      <c r="G1" s="4" t="inlineStr">
        <is>
          <t>Missing N</t>
        </is>
      </c>
      <c r="H1" s="4" t="inlineStr">
        <is>
          <t>Missing %</t>
        </is>
      </c>
      <c r="I1" s="4" t="inlineStr">
        <is>
          <t>Warnings</t>
        </is>
      </c>
    </row>
    <row r="2">
      <c r="A2" t="inlineStr">
        <is>
          <t>Q_CATGRID</t>
        </is>
      </c>
      <c r="B2" t="inlineStr">
        <is>
          <t>Q_CATGRID</t>
        </is>
      </c>
      <c r="C2" t="inlineStr">
        <is>
          <t>GRID_SINGLE_SELECT</t>
        </is>
      </c>
      <c r="D2" t="inlineStr">
        <is>
          <t>All Questions</t>
        </is>
      </c>
      <c r="E2" s="6" t="inlineStr">
        <is>
          <t>All Questions</t>
        </is>
      </c>
      <c r="F2" t="n">
        <v>10</v>
      </c>
      <c r="G2" t="n">
        <v>0</v>
      </c>
      <c r="H2" s="7" t="n">
        <v>0</v>
      </c>
      <c r="I2" t="inlineStr"/>
    </row>
  </sheetData>
  <hyperlinks>
    <hyperlink xmlns:r="http://schemas.openxmlformats.org/officeDocument/2006/relationships" ref="E2" r:id="rId1"/>
  </hyperlink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38" customWidth="1" min="1" max="1"/>
    <col width="18" customWidth="1" min="2" max="2"/>
    <col width="12" customWidth="1" min="3" max="3"/>
    <col width="14" customWidth="1" min="4" max="4"/>
    <col width="4" customWidth="1" min="5" max="5"/>
    <col width="22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</cols>
  <sheetData>
    <row r="1">
      <c r="A1" s="8" t="inlineStr">
        <is>
          <t>THEME: All Questions</t>
        </is>
      </c>
      <c r="B1" s="9" t="n"/>
      <c r="C1" s="9" t="n"/>
      <c r="D1" s="9" t="n"/>
      <c r="E1" s="9" t="n"/>
      <c r="F1" s="9" t="n"/>
      <c r="G1" s="9" t="n"/>
      <c r="H1" s="9" t="n"/>
      <c r="I1" s="9" t="n"/>
      <c r="J1" s="9" t="n"/>
    </row>
    <row r="2">
      <c r="A2" s="10" t="inlineStr">
        <is>
          <t>Tip: Use the Filters sheet for workbook-wide values, or override below.</t>
        </is>
      </c>
    </row>
    <row r="3">
      <c r="A3" s="4" t="inlineStr">
        <is>
          <t>LOCAL FILTERS (override workbook defaults)</t>
        </is>
      </c>
      <c r="B3" s="2" t="n"/>
      <c r="C3" s="2" t="n"/>
      <c r="D3" s="2" t="n"/>
      <c r="E3" s="2" t="n"/>
      <c r="F3" s="2" t="n"/>
      <c r="G3" s="2" t="n"/>
      <c r="H3" s="2" t="n"/>
    </row>
    <row r="4">
      <c r="A4" s="4" t="inlineStr">
        <is>
          <t>Filter</t>
        </is>
      </c>
      <c r="B4" s="4" t="inlineStr">
        <is>
          <t>Value</t>
        </is>
      </c>
      <c r="C4" s="4" t="inlineStr">
        <is>
          <t>Resolved</t>
        </is>
      </c>
      <c r="D4" s="4" t="inlineStr">
        <is>
          <t>Wrapped</t>
        </is>
      </c>
      <c r="E4" s="4" t="inlineStr">
        <is>
          <t>Available values</t>
        </is>
      </c>
    </row>
    <row r="5">
      <c r="A5" t="inlineStr">
        <is>
          <t>Custom 1 question</t>
        </is>
      </c>
      <c r="B5" t="inlineStr">
        <is>
          <t>(Inherit)</t>
        </is>
      </c>
      <c r="C5" t="str">
        <f>IF(All_Questions_F_Custom1_Q="(Inherit)",F_Custom1_Q,All_Questions_F_Custom1_Q)</f>
        <v>(None)</v>
      </c>
      <c r="E5" t="inlineStr">
        <is>
          <t>Workbook question or local override</t>
        </is>
      </c>
    </row>
    <row r="6">
      <c r="A6" t="inlineStr">
        <is>
          <t>Custom 1 value</t>
        </is>
      </c>
      <c r="B6" t="inlineStr">
        <is>
          <t>(Inherit)</t>
        </is>
      </c>
      <c r="C6" t="str">
        <f>IF(All_Questions_F_Custom1_V="(Inherit)",F_Custom1_V,All_Questions_F_Custom1_V)</f>
        <v>(All)</v>
      </c>
      <c r="D6" t="str">
        <f>"|" &amp; SUBSTITUTE(All_Questions_F_Custom1_V_resolved, ", ", "|") &amp; "|"</f>
        <v>|(All)|</v>
      </c>
      <c r="E6" t="inlineStr">
        <is>
          <t>Choose one value or type comma-separated values</t>
        </is>
      </c>
      <c r="F6" t="str">
        <f>IFERROR(INDEX(All_Questions_Data_Names,MATCH(All_Questions_F_Custom1_Q_resolved,All_Questions,0)),"'_RawData'!$A:$A")</f>
        <v>respondent_id_data</v>
      </c>
    </row>
    <row r="7">
      <c r="A7" t="inlineStr">
        <is>
          <t>Custom 2 question</t>
        </is>
      </c>
      <c r="B7" t="inlineStr">
        <is>
          <t>(Inherit)</t>
        </is>
      </c>
      <c r="C7" t="str">
        <f>IF(All_Questions_F_Custom2_Q="(Inherit)",F_Custom2_Q,All_Questions_F_Custom2_Q)</f>
        <v>(None)</v>
      </c>
      <c r="E7" t="inlineStr">
        <is>
          <t>Workbook question or local override</t>
        </is>
      </c>
    </row>
    <row r="8">
      <c r="A8" t="inlineStr">
        <is>
          <t>Custom 2 value</t>
        </is>
      </c>
      <c r="B8" t="inlineStr">
        <is>
          <t>(Inherit)</t>
        </is>
      </c>
      <c r="C8" t="str">
        <f>IF(All_Questions_F_Custom2_V="(Inherit)",F_Custom2_V,All_Questions_F_Custom2_V)</f>
        <v>(All)</v>
      </c>
      <c r="D8" t="str">
        <f>"|" &amp; SUBSTITUTE(All_Questions_F_Custom2_V_resolved, ", ", "|") &amp; "|"</f>
        <v>|(All)|</v>
      </c>
      <c r="E8" t="inlineStr">
        <is>
          <t>Choose one value or type comma-separated values</t>
        </is>
      </c>
      <c r="F8" t="str">
        <f>IFERROR(INDEX(All_Questions_Data_Names,MATCH(All_Questions_F_Custom2_Q_resolved,All_Questions,0)),"'_RawData'!$A:$A")</f>
        <v>respondent_id_data</v>
      </c>
    </row>
    <row r="11">
      <c r="A11" s="11" t="n"/>
      <c r="B11" s="11" t="n"/>
      <c r="C11" s="11" t="n"/>
      <c r="D11" s="11" t="n"/>
      <c r="E11" s="11" t="n"/>
      <c r="F11" s="11" t="n"/>
      <c r="G11" s="11" t="n"/>
      <c r="H11" s="11" t="n"/>
      <c r="I11" s="11" t="n"/>
      <c r="J11" s="11" t="n"/>
    </row>
    <row r="12">
      <c r="A12" s="12" t="inlineStr">
        <is>
          <t>Q_CATGRID - Stakeholder role by function</t>
        </is>
      </c>
      <c r="B12" s="12" t="n"/>
      <c r="C12" s="12" t="n"/>
      <c r="D12" s="12" t="n"/>
      <c r="E12" s="12" t="n"/>
      <c r="F12" s="12" t="n"/>
      <c r="G12" s="12" t="n"/>
      <c r="H12" s="12" t="n"/>
      <c r="I12" s="12" t="n"/>
      <c r="J12" s="12" t="n"/>
      <c r="K12" s="12" t="n"/>
      <c r="L12" s="12" t="n"/>
      <c r="M12" s="12" t="n"/>
      <c r="N12" s="12" t="n"/>
    </row>
    <row r="13">
      <c r="A13" s="13" t="inlineStr">
        <is>
          <t>Per-question filter</t>
        </is>
      </c>
      <c r="B13" t="inlineStr">
        <is>
          <t>Filter Q</t>
        </is>
      </c>
      <c r="C13" t="inlineStr">
        <is>
          <t>(None)</t>
        </is>
      </c>
      <c r="D13" t="inlineStr">
        <is>
          <t>Value</t>
        </is>
      </c>
      <c r="E13" t="inlineStr">
        <is>
          <t>(All)</t>
        </is>
      </c>
      <c r="F13" t="str">
        <f>IFERROR(INDEX(All_Questions_Data_Names,MATCH(All_Questions_Q_CATGRID_F_Q,All_Questions,0)),"'_RawData'!$A:$A")</f>
        <v>respondent_id_data</v>
      </c>
      <c r="G13" t="str">
        <f>"|" &amp; SUBSTITUTE(All_Questions_Q_CATGRID_F_V, ", ", "|") &amp; "|"</f>
        <v>|(All)|</v>
      </c>
    </row>
    <row r="14">
      <c r="A14" s="13" t="inlineStr">
        <is>
          <t>Cross-tab by</t>
        </is>
      </c>
      <c r="C14" t="inlineStr">
        <is>
          <t>(None)</t>
        </is>
      </c>
    </row>
    <row r="16">
      <c r="A16" s="4" t="inlineStr">
        <is>
          <t>Sub-question ID</t>
        </is>
      </c>
      <c r="B16" s="4" t="inlineStr">
        <is>
          <t>Sub-question</t>
        </is>
      </c>
      <c r="C16" s="4" t="inlineStr">
        <is>
          <t>Not involved</t>
        </is>
      </c>
      <c r="D16" s="2" t="n"/>
      <c r="E16" s="4" t="inlineStr">
        <is>
          <t>Influencer</t>
        </is>
      </c>
      <c r="F16" s="2" t="n"/>
      <c r="G16" s="4" t="inlineStr">
        <is>
          <t>Decision maker</t>
        </is>
      </c>
      <c r="H16" s="2" t="n"/>
    </row>
    <row r="17">
      <c r="A17" s="2" t="inlineStr"/>
      <c r="B17" s="2" t="inlineStr"/>
      <c r="C17" s="4" t="inlineStr">
        <is>
          <t>Count</t>
        </is>
      </c>
      <c r="D17" s="4" t="inlineStr">
        <is>
          <t>%</t>
        </is>
      </c>
      <c r="E17" s="4" t="inlineStr">
        <is>
          <t>Count</t>
        </is>
      </c>
      <c r="F17" s="4" t="inlineStr">
        <is>
          <t>%</t>
        </is>
      </c>
      <c r="G17" s="4" t="inlineStr">
        <is>
          <t>Count</t>
        </is>
      </c>
      <c r="H17" s="4" t="inlineStr">
        <is>
          <t>%</t>
        </is>
      </c>
    </row>
    <row r="18">
      <c r="A18" s="14" t="inlineStr">
        <is>
          <t>Q_CATGRIDr1</t>
        </is>
      </c>
      <c r="B18" t="inlineStr">
        <is>
          <t>IT / Technical</t>
        </is>
      </c>
      <c r="C18">
        <f>COUNTIFS(Q_CATGRIDr1_data,"Not involved",passes_workbook_filters_data,1,passes_workbook_custom_filters_data,1,All_Questions_passes_local_filters_data,1,All_Questions_Q_CATGRID_F_passes_per_q_filter_data,1)</f>
        <v>3</v>
      </c>
      <c r="D18" s="7">
        <f>IFERROR(C18/10,0)</f>
        <v>0.3</v>
      </c>
      <c r="E18">
        <f>COUNTIFS(Q_CATGRIDr1_data,"Influencer",passes_workbook_filters_data,1,passes_workbook_custom_filters_data,1,All_Questions_passes_local_filters_data,1,All_Questions_Q_CATGRID_F_passes_per_q_filter_data,1)</f>
        <v>4</v>
      </c>
      <c r="F18" s="7">
        <f>IFERROR(E18/10,0)</f>
        <v>0.4</v>
      </c>
      <c r="G18">
        <f>COUNTIFS(Q_CATGRIDr1_data,"Decision maker",passes_workbook_filters_data,1,passes_workbook_custom_filters_data,1,All_Questions_passes_local_filters_data,1,All_Questions_Q_CATGRID_F_passes_per_q_filter_data,1)</f>
        <v>3</v>
      </c>
      <c r="H18" s="7">
        <f>IFERROR(G18/10,0)</f>
        <v>0.3</v>
      </c>
    </row>
    <row r="19">
      <c r="A19" s="14" t="inlineStr">
        <is>
          <t>Q_CATGRIDr2</t>
        </is>
      </c>
      <c r="B19" t="inlineStr">
        <is>
          <t>Security</t>
        </is>
      </c>
      <c r="C19">
        <f>COUNTIFS(Q_CATGRIDr2_data,"Not involved",passes_workbook_filters_data,1,passes_workbook_custom_filters_data,1,All_Questions_passes_local_filters_data,1,All_Questions_Q_CATGRID_F_passes_per_q_filter_data,1)</f>
        <v>4</v>
      </c>
      <c r="D19" s="7">
        <f>IFERROR(C19/10,0)</f>
        <v>0.4</v>
      </c>
      <c r="E19">
        <f>COUNTIFS(Q_CATGRIDr2_data,"Influencer",passes_workbook_filters_data,1,passes_workbook_custom_filters_data,1,All_Questions_passes_local_filters_data,1,All_Questions_Q_CATGRID_F_passes_per_q_filter_data,1)</f>
        <v>5</v>
      </c>
      <c r="F19" s="7">
        <f>IFERROR(E19/10,0)</f>
        <v>0.5</v>
      </c>
      <c r="G19">
        <f>COUNTIFS(Q_CATGRIDr2_data,"Decision maker",passes_workbook_filters_data,1,passes_workbook_custom_filters_data,1,All_Questions_passes_local_filters_data,1,All_Questions_Q_CATGRID_F_passes_per_q_filter_data,1)</f>
        <v>1</v>
      </c>
      <c r="H19" s="7">
        <f>IFERROR(G19/10,0)</f>
        <v>0.1</v>
      </c>
    </row>
    <row r="20">
      <c r="A20" s="14" t="inlineStr">
        <is>
          <t>Q_CATGRIDr3</t>
        </is>
      </c>
      <c r="B20" t="inlineStr">
        <is>
          <t>Human Resources</t>
        </is>
      </c>
      <c r="C20">
        <f>COUNTIFS(Q_CATGRIDr3_data,"Not involved",passes_workbook_filters_data,1,passes_workbook_custom_filters_data,1,All_Questions_passes_local_filters_data,1,All_Questions_Q_CATGRID_F_passes_per_q_filter_data,1)</f>
        <v>6</v>
      </c>
      <c r="D20" s="7">
        <f>IFERROR(C20/10,0)</f>
        <v>0.6</v>
      </c>
      <c r="E20">
        <f>COUNTIFS(Q_CATGRIDr3_data,"Influencer",passes_workbook_filters_data,1,passes_workbook_custom_filters_data,1,All_Questions_passes_local_filters_data,1,All_Questions_Q_CATGRID_F_passes_per_q_filter_data,1)</f>
        <v>2</v>
      </c>
      <c r="F20" s="7">
        <f>IFERROR(E20/10,0)</f>
        <v>0.2</v>
      </c>
      <c r="G20">
        <f>COUNTIFS(Q_CATGRIDr3_data,"Decision maker",passes_workbook_filters_data,1,passes_workbook_custom_filters_data,1,All_Questions_passes_local_filters_data,1,All_Questions_Q_CATGRID_F_passes_per_q_filter_data,1)</f>
        <v>2</v>
      </c>
      <c r="H20" s="7">
        <f>IFERROR(G20/10,0)</f>
        <v>0.2</v>
      </c>
    </row>
    <row r="21">
      <c r="A21" s="15" t="inlineStr">
        <is>
          <t>Total respondents</t>
        </is>
      </c>
      <c r="B21" s="15" t="n">
        <v>10</v>
      </c>
      <c r="C21" s="15" t="n"/>
      <c r="D21" s="15" t="n"/>
      <c r="E21" s="15" t="n"/>
      <c r="F21" s="15" t="n"/>
      <c r="G21" s="15" t="n"/>
      <c r="H21" s="15" t="n"/>
    </row>
    <row r="22">
      <c r="A22" s="4" t="inlineStr">
        <is>
          <t>Total responses</t>
        </is>
      </c>
      <c r="B22" s="4" t="n">
        <v>30</v>
      </c>
      <c r="C22" s="4" t="n"/>
      <c r="D22" s="4" t="n"/>
      <c r="E22" s="4" t="n"/>
      <c r="F22" s="4" t="n"/>
      <c r="G22" s="4" t="n"/>
      <c r="H22" s="4" t="n"/>
    </row>
  </sheetData>
  <mergeCells count="4">
    <mergeCell ref="G16:H16"/>
    <mergeCell ref="A1:J1"/>
    <mergeCell ref="E16:F16"/>
    <mergeCell ref="C16:D16"/>
  </mergeCells>
  <conditionalFormatting sqref="D18:D20">
    <cfRule type="colorScale" priority="1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F18:F20">
    <cfRule type="colorScale" priority="2">
      <colorScale>
        <cfvo type="min"/>
        <cfvo type="percentile" val="50"/>
        <cfvo type="max"/>
        <color rgb="00F8696B"/>
        <color rgb="00FFEB84"/>
        <color rgb="0063BE7B"/>
      </colorScale>
    </cfRule>
  </conditionalFormatting>
  <conditionalFormatting sqref="H18:H20">
    <cfRule type="colorScale" priority="3">
      <colorScale>
        <cfvo type="min"/>
        <cfvo type="percentile" val="50"/>
        <cfvo type="max"/>
        <color rgb="00F8696B"/>
        <color rgb="00FFEB84"/>
        <color rgb="0063BE7B"/>
      </colorScale>
    </cfRule>
  </conditionalFormatting>
  <dataValidations count="7">
    <dataValidation sqref="B5" showDropDown="0" showInputMessage="0" showErrorMessage="0" allowBlank="1" type="list">
      <formula1>=All_Questions_Local</formula1>
    </dataValidation>
    <dataValidation sqref="B6" showDropDown="0" showInputMessage="0" showErrorMessage="0" allowBlank="1" type="list">
      <formula1>=INDIRECT(IFERROR(INDEX(All_Questions_Options_Names,MATCH(All_Questions_F_Custom1_Q_resolved,All_Questions,0)),"'_Options'!$E$2:$E$2"))</formula1>
    </dataValidation>
    <dataValidation sqref="B7" showDropDown="0" showInputMessage="0" showErrorMessage="0" allowBlank="1" type="list">
      <formula1>=All_Questions_Local</formula1>
    </dataValidation>
    <dataValidation sqref="B8" showDropDown="0" showInputMessage="0" showErrorMessage="0" allowBlank="1" type="list">
      <formula1>=INDIRECT(IFERROR(INDEX(All_Questions_Options_Names,MATCH(All_Questions_F_Custom2_Q_resolved,All_Questions,0)),"'_Options'!$E$2:$E$2"))</formula1>
    </dataValidation>
    <dataValidation sqref="C13" showDropDown="0" showInputMessage="0" showErrorMessage="0" allowBlank="1" type="list">
      <formula1>=All_Questions</formula1>
    </dataValidation>
    <dataValidation sqref="E13" showDropDown="0" showInputMessage="0" showErrorMessage="0" allowBlank="1" type="list">
      <formula1>=INDIRECT(IFERROR(INDEX(All_Questions_Options_Names,MATCH(All_Questions_Q_CATGRID_F_Q,All_Questions,0)),"'_Options'!$E$2:$E$2"))</formula1>
    </dataValidation>
    <dataValidation sqref="C14" showDropDown="0" showInputMessage="0" showErrorMessage="0" allowBlank="1" type="list">
      <formula1>=All_Questions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L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3" customWidth="1" min="2" max="2"/>
    <col width="17" customWidth="1" min="3" max="3"/>
    <col width="16" customWidth="1" min="4" max="4"/>
    <col width="8" customWidth="1" min="5" max="5"/>
    <col width="11" customWidth="1" min="6" max="6"/>
    <col width="13" customWidth="1" min="7" max="7"/>
    <col width="9" customWidth="1" min="8" max="8"/>
    <col width="11" customWidth="1" min="9" max="9"/>
    <col width="9" customWidth="1" min="10" max="10"/>
    <col width="11" customWidth="1" min="11" max="11"/>
    <col width="11" customWidth="1" min="12" max="12"/>
  </cols>
  <sheetData>
    <row r="1">
      <c r="A1" s="4" t="inlineStr">
        <is>
          <t>Output Sheet</t>
        </is>
      </c>
      <c r="B1" s="4" t="inlineStr">
        <is>
          <t>Metric Name</t>
        </is>
      </c>
      <c r="C1" s="4" t="inlineStr">
        <is>
          <t>Source Question</t>
        </is>
      </c>
      <c r="D1" s="4" t="inlineStr">
        <is>
          <t>Source Columns</t>
        </is>
      </c>
      <c r="E1" s="4" t="inlineStr">
        <is>
          <t>Filter</t>
        </is>
      </c>
      <c r="F1" s="4" t="inlineStr">
        <is>
          <t>Numerator</t>
        </is>
      </c>
      <c r="G1" s="4" t="inlineStr">
        <is>
          <t>Denominator</t>
        </is>
      </c>
      <c r="H1" s="4" t="inlineStr">
        <is>
          <t>Formula</t>
        </is>
      </c>
      <c r="I1" s="4" t="inlineStr">
        <is>
          <t>Value Raw</t>
        </is>
      </c>
      <c r="J1" s="4" t="inlineStr">
        <is>
          <t>Valid N</t>
        </is>
      </c>
      <c r="K1" s="4" t="inlineStr">
        <is>
          <t>Missing N</t>
        </is>
      </c>
      <c r="L1" s="4" t="inlineStr">
        <is>
          <t>Timestamp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7" customWidth="1" min="2" max="2"/>
    <col width="19" customWidth="1" min="3" max="3"/>
    <col width="13" customWidth="1" min="4" max="4"/>
  </cols>
  <sheetData>
    <row r="1">
      <c r="A1" s="4" t="inlineStr">
        <is>
          <t>Cross Cut ID</t>
        </is>
      </c>
      <c r="B1" s="4" t="inlineStr">
        <is>
          <t>Title</t>
        </is>
      </c>
      <c r="C1" s="4" t="inlineStr">
        <is>
          <t>Filter Expression</t>
        </is>
      </c>
      <c r="D1" s="4" t="inlineStr">
        <is>
          <t>Description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cols>
    <col width="8" customWidth="1" min="1" max="1"/>
    <col width="9" customWidth="1" min="2" max="2"/>
  </cols>
  <sheetData>
    <row r="1">
      <c r="A1" s="4" t="inlineStr">
        <is>
          <t>Source</t>
        </is>
      </c>
      <c r="B1" s="4" t="inlineStr">
        <is>
          <t>Warning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2026-05-18T21:39:31Z</dcterms:created>
  <dcterms:modified xmlns:dcterms="http://purl.org/dc/terms/" xmlns:xsi="http://www.w3.org/2001/XMLSchema-instance" xsi:type="dcterms:W3CDTF">2026-05-18T21:39:31Z</dcterms:modified>
</cp:coreProperties>
</file>