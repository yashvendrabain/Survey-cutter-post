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(((F_Industry="(All)")+(F_Industry="")+ISBLANK(F_Industry)+ISNUMBER(SEARCH("|"&amp;C2&amp;"|",F_Industry_wrapped)))&gt;0)*1</f>
        <v/>
      </c>
      <c r="K2">
        <f>I2*J2*1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(((F_Industry="(All)")+(F_Industry="")+ISBLANK(F_Industry)+ISNUMBER(SEARCH("|"&amp;C3&amp;"|",F_Industry_wrapped)))&gt;0)*1</f>
        <v/>
      </c>
      <c r="K3">
        <f>I3*J3*1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(((F_Industry="(All)")+(F_Industry="")+ISBLANK(F_Industry)+ISNUMBER(SEARCH("|"&amp;C4&amp;"|",F_Industry_wrapped)))&gt;0)*1</f>
        <v/>
      </c>
      <c r="K4">
        <f>I4*J4*1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(((F_Industry="(All)")+(F_Industry="")+ISBLANK(F_Industry)+ISNUMBER(SEARCH("|"&amp;C5&amp;"|",F_Industry_wrapped)))&gt;0)*1</f>
        <v/>
      </c>
      <c r="K5">
        <f>I5*J5*1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(((F_Industry="(All)")+(F_Industry="")+ISBLANK(F_Industry)+ISNUMBER(SEARCH("|"&amp;C6&amp;"|",F_Industry_wrapped)))&gt;0)*1</f>
        <v/>
      </c>
      <c r="K6">
        <f>I6*J6*1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(((F_Industry="(All)")+(F_Industry="")+ISBLANK(F_Industry)+ISNUMBER(SEARCH("|"&amp;C7&amp;"|",F_Industry_wrapped)))&gt;0)*1</f>
        <v/>
      </c>
      <c r="K7">
        <f>I7*J7*1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(((F_Industry="(All)")+(F_Industry="")+ISBLANK(F_Industry)+ISNUMBER(SEARCH("|"&amp;C8&amp;"|",F_Industry_wrapped)))&gt;0)*1</f>
        <v/>
      </c>
      <c r="K8">
        <f>I8*J8*1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(((F_Industry="(All)")+(F_Industry="")+ISBLANK(F_Industry)+ISNUMBER(SEARCH("|"&amp;C9&amp;"|",F_Industry_wrapped)))&gt;0)*1</f>
        <v/>
      </c>
      <c r="K9">
        <f>I9*J9*1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(((F_Industry="(All)")+(F_Industry="")+ISBLANK(F_Industry)+ISNUMBER(SEARCH("|"&amp;C10&amp;"|",F_Industry_wrapped)))&gt;0)*1</f>
        <v/>
      </c>
      <c r="K10">
        <f>I10*J10*1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(((F_Industry="(All)")+(F_Industry="")+ISBLANK(F_Industry)+ISNUMBER(SEARCH("|"&amp;C11&amp;"|",F_Industry_wrapped)))&gt;0)*1</f>
        <v/>
      </c>
      <c r="K11">
        <f>I11*J11*1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(Demographics_Q_SS_EXPORT_CT&lt;&gt;"(None)")*COUNTIFS(Q_SS_EXPORT_data,"Yes",passes_workbook_filters_data,1,INDIRECT(Demographics_Q_SS_EXPORT_CT &amp; "_data"),G$18)</f>
        <v/>
      </c>
      <c r="H19">
        <f>(Demographics_Q_SS_EXPORT_CT&lt;&gt;"(None)")*COUNTIFS(Q_SS_EXPORT_data,"Yes",passes_workbook_filters_data,1,INDIRECT(Demographics_Q_SS_EXPORT_CT &amp; "_data"),H$18)</f>
        <v/>
      </c>
      <c r="I19">
        <f>(Demographics_Q_SS_EXPORT_CT&lt;&gt;"(None)")*COUNTIFS(Q_SS_EXPORT_data,"Yes",passes_workbook_filters_data,1,INDIRECT(Demographics_Q_SS_EXPORT_CT &amp; "_data"),I$18)</f>
        <v/>
      </c>
      <c r="J19">
        <f>(Demographics_Q_SS_EXPORT_CT&lt;&gt;"(None)")*COUNTIFS(Q_SS_EXPORT_data,"Yes",passes_workbook_filters_data,1,INDIRECT(Demographics_Q_SS_EXPORT_CT &amp; "_data"),J$18)</f>
        <v/>
      </c>
      <c r="K19">
        <f>(Demographics_Q_SS_EXPORT_CT&lt;&gt;"(None)")*COUNTIFS(Q_SS_EXPORT_data,"Yes",passes_workbook_filters_data,1,INDIRECT(Demographics_Q_SS_EXPORT_CT &amp; "_data"),K$18)</f>
        <v/>
      </c>
      <c r="L19">
        <f>(Demographics_Q_SS_EXPORT_CT&lt;&gt;"(None)")*COUNTIFS(Q_SS_EXPORT_data,"Yes",passes_workbook_filters_data,1,INDIRECT(Demographics_Q_SS_EXPORT_CT &amp; "_data"),L$18)</f>
        <v/>
      </c>
      <c r="M19">
        <f>(Demographics_Q_SS_EXPORT_CT&lt;&gt;"(None)")*COUNTIFS(Q_SS_EXPORT_data,"Yes",passes_workbook_filters_data,1,INDIRECT(Demographics_Q_SS_EXPORT_CT &amp; "_data"),M$18)</f>
        <v/>
      </c>
      <c r="N19">
        <f>(Demographics_Q_SS_EXPORT_CT&lt;&gt;"(None)")*COUNTIFS(Q_SS_EXPORT_data,"Yes",passes_workbook_filters_data,1,INDIRECT(Demographics_Q_SS_EXPORT_CT &amp; "_data"),N$18)</f>
        <v/>
      </c>
      <c r="O19">
        <f>SUM(G19:N19)</f>
        <v/>
      </c>
    </row>
    <row r="20">
      <c r="A20" t="inlineStr">
        <is>
          <t>No</t>
        </is>
      </c>
      <c r="B20">
        <f>COUNTIFS(Q_SS_EXPORT_data,"No",passes_workbook_filters_data,1)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(Demographics_Q_SS_EXPORT_CT&lt;&gt;"(None)")*COUNTIFS(Q_SS_EXPORT_data,"No",passes_workbook_filters_data,1,INDIRECT(Demographics_Q_SS_EXPORT_CT &amp; "_data"),G$18)</f>
        <v/>
      </c>
      <c r="H20">
        <f>(Demographics_Q_SS_EXPORT_CT&lt;&gt;"(None)")*COUNTIFS(Q_SS_EXPORT_data,"No",passes_workbook_filters_data,1,INDIRECT(Demographics_Q_SS_EXPORT_CT &amp; "_data"),H$18)</f>
        <v/>
      </c>
      <c r="I20">
        <f>(Demographics_Q_SS_EXPORT_CT&lt;&gt;"(None)")*COUNTIFS(Q_SS_EXPORT_data,"No",passes_workbook_filters_data,1,INDIRECT(Demographics_Q_SS_EXPORT_CT &amp; "_data"),I$18)</f>
        <v/>
      </c>
      <c r="J20">
        <f>(Demographics_Q_SS_EXPORT_CT&lt;&gt;"(None)")*COUNTIFS(Q_SS_EXPORT_data,"No",passes_workbook_filters_data,1,INDIRECT(Demographics_Q_SS_EXPORT_CT &amp; "_data"),J$18)</f>
        <v/>
      </c>
      <c r="K20">
        <f>(Demographics_Q_SS_EXPORT_CT&lt;&gt;"(None)")*COUNTIFS(Q_SS_EXPORT_data,"No",passes_workbook_filters_data,1,INDIRECT(Demographics_Q_SS_EXPORT_CT &amp; "_data"),K$18)</f>
        <v/>
      </c>
      <c r="L20">
        <f>(Demographics_Q_SS_EXPORT_CT&lt;&gt;"(None)")*COUNTIFS(Q_SS_EXPORT_data,"No",passes_workbook_filters_data,1,INDIRECT(Demographics_Q_SS_EXPORT_CT &amp; "_data"),L$18)</f>
        <v/>
      </c>
      <c r="M20">
        <f>(Demographics_Q_SS_EXPORT_CT&lt;&gt;"(None)")*COUNTIFS(Q_SS_EXPORT_data,"No",passes_workbook_filters_data,1,INDIRECT(Demographics_Q_SS_EXPORT_CT &amp; "_data"),M$18)</f>
        <v/>
      </c>
      <c r="N20">
        <f>(Demographics_Q_SS_EXPORT_CT&lt;&gt;"(None)")*COUNTIFS(Q_SS_EXPORT_data,"No",passes_workbook_filters_data,1,INDIRECT(Demographics_Q_SS_EXPORT_CT &amp; "_data"),N$18)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(Demographics_Q_MS_EXPORT_CT&lt;&gt;"(None)")*COUNTIFS(Q_MS_EXPORTr1_data,"Selected",passes_workbook_filters_data,1,INDIRECT(Demographics_Q_MS_EXPORT_CT &amp; "_data"),G$27)</f>
        <v/>
      </c>
      <c r="H28">
        <f>(Demographics_Q_MS_EXPORT_CT&lt;&gt;"(None)")*COUNTIFS(Q_MS_EXPORTr1_data,"Selected",passes_workbook_filters_data,1,INDIRECT(Demographics_Q_MS_EXPORT_CT &amp; "_data"),H$27)</f>
        <v/>
      </c>
      <c r="I28">
        <f>(Demographics_Q_MS_EXPORT_CT&lt;&gt;"(None)")*COUNTIFS(Q_MS_EXPORTr1_data,"Selected",passes_workbook_filters_data,1,INDIRECT(Demographics_Q_MS_EXPORT_CT &amp; "_data"),I$27)</f>
        <v/>
      </c>
      <c r="J28">
        <f>(Demographics_Q_MS_EXPORT_CT&lt;&gt;"(None)")*COUNTIFS(Q_MS_EXPORTr1_data,"Selected",passes_workbook_filters_data,1,INDIRECT(Demographics_Q_MS_EXPORT_CT &amp; "_data"),J$27)</f>
        <v/>
      </c>
      <c r="K28">
        <f>(Demographics_Q_MS_EXPORT_CT&lt;&gt;"(None)")*COUNTIFS(Q_MS_EXPORTr1_data,"Selected",passes_workbook_filters_data,1,INDIRECT(Demographics_Q_MS_EXPORT_CT &amp; "_data"),K$27)</f>
        <v/>
      </c>
      <c r="L28">
        <f>(Demographics_Q_MS_EXPORT_CT&lt;&gt;"(None)")*COUNTIFS(Q_MS_EXPORTr1_data,"Selected",passes_workbook_filters_data,1,INDIRECT(Demographics_Q_MS_EXPORT_CT &amp; "_data"),L$27)</f>
        <v/>
      </c>
      <c r="M28">
        <f>(Demographics_Q_MS_EXPORT_CT&lt;&gt;"(None)")*COUNTIFS(Q_MS_EXPORTr1_data,"Selected",passes_workbook_filters_data,1,INDIRECT(Demographics_Q_MS_EXPORT_CT &amp; "_data"),M$27)</f>
        <v/>
      </c>
      <c r="N28">
        <f>(Demographics_Q_MS_EXPORT_CT&lt;&gt;"(None)")*COUNTIFS(Q_MS_EXPORTr1_data,"Selected",passes_workbook_filters_data,1,INDIRECT(Demographics_Q_MS_EXPORT_CT &amp; "_data"),N$27)</f>
        <v/>
      </c>
      <c r="O28">
        <f>SUM(G28:N28)</f>
        <v/>
      </c>
    </row>
    <row r="29">
      <c r="A29" t="inlineStr">
        <is>
          <t>Second</t>
        </is>
      </c>
      <c r="B29">
        <f>COUNTIFS(Q_MS_EXPORTr2_data,"Selected",passes_workbook_filters_data,1)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(Demographics_Q_MS_EXPORT_CT&lt;&gt;"(None)")*COUNTIFS(Q_MS_EXPORTr2_data,"Selected",passes_workbook_filters_data,1,INDIRECT(Demographics_Q_MS_EXPORT_CT &amp; "_data"),G$27)</f>
        <v/>
      </c>
      <c r="H29">
        <f>(Demographics_Q_MS_EXPORT_CT&lt;&gt;"(None)")*COUNTIFS(Q_MS_EXPORTr2_data,"Selected",passes_workbook_filters_data,1,INDIRECT(Demographics_Q_MS_EXPORT_CT &amp; "_data"),H$27)</f>
        <v/>
      </c>
      <c r="I29">
        <f>(Demographics_Q_MS_EXPORT_CT&lt;&gt;"(None)")*COUNTIFS(Q_MS_EXPORTr2_data,"Selected",passes_workbook_filters_data,1,INDIRECT(Demographics_Q_MS_EXPORT_CT &amp; "_data"),I$27)</f>
        <v/>
      </c>
      <c r="J29">
        <f>(Demographics_Q_MS_EXPORT_CT&lt;&gt;"(None)")*COUNTIFS(Q_MS_EXPORTr2_data,"Selected",passes_workbook_filters_data,1,INDIRECT(Demographics_Q_MS_EXPORT_CT &amp; "_data"),J$27)</f>
        <v/>
      </c>
      <c r="K29">
        <f>(Demographics_Q_MS_EXPORT_CT&lt;&gt;"(None)")*COUNTIFS(Q_MS_EXPORTr2_data,"Selected",passes_workbook_filters_data,1,INDIRECT(Demographics_Q_MS_EXPORT_CT &amp; "_data"),K$27)</f>
        <v/>
      </c>
      <c r="L29">
        <f>(Demographics_Q_MS_EXPORT_CT&lt;&gt;"(None)")*COUNTIFS(Q_MS_EXPORTr2_data,"Selected",passes_workbook_filters_data,1,INDIRECT(Demographics_Q_MS_EXPORT_CT &amp; "_data"),L$27)</f>
        <v/>
      </c>
      <c r="M29">
        <f>(Demographics_Q_MS_EXPORT_CT&lt;&gt;"(None)")*COUNTIFS(Q_MS_EXPORTr2_data,"Selected",passes_workbook_filters_data,1,INDIRECT(Demographics_Q_MS_EXPORT_CT &amp; "_data"),M$27)</f>
        <v/>
      </c>
      <c r="N29">
        <f>(Demographics_Q_MS_EXPORT_CT&lt;&gt;"(None)")*COUNTIFS(Q_MS_EXPORTr2_data,"Selected",passes_workbook_filters_data,1,INDIRECT(Demographics_Q_MS_EXPORT_CT &amp; "_data"),N$27)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Min</t>
        </is>
      </c>
      <c r="B20">
        <f>IFERROR(MINIFS(Q_NUM_EXPORT_data,passes_workbook_filters_data,1),0)</f>
        <v/>
      </c>
      <c r="D20">
        <f>COUNTIFS(Q_NUM_EXPORT_data,"&lt;&gt;",passes_workbook_filters_data,1)</f>
        <v/>
      </c>
    </row>
    <row r="21">
      <c r="A21" t="inlineStr">
        <is>
          <t>Max</t>
        </is>
      </c>
      <c r="B21">
        <f>IFERROR(MAXIFS(Q_NUM_EXPORT_data,passes_workbook_filters_data,1),0)</f>
        <v/>
      </c>
      <c r="D21">
        <f>COUNTIFS(Q_NUM_EXPORT_data,"&lt;&gt;",passes_workbook_filters_data,1)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(All_Questions_Q_GRID_EXPORT_CT&lt;&gt;"(None)")*COUNTIFS(Q_GRID_EXPORTr1_data,"Selected",passes_workbook_filters_data,1,INDIRECT(All_Questions_Q_GRID_EXPORT_CT &amp; "_data"),G$30)</f>
        <v/>
      </c>
      <c r="H31">
        <f>(All_Questions_Q_GRID_EXPORT_CT&lt;&gt;"(None)")*COUNTIFS(Q_GRID_EXPORTr1_data,"Selected",passes_workbook_filters_data,1,INDIRECT(All_Questions_Q_GRID_EXPORT_CT &amp; "_data"),H$30)</f>
        <v/>
      </c>
      <c r="I31">
        <f>(All_Questions_Q_GRID_EXPORT_CT&lt;&gt;"(None)")*COUNTIFS(Q_GRID_EXPORTr1_data,"Selected",passes_workbook_filters_data,1,INDIRECT(All_Questions_Q_GRID_EXPORT_CT &amp; "_data"),I$30)</f>
        <v/>
      </c>
      <c r="J31">
        <f>(All_Questions_Q_GRID_EXPORT_CT&lt;&gt;"(None)")*COUNTIFS(Q_GRID_EXPORTr1_data,"Selected",passes_workbook_filters_data,1,INDIRECT(All_Questions_Q_GRID_EXPORT_CT &amp; "_data"),J$30)</f>
        <v/>
      </c>
      <c r="K31">
        <f>(All_Questions_Q_GRID_EXPORT_CT&lt;&gt;"(None)")*COUNTIFS(Q_GRID_EXPORTr1_data,"Selected",passes_workbook_filters_data,1,INDIRECT(All_Questions_Q_GRID_EXPORT_CT &amp; "_data"),K$30)</f>
        <v/>
      </c>
      <c r="L31">
        <f>(All_Questions_Q_GRID_EXPORT_CT&lt;&gt;"(None)")*COUNTIFS(Q_GRID_EXPORTr1_data,"Selected",passes_workbook_filters_data,1,INDIRECT(All_Questions_Q_GRID_EXPORT_CT &amp; "_data"),L$30)</f>
        <v/>
      </c>
      <c r="M31">
        <f>(All_Questions_Q_GRID_EXPORT_CT&lt;&gt;"(None)")*COUNTIFS(Q_GRID_EXPORTr1_data,"Selected",passes_workbook_filters_data,1,INDIRECT(All_Questions_Q_GRID_EXPORT_CT &amp; "_data"),M$30)</f>
        <v/>
      </c>
      <c r="N31">
        <f>(All_Questions_Q_GRID_EXPORT_CT&lt;&gt;"(None)")*COUNTIFS(Q_GRID_EXPORTr1_data,"Selected",passes_workbook_filters_data,1,INDIRECT(All_Questions_Q_GRID_EXPORT_CT &amp; "_data"),N$30)</f>
        <v/>
      </c>
      <c r="O31">
        <f>SUM(G31:N31)</f>
        <v/>
      </c>
    </row>
    <row r="32">
      <c r="A32" t="inlineStr">
        <is>
          <t>Grid second row</t>
        </is>
      </c>
      <c r="B32">
        <f>COUNTIFS(Q_GRID_EXPORTr2_data,"Selected",passes_workbook_filters_data,1)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(All_Questions_Q_GRID_EXPORT_CT&lt;&gt;"(None)")*COUNTIFS(Q_GRID_EXPORTr2_data,"Selected",passes_workbook_filters_data,1,INDIRECT(All_Questions_Q_GRID_EXPORT_CT &amp; "_data"),G$30)</f>
        <v/>
      </c>
      <c r="H32">
        <f>(All_Questions_Q_GRID_EXPORT_CT&lt;&gt;"(None)")*COUNTIFS(Q_GRID_EXPORTr2_data,"Selected",passes_workbook_filters_data,1,INDIRECT(All_Questions_Q_GRID_EXPORT_CT &amp; "_data"),H$30)</f>
        <v/>
      </c>
      <c r="I32">
        <f>(All_Questions_Q_GRID_EXPORT_CT&lt;&gt;"(None)")*COUNTIFS(Q_GRID_EXPORTr2_data,"Selected",passes_workbook_filters_data,1,INDIRECT(All_Questions_Q_GRID_EXPORT_CT &amp; "_data"),I$30)</f>
        <v/>
      </c>
      <c r="J32">
        <f>(All_Questions_Q_GRID_EXPORT_CT&lt;&gt;"(None)")*COUNTIFS(Q_GRID_EXPORTr2_data,"Selected",passes_workbook_filters_data,1,INDIRECT(All_Questions_Q_GRID_EXPORT_CT &amp; "_data"),J$30)</f>
        <v/>
      </c>
      <c r="K32">
        <f>(All_Questions_Q_GRID_EXPORT_CT&lt;&gt;"(None)")*COUNTIFS(Q_GRID_EXPORTr2_data,"Selected",passes_workbook_filters_data,1,INDIRECT(All_Questions_Q_GRID_EXPORT_CT &amp; "_data"),K$30)</f>
        <v/>
      </c>
      <c r="L32">
        <f>(All_Questions_Q_GRID_EXPORT_CT&lt;&gt;"(None)")*COUNTIFS(Q_GRID_EXPORTr2_data,"Selected",passes_workbook_filters_data,1,INDIRECT(All_Questions_Q_GRID_EXPORT_CT &amp; "_data"),L$30)</f>
        <v/>
      </c>
      <c r="M32">
        <f>(All_Questions_Q_GRID_EXPORT_CT&lt;&gt;"(None)")*COUNTIFS(Q_GRID_EXPORTr2_data,"Selected",passes_workbook_filters_data,1,INDIRECT(All_Questions_Q_GRID_EXPORT_CT &amp; "_data"),M$30)</f>
        <v/>
      </c>
      <c r="N32">
        <f>(All_Questions_Q_GRID_EXPORT_CT&lt;&gt;"(None)")*COUNTIFS(Q_GRID_EXPORTr2_data,"Selected",passes_workbook_filters_data,1,INDIRECT(All_Questions_Q_GRID_EXPORT_CT &amp; "_data"),N$30)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(All_Questions_Q_VERY_LONG_SINGLE_SELECT_EXPORT_NAME_CT&lt;&gt;"(None)")*COUNTIFS(Q_VERY_LONG_SINGLE_SELECT_EXPOR_data,"A",passes_workbook_filters_data,1,INDIRECT(All_Questions_Q_VERY_LONG_SINGLE_SELECT_EXPORT_NAME_CT &amp; "_data"),G$39)</f>
        <v/>
      </c>
      <c r="H40">
        <f>(All_Questions_Q_VERY_LONG_SINGLE_SELECT_EXPORT_NAME_CT&lt;&gt;"(None)")*COUNTIFS(Q_VERY_LONG_SINGLE_SELECT_EXPOR_data,"A",passes_workbook_filters_data,1,INDIRECT(All_Questions_Q_VERY_LONG_SINGLE_SELECT_EXPORT_NAME_CT &amp; "_data"),H$39)</f>
        <v/>
      </c>
      <c r="I40">
        <f>(All_Questions_Q_VERY_LONG_SINGLE_SELECT_EXPORT_NAME_CT&lt;&gt;"(None)")*COUNTIFS(Q_VERY_LONG_SINGLE_SELECT_EXPOR_data,"A",passes_workbook_filters_data,1,INDIRECT(All_Questions_Q_VERY_LONG_SINGLE_SELECT_EXPORT_NAME_CT &amp; "_data"),I$39)</f>
        <v/>
      </c>
      <c r="J40">
        <f>(All_Questions_Q_VERY_LONG_SINGLE_SELECT_EXPORT_NAME_CT&lt;&gt;"(None)")*COUNTIFS(Q_VERY_LONG_SINGLE_SELECT_EXPOR_data,"A",passes_workbook_filters_data,1,INDIRECT(All_Questions_Q_VERY_LONG_SINGLE_SELECT_EXPORT_NAME_CT &amp; "_data"),J$39)</f>
        <v/>
      </c>
      <c r="K40">
        <f>(All_Questions_Q_VERY_LONG_SINGLE_SELECT_EXPORT_NAME_CT&lt;&gt;"(None)")*COUNTIFS(Q_VERY_LONG_SINGLE_SELECT_EXPOR_data,"A",passes_workbook_filters_data,1,INDIRECT(All_Questions_Q_VERY_LONG_SINGLE_SELECT_EXPORT_NAME_CT &amp; "_data"),K$39)</f>
        <v/>
      </c>
      <c r="L40">
        <f>(All_Questions_Q_VERY_LONG_SINGLE_SELECT_EXPORT_NAME_CT&lt;&gt;"(None)")*COUNTIFS(Q_VERY_LONG_SINGLE_SELECT_EXPOR_data,"A",passes_workbook_filters_data,1,INDIRECT(All_Questions_Q_VERY_LONG_SINGLE_SELECT_EXPORT_NAME_CT &amp; "_data"),L$39)</f>
        <v/>
      </c>
      <c r="M40">
        <f>(All_Questions_Q_VERY_LONG_SINGLE_SELECT_EXPORT_NAME_CT&lt;&gt;"(None)")*COUNTIFS(Q_VERY_LONG_SINGLE_SELECT_EXPOR_data,"A",passes_workbook_filters_data,1,INDIRECT(All_Questions_Q_VERY_LONG_SINGLE_SELECT_EXPORT_NAME_CT &amp; "_data"),M$39)</f>
        <v/>
      </c>
      <c r="N40">
        <f>(All_Questions_Q_VERY_LONG_SINGLE_SELECT_EXPORT_NAME_CT&lt;&gt;"(None)")*COUNTIFS(Q_VERY_LONG_SINGLE_SELECT_EXPOR_data,"A",passes_workbook_filters_data,1,INDIRECT(All_Questions_Q_VERY_LONG_SINGLE_SELECT_EXPORT_NAME_CT &amp; "_data"),N$39)</f>
        <v/>
      </c>
      <c r="O40">
        <f>SUM(G40:N40)</f>
        <v/>
      </c>
    </row>
    <row r="41">
      <c r="A41" t="inlineStr">
        <is>
          <t>B</t>
        </is>
      </c>
      <c r="B41">
        <f>COUNTIFS(Q_VERY_LONG_SINGLE_SELECT_EXPOR_data,"B",passes_workbook_filters_data,1)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(All_Questions_Q_VERY_LONG_SINGLE_SELECT_EXPORT_NAME_CT&lt;&gt;"(None)")*COUNTIFS(Q_VERY_LONG_SINGLE_SELECT_EXPOR_data,"B",passes_workbook_filters_data,1,INDIRECT(All_Questions_Q_VERY_LONG_SINGLE_SELECT_EXPORT_NAME_CT &amp; "_data"),G$39)</f>
        <v/>
      </c>
      <c r="H41">
        <f>(All_Questions_Q_VERY_LONG_SINGLE_SELECT_EXPORT_NAME_CT&lt;&gt;"(None)")*COUNTIFS(Q_VERY_LONG_SINGLE_SELECT_EXPOR_data,"B",passes_workbook_filters_data,1,INDIRECT(All_Questions_Q_VERY_LONG_SINGLE_SELECT_EXPORT_NAME_CT &amp; "_data"),H$39)</f>
        <v/>
      </c>
      <c r="I41">
        <f>(All_Questions_Q_VERY_LONG_SINGLE_SELECT_EXPORT_NAME_CT&lt;&gt;"(None)")*COUNTIFS(Q_VERY_LONG_SINGLE_SELECT_EXPOR_data,"B",passes_workbook_filters_data,1,INDIRECT(All_Questions_Q_VERY_LONG_SINGLE_SELECT_EXPORT_NAME_CT &amp; "_data"),I$39)</f>
        <v/>
      </c>
      <c r="J41">
        <f>(All_Questions_Q_VERY_LONG_SINGLE_SELECT_EXPORT_NAME_CT&lt;&gt;"(None)")*COUNTIFS(Q_VERY_LONG_SINGLE_SELECT_EXPOR_data,"B",passes_workbook_filters_data,1,INDIRECT(All_Questions_Q_VERY_LONG_SINGLE_SELECT_EXPORT_NAME_CT &amp; "_data"),J$39)</f>
        <v/>
      </c>
      <c r="K41">
        <f>(All_Questions_Q_VERY_LONG_SINGLE_SELECT_EXPORT_NAME_CT&lt;&gt;"(None)")*COUNTIFS(Q_VERY_LONG_SINGLE_SELECT_EXPOR_data,"B",passes_workbook_filters_data,1,INDIRECT(All_Questions_Q_VERY_LONG_SINGLE_SELECT_EXPORT_NAME_CT &amp; "_data"),K$39)</f>
        <v/>
      </c>
      <c r="L41">
        <f>(All_Questions_Q_VERY_LONG_SINGLE_SELECT_EXPORT_NAME_CT&lt;&gt;"(None)")*COUNTIFS(Q_VERY_LONG_SINGLE_SELECT_EXPOR_data,"B",passes_workbook_filters_data,1,INDIRECT(All_Questions_Q_VERY_LONG_SINGLE_SELECT_EXPORT_NAME_CT &amp; "_data"),L$39)</f>
        <v/>
      </c>
      <c r="M41">
        <f>(All_Questions_Q_VERY_LONG_SINGLE_SELECT_EXPORT_NAME_CT&lt;&gt;"(None)")*COUNTIFS(Q_VERY_LONG_SINGLE_SELECT_EXPOR_data,"B",passes_workbook_filters_data,1,INDIRECT(All_Questions_Q_VERY_LONG_SINGLE_SELECT_EXPORT_NAME_CT &amp; "_data"),M$39)</f>
        <v/>
      </c>
      <c r="N41">
        <f>(All_Questions_Q_VERY_LONG_SINGLE_SELECT_EXPORT_NAME_CT&lt;&gt;"(None)")*COUNTIFS(Q_VERY_LONG_SINGLE_SELECT_EXPOR_data,"B",passes_workbook_filters_data,1,INDIRECT(All_Questions_Q_VERY_LONG_SINGLE_SELECT_EXPORT_NAME_CT &amp; "_data"),N$39)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2026-05-14T17:38:06Z</dcterms:created>
  <dcterms:modified xmlns:dcterms="http://purl.org/dc/terms/" xmlns:xsi="http://www.w3.org/2001/XMLSchema-instance" xsi:type="dcterms:W3CDTF">2026-05-14T17:38:06Z</dcterms:modified>
</cp:coreProperties>
</file>