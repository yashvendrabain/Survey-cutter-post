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'_RawData'!$A$2:$A$5</definedName>
    <definedName name="Q_RATED_DIRECTr1_data">'_RawData'!$B$2:$B$5</definedName>
    <definedName name="Q_RATED_DIRECTr2_data">'_RawData'!$C$2:$C$5</definedName>
    <definedName name="All_Questions">'_Options'!$A$2:$A$3</definedName>
    <definedName name="All_Questions_Local">'_Options'!$B$2:$B$4</definedName>
    <definedName name="Cross_Tab_Questions">'_Options'!$J$2:$J$2</definedName>
    <definedName name="Cross_Tab_Questions_Data_Names">'_Options'!$K$2:$K$2</definedName>
    <definedName name="None_options">'_Options'!$E$2:$E$2</definedName>
    <definedName name="Q_RATED_DIRECTr1_options">'_Options'!$F$2:$F$4</definedName>
    <definedName name="Q_RATED_DIRECTr1_local_options">'_Options'!$H$2:$H$5</definedName>
    <definedName name="Q_RATED_DIRECTr2_options">'_Options'!$G$2:$G$4</definedName>
    <definedName name="Q_RATED_DIRECTr2_local_options">'_Options'!$I$2:$I$5</definedName>
    <definedName name="Q_RATED_DIRECT_filter_values_options">'_Options'!$M$2:$M$22</definedName>
    <definedName name="Q_RATED_DIRECT_filter_values_local_options">'_Options'!$N$2:$N$23</definedName>
    <definedName name="All_Questions_Data_Names">'_Options'!$C$2:$C$3</definedName>
    <definedName name="All_Questions_Options_Names">'_Options'!$D$2:$D$3</definedName>
    <definedName name="Cross_Tab_Questions_Options_Names">'_Options'!$L$2:$L$2</definedName>
    <definedName name="All_Questions_Value_Keys">'_Options'!$P$2:$P$21</definedName>
    <definedName name="All_Questions_Value_Data_Names">'_Options'!$Q$2:$Q$21</definedName>
    <definedName name="All_Questions_Value_Criteria">'_Options'!$R$2:$R$21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'_RawData'!$D$2:$D$5</definedName>
    <definedName name="F_Custom1_match_data">'_RawData'!$E$2:$E$5</definedName>
    <definedName name="F_Custom2_match_data">'_RawData'!$F$2:$F$5</definedName>
    <definedName name="passes_workbook_custom_filters_data">'_RawData'!$G$2:$G$5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'_RawData'!$H$2:$H$5</definedName>
    <definedName name="All_Questions_Q_RATED_DIRECT_F_Q">'All Questions'!$C$13</definedName>
    <definedName name="All_Questions_Q_RATED_DIRECT_F_V">'All Questions'!$E$13</definedName>
    <definedName name="All_Questions_Q_RATED_DIRECT_F_resolved_column">'All Questions'!$F$13</definedName>
    <definedName name="All_Questions_Q_RATED_DIRECT_F_wrapped">'All Questions'!$G$13</definedName>
    <definedName name="All_Questions_Q_RATED_DIRECT_F_resolved_criteria">'All Questions'!$H$13</definedName>
    <definedName name="All_Questions_Q_RATED_DIRECT_F_passes_per_q_filter_data">'_RawData'!$I$2:$I$5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D3" i="1"/>
  <c r="E3" i="1"/>
  <c r="F3" i="1"/>
  <c r="G3" i="1"/>
  <c r="H3" i="1"/>
  <c r="I3" i="1"/>
  <c r="D4" i="1"/>
  <c r="E4" i="1"/>
  <c r="F4" i="1"/>
  <c r="G4" i="1"/>
  <c r="H4" i="1"/>
  <c r="I4" i="1"/>
  <c r="D5" i="1"/>
  <c r="E5" i="1"/>
  <c r="F5" i="1"/>
  <c r="G5" i="1"/>
  <c r="H5" i="1"/>
  <c r="I5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C17" i="7"/>
  <c r="D17" i="7"/>
  <c r="F17" i="7"/>
  <c r="C18" i="7"/>
  <c r="D18" i="7"/>
  <c r="F18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7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Q_RATED_DIRECTr1</t>
        </is>
      </c>
      <c r="C1" t="inlineStr">
        <is>
          <t>Q_RATED_DIRECTr2</t>
        </is>
      </c>
      <c r="D1" t="inlineStr">
        <is>
          <t>passes_workbook_filters</t>
        </is>
      </c>
      <c r="E1" t="inlineStr">
        <is>
          <t>F_Custom1_match</t>
        </is>
      </c>
      <c r="F1" t="inlineStr">
        <is>
          <t>F_Custom2_match</t>
        </is>
      </c>
      <c r="G1" t="inlineStr">
        <is>
          <t>passes_workbook_custom_filters</t>
        </is>
      </c>
      <c r="H1" t="inlineStr">
        <is>
          <t>All_Questions_passes_local_filters</t>
        </is>
      </c>
      <c r="I1" t="inlineStr">
        <is>
          <t>All_Questions_Q_RATED_DIRECT_F_passes_per_q_filter</t>
        </is>
      </c>
    </row>
    <row r="2">
      <c r="A2" t="n">
        <v>1</v>
      </c>
      <c r="B2" t="inlineStr">
        <is>
          <t>8</t>
        </is>
      </c>
      <c r="C2" t="inlineStr">
        <is>
          <t>6</t>
        </is>
      </c>
      <c r="D2">
        <f>1</f>
        <v>1</v>
      </c>
      <c r="E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F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G2">
        <f>E2*F2*1</f>
        <v>1</v>
      </c>
      <c r="H2">
        <f>1</f>
        <v>1</v>
      </c>
      <c r="I2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1)&amp;"|",("|" &amp; SUBSTITUTE(All_Questions_Q_RATED_DIRECT_F_resolved_criteria, ", ", "|") &amp; "|"))),1,0),0))*1</f>
        <v>1</v>
      </c>
    </row>
    <row r="3">
      <c r="A3" t="n">
        <v>2</v>
      </c>
      <c r="B3" t="inlineStr">
        <is>
          <t>8</t>
        </is>
      </c>
      <c r="C3" t="inlineStr">
        <is>
          <t>6</t>
        </is>
      </c>
      <c r="D3">
        <f>1</f>
        <v>1</v>
      </c>
      <c r="E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F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G3">
        <f>E3*F3*1</f>
        <v>1</v>
      </c>
      <c r="H3">
        <f>1</f>
        <v>1</v>
      </c>
      <c r="I3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2)&amp;"|",("|" &amp; SUBSTITUTE(All_Questions_Q_RATED_DIRECT_F_resolved_criteria, ", ", "|") &amp; "|"))),1,0),0))*1</f>
        <v>1</v>
      </c>
    </row>
    <row r="4">
      <c r="A4" t="n">
        <v>3</v>
      </c>
      <c r="B4" t="inlineStr">
        <is>
          <t>9</t>
        </is>
      </c>
      <c r="C4" t="inlineStr">
        <is>
          <t>7</t>
        </is>
      </c>
      <c r="D4">
        <f>1</f>
        <v>1</v>
      </c>
      <c r="E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F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G4">
        <f>E4*F4*1</f>
        <v>1</v>
      </c>
      <c r="H4">
        <f>1</f>
        <v>1</v>
      </c>
      <c r="I4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3)&amp;"|",("|" &amp; SUBSTITUTE(All_Questions_Q_RATED_DIRECT_F_resolved_criteria, ", ", "|") &amp; "|"))),1,0),0))*1</f>
        <v>1</v>
      </c>
    </row>
    <row r="5">
      <c r="A5" t="n">
        <v>4</v>
      </c>
      <c r="B5" t="inlineStr">
        <is>
          <t>9</t>
        </is>
      </c>
      <c r="C5" t="inlineStr">
        <is>
          <t>7</t>
        </is>
      </c>
      <c r="D5">
        <f>1</f>
        <v>1</v>
      </c>
      <c r="E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F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G5">
        <f>E5*F5*1</f>
        <v>1</v>
      </c>
      <c r="H5">
        <f>1</f>
        <v>1</v>
      </c>
      <c r="I5">
        <f>IF(OR(All_Questions_Q_RATED_DIRECT_F_Q="(None)",All_Questions_Q_RATED_DIRECT_F_Q="",ISBLANK(All_Questions_Q_RATED_DIRECT_F_Q),All_Questions_Q_RATED_DIRECT_F_V="(All)",All_Questions_Q_RATED_DIRECT_F_V="",ISBLANK(All_Questions_Q_RATED_DIRECT_F_V)),1,IFERROR(IF(ISNUMBER(SEARCH("|"&amp;INDEX(INDIRECT(All_Questions_Q_RATED_DIRECT_F_resolved_column),4)&amp;"|",("|" &amp; SUBSTITUTE(All_Questions_Q_RATED_DIRECT_F_resolved_criteria,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Q_RATED_DIRECTr1_options</t>
        </is>
      </c>
      <c r="G1" t="inlineStr">
        <is>
          <t>Q_RATED_DIRECTr2_options</t>
        </is>
      </c>
      <c r="H1" t="inlineStr">
        <is>
          <t>Q_RATED_DIRECTr1_local_options</t>
        </is>
      </c>
      <c r="I1" t="inlineStr">
        <is>
          <t>Q_RATED_DIRECTr2_local_options</t>
        </is>
      </c>
      <c r="J1" t="inlineStr">
        <is>
          <t>Cross_Tab_Questions</t>
        </is>
      </c>
      <c r="K1" t="inlineStr">
        <is>
          <t>Cross_Tab_Questions_Data_Names</t>
        </is>
      </c>
      <c r="L1" t="inlineStr">
        <is>
          <t>Cross_Tab_Questions_Options_Names</t>
        </is>
      </c>
      <c r="M1" t="inlineStr">
        <is>
          <t>Q_RATED_DIRECT_filter_values_options</t>
        </is>
      </c>
      <c r="N1" t="inlineStr">
        <is>
          <t>Q_RATED_DIRECT_filter_values_local_options</t>
        </is>
      </c>
      <c r="P1" t="inlineStr">
        <is>
          <t>All_Questions_Value_Keys</t>
        </is>
      </c>
      <c r="Q1" t="inlineStr">
        <is>
          <t>All_Questions_Value_Data_Names</t>
        </is>
      </c>
      <c r="R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'_RawData'!$A$2:$A$5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  <c r="J2" t="inlineStr">
        <is>
          <t>(None)</t>
        </is>
      </c>
      <c r="K2" t="inlineStr">
        <is>
          <t>'_RawData'!$A$2:$A$5</t>
        </is>
      </c>
      <c r="L2" t="inlineStr">
        <is>
          <t>'_Options'!$E$2:$E$2</t>
        </is>
      </c>
      <c r="M2" t="inlineStr">
        <is>
          <t>(All)</t>
        </is>
      </c>
      <c r="N2" t="inlineStr">
        <is>
          <t>(Inherit)</t>
        </is>
      </c>
      <c r="P2" t="inlineStr">
        <is>
          <t>Q_RATED_DIRECT - Q_Rated_Direct - Rate Direct Rows|Implementation speed: 1</t>
        </is>
      </c>
      <c r="Q2" t="inlineStr">
        <is>
          <t>'_RawData'!$B$2:$B$5</t>
        </is>
      </c>
      <c r="R2" t="inlineStr">
        <is>
          <t>1</t>
        </is>
      </c>
    </row>
    <row r="3">
      <c r="A3" t="inlineStr">
        <is>
          <t>Q_RATED_DIRECT - Q_Rated_Direct - Rate Direct Rows</t>
        </is>
      </c>
      <c r="B3" t="inlineStr">
        <is>
          <t>(None)</t>
        </is>
      </c>
      <c r="C3" t="inlineStr">
        <is>
          <t>'_RawData'!$B$2:$B$5</t>
        </is>
      </c>
      <c r="D3" t="inlineStr">
        <is>
          <t>'_Options'!$M$2:$M$22</t>
        </is>
      </c>
      <c r="F3" t="inlineStr">
        <is>
          <t>8</t>
        </is>
      </c>
      <c r="G3" t="inlineStr">
        <is>
          <t>6</t>
        </is>
      </c>
      <c r="H3" t="inlineStr">
        <is>
          <t>(All)</t>
        </is>
      </c>
      <c r="I3" t="inlineStr">
        <is>
          <t>(All)</t>
        </is>
      </c>
      <c r="M3" t="inlineStr">
        <is>
          <t>Implementation speed: 1</t>
        </is>
      </c>
      <c r="N3" t="inlineStr">
        <is>
          <t>(All)</t>
        </is>
      </c>
      <c r="P3" t="inlineStr">
        <is>
          <t>Q_RATED_DIRECT - Q_Rated_Direct - Rate Direct Rows|Implementation speed: 2</t>
        </is>
      </c>
      <c r="Q3" t="inlineStr">
        <is>
          <t>'_RawData'!$B$2:$B$5</t>
        </is>
      </c>
      <c r="R3" t="inlineStr">
        <is>
          <t>2</t>
        </is>
      </c>
    </row>
    <row r="4">
      <c r="B4" t="inlineStr">
        <is>
          <t>Q_RATED_DIRECT - Q_Rated_Direct - Rate Direct Rows</t>
        </is>
      </c>
      <c r="F4" t="inlineStr">
        <is>
          <t>9</t>
        </is>
      </c>
      <c r="G4" t="inlineStr">
        <is>
          <t>7</t>
        </is>
      </c>
      <c r="H4" t="inlineStr">
        <is>
          <t>8</t>
        </is>
      </c>
      <c r="I4" t="inlineStr">
        <is>
          <t>6</t>
        </is>
      </c>
      <c r="M4" t="inlineStr">
        <is>
          <t>Implementation speed: 2</t>
        </is>
      </c>
      <c r="N4" t="inlineStr">
        <is>
          <t>Implementation speed: 1</t>
        </is>
      </c>
      <c r="P4" t="inlineStr">
        <is>
          <t>Q_RATED_DIRECT - Q_Rated_Direct - Rate Direct Rows|Implementation speed: 3</t>
        </is>
      </c>
      <c r="Q4" t="inlineStr">
        <is>
          <t>'_RawData'!$B$2:$B$5</t>
        </is>
      </c>
      <c r="R4" t="inlineStr">
        <is>
          <t>3</t>
        </is>
      </c>
    </row>
    <row r="5">
      <c r="H5" t="inlineStr">
        <is>
          <t>9</t>
        </is>
      </c>
      <c r="I5" t="inlineStr">
        <is>
          <t>7</t>
        </is>
      </c>
      <c r="M5" t="inlineStr">
        <is>
          <t>Implementation speed: 3</t>
        </is>
      </c>
      <c r="N5" t="inlineStr">
        <is>
          <t>Implementation speed: 2</t>
        </is>
      </c>
      <c r="P5" t="inlineStr">
        <is>
          <t>Q_RATED_DIRECT - Q_Rated_Direct - Rate Direct Rows|Implementation speed: 4</t>
        </is>
      </c>
      <c r="Q5" t="inlineStr">
        <is>
          <t>'_RawData'!$B$2:$B$5</t>
        </is>
      </c>
      <c r="R5" t="inlineStr">
        <is>
          <t>4</t>
        </is>
      </c>
    </row>
    <row r="6">
      <c r="M6" t="inlineStr">
        <is>
          <t>Implementation speed: 4</t>
        </is>
      </c>
      <c r="N6" t="inlineStr">
        <is>
          <t>Implementation speed: 3</t>
        </is>
      </c>
      <c r="P6" t="inlineStr">
        <is>
          <t>Q_RATED_DIRECT - Q_Rated_Direct - Rate Direct Rows|Implementation speed: 5</t>
        </is>
      </c>
      <c r="Q6" t="inlineStr">
        <is>
          <t>'_RawData'!$B$2:$B$5</t>
        </is>
      </c>
      <c r="R6" t="inlineStr">
        <is>
          <t>5</t>
        </is>
      </c>
    </row>
    <row r="7">
      <c r="M7" t="inlineStr">
        <is>
          <t>Implementation speed: 5</t>
        </is>
      </c>
      <c r="N7" t="inlineStr">
        <is>
          <t>Implementation speed: 4</t>
        </is>
      </c>
      <c r="P7" t="inlineStr">
        <is>
          <t>Q_RATED_DIRECT - Q_Rated_Direct - Rate Direct Rows|Implementation speed: 6</t>
        </is>
      </c>
      <c r="Q7" t="inlineStr">
        <is>
          <t>'_RawData'!$B$2:$B$5</t>
        </is>
      </c>
      <c r="R7" t="inlineStr">
        <is>
          <t>6</t>
        </is>
      </c>
    </row>
    <row r="8">
      <c r="M8" t="inlineStr">
        <is>
          <t>Implementation speed: 6</t>
        </is>
      </c>
      <c r="N8" t="inlineStr">
        <is>
          <t>Implementation speed: 5</t>
        </is>
      </c>
      <c r="P8" t="inlineStr">
        <is>
          <t>Q_RATED_DIRECT - Q_Rated_Direct - Rate Direct Rows|Implementation speed: 7</t>
        </is>
      </c>
      <c r="Q8" t="inlineStr">
        <is>
          <t>'_RawData'!$B$2:$B$5</t>
        </is>
      </c>
      <c r="R8" t="inlineStr">
        <is>
          <t>7</t>
        </is>
      </c>
    </row>
    <row r="9">
      <c r="M9" t="inlineStr">
        <is>
          <t>Implementation speed: 7</t>
        </is>
      </c>
      <c r="N9" t="inlineStr">
        <is>
          <t>Implementation speed: 6</t>
        </is>
      </c>
      <c r="P9" t="inlineStr">
        <is>
          <t>Q_RATED_DIRECT - Q_Rated_Direct - Rate Direct Rows|Implementation speed: 8</t>
        </is>
      </c>
      <c r="Q9" t="inlineStr">
        <is>
          <t>'_RawData'!$B$2:$B$5</t>
        </is>
      </c>
      <c r="R9" t="inlineStr">
        <is>
          <t>8</t>
        </is>
      </c>
    </row>
    <row r="10">
      <c r="M10" t="inlineStr">
        <is>
          <t>Implementation speed: 8</t>
        </is>
      </c>
      <c r="N10" t="inlineStr">
        <is>
          <t>Implementation speed: 7</t>
        </is>
      </c>
      <c r="P10" t="inlineStr">
        <is>
          <t>Q_RATED_DIRECT - Q_Rated_Direct - Rate Direct Rows|Implementation speed: 9</t>
        </is>
      </c>
      <c r="Q10" t="inlineStr">
        <is>
          <t>'_RawData'!$B$2:$B$5</t>
        </is>
      </c>
      <c r="R10" t="inlineStr">
        <is>
          <t>9</t>
        </is>
      </c>
    </row>
    <row r="11">
      <c r="M11" t="inlineStr">
        <is>
          <t>Implementation speed: 9</t>
        </is>
      </c>
      <c r="N11" t="inlineStr">
        <is>
          <t>Implementation speed: 8</t>
        </is>
      </c>
      <c r="P11" t="inlineStr">
        <is>
          <t>Q_RATED_DIRECT - Q_Rated_Direct - Rate Direct Rows|Implementation speed: 10</t>
        </is>
      </c>
      <c r="Q11" t="inlineStr">
        <is>
          <t>'_RawData'!$B$2:$B$5</t>
        </is>
      </c>
      <c r="R11" t="inlineStr">
        <is>
          <t>10</t>
        </is>
      </c>
    </row>
    <row r="12">
      <c r="M12" t="inlineStr">
        <is>
          <t>Implementation speed: 10</t>
        </is>
      </c>
      <c r="N12" t="inlineStr">
        <is>
          <t>Implementation speed: 9</t>
        </is>
      </c>
      <c r="P12" t="inlineStr">
        <is>
          <t>Q_RATED_DIRECT - Q_Rated_Direct - Rate Direct Rows|Integration fit: 1</t>
        </is>
      </c>
      <c r="Q12" t="inlineStr">
        <is>
          <t>'_RawData'!$C$2:$C$5</t>
        </is>
      </c>
      <c r="R12" t="inlineStr">
        <is>
          <t>1</t>
        </is>
      </c>
    </row>
    <row r="13">
      <c r="M13" t="inlineStr">
        <is>
          <t>Integration fit: 1</t>
        </is>
      </c>
      <c r="N13" t="inlineStr">
        <is>
          <t>Implementation speed: 10</t>
        </is>
      </c>
      <c r="P13" t="inlineStr">
        <is>
          <t>Q_RATED_DIRECT - Q_Rated_Direct - Rate Direct Rows|Integration fit: 2</t>
        </is>
      </c>
      <c r="Q13" t="inlineStr">
        <is>
          <t>'_RawData'!$C$2:$C$5</t>
        </is>
      </c>
      <c r="R13" t="inlineStr">
        <is>
          <t>2</t>
        </is>
      </c>
    </row>
    <row r="14">
      <c r="M14" t="inlineStr">
        <is>
          <t>Integration fit: 2</t>
        </is>
      </c>
      <c r="N14" t="inlineStr">
        <is>
          <t>Integration fit: 1</t>
        </is>
      </c>
      <c r="P14" t="inlineStr">
        <is>
          <t>Q_RATED_DIRECT - Q_Rated_Direct - Rate Direct Rows|Integration fit: 3</t>
        </is>
      </c>
      <c r="Q14" t="inlineStr">
        <is>
          <t>'_RawData'!$C$2:$C$5</t>
        </is>
      </c>
      <c r="R14" t="inlineStr">
        <is>
          <t>3</t>
        </is>
      </c>
    </row>
    <row r="15">
      <c r="M15" t="inlineStr">
        <is>
          <t>Integration fit: 3</t>
        </is>
      </c>
      <c r="N15" t="inlineStr">
        <is>
          <t>Integration fit: 2</t>
        </is>
      </c>
      <c r="P15" t="inlineStr">
        <is>
          <t>Q_RATED_DIRECT - Q_Rated_Direct - Rate Direct Rows|Integration fit: 4</t>
        </is>
      </c>
      <c r="Q15" t="inlineStr">
        <is>
          <t>'_RawData'!$C$2:$C$5</t>
        </is>
      </c>
      <c r="R15" t="inlineStr">
        <is>
          <t>4</t>
        </is>
      </c>
    </row>
    <row r="16">
      <c r="M16" t="inlineStr">
        <is>
          <t>Integration fit: 4</t>
        </is>
      </c>
      <c r="N16" t="inlineStr">
        <is>
          <t>Integration fit: 3</t>
        </is>
      </c>
      <c r="P16" t="inlineStr">
        <is>
          <t>Q_RATED_DIRECT - Q_Rated_Direct - Rate Direct Rows|Integration fit: 5</t>
        </is>
      </c>
      <c r="Q16" t="inlineStr">
        <is>
          <t>'_RawData'!$C$2:$C$5</t>
        </is>
      </c>
      <c r="R16" t="inlineStr">
        <is>
          <t>5</t>
        </is>
      </c>
    </row>
    <row r="17">
      <c r="M17" t="inlineStr">
        <is>
          <t>Integration fit: 5</t>
        </is>
      </c>
      <c r="N17" t="inlineStr">
        <is>
          <t>Integration fit: 4</t>
        </is>
      </c>
      <c r="P17" t="inlineStr">
        <is>
          <t>Q_RATED_DIRECT - Q_Rated_Direct - Rate Direct Rows|Integration fit: 6</t>
        </is>
      </c>
      <c r="Q17" t="inlineStr">
        <is>
          <t>'_RawData'!$C$2:$C$5</t>
        </is>
      </c>
      <c r="R17" t="inlineStr">
        <is>
          <t>6</t>
        </is>
      </c>
    </row>
    <row r="18">
      <c r="M18" t="inlineStr">
        <is>
          <t>Integration fit: 6</t>
        </is>
      </c>
      <c r="N18" t="inlineStr">
        <is>
          <t>Integration fit: 5</t>
        </is>
      </c>
      <c r="P18" t="inlineStr">
        <is>
          <t>Q_RATED_DIRECT - Q_Rated_Direct - Rate Direct Rows|Integration fit: 7</t>
        </is>
      </c>
      <c r="Q18" t="inlineStr">
        <is>
          <t>'_RawData'!$C$2:$C$5</t>
        </is>
      </c>
      <c r="R18" t="inlineStr">
        <is>
          <t>7</t>
        </is>
      </c>
    </row>
    <row r="19">
      <c r="M19" t="inlineStr">
        <is>
          <t>Integration fit: 7</t>
        </is>
      </c>
      <c r="N19" t="inlineStr">
        <is>
          <t>Integration fit: 6</t>
        </is>
      </c>
      <c r="P19" t="inlineStr">
        <is>
          <t>Q_RATED_DIRECT - Q_Rated_Direct - Rate Direct Rows|Integration fit: 8</t>
        </is>
      </c>
      <c r="Q19" t="inlineStr">
        <is>
          <t>'_RawData'!$C$2:$C$5</t>
        </is>
      </c>
      <c r="R19" t="inlineStr">
        <is>
          <t>8</t>
        </is>
      </c>
    </row>
    <row r="20">
      <c r="M20" t="inlineStr">
        <is>
          <t>Integration fit: 8</t>
        </is>
      </c>
      <c r="N20" t="inlineStr">
        <is>
          <t>Integration fit: 7</t>
        </is>
      </c>
      <c r="P20" t="inlineStr">
        <is>
          <t>Q_RATED_DIRECT - Q_Rated_Direct - Rate Direct Rows|Integration fit: 9</t>
        </is>
      </c>
      <c r="Q20" t="inlineStr">
        <is>
          <t>'_RawData'!$C$2:$C$5</t>
        </is>
      </c>
      <c r="R20" t="inlineStr">
        <is>
          <t>9</t>
        </is>
      </c>
    </row>
    <row r="21">
      <c r="M21" t="inlineStr">
        <is>
          <t>Integration fit: 9</t>
        </is>
      </c>
      <c r="N21" t="inlineStr">
        <is>
          <t>Integration fit: 8</t>
        </is>
      </c>
      <c r="P21" t="inlineStr">
        <is>
          <t>Q_RATED_DIRECT - Q_Rated_Direct - Rate Direct Rows|Integration fit: 10</t>
        </is>
      </c>
      <c r="Q21" t="inlineStr">
        <is>
          <t>'_RawData'!$C$2:$C$5</t>
        </is>
      </c>
      <c r="R21" t="inlineStr">
        <is>
          <t>10</t>
        </is>
      </c>
    </row>
    <row r="22">
      <c r="M22" t="inlineStr">
        <is>
          <t>Integration fit: 10</t>
        </is>
      </c>
      <c r="N22" t="inlineStr">
        <is>
          <t>Integration fit: 9</t>
        </is>
      </c>
    </row>
    <row r="23">
      <c r="N23" t="inlineStr">
        <is>
          <t>Integration fit: 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4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35" customWidth="1" min="3" max="3"/>
    <col width="20" customWidth="1" min="4" max="4"/>
    <col width="36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[Q_RATED_DIRECT]</t>
        </is>
      </c>
      <c r="B2" t="inlineStr">
        <is>
          <t>Q_RATED_DIRECT</t>
        </is>
      </c>
      <c r="C2" t="inlineStr">
        <is>
          <t>Q_RATED_DIRECT - Rate direct rows</t>
        </is>
      </c>
      <c r="D2" t="inlineStr">
        <is>
          <t>GRID_SINGLE_SELECT</t>
        </is>
      </c>
      <c r="E2" t="inlineStr">
        <is>
          <t>Q_RATED_DIRECTr1, Q_RATED_DIRECTr2</t>
        </is>
      </c>
      <c r="F2" t="n">
        <v>10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Q_RATED_DIRECT</t>
        </is>
      </c>
      <c r="B2" t="inlineStr">
        <is>
          <t>Q_RATED_DIRECT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4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Q_RATED_DIRECT - Rate direct rows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IFERROR(INDEX(All_Questions_Value_Data_Names,MATCH(All_Questions_Q_RATED_DIRECT_F_Q&amp;"|"&amp;All_Questions_Q_RATED_DIRECT_F_V,All_Questions_Value_Keys,0)),IFERROR(INDEX(All_Questions_Data_Names,MATCH(All_Questions_Q_RATED_DIRECT_F_Q,All_Questions,0)),"'_RawData'!$A:$A"))</f>
        <v>respondent_id_data</v>
      </c>
      <c r="G13" t="str">
        <f>"|" &amp; SUBSTITUTE(All_Questions_Q_RATED_DIRECT_F_V, ", ", "|") &amp; "|"</f>
        <v>|(All)|</v>
      </c>
      <c r="H13" t="str">
        <f>IFERROR(INDEX(All_Questions_Value_Criteria,MATCH(All_Questions_Q_RATED_DIRECT_F_Q&amp;"|"&amp;All_Questions_Q_RATED_DIRECT_F_V,All_Questions_Value_Keys,0)),All_Questions_Q_RATED_DIRECT_F_V)</f>
        <v>(All)</v>
      </c>
    </row>
    <row r="14"/>
    <row r="15">
      <c r="A15" s="4" t="inlineStr">
        <is>
          <t>Sub-question ID</t>
        </is>
      </c>
      <c r="B15" s="4" t="inlineStr">
        <is>
          <t>Sub-question</t>
        </is>
      </c>
      <c r="C15" s="4" t="inlineStr">
        <is>
          <t># of respondents</t>
        </is>
      </c>
      <c r="D15" s="4" t="inlineStr">
        <is>
          <t>% of respondents</t>
        </is>
      </c>
      <c r="E15" s="2" t="n"/>
      <c r="F15" s="4" t="inlineStr">
        <is>
          <t>All</t>
        </is>
      </c>
      <c r="G15" s="2" t="n"/>
    </row>
    <row r="16">
      <c r="A16" s="2" t="inlineStr"/>
      <c r="B16" s="2" t="inlineStr"/>
      <c r="C16" s="2" t="inlineStr"/>
      <c r="D16" s="2" t="inlineStr"/>
      <c r="E16" s="2" t="n"/>
      <c r="F16" s="4" t="inlineStr">
        <is>
          <t>Mean</t>
        </is>
      </c>
      <c r="G16" s="4" t="inlineStr">
        <is>
          <t>Median</t>
        </is>
      </c>
    </row>
    <row r="17">
      <c r="A17" s="14" t="inlineStr">
        <is>
          <t>Q_RATED_DIRECTr1</t>
        </is>
      </c>
      <c r="B17" t="inlineStr">
        <is>
          <t>Implementation speed</t>
        </is>
      </c>
      <c r="C17">
        <f>COUNTIFS(Q_RATED_DIRECTr1_data,"&lt;&gt;",passes_workbook_filters_data,1,passes_workbook_custom_filters_data,1,All_Questions_passes_local_filters_data,1,All_Questions_Q_RATED_DIRECT_F_passes_per_q_filter_data,1)</f>
        <v>4</v>
      </c>
      <c r="D17" s="7">
        <f>IFERROR(C17/COUNTIFS(respondent_id_data,"&lt;&gt;",passes_workbook_filters_data,1,passes_workbook_custom_filters_data,1,All_Questions_passes_local_filters_data,1,All_Questions_Q_RATED_DIRECT_F_passes_per_q_filter_data,1),0)</f>
        <v>1.0</v>
      </c>
      <c r="F17" s="15">
        <f>IFERROR(AVERAGEIFS(Q_RATED_DIRECTr1_data,passes_workbook_filters_data,1,passes_workbook_custom_filters_data,1,All_Questions_passes_local_filters_data,1,All_Questions_Q_RATED_DIRECT_F_passes_per_q_filter_data,1),0)</f>
        <v>8.5</v>
      </c>
      <c r="G17" s="15" t="n">
        <v>8.5</v>
      </c>
    </row>
    <row r="18">
      <c r="A18" s="14" t="inlineStr">
        <is>
          <t>Q_RATED_DIRECTr2</t>
        </is>
      </c>
      <c r="B18" t="inlineStr">
        <is>
          <t>Integration fit</t>
        </is>
      </c>
      <c r="C18">
        <f>COUNTIFS(Q_RATED_DIRECTr2_data,"&lt;&gt;",passes_workbook_filters_data,1,passes_workbook_custom_filters_data,1,All_Questions_passes_local_filters_data,1,All_Questions_Q_RATED_DIRECT_F_passes_per_q_filter_data,1)</f>
        <v>4</v>
      </c>
      <c r="D18" s="7">
        <f>IFERROR(C18/COUNTIFS(respondent_id_data,"&lt;&gt;",passes_workbook_filters_data,1,passes_workbook_custom_filters_data,1,All_Questions_passes_local_filters_data,1,All_Questions_Q_RATED_DIRECT_F_passes_per_q_filter_data,1),0)</f>
        <v>1.0</v>
      </c>
      <c r="F18" s="15">
        <f>IFERROR(AVERAGEIFS(Q_RATED_DIRECTr2_data,passes_workbook_filters_data,1,passes_workbook_custom_filters_data,1,All_Questions_passes_local_filters_data,1,All_Questions_Q_RATED_DIRECT_F_passes_per_q_filter_data,1),0)</f>
        <v>6.5</v>
      </c>
      <c r="G18" s="15" t="n">
        <v>6.5</v>
      </c>
    </row>
    <row r="19">
      <c r="A19" s="16" t="inlineStr">
        <is>
          <t>Total respondents</t>
        </is>
      </c>
      <c r="B19" s="16" t="n">
        <v>4</v>
      </c>
      <c r="C19" s="16" t="n"/>
      <c r="D19" s="16" t="n"/>
      <c r="E19" s="16" t="n"/>
      <c r="F19" s="16" t="n"/>
      <c r="G19" s="16" t="n"/>
    </row>
  </sheetData>
  <mergeCells count="2">
    <mergeCell ref="F15:G15"/>
    <mergeCell ref="A1:J1"/>
  </mergeCells>
  <conditionalFormatting sqref="D17:D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7:F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G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6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=INDIRECT(IFERROR(INDEX(All_Questions_Options_Names,MATCH(All_Questions_Q_RATED_DIRECT_F_Q,All_Questions,0)),"'_Options'!$E$2:$E$2"))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2026-06-09T11:30:31Z</dcterms:created>
  <dcterms:modified xmlns:dcterms="http://purl.org/dc/terms/" xmlns:xsi="http://www.w3.org/2001/XMLSchema-instance" xsi:type="dcterms:W3CDTF">2026-06-09T11:30:33Z</dcterms:modified>
</cp:coreProperties>
</file>