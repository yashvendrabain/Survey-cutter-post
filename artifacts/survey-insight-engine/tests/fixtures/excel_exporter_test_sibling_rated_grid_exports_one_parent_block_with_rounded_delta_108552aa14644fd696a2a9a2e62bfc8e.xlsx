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'_RawData'!$A$2:$A$5</definedName>
    <definedName name="Q1r1c1_data">'_RawData'!$B$2:$B$5</definedName>
    <definedName name="Q1r1c2_data">'_RawData'!$C$2:$C$5</definedName>
    <definedName name="Q1r2c1_data">'_RawData'!$D$2:$D$5</definedName>
    <definedName name="Q1r2c2_data">'_RawData'!$E$2:$E$5</definedName>
    <definedName name="Q1r3c1_data">'_RawData'!$F$2:$F$5</definedName>
    <definedName name="Q1r3c2_data">'_RawData'!$G$2:$G$5</definedName>
    <definedName name="All_Questions">'_Options'!$A$2:$A$2</definedName>
    <definedName name="All_Questions_Local">'_Options'!$B$2:$B$3</definedName>
    <definedName name="None_options">'_Options'!$E$2:$E$2</definedName>
    <definedName name="Q1r1c1_options">'_Options'!$F$2:$F$4</definedName>
    <definedName name="Q1r1c1_local_options">'_Options'!$L$2:$L$5</definedName>
    <definedName name="Q1r1c2_options">'_Options'!$G$2:$G$4</definedName>
    <definedName name="Q1r1c2_local_options">'_Options'!$M$2:$M$5</definedName>
    <definedName name="Q1r2c1_options">'_Options'!$H$2:$H$4</definedName>
    <definedName name="Q1r2c1_local_options">'_Options'!$N$2:$N$5</definedName>
    <definedName name="Q1r2c2_options">'_Options'!$I$2:$I$4</definedName>
    <definedName name="Q1r2c2_local_options">'_Options'!$O$2:$O$5</definedName>
    <definedName name="Q1r3c1_options">'_Options'!$J$2:$J$4</definedName>
    <definedName name="Q1r3c1_local_options">'_Options'!$P$2:$P$5</definedName>
    <definedName name="Q1r3c2_options">'_Options'!$K$2:$K$4</definedName>
    <definedName name="Q1r3c2_local_options">'_Options'!$Q$2:$Q$5</definedName>
    <definedName name="All_Questions_Data_Names">'_Options'!$C$2:$C$2</definedName>
    <definedName name="All_Questions_Options_Names">'_Options'!$D$2:$D$2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passes_workbook_filters_data">'_RawData'!$H$2:$H$5</definedName>
    <definedName name="F_Custom1_match_data">'_RawData'!$I$2:$I$5</definedName>
    <definedName name="F_Custom2_match_data">'_RawData'!$J$2:$J$5</definedName>
    <definedName name="passes_workbook_custom_filters_data">'_RawData'!$K$2:$K$5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passes_local_filters_data">'_RawData'!$L$2:$L$5</definedName>
    <definedName name="All_Questions_Q1_F_Q">'All Questions'!$C$13</definedName>
    <definedName name="All_Questions_Q1_F_V">'All Questions'!$E$13</definedName>
    <definedName name="All_Questions_Q1_F_resolved_column">'All Questions'!$F$13</definedName>
    <definedName name="All_Questions_Q1_F_wrapped">'All Questions'!$G$13</definedName>
    <definedName name="All_Questions_Q1_F_passes_per_q_filter_data">'_RawData'!$M$2:$M$5</definedName>
    <definedName name="All_Questions_Q1_CT">'All Questions'!$C$14</definedName>
  </definedNames>
  <calcPr calcId="124519" fullCalcOnLoad="1"/>
</workbook>
</file>

<file path=xl/calcChain.xml><?xml version="1.0" encoding="utf-8"?>
<calcChain xmlns="http://schemas.openxmlformats.org/spreadsheetml/2006/main">
  <c r="H2" i="1"/>
  <c r="I2" i="1"/>
  <c r="J2" i="1"/>
  <c r="K2" i="1"/>
  <c r="L2" i="1"/>
  <c r="M2" i="1"/>
  <c r="H3" i="1"/>
  <c r="I3" i="1"/>
  <c r="J3" i="1"/>
  <c r="K3" i="1"/>
  <c r="L3" i="1"/>
  <c r="M3" i="1"/>
  <c r="H4" i="1"/>
  <c r="I4" i="1"/>
  <c r="J4" i="1"/>
  <c r="K4" i="1"/>
  <c r="L4" i="1"/>
  <c r="M4" i="1"/>
  <c r="H5" i="1"/>
  <c r="I5" i="1"/>
  <c r="J5" i="1"/>
  <c r="K5" i="1"/>
  <c r="L5" i="1"/>
  <c r="M5" i="1"/>
  <c r="E6" i="3"/>
  <c r="F6" i="3"/>
  <c r="E7" i="3"/>
  <c r="F7" i="3"/>
  <c r="C5" i="7"/>
  <c r="C6" i="7"/>
  <c r="D6" i="7"/>
  <c r="F6" i="7"/>
  <c r="C7" i="7"/>
  <c r="C8" i="7"/>
  <c r="D8" i="7"/>
  <c r="F8" i="7"/>
  <c r="F13" i="7"/>
  <c r="G13" i="7"/>
  <c r="C18" i="7"/>
  <c r="D18" i="7"/>
  <c r="F18" i="7"/>
  <c r="H18" i="7"/>
  <c r="J18" i="7"/>
  <c r="K18" i="7"/>
  <c r="C19" i="7"/>
  <c r="D19" i="7"/>
  <c r="F19" i="7"/>
  <c r="H19" i="7"/>
  <c r="J19" i="7"/>
  <c r="K19" i="7"/>
  <c r="C20" i="7"/>
  <c r="D20" i="7"/>
  <c r="F20" i="7"/>
  <c r="H20" i="7"/>
  <c r="J20" i="7"/>
  <c r="K20" i="7"/>
</calcChain>
</file>

<file path=xl/styles.xml><?xml version="1.0" encoding="utf-8"?>
<styleSheet xmlns="http://schemas.openxmlformats.org/spreadsheetml/2006/main">
  <numFmts count="2">
    <numFmt numFmtId="164" formatCode="0.0%"/>
    <numFmt numFmtId="165" formatCode="0.0"/>
  </numFmts>
  <fonts count="10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  <font>
      <name val="Arial"/>
      <color rgb="00808080"/>
      <sz val="10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7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0" fontId="9" fillId="0" borderId="0" pivotButton="0" quotePrefix="0" xfId="0"/>
    <xf numFmtId="165" fontId="0" fillId="0" borderId="0" pivotButton="0" quotePrefix="0" xfId="0"/>
    <xf numFmtId="0" fontId="1" fillId="2" borderId="2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Q1r1c1</t>
        </is>
      </c>
      <c r="C1" t="inlineStr">
        <is>
          <t>Q1r1c2</t>
        </is>
      </c>
      <c r="D1" t="inlineStr">
        <is>
          <t>Q1r2c1</t>
        </is>
      </c>
      <c r="E1" t="inlineStr">
        <is>
          <t>Q1r2c2</t>
        </is>
      </c>
      <c r="F1" t="inlineStr">
        <is>
          <t>Q1r3c1</t>
        </is>
      </c>
      <c r="G1" t="inlineStr">
        <is>
          <t>Q1r3c2</t>
        </is>
      </c>
      <c r="H1" t="inlineStr">
        <is>
          <t>passes_workbook_filters</t>
        </is>
      </c>
      <c r="I1" t="inlineStr">
        <is>
          <t>F_Custom1_match</t>
        </is>
      </c>
      <c r="J1" t="inlineStr">
        <is>
          <t>F_Custom2_match</t>
        </is>
      </c>
      <c r="K1" t="inlineStr">
        <is>
          <t>passes_workbook_custom_filters</t>
        </is>
      </c>
      <c r="L1" t="inlineStr">
        <is>
          <t>All_Questions_passes_local_filters</t>
        </is>
      </c>
      <c r="M1" t="inlineStr">
        <is>
          <t>All_Questions_Q1_F_passes_per_q_filter</t>
        </is>
      </c>
    </row>
    <row r="2">
      <c r="A2" t="n">
        <v>1</v>
      </c>
      <c r="B2" t="inlineStr">
        <is>
          <t>8</t>
        </is>
      </c>
      <c r="C2" t="inlineStr">
        <is>
          <t>6</t>
        </is>
      </c>
      <c r="D2" t="inlineStr">
        <is>
          <t>9</t>
        </is>
      </c>
      <c r="E2" t="inlineStr">
        <is>
          <t>7</t>
        </is>
      </c>
      <c r="F2" t="inlineStr">
        <is>
          <t>8</t>
        </is>
      </c>
      <c r="G2" t="inlineStr">
        <is>
          <t>6</t>
        </is>
      </c>
      <c r="H2">
        <f>1</f>
        <v>1</v>
      </c>
      <c r="I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J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K2">
        <f>I2*J2*1</f>
        <v>1</v>
      </c>
      <c r="L2">
        <f>1</f>
        <v>1</v>
      </c>
      <c r="M2">
        <f>IF(OR(All_Questions_Q1_F_Q="(None)",All_Questions_Q1_F_Q="",ISBLANK(All_Questions_Q1_F_Q),All_Questions_Q1_F_V="(All)",All_Questions_Q1_F_V="",ISBLANK(All_Questions_Q1_F_V)),1,IFERROR(IF(ISNUMBER(SEARCH("|"&amp;INDEX(INDIRECT(All_Questions_Q1_F_resolved_column),1)&amp;"|",All_Questions_Q1_F_wrapped)),1,0),0))</f>
        <v>1</v>
      </c>
    </row>
    <row r="3">
      <c r="A3" t="n">
        <v>2</v>
      </c>
      <c r="B3" t="inlineStr">
        <is>
          <t>8</t>
        </is>
      </c>
      <c r="C3" t="inlineStr">
        <is>
          <t>6</t>
        </is>
      </c>
      <c r="D3" t="inlineStr">
        <is>
          <t>9</t>
        </is>
      </c>
      <c r="E3" t="inlineStr">
        <is>
          <t>7</t>
        </is>
      </c>
      <c r="F3" t="inlineStr">
        <is>
          <t>8</t>
        </is>
      </c>
      <c r="G3" t="inlineStr">
        <is>
          <t>6</t>
        </is>
      </c>
      <c r="H3">
        <f>1</f>
        <v>1</v>
      </c>
      <c r="I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J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K3">
        <f>I3*J3*1</f>
        <v>1</v>
      </c>
      <c r="L3">
        <f>1</f>
        <v>1</v>
      </c>
      <c r="M3">
        <f>IF(OR(All_Questions_Q1_F_Q="(None)",All_Questions_Q1_F_Q="",ISBLANK(All_Questions_Q1_F_Q),All_Questions_Q1_F_V="(All)",All_Questions_Q1_F_V="",ISBLANK(All_Questions_Q1_F_V)),1,IFERROR(IF(ISNUMBER(SEARCH("|"&amp;INDEX(INDIRECT(All_Questions_Q1_F_resolved_column),2)&amp;"|",All_Questions_Q1_F_wrapped)),1,0),0))</f>
        <v>1</v>
      </c>
    </row>
    <row r="4">
      <c r="A4" t="n">
        <v>3</v>
      </c>
      <c r="B4" t="inlineStr">
        <is>
          <t>8</t>
        </is>
      </c>
      <c r="C4" t="inlineStr">
        <is>
          <t>7</t>
        </is>
      </c>
      <c r="D4" t="inlineStr">
        <is>
          <t>9</t>
        </is>
      </c>
      <c r="E4" t="inlineStr">
        <is>
          <t>7</t>
        </is>
      </c>
      <c r="F4" t="inlineStr">
        <is>
          <t>8</t>
        </is>
      </c>
      <c r="G4" t="inlineStr">
        <is>
          <t>6</t>
        </is>
      </c>
      <c r="H4">
        <f>1</f>
        <v>1</v>
      </c>
      <c r="I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J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K4">
        <f>I4*J4*1</f>
        <v>1</v>
      </c>
      <c r="L4">
        <f>1</f>
        <v>1</v>
      </c>
      <c r="M4">
        <f>IF(OR(All_Questions_Q1_F_Q="(None)",All_Questions_Q1_F_Q="",ISBLANK(All_Questions_Q1_F_Q),All_Questions_Q1_F_V="(All)",All_Questions_Q1_F_V="",ISBLANK(All_Questions_Q1_F_V)),1,IFERROR(IF(ISNUMBER(SEARCH("|"&amp;INDEX(INDIRECT(All_Questions_Q1_F_resolved_column),3)&amp;"|",All_Questions_Q1_F_wrapped)),1,0),0))</f>
        <v>1</v>
      </c>
    </row>
    <row r="5">
      <c r="A5" t="n">
        <v>4</v>
      </c>
      <c r="B5" t="inlineStr">
        <is>
          <t>9</t>
        </is>
      </c>
      <c r="C5" t="inlineStr">
        <is>
          <t>7</t>
        </is>
      </c>
      <c r="D5" t="inlineStr">
        <is>
          <t>8</t>
        </is>
      </c>
      <c r="E5" t="inlineStr">
        <is>
          <t>6</t>
        </is>
      </c>
      <c r="F5" t="inlineStr">
        <is>
          <t>7</t>
        </is>
      </c>
      <c r="G5" t="inlineStr">
        <is>
          <t>5</t>
        </is>
      </c>
      <c r="H5">
        <f>1</f>
        <v>1</v>
      </c>
      <c r="I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J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K5">
        <f>I5*J5*1</f>
        <v>1</v>
      </c>
      <c r="L5">
        <f>1</f>
        <v>1</v>
      </c>
      <c r="M5">
        <f>IF(OR(All_Questions_Q1_F_Q="(None)",All_Questions_Q1_F_Q="",ISBLANK(All_Questions_Q1_F_Q),All_Questions_Q1_F_V="(All)",All_Questions_Q1_F_V="",ISBLANK(All_Questions_Q1_F_V)),1,IFERROR(IF(ISNUMBER(SEARCH("|"&amp;INDEX(INDIRECT(All_Questions_Q1_F_resolved_column),4)&amp;"|",All_Questions_Q1_F_wrapped)),1,0),0))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Q5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Q1r1c1_options</t>
        </is>
      </c>
      <c r="G1" t="inlineStr">
        <is>
          <t>Q1r1c2_options</t>
        </is>
      </c>
      <c r="H1" t="inlineStr">
        <is>
          <t>Q1r2c1_options</t>
        </is>
      </c>
      <c r="I1" t="inlineStr">
        <is>
          <t>Q1r2c2_options</t>
        </is>
      </c>
      <c r="J1" t="inlineStr">
        <is>
          <t>Q1r3c1_options</t>
        </is>
      </c>
      <c r="K1" t="inlineStr">
        <is>
          <t>Q1r3c2_options</t>
        </is>
      </c>
      <c r="L1" t="inlineStr">
        <is>
          <t>Q1r1c1_local_options</t>
        </is>
      </c>
      <c r="M1" t="inlineStr">
        <is>
          <t>Q1r1c2_local_options</t>
        </is>
      </c>
      <c r="N1" t="inlineStr">
        <is>
          <t>Q1r2c1_local_options</t>
        </is>
      </c>
      <c r="O1" t="inlineStr">
        <is>
          <t>Q1r2c2_local_options</t>
        </is>
      </c>
      <c r="P1" t="inlineStr">
        <is>
          <t>Q1r3c1_local_options</t>
        </is>
      </c>
      <c r="Q1" t="inlineStr">
        <is>
          <t>Q1r3c2_local_options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'_RawData'!$A$2:$A$5</t>
        </is>
      </c>
      <c r="D2" t="inlineStr">
        <is>
          <t>'_Options'!$E$2:$E$2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(All)</t>
        </is>
      </c>
      <c r="J2" t="inlineStr">
        <is>
          <t>(All)</t>
        </is>
      </c>
      <c r="K2" t="inlineStr">
        <is>
          <t>(All)</t>
        </is>
      </c>
      <c r="L2" t="inlineStr">
        <is>
          <t>(Inherit)</t>
        </is>
      </c>
      <c r="M2" t="inlineStr">
        <is>
          <t>(Inherit)</t>
        </is>
      </c>
      <c r="N2" t="inlineStr">
        <is>
          <t>(Inherit)</t>
        </is>
      </c>
      <c r="O2" t="inlineStr">
        <is>
          <t>(Inherit)</t>
        </is>
      </c>
      <c r="P2" t="inlineStr">
        <is>
          <t>(Inherit)</t>
        </is>
      </c>
      <c r="Q2" t="inlineStr">
        <is>
          <t>(Inherit)</t>
        </is>
      </c>
    </row>
    <row r="3">
      <c r="B3" t="inlineStr">
        <is>
          <t>(None)</t>
        </is>
      </c>
      <c r="F3" t="inlineStr">
        <is>
          <t>8</t>
        </is>
      </c>
      <c r="G3" t="inlineStr">
        <is>
          <t>6</t>
        </is>
      </c>
      <c r="H3" t="inlineStr">
        <is>
          <t>9</t>
        </is>
      </c>
      <c r="I3" t="inlineStr">
        <is>
          <t>7</t>
        </is>
      </c>
      <c r="J3" t="inlineStr">
        <is>
          <t>8</t>
        </is>
      </c>
      <c r="K3" t="inlineStr">
        <is>
          <t>6</t>
        </is>
      </c>
      <c r="L3" t="inlineStr">
        <is>
          <t>(All)</t>
        </is>
      </c>
      <c r="M3" t="inlineStr">
        <is>
          <t>(All)</t>
        </is>
      </c>
      <c r="N3" t="inlineStr">
        <is>
          <t>(All)</t>
        </is>
      </c>
      <c r="O3" t="inlineStr">
        <is>
          <t>(All)</t>
        </is>
      </c>
      <c r="P3" t="inlineStr">
        <is>
          <t>(All)</t>
        </is>
      </c>
      <c r="Q3" t="inlineStr">
        <is>
          <t>(All)</t>
        </is>
      </c>
    </row>
    <row r="4">
      <c r="F4" t="inlineStr">
        <is>
          <t>9</t>
        </is>
      </c>
      <c r="G4" t="inlineStr">
        <is>
          <t>7</t>
        </is>
      </c>
      <c r="H4" t="inlineStr">
        <is>
          <t>8</t>
        </is>
      </c>
      <c r="I4" t="inlineStr">
        <is>
          <t>6</t>
        </is>
      </c>
      <c r="J4" t="inlineStr">
        <is>
          <t>7</t>
        </is>
      </c>
      <c r="K4" t="inlineStr">
        <is>
          <t>5</t>
        </is>
      </c>
      <c r="L4" t="inlineStr">
        <is>
          <t>8</t>
        </is>
      </c>
      <c r="M4" t="inlineStr">
        <is>
          <t>6</t>
        </is>
      </c>
      <c r="N4" t="inlineStr">
        <is>
          <t>9</t>
        </is>
      </c>
      <c r="O4" t="inlineStr">
        <is>
          <t>7</t>
        </is>
      </c>
      <c r="P4" t="inlineStr">
        <is>
          <t>8</t>
        </is>
      </c>
      <c r="Q4" t="inlineStr">
        <is>
          <t>6</t>
        </is>
      </c>
    </row>
    <row r="5">
      <c r="L5" t="inlineStr">
        <is>
          <t>9</t>
        </is>
      </c>
      <c r="M5" t="inlineStr">
        <is>
          <t>7</t>
        </is>
      </c>
      <c r="N5" t="inlineStr">
        <is>
          <t>8</t>
        </is>
      </c>
      <c r="O5" t="inlineStr">
        <is>
          <t>6</t>
        </is>
      </c>
      <c r="P5" t="inlineStr">
        <is>
          <t>7</t>
        </is>
      </c>
      <c r="Q5" t="inlineStr">
        <is>
          <t>5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IFERROR(INDEX(All_Questions_Data_Names,MATCH(F_Custom1_Q,All_Questions,0)),"'_RawData'!$A:$A")</f>
        <v>respondent_id_data</v>
      </c>
      <c r="F6" t="str">
        <f>"|" &amp; SUBSTITUTE(F_Custom1_V, ", ", "|") &amp; "|"</f>
        <v>|(All)|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IFERROR(INDEX(All_Questions_Data_Names,MATCH(F_Custom2_Q,All_Questions,0)),"'_RawData'!$A:$A")</f>
        <v>respondent_id_data</v>
      </c>
      <c r="F7" t="str">
        <f>"|" &amp; SUBSTITUTE(F_Custom2_V, ", ", "|") &amp; "|"</f>
        <v>|(All)|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=INDIRECT(IFERROR(INDEX(All_Questions_Options_Names,MATCH(F_Custom1_Q,All_Questions,0)),"'_Options'!$E$2:$E$2"))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=INDIRECT(IFERROR(INDEX(All_Questions_Options_Names,MATCH(F_Custom2_Q,All_Questions,0)),"'_Options'!$E$2:$E$2"))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34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2026-05-18T21:41:37.812094+00:00</t>
        </is>
      </c>
    </row>
    <row r="4">
      <c r="A4" s="5" t="inlineStr">
        <is>
          <t>Total respondents:</t>
        </is>
      </c>
      <c r="B4" t="n">
        <v>4</v>
      </c>
    </row>
    <row r="5">
      <c r="A5" s="5" t="inlineStr">
        <is>
          <t>Total questions:</t>
        </is>
      </c>
      <c r="B5" t="n">
        <v>1</v>
      </c>
    </row>
    <row r="6">
      <c r="A6" s="5" t="inlineStr">
        <is>
          <t>Results produced:</t>
        </is>
      </c>
      <c r="B6" t="n">
        <v>1</v>
      </c>
    </row>
    <row r="7">
      <c r="A7" s="5" t="inlineStr">
        <is>
          <t>Questions skipped:</t>
        </is>
      </c>
      <c r="B7" t="n">
        <v>0</v>
      </c>
    </row>
    <row r="8">
      <c r="A8" s="5" t="inlineStr">
        <is>
          <t>Cross cuts produced:</t>
        </is>
      </c>
      <c r="B8" t="n">
        <v>0</v>
      </c>
    </row>
    <row r="9">
      <c r="A9" s="5" t="inlineStr">
        <is>
          <t>Cross cut skips:</t>
        </is>
      </c>
      <c r="B9" t="n">
        <v>0</v>
      </c>
    </row>
    <row r="10">
      <c r="A10" s="5" t="inlineStr">
        <is>
          <t>Audit log records:</t>
        </is>
      </c>
      <c r="B10" t="n">
        <v>0</v>
      </c>
    </row>
    <row r="11">
      <c r="A11" s="5" t="inlineStr">
        <is>
          <t>Quality warnings:</t>
        </is>
      </c>
      <c r="B11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4" customWidth="1" min="2" max="2"/>
    <col width="41" customWidth="1" min="3" max="3"/>
    <col width="20" customWidth="1" min="4" max="4"/>
    <col width="48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[Q1]</t>
        </is>
      </c>
      <c r="B2" t="inlineStr">
        <is>
          <t>Q1</t>
        </is>
      </c>
      <c r="C2" t="inlineStr">
        <is>
          <t>Rate each vendor attribute from 1 to 10</t>
        </is>
      </c>
      <c r="D2" t="inlineStr">
        <is>
          <t>GRID_SINGLE_SELECT</t>
        </is>
      </c>
      <c r="E2" t="inlineStr">
        <is>
          <t>Q1r1c1, Q1r1c2, Q1r2c1, Q1r2c2, Q1r3c1, Q1r3c2</t>
        </is>
      </c>
      <c r="F2" t="n">
        <v>10</v>
      </c>
      <c r="G2" t="inlineStr">
        <is>
          <t>Yes</t>
        </is>
      </c>
      <c r="H2" t="inlineStr">
        <is>
          <t>No</t>
        </is>
      </c>
      <c r="I2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4" customWidth="1" min="2" max="2"/>
    <col width="20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0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Q1</t>
        </is>
      </c>
      <c r="B2" t="inlineStr">
        <is>
          <t>Q1</t>
        </is>
      </c>
      <c r="C2" t="inlineStr">
        <is>
          <t>GRID_SINGLE_SELECT</t>
        </is>
      </c>
      <c r="D2" t="inlineStr">
        <is>
          <t>All Questions</t>
        </is>
      </c>
      <c r="E2" s="6" t="inlineStr">
        <is>
          <t>All Questions</t>
        </is>
      </c>
      <c r="F2" t="n">
        <v>4</v>
      </c>
      <c r="G2" t="n">
        <v>0</v>
      </c>
      <c r="H2" s="7" t="n">
        <v>0</v>
      </c>
      <c r="I2" t="inlineStr"/>
    </row>
  </sheetData>
  <hyperlinks>
    <hyperlink xmlns:r="http://schemas.openxmlformats.org/officeDocument/2006/relationships" ref="E2" r:id="rId1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N21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IFERROR(INDEX(All_Questions_Data_Names,MATCH(All_Questions_F_Custom1_Q_resolved,All_Questions,0)),"'_RawData'!$A:$A")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IFERROR(INDEX(All_Questions_Data_Names,MATCH(All_Questions_F_Custom2_Q_resolved,All_Questions,0)),"'_RawData'!$A:$A")</f>
        <v>respondent_id_data</v>
      </c>
    </row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Q1 - Rate each vendor attribute from 1 to 10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IFERROR(INDEX(All_Questions_Data_Names,MATCH(All_Questions_Q1_F_Q,All_Questions,0)),"'_RawData'!$A:$A")</f>
        <v>respondent_id_data</v>
      </c>
      <c r="G13" t="str">
        <f>"|" &amp; SUBSTITUTE(All_Questions_Q1_F_V,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6">
      <c r="A16" s="4" t="inlineStr">
        <is>
          <t>Sub-question ID</t>
        </is>
      </c>
      <c r="B16" s="4" t="inlineStr">
        <is>
          <t>Sub-question</t>
        </is>
      </c>
      <c r="C16" s="4" t="inlineStr">
        <is>
          <t># of respondents</t>
        </is>
      </c>
      <c r="D16" s="4" t="inlineStr">
        <is>
          <t>% of respondents</t>
        </is>
      </c>
      <c r="E16" s="2" t="n"/>
      <c r="F16" s="4" t="inlineStr">
        <is>
          <t>Winner - All</t>
        </is>
      </c>
      <c r="G16" s="2" t="n"/>
      <c r="H16" s="4" t="inlineStr">
        <is>
          <t>Other considered vendor</t>
        </is>
      </c>
      <c r="I16" s="2" t="n"/>
      <c r="J16" s="4" t="inlineStr">
        <is>
          <t>Delta</t>
        </is>
      </c>
      <c r="K16" s="2" t="n"/>
    </row>
    <row r="17">
      <c r="A17" s="2" t="inlineStr"/>
      <c r="B17" s="2" t="inlineStr"/>
      <c r="C17" s="2" t="inlineStr"/>
      <c r="D17" s="2" t="inlineStr"/>
      <c r="E17" s="2" t="n"/>
      <c r="F17" s="4" t="inlineStr">
        <is>
          <t>Mean</t>
        </is>
      </c>
      <c r="G17" s="4" t="inlineStr">
        <is>
          <t>Median</t>
        </is>
      </c>
      <c r="H17" s="4" t="inlineStr">
        <is>
          <t>Mean</t>
        </is>
      </c>
      <c r="I17" s="4" t="inlineStr">
        <is>
          <t>Median</t>
        </is>
      </c>
      <c r="J17" s="4" t="inlineStr">
        <is>
          <t>Mean</t>
        </is>
      </c>
      <c r="K17" s="4" t="inlineStr">
        <is>
          <t>Median</t>
        </is>
      </c>
    </row>
    <row r="18">
      <c r="A18" s="14" t="inlineStr">
        <is>
          <t>Q1r1</t>
        </is>
      </c>
      <c r="B18" t="inlineStr">
        <is>
          <t>Implementation speed</t>
        </is>
      </c>
      <c r="C18">
        <f>COUNTIFS(Q1r1c1_data,"&lt;&gt;",passes_workbook_filters_data,1,passes_workbook_custom_filters_data,1,All_Questions_passes_local_filters_data,1,All_Questions_Q1_F_passes_per_q_filter_data,1)</f>
        <v>4</v>
      </c>
      <c r="D18" s="7">
        <f>IFERROR(C18/COUNTIFS(respondent_id_data,"&lt;&gt;",passes_workbook_filters_data,1,passes_workbook_custom_filters_data,1,All_Questions_passes_local_filters_data,1,All_Questions_Q1_F_passes_per_q_filter_data,1),0)</f>
        <v>1.0</v>
      </c>
      <c r="F18" s="15">
        <f>IFERROR(AVERAGEIFS(Q1r1c1_data,passes_workbook_filters_data,1,passes_workbook_custom_filters_data,1,All_Questions_passes_local_filters_data,1,All_Questions_Q1_F_passes_per_q_filter_data,1),0)</f>
        <v>8.2</v>
      </c>
      <c r="G18" s="15" t="n">
        <v>8</v>
      </c>
      <c r="H18" s="15">
        <f>IFERROR(AVERAGEIFS(Q1r1c2_data,passes_workbook_filters_data,1,passes_workbook_custom_filters_data,1,All_Questions_passes_local_filters_data,1,All_Questions_Q1_F_passes_per_q_filter_data,1),0)</f>
        <v>6.5</v>
      </c>
      <c r="I18" s="15" t="n">
        <v>6.5</v>
      </c>
      <c r="J18" s="15">
        <f>ROUND(F18-H18,1)</f>
        <v>1.7</v>
      </c>
      <c r="K18" s="15">
        <f>ROUND(G18-I18,1)</f>
        <v>1.5</v>
      </c>
    </row>
    <row r="19">
      <c r="A19" s="14" t="inlineStr">
        <is>
          <t>Q1r2</t>
        </is>
      </c>
      <c r="B19" t="inlineStr">
        <is>
          <t>Integration fit</t>
        </is>
      </c>
      <c r="C19">
        <f>COUNTIFS(Q1r2c1_data,"&lt;&gt;",passes_workbook_filters_data,1,passes_workbook_custom_filters_data,1,All_Questions_passes_local_filters_data,1,All_Questions_Q1_F_passes_per_q_filter_data,1)</f>
        <v>4</v>
      </c>
      <c r="D19" s="7">
        <f>IFERROR(C19/COUNTIFS(respondent_id_data,"&lt;&gt;",passes_workbook_filters_data,1,passes_workbook_custom_filters_data,1,All_Questions_passes_local_filters_data,1,All_Questions_Q1_F_passes_per_q_filter_data,1),0)</f>
        <v>1.0</v>
      </c>
      <c r="F19" s="15">
        <f>IFERROR(AVERAGEIFS(Q1r2c1_data,passes_workbook_filters_data,1,passes_workbook_custom_filters_data,1,All_Questions_passes_local_filters_data,1,All_Questions_Q1_F_passes_per_q_filter_data,1),0)</f>
        <v>8.8</v>
      </c>
      <c r="G19" s="15" t="n">
        <v>9</v>
      </c>
      <c r="H19" s="15">
        <f>IFERROR(AVERAGEIFS(Q1r2c2_data,passes_workbook_filters_data,1,passes_workbook_custom_filters_data,1,All_Questions_passes_local_filters_data,1,All_Questions_Q1_F_passes_per_q_filter_data,1),0)</f>
        <v>6.8</v>
      </c>
      <c r="I19" s="15" t="n">
        <v>7</v>
      </c>
      <c r="J19" s="15">
        <f>ROUND(F19-H19,1)</f>
        <v>2.0</v>
      </c>
      <c r="K19" s="15">
        <f>ROUND(G19-I19,1)</f>
        <v>2.0</v>
      </c>
    </row>
    <row r="20">
      <c r="A20" s="14" t="inlineStr">
        <is>
          <t>Q1r3</t>
        </is>
      </c>
      <c r="B20" t="inlineStr">
        <is>
          <t>Efficiency gains</t>
        </is>
      </c>
      <c r="C20">
        <f>COUNTIFS(Q1r3c1_data,"&lt;&gt;",passes_workbook_filters_data,1,passes_workbook_custom_filters_data,1,All_Questions_passes_local_filters_data,1,All_Questions_Q1_F_passes_per_q_filter_data,1)</f>
        <v>4</v>
      </c>
      <c r="D20" s="7">
        <f>IFERROR(C20/COUNTIFS(respondent_id_data,"&lt;&gt;",passes_workbook_filters_data,1,passes_workbook_custom_filters_data,1,All_Questions_passes_local_filters_data,1,All_Questions_Q1_F_passes_per_q_filter_data,1),0)</f>
        <v>1.0</v>
      </c>
      <c r="F20" s="15">
        <f>IFERROR(AVERAGEIFS(Q1r3c1_data,passes_workbook_filters_data,1,passes_workbook_custom_filters_data,1,All_Questions_passes_local_filters_data,1,All_Questions_Q1_F_passes_per_q_filter_data,1),0)</f>
        <v>7.8</v>
      </c>
      <c r="G20" s="15" t="n">
        <v>8</v>
      </c>
      <c r="H20" s="15">
        <f>IFERROR(AVERAGEIFS(Q1r3c2_data,passes_workbook_filters_data,1,passes_workbook_custom_filters_data,1,All_Questions_passes_local_filters_data,1,All_Questions_Q1_F_passes_per_q_filter_data,1),0)</f>
        <v>5.8</v>
      </c>
      <c r="I20" s="15" t="n">
        <v>6</v>
      </c>
      <c r="J20" s="15">
        <f>ROUND(F20-H20,1)</f>
        <v>2.0</v>
      </c>
      <c r="K20" s="15">
        <f>ROUND(G20-I20,1)</f>
        <v>2.0</v>
      </c>
    </row>
    <row r="21">
      <c r="A21" s="16" t="inlineStr">
        <is>
          <t>Total respondents</t>
        </is>
      </c>
      <c r="B21" s="16" t="n">
        <v>4</v>
      </c>
      <c r="C21" s="16" t="n"/>
      <c r="D21" s="16" t="n"/>
      <c r="E21" s="16" t="n"/>
      <c r="F21" s="16" t="n"/>
      <c r="G21" s="16" t="n"/>
      <c r="H21" s="16" t="n"/>
      <c r="I21" s="16" t="n"/>
      <c r="J21" s="16" t="n"/>
      <c r="K21" s="16" t="n"/>
    </row>
  </sheetData>
  <mergeCells count="4">
    <mergeCell ref="H16:I16"/>
    <mergeCell ref="F16:G16"/>
    <mergeCell ref="A1:J1"/>
    <mergeCell ref="J16:K16"/>
  </mergeCells>
  <conditionalFormatting sqref="D18:D20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F18:F20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8:G20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18:H20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18:I20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7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=INDIRECT(IFERROR(INDEX(All_Questions_Options_Names,MATCH(All_Questions_F_Custom1_Q_resolved,All_Questions,0)),"'_Options'!$E$2:$E$2"))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=INDIRECT(IFERROR(INDEX(All_Questions_Options_Names,MATCH(All_Questions_F_Custom2_Q_resolved,All_Questions,0)),"'_Options'!$E$2:$E$2"))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=INDIRECT(IFERROR(INDEX(All_Questions_Options_Names,MATCH(All_Questions_Q1_F_Q,All_Questions,0)),"'_Options'!$E$2:$E$2"))</formula1>
    </dataValidation>
    <dataValidation sqref="C14" showDropDown="0" showInputMessage="0" showErrorMessage="0" allowBlank="1" type="list">
      <formula1>=All_Questions</formula1>
    </dataValidation>
  </dataValidation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3" customWidth="1" min="2" max="2"/>
    <col width="17" customWidth="1" min="3" max="3"/>
    <col width="16" customWidth="1" min="4" max="4"/>
    <col width="8" customWidth="1" min="5" max="5"/>
    <col width="11" customWidth="1" min="6" max="6"/>
    <col width="13" customWidth="1" min="7" max="7"/>
    <col width="9" customWidth="1" min="8" max="8"/>
    <col width="11" customWidth="1" min="9" max="9"/>
    <col width="9" customWidth="1" min="10" max="10"/>
    <col width="11" customWidth="1" min="11" max="11"/>
    <col width="11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7" customWidth="1" min="2" max="2"/>
    <col width="19" customWidth="1" min="3" max="3"/>
    <col width="13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1"/>
  <sheetViews>
    <sheetView workbookViewId="0">
      <selection activeCell="A1" sqref="A1"/>
    </sheetView>
  </sheetViews>
  <sheetFormatPr baseColWidth="8" defaultRowHeight="15"/>
  <cols>
    <col width="8" customWidth="1" min="1" max="1"/>
    <col width="9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2026-05-18T21:41:37Z</dcterms:created>
  <dcterms:modified xmlns:dcterms="http://purl.org/dc/terms/" xmlns:xsi="http://www.w3.org/2001/XMLSchema-instance" xsi:type="dcterms:W3CDTF">2026-05-18T21:41:39Z</dcterms:modified>
</cp:coreProperties>
</file>