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4r1_data">'_RawData'!$B$2:$B$207</definedName>
    <definedName name="Q4r2_data">'_RawData'!$C$2:$C$207</definedName>
    <definedName name="Q5r1_data">'_RawData'!$D$2:$D$207</definedName>
    <definedName name="Q5r2_data">'_RawData'!$E$2:$E$207</definedName>
    <definedName name="All_Questions">'_Options'!$A$2:$A$2</definedName>
    <definedName name="All_Questions_Local">'_Options'!$B$2:$B$3</definedName>
    <definedName name="None_options">'_Options'!$E$2:$E$2</definedName>
    <definedName name="Q4r1_options">'_Options'!$F$2:$F$3</definedName>
    <definedName name="Q4r1_local_options">'_Options'!$J$2:$J$4</definedName>
    <definedName name="Q4r2_options">'_Options'!$G$2:$G$3</definedName>
    <definedName name="Q4r2_local_options">'_Options'!$K$2:$K$4</definedName>
    <definedName name="Q5r1_options">'_Options'!$H$2:$H$3</definedName>
    <definedName name="Q5r1_local_options">'_Options'!$L$2:$L$4</definedName>
    <definedName name="Q5r2_options">'_Options'!$I$2:$I$3</definedName>
    <definedName name="Q5r2_local_options">'_Options'!$M$2:$M$4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'_RawData'!$F$2:$F$207</definedName>
    <definedName name="F_Custom1_match_data">'_RawData'!$G$2:$G$207</definedName>
    <definedName name="F_Custom2_match_data">'_RawData'!$H$2:$H$207</definedName>
    <definedName name="passes_workbook_custom_filters_data">'_RawData'!$I$2:$I$207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'_RawData'!$J$2:$J$207</definedName>
    <definedName name="All_Questions_Q4_F_Q">'All Questions'!$C$13</definedName>
    <definedName name="All_Questions_Q4_F_V">'All Questions'!$E$13</definedName>
    <definedName name="All_Questions_Q4_F_resolved_column">'All Questions'!$F$13</definedName>
    <definedName name="All_Questions_Q4_F_wrapped">'All Questions'!$G$13</definedName>
    <definedName name="All_Questions_Q4_F_passes_per_q_filter_data">'_RawData'!$K$2:$K$207</definedName>
    <definedName name="All_Questions_Q4_CT">'All Questions'!$C$14</definedName>
    <definedName name="All_Questions_Q5_F_Q">'All Questions'!$C$24</definedName>
    <definedName name="All_Questions_Q5_F_V">'All Questions'!$E$24</definedName>
    <definedName name="All_Questions_Q5_F_resolved_column">'All Questions'!$F$24</definedName>
    <definedName name="All_Questions_Q5_F_wrapped">'All Questions'!$G$24</definedName>
    <definedName name="All_Questions_Q5_F_passes_per_q_filter_data">'_RawData'!$L$2:$L$207</definedName>
    <definedName name="All_Questions_Q5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L2" i="1"/>
  <c r="F3" i="1"/>
  <c r="G3" i="1"/>
  <c r="H3" i="1"/>
  <c r="I3" i="1"/>
  <c r="J3" i="1"/>
  <c r="K3" i="1"/>
  <c r="L3" i="1"/>
  <c r="F4" i="1"/>
  <c r="G4" i="1"/>
  <c r="H4" i="1"/>
  <c r="I4" i="1"/>
  <c r="J4" i="1"/>
  <c r="K4" i="1"/>
  <c r="L4" i="1"/>
  <c r="F5" i="1"/>
  <c r="G5" i="1"/>
  <c r="H5" i="1"/>
  <c r="I5" i="1"/>
  <c r="J5" i="1"/>
  <c r="K5" i="1"/>
  <c r="L5" i="1"/>
  <c r="F6" i="1"/>
  <c r="G6" i="1"/>
  <c r="H6" i="1"/>
  <c r="I6" i="1"/>
  <c r="J6" i="1"/>
  <c r="K6" i="1"/>
  <c r="L6" i="1"/>
  <c r="F7" i="1"/>
  <c r="G7" i="1"/>
  <c r="H7" i="1"/>
  <c r="I7" i="1"/>
  <c r="J7" i="1"/>
  <c r="K7" i="1"/>
  <c r="L7" i="1"/>
  <c r="F8" i="1"/>
  <c r="G8" i="1"/>
  <c r="H8" i="1"/>
  <c r="I8" i="1"/>
  <c r="J8" i="1"/>
  <c r="K8" i="1"/>
  <c r="L8" i="1"/>
  <c r="F9" i="1"/>
  <c r="G9" i="1"/>
  <c r="H9" i="1"/>
  <c r="I9" i="1"/>
  <c r="J9" i="1"/>
  <c r="K9" i="1"/>
  <c r="L9" i="1"/>
  <c r="F10" i="1"/>
  <c r="G10" i="1"/>
  <c r="H10" i="1"/>
  <c r="I10" i="1"/>
  <c r="J10" i="1"/>
  <c r="K10" i="1"/>
  <c r="L10" i="1"/>
  <c r="F11" i="1"/>
  <c r="G11" i="1"/>
  <c r="H11" i="1"/>
  <c r="I11" i="1"/>
  <c r="J11" i="1"/>
  <c r="K11" i="1"/>
  <c r="L11" i="1"/>
  <c r="F12" i="1"/>
  <c r="G12" i="1"/>
  <c r="H12" i="1"/>
  <c r="I12" i="1"/>
  <c r="J12" i="1"/>
  <c r="K12" i="1"/>
  <c r="L12" i="1"/>
  <c r="F13" i="1"/>
  <c r="G13" i="1"/>
  <c r="H13" i="1"/>
  <c r="I13" i="1"/>
  <c r="J13" i="1"/>
  <c r="K13" i="1"/>
  <c r="L13" i="1"/>
  <c r="F14" i="1"/>
  <c r="G14" i="1"/>
  <c r="H14" i="1"/>
  <c r="I14" i="1"/>
  <c r="J14" i="1"/>
  <c r="K14" i="1"/>
  <c r="L14" i="1"/>
  <c r="F15" i="1"/>
  <c r="G15" i="1"/>
  <c r="H15" i="1"/>
  <c r="I15" i="1"/>
  <c r="J15" i="1"/>
  <c r="K15" i="1"/>
  <c r="L15" i="1"/>
  <c r="F16" i="1"/>
  <c r="G16" i="1"/>
  <c r="H16" i="1"/>
  <c r="I16" i="1"/>
  <c r="J16" i="1"/>
  <c r="K16" i="1"/>
  <c r="L16" i="1"/>
  <c r="F17" i="1"/>
  <c r="G17" i="1"/>
  <c r="H17" i="1"/>
  <c r="I17" i="1"/>
  <c r="J17" i="1"/>
  <c r="K17" i="1"/>
  <c r="L17" i="1"/>
  <c r="F18" i="1"/>
  <c r="G18" i="1"/>
  <c r="H18" i="1"/>
  <c r="I18" i="1"/>
  <c r="J18" i="1"/>
  <c r="K18" i="1"/>
  <c r="L18" i="1"/>
  <c r="F19" i="1"/>
  <c r="G19" i="1"/>
  <c r="H19" i="1"/>
  <c r="I19" i="1"/>
  <c r="J19" i="1"/>
  <c r="K19" i="1"/>
  <c r="L19" i="1"/>
  <c r="F20" i="1"/>
  <c r="G20" i="1"/>
  <c r="H20" i="1"/>
  <c r="I20" i="1"/>
  <c r="J20" i="1"/>
  <c r="K20" i="1"/>
  <c r="L20" i="1"/>
  <c r="F21" i="1"/>
  <c r="G21" i="1"/>
  <c r="H21" i="1"/>
  <c r="I21" i="1"/>
  <c r="J21" i="1"/>
  <c r="K21" i="1"/>
  <c r="L21" i="1"/>
  <c r="F22" i="1"/>
  <c r="G22" i="1"/>
  <c r="H22" i="1"/>
  <c r="I22" i="1"/>
  <c r="J22" i="1"/>
  <c r="K22" i="1"/>
  <c r="L22" i="1"/>
  <c r="F23" i="1"/>
  <c r="G23" i="1"/>
  <c r="H23" i="1"/>
  <c r="I23" i="1"/>
  <c r="J23" i="1"/>
  <c r="K23" i="1"/>
  <c r="L23" i="1"/>
  <c r="F24" i="1"/>
  <c r="G24" i="1"/>
  <c r="H24" i="1"/>
  <c r="I24" i="1"/>
  <c r="J24" i="1"/>
  <c r="K24" i="1"/>
  <c r="L24" i="1"/>
  <c r="F25" i="1"/>
  <c r="G25" i="1"/>
  <c r="H25" i="1"/>
  <c r="I25" i="1"/>
  <c r="J25" i="1"/>
  <c r="K25" i="1"/>
  <c r="L25" i="1"/>
  <c r="F26" i="1"/>
  <c r="G26" i="1"/>
  <c r="H26" i="1"/>
  <c r="I26" i="1"/>
  <c r="J26" i="1"/>
  <c r="K26" i="1"/>
  <c r="L26" i="1"/>
  <c r="F27" i="1"/>
  <c r="G27" i="1"/>
  <c r="H27" i="1"/>
  <c r="I27" i="1"/>
  <c r="J27" i="1"/>
  <c r="K27" i="1"/>
  <c r="L27" i="1"/>
  <c r="F28" i="1"/>
  <c r="G28" i="1"/>
  <c r="H28" i="1"/>
  <c r="I28" i="1"/>
  <c r="J28" i="1"/>
  <c r="K28" i="1"/>
  <c r="L28" i="1"/>
  <c r="F29" i="1"/>
  <c r="G29" i="1"/>
  <c r="H29" i="1"/>
  <c r="I29" i="1"/>
  <c r="J29" i="1"/>
  <c r="K29" i="1"/>
  <c r="L29" i="1"/>
  <c r="F30" i="1"/>
  <c r="G30" i="1"/>
  <c r="H30" i="1"/>
  <c r="I30" i="1"/>
  <c r="J30" i="1"/>
  <c r="K30" i="1"/>
  <c r="L30" i="1"/>
  <c r="F31" i="1"/>
  <c r="G31" i="1"/>
  <c r="H31" i="1"/>
  <c r="I31" i="1"/>
  <c r="J31" i="1"/>
  <c r="K31" i="1"/>
  <c r="L31" i="1"/>
  <c r="F32" i="1"/>
  <c r="G32" i="1"/>
  <c r="H32" i="1"/>
  <c r="I32" i="1"/>
  <c r="J32" i="1"/>
  <c r="K32" i="1"/>
  <c r="L32" i="1"/>
  <c r="F33" i="1"/>
  <c r="G33" i="1"/>
  <c r="H33" i="1"/>
  <c r="I33" i="1"/>
  <c r="J33" i="1"/>
  <c r="K33" i="1"/>
  <c r="L33" i="1"/>
  <c r="F34" i="1"/>
  <c r="G34" i="1"/>
  <c r="H34" i="1"/>
  <c r="I34" i="1"/>
  <c r="J34" i="1"/>
  <c r="K34" i="1"/>
  <c r="L34" i="1"/>
  <c r="F35" i="1"/>
  <c r="G35" i="1"/>
  <c r="H35" i="1"/>
  <c r="I35" i="1"/>
  <c r="J35" i="1"/>
  <c r="K35" i="1"/>
  <c r="L35" i="1"/>
  <c r="F36" i="1"/>
  <c r="G36" i="1"/>
  <c r="H36" i="1"/>
  <c r="I36" i="1"/>
  <c r="J36" i="1"/>
  <c r="K36" i="1"/>
  <c r="L36" i="1"/>
  <c r="F37" i="1"/>
  <c r="G37" i="1"/>
  <c r="H37" i="1"/>
  <c r="I37" i="1"/>
  <c r="J37" i="1"/>
  <c r="K37" i="1"/>
  <c r="L37" i="1"/>
  <c r="F38" i="1"/>
  <c r="G38" i="1"/>
  <c r="H38" i="1"/>
  <c r="I38" i="1"/>
  <c r="J38" i="1"/>
  <c r="K38" i="1"/>
  <c r="L38" i="1"/>
  <c r="F39" i="1"/>
  <c r="G39" i="1"/>
  <c r="H39" i="1"/>
  <c r="I39" i="1"/>
  <c r="J39" i="1"/>
  <c r="K39" i="1"/>
  <c r="L39" i="1"/>
  <c r="F40" i="1"/>
  <c r="G40" i="1"/>
  <c r="H40" i="1"/>
  <c r="I40" i="1"/>
  <c r="J40" i="1"/>
  <c r="K40" i="1"/>
  <c r="L40" i="1"/>
  <c r="F41" i="1"/>
  <c r="G41" i="1"/>
  <c r="H41" i="1"/>
  <c r="I41" i="1"/>
  <c r="J41" i="1"/>
  <c r="K41" i="1"/>
  <c r="L41" i="1"/>
  <c r="F42" i="1"/>
  <c r="G42" i="1"/>
  <c r="H42" i="1"/>
  <c r="I42" i="1"/>
  <c r="J42" i="1"/>
  <c r="K42" i="1"/>
  <c r="L42" i="1"/>
  <c r="F43" i="1"/>
  <c r="G43" i="1"/>
  <c r="H43" i="1"/>
  <c r="I43" i="1"/>
  <c r="J43" i="1"/>
  <c r="K43" i="1"/>
  <c r="L43" i="1"/>
  <c r="F44" i="1"/>
  <c r="G44" i="1"/>
  <c r="H44" i="1"/>
  <c r="I44" i="1"/>
  <c r="J44" i="1"/>
  <c r="K44" i="1"/>
  <c r="L44" i="1"/>
  <c r="F45" i="1"/>
  <c r="G45" i="1"/>
  <c r="H45" i="1"/>
  <c r="I45" i="1"/>
  <c r="J45" i="1"/>
  <c r="K45" i="1"/>
  <c r="L45" i="1"/>
  <c r="F46" i="1"/>
  <c r="G46" i="1"/>
  <c r="H46" i="1"/>
  <c r="I46" i="1"/>
  <c r="J46" i="1"/>
  <c r="K46" i="1"/>
  <c r="L46" i="1"/>
  <c r="F47" i="1"/>
  <c r="G47" i="1"/>
  <c r="H47" i="1"/>
  <c r="I47" i="1"/>
  <c r="J47" i="1"/>
  <c r="K47" i="1"/>
  <c r="L47" i="1"/>
  <c r="F48" i="1"/>
  <c r="G48" i="1"/>
  <c r="H48" i="1"/>
  <c r="I48" i="1"/>
  <c r="J48" i="1"/>
  <c r="K48" i="1"/>
  <c r="L48" i="1"/>
  <c r="F49" i="1"/>
  <c r="G49" i="1"/>
  <c r="H49" i="1"/>
  <c r="I49" i="1"/>
  <c r="J49" i="1"/>
  <c r="K49" i="1"/>
  <c r="L49" i="1"/>
  <c r="F50" i="1"/>
  <c r="G50" i="1"/>
  <c r="H50" i="1"/>
  <c r="I50" i="1"/>
  <c r="J50" i="1"/>
  <c r="K50" i="1"/>
  <c r="L50" i="1"/>
  <c r="F51" i="1"/>
  <c r="G51" i="1"/>
  <c r="H51" i="1"/>
  <c r="I51" i="1"/>
  <c r="J51" i="1"/>
  <c r="K51" i="1"/>
  <c r="L51" i="1"/>
  <c r="F52" i="1"/>
  <c r="G52" i="1"/>
  <c r="H52" i="1"/>
  <c r="I52" i="1"/>
  <c r="J52" i="1"/>
  <c r="K52" i="1"/>
  <c r="L52" i="1"/>
  <c r="F53" i="1"/>
  <c r="G53" i="1"/>
  <c r="H53" i="1"/>
  <c r="I53" i="1"/>
  <c r="J53" i="1"/>
  <c r="K53" i="1"/>
  <c r="L53" i="1"/>
  <c r="F54" i="1"/>
  <c r="G54" i="1"/>
  <c r="H54" i="1"/>
  <c r="I54" i="1"/>
  <c r="J54" i="1"/>
  <c r="K54" i="1"/>
  <c r="L54" i="1"/>
  <c r="F55" i="1"/>
  <c r="G55" i="1"/>
  <c r="H55" i="1"/>
  <c r="I55" i="1"/>
  <c r="J55" i="1"/>
  <c r="K55" i="1"/>
  <c r="L55" i="1"/>
  <c r="F56" i="1"/>
  <c r="G56" i="1"/>
  <c r="H56" i="1"/>
  <c r="I56" i="1"/>
  <c r="J56" i="1"/>
  <c r="K56" i="1"/>
  <c r="L56" i="1"/>
  <c r="F57" i="1"/>
  <c r="G57" i="1"/>
  <c r="H57" i="1"/>
  <c r="I57" i="1"/>
  <c r="J57" i="1"/>
  <c r="K57" i="1"/>
  <c r="L57" i="1"/>
  <c r="F58" i="1"/>
  <c r="G58" i="1"/>
  <c r="H58" i="1"/>
  <c r="I58" i="1"/>
  <c r="J58" i="1"/>
  <c r="K58" i="1"/>
  <c r="L58" i="1"/>
  <c r="F59" i="1"/>
  <c r="G59" i="1"/>
  <c r="H59" i="1"/>
  <c r="I59" i="1"/>
  <c r="J59" i="1"/>
  <c r="K59" i="1"/>
  <c r="L59" i="1"/>
  <c r="F60" i="1"/>
  <c r="G60" i="1"/>
  <c r="H60" i="1"/>
  <c r="I60" i="1"/>
  <c r="J60" i="1"/>
  <c r="K60" i="1"/>
  <c r="L60" i="1"/>
  <c r="F61" i="1"/>
  <c r="G61" i="1"/>
  <c r="H61" i="1"/>
  <c r="I61" i="1"/>
  <c r="J61" i="1"/>
  <c r="K61" i="1"/>
  <c r="L61" i="1"/>
  <c r="F62" i="1"/>
  <c r="G62" i="1"/>
  <c r="H62" i="1"/>
  <c r="I62" i="1"/>
  <c r="J62" i="1"/>
  <c r="K62" i="1"/>
  <c r="L62" i="1"/>
  <c r="F63" i="1"/>
  <c r="G63" i="1"/>
  <c r="H63" i="1"/>
  <c r="I63" i="1"/>
  <c r="J63" i="1"/>
  <c r="K63" i="1"/>
  <c r="L63" i="1"/>
  <c r="F64" i="1"/>
  <c r="G64" i="1"/>
  <c r="H64" i="1"/>
  <c r="I64" i="1"/>
  <c r="J64" i="1"/>
  <c r="K64" i="1"/>
  <c r="L64" i="1"/>
  <c r="F65" i="1"/>
  <c r="G65" i="1"/>
  <c r="H65" i="1"/>
  <c r="I65" i="1"/>
  <c r="J65" i="1"/>
  <c r="K65" i="1"/>
  <c r="L65" i="1"/>
  <c r="F66" i="1"/>
  <c r="G66" i="1"/>
  <c r="H66" i="1"/>
  <c r="I66" i="1"/>
  <c r="J66" i="1"/>
  <c r="K66" i="1"/>
  <c r="L66" i="1"/>
  <c r="F67" i="1"/>
  <c r="G67" i="1"/>
  <c r="H67" i="1"/>
  <c r="I67" i="1"/>
  <c r="J67" i="1"/>
  <c r="K67" i="1"/>
  <c r="L67" i="1"/>
  <c r="F68" i="1"/>
  <c r="G68" i="1"/>
  <c r="H68" i="1"/>
  <c r="I68" i="1"/>
  <c r="J68" i="1"/>
  <c r="K68" i="1"/>
  <c r="L68" i="1"/>
  <c r="F69" i="1"/>
  <c r="G69" i="1"/>
  <c r="H69" i="1"/>
  <c r="I69" i="1"/>
  <c r="J69" i="1"/>
  <c r="K69" i="1"/>
  <c r="L69" i="1"/>
  <c r="F70" i="1"/>
  <c r="G70" i="1"/>
  <c r="H70" i="1"/>
  <c r="I70" i="1"/>
  <c r="J70" i="1"/>
  <c r="K70" i="1"/>
  <c r="L70" i="1"/>
  <c r="F71" i="1"/>
  <c r="G71" i="1"/>
  <c r="H71" i="1"/>
  <c r="I71" i="1"/>
  <c r="J71" i="1"/>
  <c r="K71" i="1"/>
  <c r="L71" i="1"/>
  <c r="F72" i="1"/>
  <c r="G72" i="1"/>
  <c r="H72" i="1"/>
  <c r="I72" i="1"/>
  <c r="J72" i="1"/>
  <c r="K72" i="1"/>
  <c r="L72" i="1"/>
  <c r="F73" i="1"/>
  <c r="G73" i="1"/>
  <c r="H73" i="1"/>
  <c r="I73" i="1"/>
  <c r="J73" i="1"/>
  <c r="K73" i="1"/>
  <c r="L73" i="1"/>
  <c r="F74" i="1"/>
  <c r="G74" i="1"/>
  <c r="H74" i="1"/>
  <c r="I74" i="1"/>
  <c r="J74" i="1"/>
  <c r="K74" i="1"/>
  <c r="L74" i="1"/>
  <c r="F75" i="1"/>
  <c r="G75" i="1"/>
  <c r="H75" i="1"/>
  <c r="I75" i="1"/>
  <c r="J75" i="1"/>
  <c r="K75" i="1"/>
  <c r="L75" i="1"/>
  <c r="F76" i="1"/>
  <c r="G76" i="1"/>
  <c r="H76" i="1"/>
  <c r="I76" i="1"/>
  <c r="J76" i="1"/>
  <c r="K76" i="1"/>
  <c r="L76" i="1"/>
  <c r="F77" i="1"/>
  <c r="G77" i="1"/>
  <c r="H77" i="1"/>
  <c r="I77" i="1"/>
  <c r="J77" i="1"/>
  <c r="K77" i="1"/>
  <c r="L77" i="1"/>
  <c r="F78" i="1"/>
  <c r="G78" i="1"/>
  <c r="H78" i="1"/>
  <c r="I78" i="1"/>
  <c r="J78" i="1"/>
  <c r="K78" i="1"/>
  <c r="L78" i="1"/>
  <c r="F79" i="1"/>
  <c r="G79" i="1"/>
  <c r="H79" i="1"/>
  <c r="I79" i="1"/>
  <c r="J79" i="1"/>
  <c r="K79" i="1"/>
  <c r="L79" i="1"/>
  <c r="F80" i="1"/>
  <c r="G80" i="1"/>
  <c r="H80" i="1"/>
  <c r="I80" i="1"/>
  <c r="J80" i="1"/>
  <c r="K80" i="1"/>
  <c r="L80" i="1"/>
  <c r="F81" i="1"/>
  <c r="G81" i="1"/>
  <c r="H81" i="1"/>
  <c r="I81" i="1"/>
  <c r="J81" i="1"/>
  <c r="K81" i="1"/>
  <c r="L81" i="1"/>
  <c r="F82" i="1"/>
  <c r="G82" i="1"/>
  <c r="H82" i="1"/>
  <c r="I82" i="1"/>
  <c r="J82" i="1"/>
  <c r="K82" i="1"/>
  <c r="L82" i="1"/>
  <c r="F83" i="1"/>
  <c r="G83" i="1"/>
  <c r="H83" i="1"/>
  <c r="I83" i="1"/>
  <c r="J83" i="1"/>
  <c r="K83" i="1"/>
  <c r="L83" i="1"/>
  <c r="F84" i="1"/>
  <c r="G84" i="1"/>
  <c r="H84" i="1"/>
  <c r="I84" i="1"/>
  <c r="J84" i="1"/>
  <c r="K84" i="1"/>
  <c r="L84" i="1"/>
  <c r="F85" i="1"/>
  <c r="G85" i="1"/>
  <c r="H85" i="1"/>
  <c r="I85" i="1"/>
  <c r="J85" i="1"/>
  <c r="K85" i="1"/>
  <c r="L85" i="1"/>
  <c r="F86" i="1"/>
  <c r="G86" i="1"/>
  <c r="H86" i="1"/>
  <c r="I86" i="1"/>
  <c r="J86" i="1"/>
  <c r="K86" i="1"/>
  <c r="L86" i="1"/>
  <c r="F87" i="1"/>
  <c r="G87" i="1"/>
  <c r="H87" i="1"/>
  <c r="I87" i="1"/>
  <c r="J87" i="1"/>
  <c r="K87" i="1"/>
  <c r="L87" i="1"/>
  <c r="F88" i="1"/>
  <c r="G88" i="1"/>
  <c r="H88" i="1"/>
  <c r="I88" i="1"/>
  <c r="J88" i="1"/>
  <c r="K88" i="1"/>
  <c r="L88" i="1"/>
  <c r="F89" i="1"/>
  <c r="G89" i="1"/>
  <c r="H89" i="1"/>
  <c r="I89" i="1"/>
  <c r="J89" i="1"/>
  <c r="K89" i="1"/>
  <c r="L89" i="1"/>
  <c r="F90" i="1"/>
  <c r="G90" i="1"/>
  <c r="H90" i="1"/>
  <c r="I90" i="1"/>
  <c r="J90" i="1"/>
  <c r="K90" i="1"/>
  <c r="L90" i="1"/>
  <c r="F91" i="1"/>
  <c r="G91" i="1"/>
  <c r="H91" i="1"/>
  <c r="I91" i="1"/>
  <c r="J91" i="1"/>
  <c r="K91" i="1"/>
  <c r="L91" i="1"/>
  <c r="F92" i="1"/>
  <c r="G92" i="1"/>
  <c r="H92" i="1"/>
  <c r="I92" i="1"/>
  <c r="J92" i="1"/>
  <c r="K92" i="1"/>
  <c r="L92" i="1"/>
  <c r="F93" i="1"/>
  <c r="G93" i="1"/>
  <c r="H93" i="1"/>
  <c r="I93" i="1"/>
  <c r="J93" i="1"/>
  <c r="K93" i="1"/>
  <c r="L93" i="1"/>
  <c r="F94" i="1"/>
  <c r="G94" i="1"/>
  <c r="H94" i="1"/>
  <c r="I94" i="1"/>
  <c r="J94" i="1"/>
  <c r="K94" i="1"/>
  <c r="L94" i="1"/>
  <c r="F95" i="1"/>
  <c r="G95" i="1"/>
  <c r="H95" i="1"/>
  <c r="I95" i="1"/>
  <c r="J95" i="1"/>
  <c r="K95" i="1"/>
  <c r="L95" i="1"/>
  <c r="F96" i="1"/>
  <c r="G96" i="1"/>
  <c r="H96" i="1"/>
  <c r="I96" i="1"/>
  <c r="J96" i="1"/>
  <c r="K96" i="1"/>
  <c r="L96" i="1"/>
  <c r="F97" i="1"/>
  <c r="G97" i="1"/>
  <c r="H97" i="1"/>
  <c r="I97" i="1"/>
  <c r="J97" i="1"/>
  <c r="K97" i="1"/>
  <c r="L97" i="1"/>
  <c r="F98" i="1"/>
  <c r="G98" i="1"/>
  <c r="H98" i="1"/>
  <c r="I98" i="1"/>
  <c r="J98" i="1"/>
  <c r="K98" i="1"/>
  <c r="L98" i="1"/>
  <c r="F99" i="1"/>
  <c r="G99" i="1"/>
  <c r="H99" i="1"/>
  <c r="I99" i="1"/>
  <c r="J99" i="1"/>
  <c r="K99" i="1"/>
  <c r="L99" i="1"/>
  <c r="F100" i="1"/>
  <c r="G100" i="1"/>
  <c r="H100" i="1"/>
  <c r="I100" i="1"/>
  <c r="J100" i="1"/>
  <c r="K100" i="1"/>
  <c r="L100" i="1"/>
  <c r="F101" i="1"/>
  <c r="G101" i="1"/>
  <c r="H101" i="1"/>
  <c r="I101" i="1"/>
  <c r="J101" i="1"/>
  <c r="K101" i="1"/>
  <c r="L101" i="1"/>
  <c r="F102" i="1"/>
  <c r="G102" i="1"/>
  <c r="H102" i="1"/>
  <c r="I102" i="1"/>
  <c r="J102" i="1"/>
  <c r="K102" i="1"/>
  <c r="L102" i="1"/>
  <c r="F103" i="1"/>
  <c r="G103" i="1"/>
  <c r="H103" i="1"/>
  <c r="I103" i="1"/>
  <c r="J103" i="1"/>
  <c r="K103" i="1"/>
  <c r="L103" i="1"/>
  <c r="F104" i="1"/>
  <c r="G104" i="1"/>
  <c r="H104" i="1"/>
  <c r="I104" i="1"/>
  <c r="J104" i="1"/>
  <c r="K104" i="1"/>
  <c r="L104" i="1"/>
  <c r="F105" i="1"/>
  <c r="G105" i="1"/>
  <c r="H105" i="1"/>
  <c r="I105" i="1"/>
  <c r="J105" i="1"/>
  <c r="K105" i="1"/>
  <c r="L105" i="1"/>
  <c r="F106" i="1"/>
  <c r="G106" i="1"/>
  <c r="H106" i="1"/>
  <c r="I106" i="1"/>
  <c r="J106" i="1"/>
  <c r="K106" i="1"/>
  <c r="L106" i="1"/>
  <c r="F107" i="1"/>
  <c r="G107" i="1"/>
  <c r="H107" i="1"/>
  <c r="I107" i="1"/>
  <c r="J107" i="1"/>
  <c r="K107" i="1"/>
  <c r="L107" i="1"/>
  <c r="F108" i="1"/>
  <c r="G108" i="1"/>
  <c r="H108" i="1"/>
  <c r="I108" i="1"/>
  <c r="J108" i="1"/>
  <c r="K108" i="1"/>
  <c r="L108" i="1"/>
  <c r="F109" i="1"/>
  <c r="G109" i="1"/>
  <c r="H109" i="1"/>
  <c r="I109" i="1"/>
  <c r="J109" i="1"/>
  <c r="K109" i="1"/>
  <c r="L109" i="1"/>
  <c r="F110" i="1"/>
  <c r="G110" i="1"/>
  <c r="H110" i="1"/>
  <c r="I110" i="1"/>
  <c r="J110" i="1"/>
  <c r="K110" i="1"/>
  <c r="L110" i="1"/>
  <c r="F111" i="1"/>
  <c r="G111" i="1"/>
  <c r="H111" i="1"/>
  <c r="I111" i="1"/>
  <c r="J111" i="1"/>
  <c r="K111" i="1"/>
  <c r="L111" i="1"/>
  <c r="F112" i="1"/>
  <c r="G112" i="1"/>
  <c r="H112" i="1"/>
  <c r="I112" i="1"/>
  <c r="J112" i="1"/>
  <c r="K112" i="1"/>
  <c r="L112" i="1"/>
  <c r="F113" i="1"/>
  <c r="G113" i="1"/>
  <c r="H113" i="1"/>
  <c r="I113" i="1"/>
  <c r="J113" i="1"/>
  <c r="K113" i="1"/>
  <c r="L113" i="1"/>
  <c r="F114" i="1"/>
  <c r="G114" i="1"/>
  <c r="H114" i="1"/>
  <c r="I114" i="1"/>
  <c r="J114" i="1"/>
  <c r="K114" i="1"/>
  <c r="L114" i="1"/>
  <c r="F115" i="1"/>
  <c r="G115" i="1"/>
  <c r="H115" i="1"/>
  <c r="I115" i="1"/>
  <c r="J115" i="1"/>
  <c r="K115" i="1"/>
  <c r="L115" i="1"/>
  <c r="F116" i="1"/>
  <c r="G116" i="1"/>
  <c r="H116" i="1"/>
  <c r="I116" i="1"/>
  <c r="J116" i="1"/>
  <c r="K116" i="1"/>
  <c r="L116" i="1"/>
  <c r="F117" i="1"/>
  <c r="G117" i="1"/>
  <c r="H117" i="1"/>
  <c r="I117" i="1"/>
  <c r="J117" i="1"/>
  <c r="K117" i="1"/>
  <c r="L117" i="1"/>
  <c r="F118" i="1"/>
  <c r="G118" i="1"/>
  <c r="H118" i="1"/>
  <c r="I118" i="1"/>
  <c r="J118" i="1"/>
  <c r="K118" i="1"/>
  <c r="L118" i="1"/>
  <c r="F119" i="1"/>
  <c r="G119" i="1"/>
  <c r="H119" i="1"/>
  <c r="I119" i="1"/>
  <c r="J119" i="1"/>
  <c r="K119" i="1"/>
  <c r="L119" i="1"/>
  <c r="F120" i="1"/>
  <c r="G120" i="1"/>
  <c r="H120" i="1"/>
  <c r="I120" i="1"/>
  <c r="J120" i="1"/>
  <c r="K120" i="1"/>
  <c r="L120" i="1"/>
  <c r="F121" i="1"/>
  <c r="G121" i="1"/>
  <c r="H121" i="1"/>
  <c r="I121" i="1"/>
  <c r="J121" i="1"/>
  <c r="K121" i="1"/>
  <c r="L121" i="1"/>
  <c r="F122" i="1"/>
  <c r="G122" i="1"/>
  <c r="H122" i="1"/>
  <c r="I122" i="1"/>
  <c r="J122" i="1"/>
  <c r="K122" i="1"/>
  <c r="L122" i="1"/>
  <c r="F123" i="1"/>
  <c r="G123" i="1"/>
  <c r="H123" i="1"/>
  <c r="I123" i="1"/>
  <c r="J123" i="1"/>
  <c r="K123" i="1"/>
  <c r="L123" i="1"/>
  <c r="F124" i="1"/>
  <c r="G124" i="1"/>
  <c r="H124" i="1"/>
  <c r="I124" i="1"/>
  <c r="J124" i="1"/>
  <c r="K124" i="1"/>
  <c r="L124" i="1"/>
  <c r="F125" i="1"/>
  <c r="G125" i="1"/>
  <c r="H125" i="1"/>
  <c r="I125" i="1"/>
  <c r="J125" i="1"/>
  <c r="K125" i="1"/>
  <c r="L125" i="1"/>
  <c r="F126" i="1"/>
  <c r="G126" i="1"/>
  <c r="H126" i="1"/>
  <c r="I126" i="1"/>
  <c r="J126" i="1"/>
  <c r="K126" i="1"/>
  <c r="L126" i="1"/>
  <c r="F127" i="1"/>
  <c r="G127" i="1"/>
  <c r="H127" i="1"/>
  <c r="I127" i="1"/>
  <c r="J127" i="1"/>
  <c r="K127" i="1"/>
  <c r="L127" i="1"/>
  <c r="F128" i="1"/>
  <c r="G128" i="1"/>
  <c r="H128" i="1"/>
  <c r="I128" i="1"/>
  <c r="J128" i="1"/>
  <c r="K128" i="1"/>
  <c r="L128" i="1"/>
  <c r="F129" i="1"/>
  <c r="G129" i="1"/>
  <c r="H129" i="1"/>
  <c r="I129" i="1"/>
  <c r="J129" i="1"/>
  <c r="K129" i="1"/>
  <c r="L129" i="1"/>
  <c r="F130" i="1"/>
  <c r="G130" i="1"/>
  <c r="H130" i="1"/>
  <c r="I130" i="1"/>
  <c r="J130" i="1"/>
  <c r="K130" i="1"/>
  <c r="L130" i="1"/>
  <c r="F131" i="1"/>
  <c r="G131" i="1"/>
  <c r="H131" i="1"/>
  <c r="I131" i="1"/>
  <c r="J131" i="1"/>
  <c r="K131" i="1"/>
  <c r="L131" i="1"/>
  <c r="F132" i="1"/>
  <c r="G132" i="1"/>
  <c r="H132" i="1"/>
  <c r="I132" i="1"/>
  <c r="J132" i="1"/>
  <c r="K132" i="1"/>
  <c r="L132" i="1"/>
  <c r="F133" i="1"/>
  <c r="G133" i="1"/>
  <c r="H133" i="1"/>
  <c r="I133" i="1"/>
  <c r="J133" i="1"/>
  <c r="K133" i="1"/>
  <c r="L133" i="1"/>
  <c r="F134" i="1"/>
  <c r="G134" i="1"/>
  <c r="H134" i="1"/>
  <c r="I134" i="1"/>
  <c r="J134" i="1"/>
  <c r="K134" i="1"/>
  <c r="L134" i="1"/>
  <c r="F135" i="1"/>
  <c r="G135" i="1"/>
  <c r="H135" i="1"/>
  <c r="I135" i="1"/>
  <c r="J135" i="1"/>
  <c r="K135" i="1"/>
  <c r="L135" i="1"/>
  <c r="F136" i="1"/>
  <c r="G136" i="1"/>
  <c r="H136" i="1"/>
  <c r="I136" i="1"/>
  <c r="J136" i="1"/>
  <c r="K136" i="1"/>
  <c r="L136" i="1"/>
  <c r="F137" i="1"/>
  <c r="G137" i="1"/>
  <c r="H137" i="1"/>
  <c r="I137" i="1"/>
  <c r="J137" i="1"/>
  <c r="K137" i="1"/>
  <c r="L137" i="1"/>
  <c r="F138" i="1"/>
  <c r="G138" i="1"/>
  <c r="H138" i="1"/>
  <c r="I138" i="1"/>
  <c r="J138" i="1"/>
  <c r="K138" i="1"/>
  <c r="L138" i="1"/>
  <c r="F139" i="1"/>
  <c r="G139" i="1"/>
  <c r="H139" i="1"/>
  <c r="I139" i="1"/>
  <c r="J139" i="1"/>
  <c r="K139" i="1"/>
  <c r="L139" i="1"/>
  <c r="F140" i="1"/>
  <c r="G140" i="1"/>
  <c r="H140" i="1"/>
  <c r="I140" i="1"/>
  <c r="J140" i="1"/>
  <c r="K140" i="1"/>
  <c r="L140" i="1"/>
  <c r="F141" i="1"/>
  <c r="G141" i="1"/>
  <c r="H141" i="1"/>
  <c r="I141" i="1"/>
  <c r="J141" i="1"/>
  <c r="K141" i="1"/>
  <c r="L141" i="1"/>
  <c r="F142" i="1"/>
  <c r="G142" i="1"/>
  <c r="H142" i="1"/>
  <c r="I142" i="1"/>
  <c r="J142" i="1"/>
  <c r="K142" i="1"/>
  <c r="L142" i="1"/>
  <c r="F143" i="1"/>
  <c r="G143" i="1"/>
  <c r="H143" i="1"/>
  <c r="I143" i="1"/>
  <c r="J143" i="1"/>
  <c r="K143" i="1"/>
  <c r="L143" i="1"/>
  <c r="F144" i="1"/>
  <c r="G144" i="1"/>
  <c r="H144" i="1"/>
  <c r="I144" i="1"/>
  <c r="J144" i="1"/>
  <c r="K144" i="1"/>
  <c r="L144" i="1"/>
  <c r="F145" i="1"/>
  <c r="G145" i="1"/>
  <c r="H145" i="1"/>
  <c r="I145" i="1"/>
  <c r="J145" i="1"/>
  <c r="K145" i="1"/>
  <c r="L145" i="1"/>
  <c r="F146" i="1"/>
  <c r="G146" i="1"/>
  <c r="H146" i="1"/>
  <c r="I146" i="1"/>
  <c r="J146" i="1"/>
  <c r="K146" i="1"/>
  <c r="L146" i="1"/>
  <c r="F147" i="1"/>
  <c r="G147" i="1"/>
  <c r="H147" i="1"/>
  <c r="I147" i="1"/>
  <c r="J147" i="1"/>
  <c r="K147" i="1"/>
  <c r="L147" i="1"/>
  <c r="F148" i="1"/>
  <c r="G148" i="1"/>
  <c r="H148" i="1"/>
  <c r="I148" i="1"/>
  <c r="J148" i="1"/>
  <c r="K148" i="1"/>
  <c r="L148" i="1"/>
  <c r="F149" i="1"/>
  <c r="G149" i="1"/>
  <c r="H149" i="1"/>
  <c r="I149" i="1"/>
  <c r="J149" i="1"/>
  <c r="K149" i="1"/>
  <c r="L149" i="1"/>
  <c r="F150" i="1"/>
  <c r="G150" i="1"/>
  <c r="H150" i="1"/>
  <c r="I150" i="1"/>
  <c r="J150" i="1"/>
  <c r="K150" i="1"/>
  <c r="L150" i="1"/>
  <c r="F151" i="1"/>
  <c r="G151" i="1"/>
  <c r="H151" i="1"/>
  <c r="I151" i="1"/>
  <c r="J151" i="1"/>
  <c r="K151" i="1"/>
  <c r="L151" i="1"/>
  <c r="F152" i="1"/>
  <c r="G152" i="1"/>
  <c r="H152" i="1"/>
  <c r="I152" i="1"/>
  <c r="J152" i="1"/>
  <c r="K152" i="1"/>
  <c r="L152" i="1"/>
  <c r="F153" i="1"/>
  <c r="G153" i="1"/>
  <c r="H153" i="1"/>
  <c r="I153" i="1"/>
  <c r="J153" i="1"/>
  <c r="K153" i="1"/>
  <c r="L153" i="1"/>
  <c r="F154" i="1"/>
  <c r="G154" i="1"/>
  <c r="H154" i="1"/>
  <c r="I154" i="1"/>
  <c r="J154" i="1"/>
  <c r="K154" i="1"/>
  <c r="L154" i="1"/>
  <c r="F155" i="1"/>
  <c r="G155" i="1"/>
  <c r="H155" i="1"/>
  <c r="I155" i="1"/>
  <c r="J155" i="1"/>
  <c r="K155" i="1"/>
  <c r="L155" i="1"/>
  <c r="F156" i="1"/>
  <c r="G156" i="1"/>
  <c r="H156" i="1"/>
  <c r="I156" i="1"/>
  <c r="J156" i="1"/>
  <c r="K156" i="1"/>
  <c r="L156" i="1"/>
  <c r="F157" i="1"/>
  <c r="G157" i="1"/>
  <c r="H157" i="1"/>
  <c r="I157" i="1"/>
  <c r="J157" i="1"/>
  <c r="K157" i="1"/>
  <c r="L157" i="1"/>
  <c r="F158" i="1"/>
  <c r="G158" i="1"/>
  <c r="H158" i="1"/>
  <c r="I158" i="1"/>
  <c r="J158" i="1"/>
  <c r="K158" i="1"/>
  <c r="L158" i="1"/>
  <c r="F159" i="1"/>
  <c r="G159" i="1"/>
  <c r="H159" i="1"/>
  <c r="I159" i="1"/>
  <c r="J159" i="1"/>
  <c r="K159" i="1"/>
  <c r="L159" i="1"/>
  <c r="F160" i="1"/>
  <c r="G160" i="1"/>
  <c r="H160" i="1"/>
  <c r="I160" i="1"/>
  <c r="J160" i="1"/>
  <c r="K160" i="1"/>
  <c r="L160" i="1"/>
  <c r="F161" i="1"/>
  <c r="G161" i="1"/>
  <c r="H161" i="1"/>
  <c r="I161" i="1"/>
  <c r="J161" i="1"/>
  <c r="K161" i="1"/>
  <c r="L161" i="1"/>
  <c r="F162" i="1"/>
  <c r="G162" i="1"/>
  <c r="H162" i="1"/>
  <c r="I162" i="1"/>
  <c r="J162" i="1"/>
  <c r="K162" i="1"/>
  <c r="L162" i="1"/>
  <c r="F163" i="1"/>
  <c r="G163" i="1"/>
  <c r="H163" i="1"/>
  <c r="I163" i="1"/>
  <c r="J163" i="1"/>
  <c r="K163" i="1"/>
  <c r="L163" i="1"/>
  <c r="F164" i="1"/>
  <c r="G164" i="1"/>
  <c r="H164" i="1"/>
  <c r="I164" i="1"/>
  <c r="J164" i="1"/>
  <c r="K164" i="1"/>
  <c r="L164" i="1"/>
  <c r="F165" i="1"/>
  <c r="G165" i="1"/>
  <c r="H165" i="1"/>
  <c r="I165" i="1"/>
  <c r="J165" i="1"/>
  <c r="K165" i="1"/>
  <c r="L165" i="1"/>
  <c r="F166" i="1"/>
  <c r="G166" i="1"/>
  <c r="H166" i="1"/>
  <c r="I166" i="1"/>
  <c r="J166" i="1"/>
  <c r="K166" i="1"/>
  <c r="L166" i="1"/>
  <c r="F167" i="1"/>
  <c r="G167" i="1"/>
  <c r="H167" i="1"/>
  <c r="I167" i="1"/>
  <c r="J167" i="1"/>
  <c r="K167" i="1"/>
  <c r="L167" i="1"/>
  <c r="F168" i="1"/>
  <c r="G168" i="1"/>
  <c r="H168" i="1"/>
  <c r="I168" i="1"/>
  <c r="J168" i="1"/>
  <c r="K168" i="1"/>
  <c r="L168" i="1"/>
  <c r="F169" i="1"/>
  <c r="G169" i="1"/>
  <c r="H169" i="1"/>
  <c r="I169" i="1"/>
  <c r="J169" i="1"/>
  <c r="K169" i="1"/>
  <c r="L169" i="1"/>
  <c r="F170" i="1"/>
  <c r="G170" i="1"/>
  <c r="H170" i="1"/>
  <c r="I170" i="1"/>
  <c r="J170" i="1"/>
  <c r="K170" i="1"/>
  <c r="L170" i="1"/>
  <c r="F171" i="1"/>
  <c r="G171" i="1"/>
  <c r="H171" i="1"/>
  <c r="I171" i="1"/>
  <c r="J171" i="1"/>
  <c r="K171" i="1"/>
  <c r="L171" i="1"/>
  <c r="F172" i="1"/>
  <c r="G172" i="1"/>
  <c r="H172" i="1"/>
  <c r="I172" i="1"/>
  <c r="J172" i="1"/>
  <c r="K172" i="1"/>
  <c r="L172" i="1"/>
  <c r="F173" i="1"/>
  <c r="G173" i="1"/>
  <c r="H173" i="1"/>
  <c r="I173" i="1"/>
  <c r="J173" i="1"/>
  <c r="K173" i="1"/>
  <c r="L173" i="1"/>
  <c r="F174" i="1"/>
  <c r="G174" i="1"/>
  <c r="H174" i="1"/>
  <c r="I174" i="1"/>
  <c r="J174" i="1"/>
  <c r="K174" i="1"/>
  <c r="L174" i="1"/>
  <c r="F175" i="1"/>
  <c r="G175" i="1"/>
  <c r="H175" i="1"/>
  <c r="I175" i="1"/>
  <c r="J175" i="1"/>
  <c r="K175" i="1"/>
  <c r="L175" i="1"/>
  <c r="F176" i="1"/>
  <c r="G176" i="1"/>
  <c r="H176" i="1"/>
  <c r="I176" i="1"/>
  <c r="J176" i="1"/>
  <c r="K176" i="1"/>
  <c r="L176" i="1"/>
  <c r="F177" i="1"/>
  <c r="G177" i="1"/>
  <c r="H177" i="1"/>
  <c r="I177" i="1"/>
  <c r="J177" i="1"/>
  <c r="K177" i="1"/>
  <c r="L177" i="1"/>
  <c r="F178" i="1"/>
  <c r="G178" i="1"/>
  <c r="H178" i="1"/>
  <c r="I178" i="1"/>
  <c r="J178" i="1"/>
  <c r="K178" i="1"/>
  <c r="L178" i="1"/>
  <c r="F179" i="1"/>
  <c r="G179" i="1"/>
  <c r="H179" i="1"/>
  <c r="I179" i="1"/>
  <c r="J179" i="1"/>
  <c r="K179" i="1"/>
  <c r="L179" i="1"/>
  <c r="F180" i="1"/>
  <c r="G180" i="1"/>
  <c r="H180" i="1"/>
  <c r="I180" i="1"/>
  <c r="J180" i="1"/>
  <c r="K180" i="1"/>
  <c r="L180" i="1"/>
  <c r="F181" i="1"/>
  <c r="G181" i="1"/>
  <c r="H181" i="1"/>
  <c r="I181" i="1"/>
  <c r="J181" i="1"/>
  <c r="K181" i="1"/>
  <c r="L181" i="1"/>
  <c r="F182" i="1"/>
  <c r="G182" i="1"/>
  <c r="H182" i="1"/>
  <c r="I182" i="1"/>
  <c r="J182" i="1"/>
  <c r="K182" i="1"/>
  <c r="L182" i="1"/>
  <c r="F183" i="1"/>
  <c r="G183" i="1"/>
  <c r="H183" i="1"/>
  <c r="I183" i="1"/>
  <c r="J183" i="1"/>
  <c r="K183" i="1"/>
  <c r="L183" i="1"/>
  <c r="F184" i="1"/>
  <c r="G184" i="1"/>
  <c r="H184" i="1"/>
  <c r="I184" i="1"/>
  <c r="J184" i="1"/>
  <c r="K184" i="1"/>
  <c r="L184" i="1"/>
  <c r="F185" i="1"/>
  <c r="G185" i="1"/>
  <c r="H185" i="1"/>
  <c r="I185" i="1"/>
  <c r="J185" i="1"/>
  <c r="K185" i="1"/>
  <c r="L185" i="1"/>
  <c r="F186" i="1"/>
  <c r="G186" i="1"/>
  <c r="H186" i="1"/>
  <c r="I186" i="1"/>
  <c r="J186" i="1"/>
  <c r="K186" i="1"/>
  <c r="L186" i="1"/>
  <c r="F187" i="1"/>
  <c r="G187" i="1"/>
  <c r="H187" i="1"/>
  <c r="I187" i="1"/>
  <c r="J187" i="1"/>
  <c r="K187" i="1"/>
  <c r="L187" i="1"/>
  <c r="F188" i="1"/>
  <c r="G188" i="1"/>
  <c r="H188" i="1"/>
  <c r="I188" i="1"/>
  <c r="J188" i="1"/>
  <c r="K188" i="1"/>
  <c r="L188" i="1"/>
  <c r="F189" i="1"/>
  <c r="G189" i="1"/>
  <c r="H189" i="1"/>
  <c r="I189" i="1"/>
  <c r="J189" i="1"/>
  <c r="K189" i="1"/>
  <c r="L189" i="1"/>
  <c r="F190" i="1"/>
  <c r="G190" i="1"/>
  <c r="H190" i="1"/>
  <c r="I190" i="1"/>
  <c r="J190" i="1"/>
  <c r="K190" i="1"/>
  <c r="L190" i="1"/>
  <c r="F191" i="1"/>
  <c r="G191" i="1"/>
  <c r="H191" i="1"/>
  <c r="I191" i="1"/>
  <c r="J191" i="1"/>
  <c r="K191" i="1"/>
  <c r="L191" i="1"/>
  <c r="F192" i="1"/>
  <c r="G192" i="1"/>
  <c r="H192" i="1"/>
  <c r="I192" i="1"/>
  <c r="J192" i="1"/>
  <c r="K192" i="1"/>
  <c r="L192" i="1"/>
  <c r="F193" i="1"/>
  <c r="G193" i="1"/>
  <c r="H193" i="1"/>
  <c r="I193" i="1"/>
  <c r="J193" i="1"/>
  <c r="K193" i="1"/>
  <c r="L193" i="1"/>
  <c r="F194" i="1"/>
  <c r="G194" i="1"/>
  <c r="H194" i="1"/>
  <c r="I194" i="1"/>
  <c r="J194" i="1"/>
  <c r="K194" i="1"/>
  <c r="L194" i="1"/>
  <c r="F195" i="1"/>
  <c r="G195" i="1"/>
  <c r="H195" i="1"/>
  <c r="I195" i="1"/>
  <c r="J195" i="1"/>
  <c r="K195" i="1"/>
  <c r="L195" i="1"/>
  <c r="F196" i="1"/>
  <c r="G196" i="1"/>
  <c r="H196" i="1"/>
  <c r="I196" i="1"/>
  <c r="J196" i="1"/>
  <c r="K196" i="1"/>
  <c r="L196" i="1"/>
  <c r="F197" i="1"/>
  <c r="G197" i="1"/>
  <c r="H197" i="1"/>
  <c r="I197" i="1"/>
  <c r="J197" i="1"/>
  <c r="K197" i="1"/>
  <c r="L197" i="1"/>
  <c r="F198" i="1"/>
  <c r="G198" i="1"/>
  <c r="H198" i="1"/>
  <c r="I198" i="1"/>
  <c r="J198" i="1"/>
  <c r="K198" i="1"/>
  <c r="L198" i="1"/>
  <c r="F199" i="1"/>
  <c r="G199" i="1"/>
  <c r="H199" i="1"/>
  <c r="I199" i="1"/>
  <c r="J199" i="1"/>
  <c r="K199" i="1"/>
  <c r="L199" i="1"/>
  <c r="F200" i="1"/>
  <c r="G200" i="1"/>
  <c r="H200" i="1"/>
  <c r="I200" i="1"/>
  <c r="J200" i="1"/>
  <c r="K200" i="1"/>
  <c r="L200" i="1"/>
  <c r="F201" i="1"/>
  <c r="G201" i="1"/>
  <c r="H201" i="1"/>
  <c r="I201" i="1"/>
  <c r="J201" i="1"/>
  <c r="K201" i="1"/>
  <c r="L201" i="1"/>
  <c r="F202" i="1"/>
  <c r="G202" i="1"/>
  <c r="H202" i="1"/>
  <c r="I202" i="1"/>
  <c r="J202" i="1"/>
  <c r="K202" i="1"/>
  <c r="L202" i="1"/>
  <c r="F203" i="1"/>
  <c r="G203" i="1"/>
  <c r="H203" i="1"/>
  <c r="I203" i="1"/>
  <c r="J203" i="1"/>
  <c r="K203" i="1"/>
  <c r="L203" i="1"/>
  <c r="F204" i="1"/>
  <c r="G204" i="1"/>
  <c r="H204" i="1"/>
  <c r="I204" i="1"/>
  <c r="J204" i="1"/>
  <c r="K204" i="1"/>
  <c r="L204" i="1"/>
  <c r="F205" i="1"/>
  <c r="G205" i="1"/>
  <c r="H205" i="1"/>
  <c r="I205" i="1"/>
  <c r="J205" i="1"/>
  <c r="K205" i="1"/>
  <c r="L205" i="1"/>
  <c r="F206" i="1"/>
  <c r="G206" i="1"/>
  <c r="H206" i="1"/>
  <c r="I206" i="1"/>
  <c r="J206" i="1"/>
  <c r="K206" i="1"/>
  <c r="L206" i="1"/>
  <c r="F207" i="1"/>
  <c r="G207" i="1"/>
  <c r="H207" i="1"/>
  <c r="I207" i="1"/>
  <c r="J207" i="1"/>
  <c r="K207" i="1"/>
  <c r="L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Q4r1</t>
        </is>
      </c>
      <c r="C1" t="inlineStr">
        <is>
          <t>Q4r2</t>
        </is>
      </c>
      <c r="D1" t="inlineStr">
        <is>
          <t>Q5r1</t>
        </is>
      </c>
      <c r="E1" t="inlineStr">
        <is>
          <t>Q5r2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All_Questions_Q4_F_passes_per_q_filter</t>
        </is>
      </c>
      <c r="L1" t="inlineStr">
        <is>
          <t>All_Questions_Q5_F_passes_per_q_filter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4_F_Q="(None)",All_Questions_Q4_F_Q="",ISBLANK(All_Questions_Q4_F_Q),All_Questions_Q4_F_V="(All)",All_Questions_Q4_F_V="",ISBLANK(All_Questions_Q4_F_V)),1,IFERROR(IF(ISNUMBER(SEARCH("|"&amp;INDEX(INDIRECT(All_Questions_Q4_F_resolved_column),1)&amp;"|",All_Questions_Q4_F_wrapped)),1,0),0))*1</f>
        <v>1</v>
      </c>
      <c r="L2">
        <f>IF(OR(All_Questions_Q5_F_Q="(None)",All_Questions_Q5_F_Q="",ISBLANK(All_Questions_Q5_F_Q),All_Questions_Q5_F_V="(All)",All_Questions_Q5_F_V="",ISBLANK(All_Questions_Q5_F_V)),1,IFERROR(IF(ISNUMBER(SEARCH("|"&amp;INDEX(INDIRECT(All_Questions_Q5_F_resolved_column),1)&amp;"|",All_Questions_Q5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E3" t="inlineStr">
        <is>
          <t>Selected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4_F_Q="(None)",All_Questions_Q4_F_Q="",ISBLANK(All_Questions_Q4_F_Q),All_Questions_Q4_F_V="(All)",All_Questions_Q4_F_V="",ISBLANK(All_Questions_Q4_F_V)),1,IFERROR(IF(ISNUMBER(SEARCH("|"&amp;INDEX(INDIRECT(All_Questions_Q4_F_resolved_column),2)&amp;"|",All_Questions_Q4_F_wrapped)),1,0),0))*1</f>
        <v>1</v>
      </c>
      <c r="L3">
        <f>IF(OR(All_Questions_Q5_F_Q="(None)",All_Questions_Q5_F_Q="",ISBLANK(All_Questions_Q5_F_Q),All_Questions_Q5_F_V="(All)",All_Questions_Q5_F_V="",ISBLANK(All_Questions_Q5_F_V)),1,IFERROR(IF(ISNUMBER(SEARCH("|"&amp;INDEX(INDIRECT(All_Questions_Q5_F_resolved_column),2)&amp;"|",All_Questions_Q5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D4" t="inlineStr">
        <is>
          <t>Selected</t>
        </is>
      </c>
      <c r="E4" t="inlineStr">
        <is>
          <t>Selected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4_F_Q="(None)",All_Questions_Q4_F_Q="",ISBLANK(All_Questions_Q4_F_Q),All_Questions_Q4_F_V="(All)",All_Questions_Q4_F_V="",ISBLANK(All_Questions_Q4_F_V)),1,IFERROR(IF(ISNUMBER(SEARCH("|"&amp;INDEX(INDIRECT(All_Questions_Q4_F_resolved_column),3)&amp;"|",All_Questions_Q4_F_wrapped)),1,0),0))*1</f>
        <v>1</v>
      </c>
      <c r="L4">
        <f>IF(OR(All_Questions_Q5_F_Q="(None)",All_Questions_Q5_F_Q="",ISBLANK(All_Questions_Q5_F_Q),All_Questions_Q5_F_V="(All)",All_Questions_Q5_F_V="",ISBLANK(All_Questions_Q5_F_V)),1,IFERROR(IF(ISNUMBER(SEARCH("|"&amp;INDEX(INDIRECT(All_Questions_Q5_F_resolved_column),3)&amp;"|",All_Questions_Q5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D5" t="inlineStr">
        <is>
          <t>Selected</t>
        </is>
      </c>
      <c r="E5" t="inlineStr">
        <is>
          <t>Selected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4_F_Q="(None)",All_Questions_Q4_F_Q="",ISBLANK(All_Questions_Q4_F_Q),All_Questions_Q4_F_V="(All)",All_Questions_Q4_F_V="",ISBLANK(All_Questions_Q4_F_V)),1,IFERROR(IF(ISNUMBER(SEARCH("|"&amp;INDEX(INDIRECT(All_Questions_Q4_F_resolved_column),4)&amp;"|",All_Questions_Q4_F_wrapped)),1,0),0))*1</f>
        <v>1</v>
      </c>
      <c r="L5">
        <f>IF(OR(All_Questions_Q5_F_Q="(None)",All_Questions_Q5_F_Q="",ISBLANK(All_Questions_Q5_F_Q),All_Questions_Q5_F_V="(All)",All_Questions_Q5_F_V="",ISBLANK(All_Questions_Q5_F_V)),1,IFERROR(IF(ISNUMBER(SEARCH("|"&amp;INDEX(INDIRECT(All_Questions_Q5_F_resolved_column),4)&amp;"|",All_Questions_Q5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D6" t="inlineStr">
        <is>
          <t>Selected</t>
        </is>
      </c>
      <c r="E6" t="inlineStr">
        <is>
          <t>Selected</t>
        </is>
      </c>
      <c r="F6">
        <f>1</f>
        <v>1</v>
      </c>
      <c r="G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H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I6">
        <f>G6*H6*1</f>
        <v>1</v>
      </c>
      <c r="J6">
        <f>1</f>
        <v>1</v>
      </c>
      <c r="K6">
        <f>IF(OR(All_Questions_Q4_F_Q="(None)",All_Questions_Q4_F_Q="",ISBLANK(All_Questions_Q4_F_Q),All_Questions_Q4_F_V="(All)",All_Questions_Q4_F_V="",ISBLANK(All_Questions_Q4_F_V)),1,IFERROR(IF(ISNUMBER(SEARCH("|"&amp;INDEX(INDIRECT(All_Questions_Q4_F_resolved_column),5)&amp;"|",All_Questions_Q4_F_wrapped)),1,0),0))*1</f>
        <v>1</v>
      </c>
      <c r="L6">
        <f>IF(OR(All_Questions_Q5_F_Q="(None)",All_Questions_Q5_F_Q="",ISBLANK(All_Questions_Q5_F_Q),All_Questions_Q5_F_V="(All)",All_Questions_Q5_F_V="",ISBLANK(All_Questions_Q5_F_V)),1,IFERROR(IF(ISNUMBER(SEARCH("|"&amp;INDEX(INDIRECT(All_Questions_Q5_F_resolved_column),5)&amp;"|",All_Questions_Q5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D7" t="inlineStr">
        <is>
          <t>Selected</t>
        </is>
      </c>
      <c r="E7" t="inlineStr">
        <is>
          <t>Selected</t>
        </is>
      </c>
      <c r="F7">
        <f>1</f>
        <v>1</v>
      </c>
      <c r="G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H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I7">
        <f>G7*H7*1</f>
        <v>1</v>
      </c>
      <c r="J7">
        <f>1</f>
        <v>1</v>
      </c>
      <c r="K7">
        <f>IF(OR(All_Questions_Q4_F_Q="(None)",All_Questions_Q4_F_Q="",ISBLANK(All_Questions_Q4_F_Q),All_Questions_Q4_F_V="(All)",All_Questions_Q4_F_V="",ISBLANK(All_Questions_Q4_F_V)),1,IFERROR(IF(ISNUMBER(SEARCH("|"&amp;INDEX(INDIRECT(All_Questions_Q4_F_resolved_column),6)&amp;"|",All_Questions_Q4_F_wrapped)),1,0),0))*1</f>
        <v>1</v>
      </c>
      <c r="L7">
        <f>IF(OR(All_Questions_Q5_F_Q="(None)",All_Questions_Q5_F_Q="",ISBLANK(All_Questions_Q5_F_Q),All_Questions_Q5_F_V="(All)",All_Questions_Q5_F_V="",ISBLANK(All_Questions_Q5_F_V)),1,IFERROR(IF(ISNUMBER(SEARCH("|"&amp;INDEX(INDIRECT(All_Questions_Q5_F_resolved_column),6)&amp;"|",All_Questions_Q5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D8" t="inlineStr">
        <is>
          <t>Selected</t>
        </is>
      </c>
      <c r="E8" t="inlineStr">
        <is>
          <t>Selected</t>
        </is>
      </c>
      <c r="F8">
        <f>1</f>
        <v>1</v>
      </c>
      <c r="G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H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I8">
        <f>G8*H8*1</f>
        <v>1</v>
      </c>
      <c r="J8">
        <f>1</f>
        <v>1</v>
      </c>
      <c r="K8">
        <f>IF(OR(All_Questions_Q4_F_Q="(None)",All_Questions_Q4_F_Q="",ISBLANK(All_Questions_Q4_F_Q),All_Questions_Q4_F_V="(All)",All_Questions_Q4_F_V="",ISBLANK(All_Questions_Q4_F_V)),1,IFERROR(IF(ISNUMBER(SEARCH("|"&amp;INDEX(INDIRECT(All_Questions_Q4_F_resolved_column),7)&amp;"|",All_Questions_Q4_F_wrapped)),1,0),0))*1</f>
        <v>1</v>
      </c>
      <c r="L8">
        <f>IF(OR(All_Questions_Q5_F_Q="(None)",All_Questions_Q5_F_Q="",ISBLANK(All_Questions_Q5_F_Q),All_Questions_Q5_F_V="(All)",All_Questions_Q5_F_V="",ISBLANK(All_Questions_Q5_F_V)),1,IFERROR(IF(ISNUMBER(SEARCH("|"&amp;INDEX(INDIRECT(All_Questions_Q5_F_resolved_column),7)&amp;"|",All_Questions_Q5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D9" t="inlineStr">
        <is>
          <t>Selected</t>
        </is>
      </c>
      <c r="E9" t="inlineStr">
        <is>
          <t>Selected</t>
        </is>
      </c>
      <c r="F9">
        <f>1</f>
        <v>1</v>
      </c>
      <c r="G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H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I9">
        <f>G9*H9*1</f>
        <v>1</v>
      </c>
      <c r="J9">
        <f>1</f>
        <v>1</v>
      </c>
      <c r="K9">
        <f>IF(OR(All_Questions_Q4_F_Q="(None)",All_Questions_Q4_F_Q="",ISBLANK(All_Questions_Q4_F_Q),All_Questions_Q4_F_V="(All)",All_Questions_Q4_F_V="",ISBLANK(All_Questions_Q4_F_V)),1,IFERROR(IF(ISNUMBER(SEARCH("|"&amp;INDEX(INDIRECT(All_Questions_Q4_F_resolved_column),8)&amp;"|",All_Questions_Q4_F_wrapped)),1,0),0))*1</f>
        <v>1</v>
      </c>
      <c r="L9">
        <f>IF(OR(All_Questions_Q5_F_Q="(None)",All_Questions_Q5_F_Q="",ISBLANK(All_Questions_Q5_F_Q),All_Questions_Q5_F_V="(All)",All_Questions_Q5_F_V="",ISBLANK(All_Questions_Q5_F_V)),1,IFERROR(IF(ISNUMBER(SEARCH("|"&amp;INDEX(INDIRECT(All_Questions_Q5_F_resolved_column),8)&amp;"|",All_Questions_Q5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D10" t="inlineStr">
        <is>
          <t>Selected</t>
        </is>
      </c>
      <c r="E10" t="inlineStr">
        <is>
          <t>Selected</t>
        </is>
      </c>
      <c r="F10">
        <f>1</f>
        <v>1</v>
      </c>
      <c r="G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H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I10">
        <f>G10*H10*1</f>
        <v>1</v>
      </c>
      <c r="J10">
        <f>1</f>
        <v>1</v>
      </c>
      <c r="K10">
        <f>IF(OR(All_Questions_Q4_F_Q="(None)",All_Questions_Q4_F_Q="",ISBLANK(All_Questions_Q4_F_Q),All_Questions_Q4_F_V="(All)",All_Questions_Q4_F_V="",ISBLANK(All_Questions_Q4_F_V)),1,IFERROR(IF(ISNUMBER(SEARCH("|"&amp;INDEX(INDIRECT(All_Questions_Q4_F_resolved_column),9)&amp;"|",All_Questions_Q4_F_wrapped)),1,0),0))*1</f>
        <v>1</v>
      </c>
      <c r="L10">
        <f>IF(OR(All_Questions_Q5_F_Q="(None)",All_Questions_Q5_F_Q="",ISBLANK(All_Questions_Q5_F_Q),All_Questions_Q5_F_V="(All)",All_Questions_Q5_F_V="",ISBLANK(All_Questions_Q5_F_V)),1,IFERROR(IF(ISNUMBER(SEARCH("|"&amp;INDEX(INDIRECT(All_Questions_Q5_F_resolved_column),9)&amp;"|",All_Questions_Q5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D11" t="inlineStr">
        <is>
          <t>Selected</t>
        </is>
      </c>
      <c r="E11" t="inlineStr">
        <is>
          <t>Selected</t>
        </is>
      </c>
      <c r="F11">
        <f>1</f>
        <v>1</v>
      </c>
      <c r="G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H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I11">
        <f>G11*H11*1</f>
        <v>1</v>
      </c>
      <c r="J11">
        <f>1</f>
        <v>1</v>
      </c>
      <c r="K11">
        <f>IF(OR(All_Questions_Q4_F_Q="(None)",All_Questions_Q4_F_Q="",ISBLANK(All_Questions_Q4_F_Q),All_Questions_Q4_F_V="(All)",All_Questions_Q4_F_V="",ISBLANK(All_Questions_Q4_F_V)),1,IFERROR(IF(ISNUMBER(SEARCH("|"&amp;INDEX(INDIRECT(All_Questions_Q4_F_resolved_column),10)&amp;"|",All_Questions_Q4_F_wrapped)),1,0),0))*1</f>
        <v>1</v>
      </c>
      <c r="L11">
        <f>IF(OR(All_Questions_Q5_F_Q="(None)",All_Questions_Q5_F_Q="",ISBLANK(All_Questions_Q5_F_Q),All_Questions_Q5_F_V="(All)",All_Questions_Q5_F_V="",ISBLANK(All_Questions_Q5_F_V)),1,IFERROR(IF(ISNUMBER(SEARCH("|"&amp;INDEX(INDIRECT(All_Questions_Q5_F_resolved_column),10)&amp;"|",All_Questions_Q5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D12" t="inlineStr">
        <is>
          <t>Selected</t>
        </is>
      </c>
      <c r="E12" t="inlineStr">
        <is>
          <t>Selected</t>
        </is>
      </c>
      <c r="F12">
        <f>1</f>
        <v>1</v>
      </c>
      <c r="G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H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I12">
        <f>G12*H12*1</f>
        <v>1</v>
      </c>
      <c r="J12">
        <f>1</f>
        <v>1</v>
      </c>
      <c r="K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11)&amp;"|",All_Questions_Q4_F_wrapped)),1,0),0))*1</f>
        <v>1</v>
      </c>
      <c r="L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11)&amp;"|",All_Questions_Q5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D13" t="inlineStr">
        <is>
          <t>Selected</t>
        </is>
      </c>
      <c r="E13" t="inlineStr">
        <is>
          <t>Selected</t>
        </is>
      </c>
      <c r="F13">
        <f>1</f>
        <v>1</v>
      </c>
      <c r="G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H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I13">
        <f>G13*H13*1</f>
        <v>1</v>
      </c>
      <c r="J13">
        <f>1</f>
        <v>1</v>
      </c>
      <c r="K13">
        <f>IF(OR(All_Questions_Q4_F_Q="(None)",All_Questions_Q4_F_Q="",ISBLANK(All_Questions_Q4_F_Q),All_Questions_Q4_F_V="(All)",All_Questions_Q4_F_V="",ISBLANK(All_Questions_Q4_F_V)),1,IFERROR(IF(ISNUMBER(SEARCH("|"&amp;INDEX(INDIRECT(All_Questions_Q4_F_resolved_column),12)&amp;"|",All_Questions_Q4_F_wrapped)),1,0),0))*1</f>
        <v>1</v>
      </c>
      <c r="L13">
        <f>IF(OR(All_Questions_Q5_F_Q="(None)",All_Questions_Q5_F_Q="",ISBLANK(All_Questions_Q5_F_Q),All_Questions_Q5_F_V="(All)",All_Questions_Q5_F_V="",ISBLANK(All_Questions_Q5_F_V)),1,IFERROR(IF(ISNUMBER(SEARCH("|"&amp;INDEX(INDIRECT(All_Questions_Q5_F_resolved_column),12)&amp;"|",All_Questions_Q5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D14" t="inlineStr">
        <is>
          <t>Selected</t>
        </is>
      </c>
      <c r="E14" t="inlineStr">
        <is>
          <t>Selected</t>
        </is>
      </c>
      <c r="F14">
        <f>1</f>
        <v>1</v>
      </c>
      <c r="G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H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I14">
        <f>G14*H14*1</f>
        <v>1</v>
      </c>
      <c r="J14">
        <f>1</f>
        <v>1</v>
      </c>
      <c r="K14">
        <f>IF(OR(All_Questions_Q4_F_Q="(None)",All_Questions_Q4_F_Q="",ISBLANK(All_Questions_Q4_F_Q),All_Questions_Q4_F_V="(All)",All_Questions_Q4_F_V="",ISBLANK(All_Questions_Q4_F_V)),1,IFERROR(IF(ISNUMBER(SEARCH("|"&amp;INDEX(INDIRECT(All_Questions_Q4_F_resolved_column),13)&amp;"|",All_Questions_Q4_F_wrapped)),1,0),0))*1</f>
        <v>1</v>
      </c>
      <c r="L14">
        <f>IF(OR(All_Questions_Q5_F_Q="(None)",All_Questions_Q5_F_Q="",ISBLANK(All_Questions_Q5_F_Q),All_Questions_Q5_F_V="(All)",All_Questions_Q5_F_V="",ISBLANK(All_Questions_Q5_F_V)),1,IFERROR(IF(ISNUMBER(SEARCH("|"&amp;INDEX(INDIRECT(All_Questions_Q5_F_resolved_column),13)&amp;"|",All_Questions_Q5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D15" t="inlineStr">
        <is>
          <t>Selected</t>
        </is>
      </c>
      <c r="E15" t="inlineStr">
        <is>
          <t>Selected</t>
        </is>
      </c>
      <c r="F15">
        <f>1</f>
        <v>1</v>
      </c>
      <c r="G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H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I15">
        <f>G15*H15*1</f>
        <v>1</v>
      </c>
      <c r="J15">
        <f>1</f>
        <v>1</v>
      </c>
      <c r="K15">
        <f>IF(OR(All_Questions_Q4_F_Q="(None)",All_Questions_Q4_F_Q="",ISBLANK(All_Questions_Q4_F_Q),All_Questions_Q4_F_V="(All)",All_Questions_Q4_F_V="",ISBLANK(All_Questions_Q4_F_V)),1,IFERROR(IF(ISNUMBER(SEARCH("|"&amp;INDEX(INDIRECT(All_Questions_Q4_F_resolved_column),14)&amp;"|",All_Questions_Q4_F_wrapped)),1,0),0))*1</f>
        <v>1</v>
      </c>
      <c r="L15">
        <f>IF(OR(All_Questions_Q5_F_Q="(None)",All_Questions_Q5_F_Q="",ISBLANK(All_Questions_Q5_F_Q),All_Questions_Q5_F_V="(All)",All_Questions_Q5_F_V="",ISBLANK(All_Questions_Q5_F_V)),1,IFERROR(IF(ISNUMBER(SEARCH("|"&amp;INDEX(INDIRECT(All_Questions_Q5_F_resolved_column),14)&amp;"|",All_Questions_Q5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D16" t="inlineStr">
        <is>
          <t>Selected</t>
        </is>
      </c>
      <c r="E16" t="inlineStr">
        <is>
          <t>Selected</t>
        </is>
      </c>
      <c r="F16">
        <f>1</f>
        <v>1</v>
      </c>
      <c r="G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H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I16">
        <f>G16*H16*1</f>
        <v>1</v>
      </c>
      <c r="J16">
        <f>1</f>
        <v>1</v>
      </c>
      <c r="K16">
        <f>IF(OR(All_Questions_Q4_F_Q="(None)",All_Questions_Q4_F_Q="",ISBLANK(All_Questions_Q4_F_Q),All_Questions_Q4_F_V="(All)",All_Questions_Q4_F_V="",ISBLANK(All_Questions_Q4_F_V)),1,IFERROR(IF(ISNUMBER(SEARCH("|"&amp;INDEX(INDIRECT(All_Questions_Q4_F_resolved_column),15)&amp;"|",All_Questions_Q4_F_wrapped)),1,0),0))*1</f>
        <v>1</v>
      </c>
      <c r="L16">
        <f>IF(OR(All_Questions_Q5_F_Q="(None)",All_Questions_Q5_F_Q="",ISBLANK(All_Questions_Q5_F_Q),All_Questions_Q5_F_V="(All)",All_Questions_Q5_F_V="",ISBLANK(All_Questions_Q5_F_V)),1,IFERROR(IF(ISNUMBER(SEARCH("|"&amp;INDEX(INDIRECT(All_Questions_Q5_F_resolved_column),15)&amp;"|",All_Questions_Q5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D17" t="inlineStr">
        <is>
          <t>Selected</t>
        </is>
      </c>
      <c r="E17" t="inlineStr">
        <is>
          <t>Selected</t>
        </is>
      </c>
      <c r="F17">
        <f>1</f>
        <v>1</v>
      </c>
      <c r="G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H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I17">
        <f>G17*H17*1</f>
        <v>1</v>
      </c>
      <c r="J17">
        <f>1</f>
        <v>1</v>
      </c>
      <c r="K17">
        <f>IF(OR(All_Questions_Q4_F_Q="(None)",All_Questions_Q4_F_Q="",ISBLANK(All_Questions_Q4_F_Q),All_Questions_Q4_F_V="(All)",All_Questions_Q4_F_V="",ISBLANK(All_Questions_Q4_F_V)),1,IFERROR(IF(ISNUMBER(SEARCH("|"&amp;INDEX(INDIRECT(All_Questions_Q4_F_resolved_column),16)&amp;"|",All_Questions_Q4_F_wrapped)),1,0),0))*1</f>
        <v>1</v>
      </c>
      <c r="L17">
        <f>IF(OR(All_Questions_Q5_F_Q="(None)",All_Questions_Q5_F_Q="",ISBLANK(All_Questions_Q5_F_Q),All_Questions_Q5_F_V="(All)",All_Questions_Q5_F_V="",ISBLANK(All_Questions_Q5_F_V)),1,IFERROR(IF(ISNUMBER(SEARCH("|"&amp;INDEX(INDIRECT(All_Questions_Q5_F_resolved_column),16)&amp;"|",All_Questions_Q5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D18" t="inlineStr">
        <is>
          <t>Selected</t>
        </is>
      </c>
      <c r="E18" t="inlineStr">
        <is>
          <t>Selected</t>
        </is>
      </c>
      <c r="F18">
        <f>1</f>
        <v>1</v>
      </c>
      <c r="G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H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I18">
        <f>G18*H18*1</f>
        <v>1</v>
      </c>
      <c r="J18">
        <f>1</f>
        <v>1</v>
      </c>
      <c r="K18">
        <f>IF(OR(All_Questions_Q4_F_Q="(None)",All_Questions_Q4_F_Q="",ISBLANK(All_Questions_Q4_F_Q),All_Questions_Q4_F_V="(All)",All_Questions_Q4_F_V="",ISBLANK(All_Questions_Q4_F_V)),1,IFERROR(IF(ISNUMBER(SEARCH("|"&amp;INDEX(INDIRECT(All_Questions_Q4_F_resolved_column),17)&amp;"|",All_Questions_Q4_F_wrapped)),1,0),0))*1</f>
        <v>1</v>
      </c>
      <c r="L18">
        <f>IF(OR(All_Questions_Q5_F_Q="(None)",All_Questions_Q5_F_Q="",ISBLANK(All_Questions_Q5_F_Q),All_Questions_Q5_F_V="(All)",All_Questions_Q5_F_V="",ISBLANK(All_Questions_Q5_F_V)),1,IFERROR(IF(ISNUMBER(SEARCH("|"&amp;INDEX(INDIRECT(All_Questions_Q5_F_resolved_column),17)&amp;"|",All_Questions_Q5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D19" t="inlineStr">
        <is>
          <t>Selected</t>
        </is>
      </c>
      <c r="E19" t="inlineStr">
        <is>
          <t>Selected</t>
        </is>
      </c>
      <c r="F19">
        <f>1</f>
        <v>1</v>
      </c>
      <c r="G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H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I19">
        <f>G19*H19*1</f>
        <v>1</v>
      </c>
      <c r="J19">
        <f>1</f>
        <v>1</v>
      </c>
      <c r="K19">
        <f>IF(OR(All_Questions_Q4_F_Q="(None)",All_Questions_Q4_F_Q="",ISBLANK(All_Questions_Q4_F_Q),All_Questions_Q4_F_V="(All)",All_Questions_Q4_F_V="",ISBLANK(All_Questions_Q4_F_V)),1,IFERROR(IF(ISNUMBER(SEARCH("|"&amp;INDEX(INDIRECT(All_Questions_Q4_F_resolved_column),18)&amp;"|",All_Questions_Q4_F_wrapped)),1,0),0))*1</f>
        <v>1</v>
      </c>
      <c r="L19">
        <f>IF(OR(All_Questions_Q5_F_Q="(None)",All_Questions_Q5_F_Q="",ISBLANK(All_Questions_Q5_F_Q),All_Questions_Q5_F_V="(All)",All_Questions_Q5_F_V="",ISBLANK(All_Questions_Q5_F_V)),1,IFERROR(IF(ISNUMBER(SEARCH("|"&amp;INDEX(INDIRECT(All_Questions_Q5_F_resolved_column),18)&amp;"|",All_Questions_Q5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D20" t="inlineStr">
        <is>
          <t>Selected</t>
        </is>
      </c>
      <c r="E20" t="inlineStr">
        <is>
          <t>Selected</t>
        </is>
      </c>
      <c r="F20">
        <f>1</f>
        <v>1</v>
      </c>
      <c r="G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H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I20">
        <f>G20*H20*1</f>
        <v>1</v>
      </c>
      <c r="J20">
        <f>1</f>
        <v>1</v>
      </c>
      <c r="K20">
        <f>IF(OR(All_Questions_Q4_F_Q="(None)",All_Questions_Q4_F_Q="",ISBLANK(All_Questions_Q4_F_Q),All_Questions_Q4_F_V="(All)",All_Questions_Q4_F_V="",ISBLANK(All_Questions_Q4_F_V)),1,IFERROR(IF(ISNUMBER(SEARCH("|"&amp;INDEX(INDIRECT(All_Questions_Q4_F_resolved_column),19)&amp;"|",All_Questions_Q4_F_wrapped)),1,0),0))*1</f>
        <v>1</v>
      </c>
      <c r="L20">
        <f>IF(OR(All_Questions_Q5_F_Q="(None)",All_Questions_Q5_F_Q="",ISBLANK(All_Questions_Q5_F_Q),All_Questions_Q5_F_V="(All)",All_Questions_Q5_F_V="",ISBLANK(All_Questions_Q5_F_V)),1,IFERROR(IF(ISNUMBER(SEARCH("|"&amp;INDEX(INDIRECT(All_Questions_Q5_F_resolved_column),19)&amp;"|",All_Questions_Q5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D21" t="inlineStr">
        <is>
          <t>Selected</t>
        </is>
      </c>
      <c r="E21" t="inlineStr">
        <is>
          <t>Selected</t>
        </is>
      </c>
      <c r="F21">
        <f>1</f>
        <v>1</v>
      </c>
      <c r="G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H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I21">
        <f>G21*H21*1</f>
        <v>1</v>
      </c>
      <c r="J21">
        <f>1</f>
        <v>1</v>
      </c>
      <c r="K21">
        <f>IF(OR(All_Questions_Q4_F_Q="(None)",All_Questions_Q4_F_Q="",ISBLANK(All_Questions_Q4_F_Q),All_Questions_Q4_F_V="(All)",All_Questions_Q4_F_V="",ISBLANK(All_Questions_Q4_F_V)),1,IFERROR(IF(ISNUMBER(SEARCH("|"&amp;INDEX(INDIRECT(All_Questions_Q4_F_resolved_column),20)&amp;"|",All_Questions_Q4_F_wrapped)),1,0),0))*1</f>
        <v>1</v>
      </c>
      <c r="L21">
        <f>IF(OR(All_Questions_Q5_F_Q="(None)",All_Questions_Q5_F_Q="",ISBLANK(All_Questions_Q5_F_Q),All_Questions_Q5_F_V="(All)",All_Questions_Q5_F_V="",ISBLANK(All_Questions_Q5_F_V)),1,IFERROR(IF(ISNUMBER(SEARCH("|"&amp;INDEX(INDIRECT(All_Questions_Q5_F_resolved_column),20)&amp;"|",All_Questions_Q5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D22" t="inlineStr">
        <is>
          <t>Selected</t>
        </is>
      </c>
      <c r="E22" t="inlineStr">
        <is>
          <t>Selected</t>
        </is>
      </c>
      <c r="F22">
        <f>1</f>
        <v>1</v>
      </c>
      <c r="G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H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I22">
        <f>G22*H22*1</f>
        <v>1</v>
      </c>
      <c r="J22">
        <f>1</f>
        <v>1</v>
      </c>
      <c r="K22">
        <f>IF(OR(All_Questions_Q4_F_Q="(None)",All_Questions_Q4_F_Q="",ISBLANK(All_Questions_Q4_F_Q),All_Questions_Q4_F_V="(All)",All_Questions_Q4_F_V="",ISBLANK(All_Questions_Q4_F_V)),1,IFERROR(IF(ISNUMBER(SEARCH("|"&amp;INDEX(INDIRECT(All_Questions_Q4_F_resolved_column),21)&amp;"|",All_Questions_Q4_F_wrapped)),1,0),0))*1</f>
        <v>1</v>
      </c>
      <c r="L22">
        <f>IF(OR(All_Questions_Q5_F_Q="(None)",All_Questions_Q5_F_Q="",ISBLANK(All_Questions_Q5_F_Q),All_Questions_Q5_F_V="(All)",All_Questions_Q5_F_V="",ISBLANK(All_Questions_Q5_F_V)),1,IFERROR(IF(ISNUMBER(SEARCH("|"&amp;INDEX(INDIRECT(All_Questions_Q5_F_resolved_column),21)&amp;"|",All_Questions_Q5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D23" t="inlineStr">
        <is>
          <t>Selected</t>
        </is>
      </c>
      <c r="E23" t="inlineStr">
        <is>
          <t>Selected</t>
        </is>
      </c>
      <c r="F23">
        <f>1</f>
        <v>1</v>
      </c>
      <c r="G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H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I23">
        <f>G23*H23*1</f>
        <v>1</v>
      </c>
      <c r="J23">
        <f>1</f>
        <v>1</v>
      </c>
      <c r="K23">
        <f>IF(OR(All_Questions_Q4_F_Q="(None)",All_Questions_Q4_F_Q="",ISBLANK(All_Questions_Q4_F_Q),All_Questions_Q4_F_V="(All)",All_Questions_Q4_F_V="",ISBLANK(All_Questions_Q4_F_V)),1,IFERROR(IF(ISNUMBER(SEARCH("|"&amp;INDEX(INDIRECT(All_Questions_Q4_F_resolved_column),22)&amp;"|",All_Questions_Q4_F_wrapped)),1,0),0))*1</f>
        <v>1</v>
      </c>
      <c r="L23">
        <f>IF(OR(All_Questions_Q5_F_Q="(None)",All_Questions_Q5_F_Q="",ISBLANK(All_Questions_Q5_F_Q),All_Questions_Q5_F_V="(All)",All_Questions_Q5_F_V="",ISBLANK(All_Questions_Q5_F_V)),1,IFERROR(IF(ISNUMBER(SEARCH("|"&amp;INDEX(INDIRECT(All_Questions_Q5_F_resolved_column),22)&amp;"|",All_Questions_Q5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D24" t="inlineStr">
        <is>
          <t>Selected</t>
        </is>
      </c>
      <c r="E24" t="inlineStr">
        <is>
          <t>Selected</t>
        </is>
      </c>
      <c r="F24">
        <f>1</f>
        <v>1</v>
      </c>
      <c r="G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H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I24">
        <f>G24*H24*1</f>
        <v>1</v>
      </c>
      <c r="J24">
        <f>1</f>
        <v>1</v>
      </c>
      <c r="K24">
        <f>IF(OR(All_Questions_Q4_F_Q="(None)",All_Questions_Q4_F_Q="",ISBLANK(All_Questions_Q4_F_Q),All_Questions_Q4_F_V="(All)",All_Questions_Q4_F_V="",ISBLANK(All_Questions_Q4_F_V)),1,IFERROR(IF(ISNUMBER(SEARCH("|"&amp;INDEX(INDIRECT(All_Questions_Q4_F_resolved_column),23)&amp;"|",All_Questions_Q4_F_wrapped)),1,0),0))*1</f>
        <v>1</v>
      </c>
      <c r="L24">
        <f>IF(OR(All_Questions_Q5_F_Q="(None)",All_Questions_Q5_F_Q="",ISBLANK(All_Questions_Q5_F_Q),All_Questions_Q5_F_V="(All)",All_Questions_Q5_F_V="",ISBLANK(All_Questions_Q5_F_V)),1,IFERROR(IF(ISNUMBER(SEARCH("|"&amp;INDEX(INDIRECT(All_Questions_Q5_F_resolved_column),23)&amp;"|",All_Questions_Q5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D25" t="inlineStr">
        <is>
          <t>Selected</t>
        </is>
      </c>
      <c r="E25" t="inlineStr">
        <is>
          <t>Selected</t>
        </is>
      </c>
      <c r="F25">
        <f>1</f>
        <v>1</v>
      </c>
      <c r="G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H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I25">
        <f>G25*H25*1</f>
        <v>1</v>
      </c>
      <c r="J25">
        <f>1</f>
        <v>1</v>
      </c>
      <c r="K25">
        <f>IF(OR(All_Questions_Q4_F_Q="(None)",All_Questions_Q4_F_Q="",ISBLANK(All_Questions_Q4_F_Q),All_Questions_Q4_F_V="(All)",All_Questions_Q4_F_V="",ISBLANK(All_Questions_Q4_F_V)),1,IFERROR(IF(ISNUMBER(SEARCH("|"&amp;INDEX(INDIRECT(All_Questions_Q4_F_resolved_column),24)&amp;"|",All_Questions_Q4_F_wrapped)),1,0),0))*1</f>
        <v>1</v>
      </c>
      <c r="L25">
        <f>IF(OR(All_Questions_Q5_F_Q="(None)",All_Questions_Q5_F_Q="",ISBLANK(All_Questions_Q5_F_Q),All_Questions_Q5_F_V="(All)",All_Questions_Q5_F_V="",ISBLANK(All_Questions_Q5_F_V)),1,IFERROR(IF(ISNUMBER(SEARCH("|"&amp;INDEX(INDIRECT(All_Questions_Q5_F_resolved_column),24)&amp;"|",All_Questions_Q5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D26" t="inlineStr">
        <is>
          <t>Selected</t>
        </is>
      </c>
      <c r="E26" t="inlineStr">
        <is>
          <t>Selected</t>
        </is>
      </c>
      <c r="F26">
        <f>1</f>
        <v>1</v>
      </c>
      <c r="G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H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I26">
        <f>G26*H26*1</f>
        <v>1</v>
      </c>
      <c r="J26">
        <f>1</f>
        <v>1</v>
      </c>
      <c r="K26">
        <f>IF(OR(All_Questions_Q4_F_Q="(None)",All_Questions_Q4_F_Q="",ISBLANK(All_Questions_Q4_F_Q),All_Questions_Q4_F_V="(All)",All_Questions_Q4_F_V="",ISBLANK(All_Questions_Q4_F_V)),1,IFERROR(IF(ISNUMBER(SEARCH("|"&amp;INDEX(INDIRECT(All_Questions_Q4_F_resolved_column),25)&amp;"|",All_Questions_Q4_F_wrapped)),1,0),0))*1</f>
        <v>1</v>
      </c>
      <c r="L26">
        <f>IF(OR(All_Questions_Q5_F_Q="(None)",All_Questions_Q5_F_Q="",ISBLANK(All_Questions_Q5_F_Q),All_Questions_Q5_F_V="(All)",All_Questions_Q5_F_V="",ISBLANK(All_Questions_Q5_F_V)),1,IFERROR(IF(ISNUMBER(SEARCH("|"&amp;INDEX(INDIRECT(All_Questions_Q5_F_resolved_column),25)&amp;"|",All_Questions_Q5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D27" t="inlineStr">
        <is>
          <t>Selected</t>
        </is>
      </c>
      <c r="E27" t="inlineStr">
        <is>
          <t>Selected</t>
        </is>
      </c>
      <c r="F27">
        <f>1</f>
        <v>1</v>
      </c>
      <c r="G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H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I27">
        <f>G27*H27*1</f>
        <v>1</v>
      </c>
      <c r="J27">
        <f>1</f>
        <v>1</v>
      </c>
      <c r="K27">
        <f>IF(OR(All_Questions_Q4_F_Q="(None)",All_Questions_Q4_F_Q="",ISBLANK(All_Questions_Q4_F_Q),All_Questions_Q4_F_V="(All)",All_Questions_Q4_F_V="",ISBLANK(All_Questions_Q4_F_V)),1,IFERROR(IF(ISNUMBER(SEARCH("|"&amp;INDEX(INDIRECT(All_Questions_Q4_F_resolved_column),26)&amp;"|",All_Questions_Q4_F_wrapped)),1,0),0))*1</f>
        <v>1</v>
      </c>
      <c r="L27">
        <f>IF(OR(All_Questions_Q5_F_Q="(None)",All_Questions_Q5_F_Q="",ISBLANK(All_Questions_Q5_F_Q),All_Questions_Q5_F_V="(All)",All_Questions_Q5_F_V="",ISBLANK(All_Questions_Q5_F_V)),1,IFERROR(IF(ISNUMBER(SEARCH("|"&amp;INDEX(INDIRECT(All_Questions_Q5_F_resolved_column),26)&amp;"|",All_Questions_Q5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D28" t="inlineStr">
        <is>
          <t>Selected</t>
        </is>
      </c>
      <c r="E28" t="inlineStr">
        <is>
          <t>Selected</t>
        </is>
      </c>
      <c r="F28">
        <f>1</f>
        <v>1</v>
      </c>
      <c r="G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H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I28">
        <f>G28*H28*1</f>
        <v>1</v>
      </c>
      <c r="J28">
        <f>1</f>
        <v>1</v>
      </c>
      <c r="K28">
        <f>IF(OR(All_Questions_Q4_F_Q="(None)",All_Questions_Q4_F_Q="",ISBLANK(All_Questions_Q4_F_Q),All_Questions_Q4_F_V="(All)",All_Questions_Q4_F_V="",ISBLANK(All_Questions_Q4_F_V)),1,IFERROR(IF(ISNUMBER(SEARCH("|"&amp;INDEX(INDIRECT(All_Questions_Q4_F_resolved_column),27)&amp;"|",All_Questions_Q4_F_wrapped)),1,0),0))*1</f>
        <v>1</v>
      </c>
      <c r="L28">
        <f>IF(OR(All_Questions_Q5_F_Q="(None)",All_Questions_Q5_F_Q="",ISBLANK(All_Questions_Q5_F_Q),All_Questions_Q5_F_V="(All)",All_Questions_Q5_F_V="",ISBLANK(All_Questions_Q5_F_V)),1,IFERROR(IF(ISNUMBER(SEARCH("|"&amp;INDEX(INDIRECT(All_Questions_Q5_F_resolved_column),27)&amp;"|",All_Questions_Q5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D29" t="inlineStr">
        <is>
          <t>Selected</t>
        </is>
      </c>
      <c r="E29" t="inlineStr">
        <is>
          <t>Selected</t>
        </is>
      </c>
      <c r="F29">
        <f>1</f>
        <v>1</v>
      </c>
      <c r="G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H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I29">
        <f>G29*H29*1</f>
        <v>1</v>
      </c>
      <c r="J29">
        <f>1</f>
        <v>1</v>
      </c>
      <c r="K29">
        <f>IF(OR(All_Questions_Q4_F_Q="(None)",All_Questions_Q4_F_Q="",ISBLANK(All_Questions_Q4_F_Q),All_Questions_Q4_F_V="(All)",All_Questions_Q4_F_V="",ISBLANK(All_Questions_Q4_F_V)),1,IFERROR(IF(ISNUMBER(SEARCH("|"&amp;INDEX(INDIRECT(All_Questions_Q4_F_resolved_column),28)&amp;"|",All_Questions_Q4_F_wrapped)),1,0),0))*1</f>
        <v>1</v>
      </c>
      <c r="L29">
        <f>IF(OR(All_Questions_Q5_F_Q="(None)",All_Questions_Q5_F_Q="",ISBLANK(All_Questions_Q5_F_Q),All_Questions_Q5_F_V="(All)",All_Questions_Q5_F_V="",ISBLANK(All_Questions_Q5_F_V)),1,IFERROR(IF(ISNUMBER(SEARCH("|"&amp;INDEX(INDIRECT(All_Questions_Q5_F_resolved_column),28)&amp;"|",All_Questions_Q5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D30" t="inlineStr">
        <is>
          <t>Selected</t>
        </is>
      </c>
      <c r="E30" t="inlineStr">
        <is>
          <t>Selected</t>
        </is>
      </c>
      <c r="F30">
        <f>1</f>
        <v>1</v>
      </c>
      <c r="G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H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I30">
        <f>G30*H30*1</f>
        <v>1</v>
      </c>
      <c r="J30">
        <f>1</f>
        <v>1</v>
      </c>
      <c r="K30">
        <f>IF(OR(All_Questions_Q4_F_Q="(None)",All_Questions_Q4_F_Q="",ISBLANK(All_Questions_Q4_F_Q),All_Questions_Q4_F_V="(All)",All_Questions_Q4_F_V="",ISBLANK(All_Questions_Q4_F_V)),1,IFERROR(IF(ISNUMBER(SEARCH("|"&amp;INDEX(INDIRECT(All_Questions_Q4_F_resolved_column),29)&amp;"|",All_Questions_Q4_F_wrapped)),1,0),0))*1</f>
        <v>1</v>
      </c>
      <c r="L30">
        <f>IF(OR(All_Questions_Q5_F_Q="(None)",All_Questions_Q5_F_Q="",ISBLANK(All_Questions_Q5_F_Q),All_Questions_Q5_F_V="(All)",All_Questions_Q5_F_V="",ISBLANK(All_Questions_Q5_F_V)),1,IFERROR(IF(ISNUMBER(SEARCH("|"&amp;INDEX(INDIRECT(All_Questions_Q5_F_resolved_column),29)&amp;"|",All_Questions_Q5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D31" t="inlineStr">
        <is>
          <t>Selected</t>
        </is>
      </c>
      <c r="E31" t="inlineStr">
        <is>
          <t>Selected</t>
        </is>
      </c>
      <c r="F31">
        <f>1</f>
        <v>1</v>
      </c>
      <c r="G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H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I31">
        <f>G31*H31*1</f>
        <v>1</v>
      </c>
      <c r="J31">
        <f>1</f>
        <v>1</v>
      </c>
      <c r="K31">
        <f>IF(OR(All_Questions_Q4_F_Q="(None)",All_Questions_Q4_F_Q="",ISBLANK(All_Questions_Q4_F_Q),All_Questions_Q4_F_V="(All)",All_Questions_Q4_F_V="",ISBLANK(All_Questions_Q4_F_V)),1,IFERROR(IF(ISNUMBER(SEARCH("|"&amp;INDEX(INDIRECT(All_Questions_Q4_F_resolved_column),30)&amp;"|",All_Questions_Q4_F_wrapped)),1,0),0))*1</f>
        <v>1</v>
      </c>
      <c r="L31">
        <f>IF(OR(All_Questions_Q5_F_Q="(None)",All_Questions_Q5_F_Q="",ISBLANK(All_Questions_Q5_F_Q),All_Questions_Q5_F_V="(All)",All_Questions_Q5_F_V="",ISBLANK(All_Questions_Q5_F_V)),1,IFERROR(IF(ISNUMBER(SEARCH("|"&amp;INDEX(INDIRECT(All_Questions_Q5_F_resolved_column),30)&amp;"|",All_Questions_Q5_F_wrapped)),1,0),0))*1</f>
        <v>1</v>
      </c>
    </row>
    <row r="32">
      <c r="A32" t="n">
        <v>31</v>
      </c>
      <c r="B32" t="inlineStr">
        <is>
          <t>Selected</t>
        </is>
      </c>
      <c r="C32" t="inlineStr">
        <is>
          <t>Selected</t>
        </is>
      </c>
      <c r="D32" t="inlineStr">
        <is>
          <t>Selected</t>
        </is>
      </c>
      <c r="E32" t="inlineStr">
        <is>
          <t>Selected</t>
        </is>
      </c>
      <c r="F32">
        <f>1</f>
        <v>1</v>
      </c>
      <c r="G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H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I32">
        <f>G32*H32*1</f>
        <v>1</v>
      </c>
      <c r="J32">
        <f>1</f>
        <v>1</v>
      </c>
      <c r="K32">
        <f>IF(OR(All_Questions_Q4_F_Q="(None)",All_Questions_Q4_F_Q="",ISBLANK(All_Questions_Q4_F_Q),All_Questions_Q4_F_V="(All)",All_Questions_Q4_F_V="",ISBLANK(All_Questions_Q4_F_V)),1,IFERROR(IF(ISNUMBER(SEARCH("|"&amp;INDEX(INDIRECT(All_Questions_Q4_F_resolved_column),31)&amp;"|",All_Questions_Q4_F_wrapped)),1,0),0))*1</f>
        <v>1</v>
      </c>
      <c r="L32">
        <f>IF(OR(All_Questions_Q5_F_Q="(None)",All_Questions_Q5_F_Q="",ISBLANK(All_Questions_Q5_F_Q),All_Questions_Q5_F_V="(All)",All_Questions_Q5_F_V="",ISBLANK(All_Questions_Q5_F_V)),1,IFERROR(IF(ISNUMBER(SEARCH("|"&amp;INDEX(INDIRECT(All_Questions_Q5_F_resolved_column),31)&amp;"|",All_Questions_Q5_F_wrapped)),1,0),0))*1</f>
        <v>1</v>
      </c>
    </row>
    <row r="33">
      <c r="A33" t="n">
        <v>32</v>
      </c>
      <c r="B33" t="inlineStr">
        <is>
          <t>Selected</t>
        </is>
      </c>
      <c r="C33" t="inlineStr">
        <is>
          <t>Selected</t>
        </is>
      </c>
      <c r="D33" t="inlineStr">
        <is>
          <t>Selected</t>
        </is>
      </c>
      <c r="E33" t="inlineStr">
        <is>
          <t>Selected</t>
        </is>
      </c>
      <c r="F33">
        <f>1</f>
        <v>1</v>
      </c>
      <c r="G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H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I33">
        <f>G33*H33*1</f>
        <v>1</v>
      </c>
      <c r="J33">
        <f>1</f>
        <v>1</v>
      </c>
      <c r="K33">
        <f>IF(OR(All_Questions_Q4_F_Q="(None)",All_Questions_Q4_F_Q="",ISBLANK(All_Questions_Q4_F_Q),All_Questions_Q4_F_V="(All)",All_Questions_Q4_F_V="",ISBLANK(All_Questions_Q4_F_V)),1,IFERROR(IF(ISNUMBER(SEARCH("|"&amp;INDEX(INDIRECT(All_Questions_Q4_F_resolved_column),32)&amp;"|",All_Questions_Q4_F_wrapped)),1,0),0))*1</f>
        <v>1</v>
      </c>
      <c r="L33">
        <f>IF(OR(All_Questions_Q5_F_Q="(None)",All_Questions_Q5_F_Q="",ISBLANK(All_Questions_Q5_F_Q),All_Questions_Q5_F_V="(All)",All_Questions_Q5_F_V="",ISBLANK(All_Questions_Q5_F_V)),1,IFERROR(IF(ISNUMBER(SEARCH("|"&amp;INDEX(INDIRECT(All_Questions_Q5_F_resolved_column),32)&amp;"|",All_Questions_Q5_F_wrapped)),1,0),0))*1</f>
        <v>1</v>
      </c>
    </row>
    <row r="34">
      <c r="A34" t="n">
        <v>33</v>
      </c>
      <c r="B34" t="inlineStr">
        <is>
          <t>Selected</t>
        </is>
      </c>
      <c r="C34" t="inlineStr">
        <is>
          <t>Selected</t>
        </is>
      </c>
      <c r="D34" t="inlineStr">
        <is>
          <t>Selected</t>
        </is>
      </c>
      <c r="E34" t="inlineStr">
        <is>
          <t>Selected</t>
        </is>
      </c>
      <c r="F34">
        <f>1</f>
        <v>1</v>
      </c>
      <c r="G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H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I34">
        <f>G34*H34*1</f>
        <v>1</v>
      </c>
      <c r="J34">
        <f>1</f>
        <v>1</v>
      </c>
      <c r="K34">
        <f>IF(OR(All_Questions_Q4_F_Q="(None)",All_Questions_Q4_F_Q="",ISBLANK(All_Questions_Q4_F_Q),All_Questions_Q4_F_V="(All)",All_Questions_Q4_F_V="",ISBLANK(All_Questions_Q4_F_V)),1,IFERROR(IF(ISNUMBER(SEARCH("|"&amp;INDEX(INDIRECT(All_Questions_Q4_F_resolved_column),33)&amp;"|",All_Questions_Q4_F_wrapped)),1,0),0))*1</f>
        <v>1</v>
      </c>
      <c r="L34">
        <f>IF(OR(All_Questions_Q5_F_Q="(None)",All_Questions_Q5_F_Q="",ISBLANK(All_Questions_Q5_F_Q),All_Questions_Q5_F_V="(All)",All_Questions_Q5_F_V="",ISBLANK(All_Questions_Q5_F_V)),1,IFERROR(IF(ISNUMBER(SEARCH("|"&amp;INDEX(INDIRECT(All_Questions_Q5_F_resolved_column),33)&amp;"|",All_Questions_Q5_F_wrapped)),1,0),0))*1</f>
        <v>1</v>
      </c>
    </row>
    <row r="35">
      <c r="A35" t="n">
        <v>34</v>
      </c>
      <c r="B35" t="inlineStr">
        <is>
          <t>Selected</t>
        </is>
      </c>
      <c r="C35" t="inlineStr">
        <is>
          <t>Selected</t>
        </is>
      </c>
      <c r="D35" t="inlineStr">
        <is>
          <t>Selected</t>
        </is>
      </c>
      <c r="E35" t="inlineStr">
        <is>
          <t>Selected</t>
        </is>
      </c>
      <c r="F35">
        <f>1</f>
        <v>1</v>
      </c>
      <c r="G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H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I35">
        <f>G35*H35*1</f>
        <v>1</v>
      </c>
      <c r="J35">
        <f>1</f>
        <v>1</v>
      </c>
      <c r="K35">
        <f>IF(OR(All_Questions_Q4_F_Q="(None)",All_Questions_Q4_F_Q="",ISBLANK(All_Questions_Q4_F_Q),All_Questions_Q4_F_V="(All)",All_Questions_Q4_F_V="",ISBLANK(All_Questions_Q4_F_V)),1,IFERROR(IF(ISNUMBER(SEARCH("|"&amp;INDEX(INDIRECT(All_Questions_Q4_F_resolved_column),34)&amp;"|",All_Questions_Q4_F_wrapped)),1,0),0))*1</f>
        <v>1</v>
      </c>
      <c r="L35">
        <f>IF(OR(All_Questions_Q5_F_Q="(None)",All_Questions_Q5_F_Q="",ISBLANK(All_Questions_Q5_F_Q),All_Questions_Q5_F_V="(All)",All_Questions_Q5_F_V="",ISBLANK(All_Questions_Q5_F_V)),1,IFERROR(IF(ISNUMBER(SEARCH("|"&amp;INDEX(INDIRECT(All_Questions_Q5_F_resolved_column),34)&amp;"|",All_Questions_Q5_F_wrapped)),1,0),0))*1</f>
        <v>1</v>
      </c>
    </row>
    <row r="36">
      <c r="A36" t="n">
        <v>35</v>
      </c>
      <c r="B36" t="inlineStr">
        <is>
          <t>Selected</t>
        </is>
      </c>
      <c r="C36" t="inlineStr">
        <is>
          <t>Selected</t>
        </is>
      </c>
      <c r="D36" t="inlineStr">
        <is>
          <t>Selected</t>
        </is>
      </c>
      <c r="E36" t="inlineStr">
        <is>
          <t>Selected</t>
        </is>
      </c>
      <c r="F36">
        <f>1</f>
        <v>1</v>
      </c>
      <c r="G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H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I36">
        <f>G36*H36*1</f>
        <v>1</v>
      </c>
      <c r="J36">
        <f>1</f>
        <v>1</v>
      </c>
      <c r="K36">
        <f>IF(OR(All_Questions_Q4_F_Q="(None)",All_Questions_Q4_F_Q="",ISBLANK(All_Questions_Q4_F_Q),All_Questions_Q4_F_V="(All)",All_Questions_Q4_F_V="",ISBLANK(All_Questions_Q4_F_V)),1,IFERROR(IF(ISNUMBER(SEARCH("|"&amp;INDEX(INDIRECT(All_Questions_Q4_F_resolved_column),35)&amp;"|",All_Questions_Q4_F_wrapped)),1,0),0))*1</f>
        <v>1</v>
      </c>
      <c r="L36">
        <f>IF(OR(All_Questions_Q5_F_Q="(None)",All_Questions_Q5_F_Q="",ISBLANK(All_Questions_Q5_F_Q),All_Questions_Q5_F_V="(All)",All_Questions_Q5_F_V="",ISBLANK(All_Questions_Q5_F_V)),1,IFERROR(IF(ISNUMBER(SEARCH("|"&amp;INDEX(INDIRECT(All_Questions_Q5_F_resolved_column),35)&amp;"|",All_Questions_Q5_F_wrapped)),1,0),0))*1</f>
        <v>1</v>
      </c>
    </row>
    <row r="37">
      <c r="A37" t="n">
        <v>36</v>
      </c>
      <c r="B37" t="inlineStr">
        <is>
          <t>Selected</t>
        </is>
      </c>
      <c r="C37" t="inlineStr">
        <is>
          <t>Selected</t>
        </is>
      </c>
      <c r="D37" t="inlineStr">
        <is>
          <t>Selected</t>
        </is>
      </c>
      <c r="E37" t="inlineStr">
        <is>
          <t>Selected</t>
        </is>
      </c>
      <c r="F37">
        <f>1</f>
        <v>1</v>
      </c>
      <c r="G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H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I37">
        <f>G37*H37*1</f>
        <v>1</v>
      </c>
      <c r="J37">
        <f>1</f>
        <v>1</v>
      </c>
      <c r="K37">
        <f>IF(OR(All_Questions_Q4_F_Q="(None)",All_Questions_Q4_F_Q="",ISBLANK(All_Questions_Q4_F_Q),All_Questions_Q4_F_V="(All)",All_Questions_Q4_F_V="",ISBLANK(All_Questions_Q4_F_V)),1,IFERROR(IF(ISNUMBER(SEARCH("|"&amp;INDEX(INDIRECT(All_Questions_Q4_F_resolved_column),36)&amp;"|",All_Questions_Q4_F_wrapped)),1,0),0))*1</f>
        <v>1</v>
      </c>
      <c r="L37">
        <f>IF(OR(All_Questions_Q5_F_Q="(None)",All_Questions_Q5_F_Q="",ISBLANK(All_Questions_Q5_F_Q),All_Questions_Q5_F_V="(All)",All_Questions_Q5_F_V="",ISBLANK(All_Questions_Q5_F_V)),1,IFERROR(IF(ISNUMBER(SEARCH("|"&amp;INDEX(INDIRECT(All_Questions_Q5_F_resolved_column),36)&amp;"|",All_Questions_Q5_F_wrapped)),1,0),0))*1</f>
        <v>1</v>
      </c>
    </row>
    <row r="38">
      <c r="A38" t="n">
        <v>37</v>
      </c>
      <c r="B38" t="inlineStr">
        <is>
          <t>Selected</t>
        </is>
      </c>
      <c r="C38" t="inlineStr">
        <is>
          <t>Selected</t>
        </is>
      </c>
      <c r="D38" t="inlineStr">
        <is>
          <t>Selected</t>
        </is>
      </c>
      <c r="E38" t="inlineStr">
        <is>
          <t>Selected</t>
        </is>
      </c>
      <c r="F38">
        <f>1</f>
        <v>1</v>
      </c>
      <c r="G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H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I38">
        <f>G38*H38*1</f>
        <v>1</v>
      </c>
      <c r="J38">
        <f>1</f>
        <v>1</v>
      </c>
      <c r="K38">
        <f>IF(OR(All_Questions_Q4_F_Q="(None)",All_Questions_Q4_F_Q="",ISBLANK(All_Questions_Q4_F_Q),All_Questions_Q4_F_V="(All)",All_Questions_Q4_F_V="",ISBLANK(All_Questions_Q4_F_V)),1,IFERROR(IF(ISNUMBER(SEARCH("|"&amp;INDEX(INDIRECT(All_Questions_Q4_F_resolved_column),37)&amp;"|",All_Questions_Q4_F_wrapped)),1,0),0))*1</f>
        <v>1</v>
      </c>
      <c r="L38">
        <f>IF(OR(All_Questions_Q5_F_Q="(None)",All_Questions_Q5_F_Q="",ISBLANK(All_Questions_Q5_F_Q),All_Questions_Q5_F_V="(All)",All_Questions_Q5_F_V="",ISBLANK(All_Questions_Q5_F_V)),1,IFERROR(IF(ISNUMBER(SEARCH("|"&amp;INDEX(INDIRECT(All_Questions_Q5_F_resolved_column),37)&amp;"|",All_Questions_Q5_F_wrapped)),1,0),0))*1</f>
        <v>1</v>
      </c>
    </row>
    <row r="39">
      <c r="A39" t="n">
        <v>38</v>
      </c>
      <c r="B39" t="inlineStr">
        <is>
          <t>Selected</t>
        </is>
      </c>
      <c r="C39" t="inlineStr">
        <is>
          <t>Selected</t>
        </is>
      </c>
      <c r="D39" t="inlineStr">
        <is>
          <t>Selected</t>
        </is>
      </c>
      <c r="E39" t="inlineStr">
        <is>
          <t>Selected</t>
        </is>
      </c>
      <c r="F39">
        <f>1</f>
        <v>1</v>
      </c>
      <c r="G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H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I39">
        <f>G39*H39*1</f>
        <v>1</v>
      </c>
      <c r="J39">
        <f>1</f>
        <v>1</v>
      </c>
      <c r="K39">
        <f>IF(OR(All_Questions_Q4_F_Q="(None)",All_Questions_Q4_F_Q="",ISBLANK(All_Questions_Q4_F_Q),All_Questions_Q4_F_V="(All)",All_Questions_Q4_F_V="",ISBLANK(All_Questions_Q4_F_V)),1,IFERROR(IF(ISNUMBER(SEARCH("|"&amp;INDEX(INDIRECT(All_Questions_Q4_F_resolved_column),38)&amp;"|",All_Questions_Q4_F_wrapped)),1,0),0))*1</f>
        <v>1</v>
      </c>
      <c r="L39">
        <f>IF(OR(All_Questions_Q5_F_Q="(None)",All_Questions_Q5_F_Q="",ISBLANK(All_Questions_Q5_F_Q),All_Questions_Q5_F_V="(All)",All_Questions_Q5_F_V="",ISBLANK(All_Questions_Q5_F_V)),1,IFERROR(IF(ISNUMBER(SEARCH("|"&amp;INDEX(INDIRECT(All_Questions_Q5_F_resolved_column),38)&amp;"|",All_Questions_Q5_F_wrapped)),1,0),0))*1</f>
        <v>1</v>
      </c>
    </row>
    <row r="40">
      <c r="A40" t="n">
        <v>39</v>
      </c>
      <c r="B40" t="inlineStr">
        <is>
          <t>Selected</t>
        </is>
      </c>
      <c r="C40" t="inlineStr">
        <is>
          <t>Selected</t>
        </is>
      </c>
      <c r="D40" t="inlineStr">
        <is>
          <t>Selected</t>
        </is>
      </c>
      <c r="E40" t="inlineStr">
        <is>
          <t>Selected</t>
        </is>
      </c>
      <c r="F40">
        <f>1</f>
        <v>1</v>
      </c>
      <c r="G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H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I40">
        <f>G40*H40*1</f>
        <v>1</v>
      </c>
      <c r="J40">
        <f>1</f>
        <v>1</v>
      </c>
      <c r="K40">
        <f>IF(OR(All_Questions_Q4_F_Q="(None)",All_Questions_Q4_F_Q="",ISBLANK(All_Questions_Q4_F_Q),All_Questions_Q4_F_V="(All)",All_Questions_Q4_F_V="",ISBLANK(All_Questions_Q4_F_V)),1,IFERROR(IF(ISNUMBER(SEARCH("|"&amp;INDEX(INDIRECT(All_Questions_Q4_F_resolved_column),39)&amp;"|",All_Questions_Q4_F_wrapped)),1,0),0))*1</f>
        <v>1</v>
      </c>
      <c r="L40">
        <f>IF(OR(All_Questions_Q5_F_Q="(None)",All_Questions_Q5_F_Q="",ISBLANK(All_Questions_Q5_F_Q),All_Questions_Q5_F_V="(All)",All_Questions_Q5_F_V="",ISBLANK(All_Questions_Q5_F_V)),1,IFERROR(IF(ISNUMBER(SEARCH("|"&amp;INDEX(INDIRECT(All_Questions_Q5_F_resolved_column),39)&amp;"|",All_Questions_Q5_F_wrapped)),1,0),0))*1</f>
        <v>1</v>
      </c>
    </row>
    <row r="41">
      <c r="A41" t="n">
        <v>40</v>
      </c>
      <c r="B41" t="inlineStr">
        <is>
          <t>Selected</t>
        </is>
      </c>
      <c r="C41" t="inlineStr">
        <is>
          <t>Selected</t>
        </is>
      </c>
      <c r="D41" t="inlineStr">
        <is>
          <t>Selected</t>
        </is>
      </c>
      <c r="E41" t="inlineStr">
        <is>
          <t>Selected</t>
        </is>
      </c>
      <c r="F41">
        <f>1</f>
        <v>1</v>
      </c>
      <c r="G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H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I41">
        <f>G41*H41*1</f>
        <v>1</v>
      </c>
      <c r="J41">
        <f>1</f>
        <v>1</v>
      </c>
      <c r="K41">
        <f>IF(OR(All_Questions_Q4_F_Q="(None)",All_Questions_Q4_F_Q="",ISBLANK(All_Questions_Q4_F_Q),All_Questions_Q4_F_V="(All)",All_Questions_Q4_F_V="",ISBLANK(All_Questions_Q4_F_V)),1,IFERROR(IF(ISNUMBER(SEARCH("|"&amp;INDEX(INDIRECT(All_Questions_Q4_F_resolved_column),40)&amp;"|",All_Questions_Q4_F_wrapped)),1,0),0))*1</f>
        <v>1</v>
      </c>
      <c r="L41">
        <f>IF(OR(All_Questions_Q5_F_Q="(None)",All_Questions_Q5_F_Q="",ISBLANK(All_Questions_Q5_F_Q),All_Questions_Q5_F_V="(All)",All_Questions_Q5_F_V="",ISBLANK(All_Questions_Q5_F_V)),1,IFERROR(IF(ISNUMBER(SEARCH("|"&amp;INDEX(INDIRECT(All_Questions_Q5_F_resolved_column),40)&amp;"|",All_Questions_Q5_F_wrapped)),1,0),0))*1</f>
        <v>1</v>
      </c>
    </row>
    <row r="42">
      <c r="A42" t="n">
        <v>41</v>
      </c>
      <c r="B42" t="inlineStr">
        <is>
          <t>Selected</t>
        </is>
      </c>
      <c r="C42" t="inlineStr">
        <is>
          <t>Selected</t>
        </is>
      </c>
      <c r="D42" t="inlineStr">
        <is>
          <t>Selected</t>
        </is>
      </c>
      <c r="E42" t="inlineStr">
        <is>
          <t>Selected</t>
        </is>
      </c>
      <c r="F42">
        <f>1</f>
        <v>1</v>
      </c>
      <c r="G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H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I42">
        <f>G42*H42*1</f>
        <v>1</v>
      </c>
      <c r="J42">
        <f>1</f>
        <v>1</v>
      </c>
      <c r="K42">
        <f>IF(OR(All_Questions_Q4_F_Q="(None)",All_Questions_Q4_F_Q="",ISBLANK(All_Questions_Q4_F_Q),All_Questions_Q4_F_V="(All)",All_Questions_Q4_F_V="",ISBLANK(All_Questions_Q4_F_V)),1,IFERROR(IF(ISNUMBER(SEARCH("|"&amp;INDEX(INDIRECT(All_Questions_Q4_F_resolved_column),41)&amp;"|",All_Questions_Q4_F_wrapped)),1,0),0))*1</f>
        <v>1</v>
      </c>
      <c r="L42">
        <f>IF(OR(All_Questions_Q5_F_Q="(None)",All_Questions_Q5_F_Q="",ISBLANK(All_Questions_Q5_F_Q),All_Questions_Q5_F_V="(All)",All_Questions_Q5_F_V="",ISBLANK(All_Questions_Q5_F_V)),1,IFERROR(IF(ISNUMBER(SEARCH("|"&amp;INDEX(INDIRECT(All_Questions_Q5_F_resolved_column),41)&amp;"|",All_Questions_Q5_F_wrapped)),1,0),0))*1</f>
        <v>1</v>
      </c>
    </row>
    <row r="43">
      <c r="A43" t="n">
        <v>42</v>
      </c>
      <c r="B43" t="inlineStr">
        <is>
          <t>Selected</t>
        </is>
      </c>
      <c r="C43" t="inlineStr">
        <is>
          <t>Selected</t>
        </is>
      </c>
      <c r="D43" t="inlineStr">
        <is>
          <t>Selected</t>
        </is>
      </c>
      <c r="E43" t="inlineStr">
        <is>
          <t>Selected</t>
        </is>
      </c>
      <c r="F43">
        <f>1</f>
        <v>1</v>
      </c>
      <c r="G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H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I43">
        <f>G43*H43*1</f>
        <v>1</v>
      </c>
      <c r="J43">
        <f>1</f>
        <v>1</v>
      </c>
      <c r="K43">
        <f>IF(OR(All_Questions_Q4_F_Q="(None)",All_Questions_Q4_F_Q="",ISBLANK(All_Questions_Q4_F_Q),All_Questions_Q4_F_V="(All)",All_Questions_Q4_F_V="",ISBLANK(All_Questions_Q4_F_V)),1,IFERROR(IF(ISNUMBER(SEARCH("|"&amp;INDEX(INDIRECT(All_Questions_Q4_F_resolved_column),42)&amp;"|",All_Questions_Q4_F_wrapped)),1,0),0))*1</f>
        <v>1</v>
      </c>
      <c r="L43">
        <f>IF(OR(All_Questions_Q5_F_Q="(None)",All_Questions_Q5_F_Q="",ISBLANK(All_Questions_Q5_F_Q),All_Questions_Q5_F_V="(All)",All_Questions_Q5_F_V="",ISBLANK(All_Questions_Q5_F_V)),1,IFERROR(IF(ISNUMBER(SEARCH("|"&amp;INDEX(INDIRECT(All_Questions_Q5_F_resolved_column),42)&amp;"|",All_Questions_Q5_F_wrapped)),1,0),0))*1</f>
        <v>1</v>
      </c>
    </row>
    <row r="44">
      <c r="A44" t="n">
        <v>43</v>
      </c>
      <c r="B44" t="inlineStr">
        <is>
          <t>Selected</t>
        </is>
      </c>
      <c r="C44" t="inlineStr">
        <is>
          <t>Selected</t>
        </is>
      </c>
      <c r="D44" t="inlineStr">
        <is>
          <t>Selected</t>
        </is>
      </c>
      <c r="E44" t="inlineStr">
        <is>
          <t>Selected</t>
        </is>
      </c>
      <c r="F44">
        <f>1</f>
        <v>1</v>
      </c>
      <c r="G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H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I44">
        <f>G44*H44*1</f>
        <v>1</v>
      </c>
      <c r="J44">
        <f>1</f>
        <v>1</v>
      </c>
      <c r="K44">
        <f>IF(OR(All_Questions_Q4_F_Q="(None)",All_Questions_Q4_F_Q="",ISBLANK(All_Questions_Q4_F_Q),All_Questions_Q4_F_V="(All)",All_Questions_Q4_F_V="",ISBLANK(All_Questions_Q4_F_V)),1,IFERROR(IF(ISNUMBER(SEARCH("|"&amp;INDEX(INDIRECT(All_Questions_Q4_F_resolved_column),43)&amp;"|",All_Questions_Q4_F_wrapped)),1,0),0))*1</f>
        <v>1</v>
      </c>
      <c r="L44">
        <f>IF(OR(All_Questions_Q5_F_Q="(None)",All_Questions_Q5_F_Q="",ISBLANK(All_Questions_Q5_F_Q),All_Questions_Q5_F_V="(All)",All_Questions_Q5_F_V="",ISBLANK(All_Questions_Q5_F_V)),1,IFERROR(IF(ISNUMBER(SEARCH("|"&amp;INDEX(INDIRECT(All_Questions_Q5_F_resolved_column),43)&amp;"|",All_Questions_Q5_F_wrapped)),1,0),0))*1</f>
        <v>1</v>
      </c>
    </row>
    <row r="45">
      <c r="A45" t="n">
        <v>44</v>
      </c>
      <c r="B45" t="inlineStr">
        <is>
          <t>Selected</t>
        </is>
      </c>
      <c r="C45" t="inlineStr">
        <is>
          <t>Selected</t>
        </is>
      </c>
      <c r="D45" t="inlineStr">
        <is>
          <t>Selected</t>
        </is>
      </c>
      <c r="E45" t="inlineStr">
        <is>
          <t>Selected</t>
        </is>
      </c>
      <c r="F45">
        <f>1</f>
        <v>1</v>
      </c>
      <c r="G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H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I45">
        <f>G45*H45*1</f>
        <v>1</v>
      </c>
      <c r="J45">
        <f>1</f>
        <v>1</v>
      </c>
      <c r="K45">
        <f>IF(OR(All_Questions_Q4_F_Q="(None)",All_Questions_Q4_F_Q="",ISBLANK(All_Questions_Q4_F_Q),All_Questions_Q4_F_V="(All)",All_Questions_Q4_F_V="",ISBLANK(All_Questions_Q4_F_V)),1,IFERROR(IF(ISNUMBER(SEARCH("|"&amp;INDEX(INDIRECT(All_Questions_Q4_F_resolved_column),44)&amp;"|",All_Questions_Q4_F_wrapped)),1,0),0))*1</f>
        <v>1</v>
      </c>
      <c r="L45">
        <f>IF(OR(All_Questions_Q5_F_Q="(None)",All_Questions_Q5_F_Q="",ISBLANK(All_Questions_Q5_F_Q),All_Questions_Q5_F_V="(All)",All_Questions_Q5_F_V="",ISBLANK(All_Questions_Q5_F_V)),1,IFERROR(IF(ISNUMBER(SEARCH("|"&amp;INDEX(INDIRECT(All_Questions_Q5_F_resolved_column),44)&amp;"|",All_Questions_Q5_F_wrapped)),1,0),0))*1</f>
        <v>1</v>
      </c>
    </row>
    <row r="46">
      <c r="A46" t="n">
        <v>45</v>
      </c>
      <c r="B46" t="inlineStr">
        <is>
          <t>Selected</t>
        </is>
      </c>
      <c r="C46" t="inlineStr">
        <is>
          <t>Selected</t>
        </is>
      </c>
      <c r="D46" t="inlineStr">
        <is>
          <t>Selected</t>
        </is>
      </c>
      <c r="E46" t="inlineStr">
        <is>
          <t>Selected</t>
        </is>
      </c>
      <c r="F46">
        <f>1</f>
        <v>1</v>
      </c>
      <c r="G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H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I46">
        <f>G46*H46*1</f>
        <v>1</v>
      </c>
      <c r="J46">
        <f>1</f>
        <v>1</v>
      </c>
      <c r="K46">
        <f>IF(OR(All_Questions_Q4_F_Q="(None)",All_Questions_Q4_F_Q="",ISBLANK(All_Questions_Q4_F_Q),All_Questions_Q4_F_V="(All)",All_Questions_Q4_F_V="",ISBLANK(All_Questions_Q4_F_V)),1,IFERROR(IF(ISNUMBER(SEARCH("|"&amp;INDEX(INDIRECT(All_Questions_Q4_F_resolved_column),45)&amp;"|",All_Questions_Q4_F_wrapped)),1,0),0))*1</f>
        <v>1</v>
      </c>
      <c r="L46">
        <f>IF(OR(All_Questions_Q5_F_Q="(None)",All_Questions_Q5_F_Q="",ISBLANK(All_Questions_Q5_F_Q),All_Questions_Q5_F_V="(All)",All_Questions_Q5_F_V="",ISBLANK(All_Questions_Q5_F_V)),1,IFERROR(IF(ISNUMBER(SEARCH("|"&amp;INDEX(INDIRECT(All_Questions_Q5_F_resolved_column),45)&amp;"|",All_Questions_Q5_F_wrapped)),1,0),0))*1</f>
        <v>1</v>
      </c>
    </row>
    <row r="47">
      <c r="A47" t="n">
        <v>46</v>
      </c>
      <c r="B47" t="inlineStr">
        <is>
          <t>Selected</t>
        </is>
      </c>
      <c r="C47" t="inlineStr">
        <is>
          <t>Selected</t>
        </is>
      </c>
      <c r="D47" t="inlineStr">
        <is>
          <t>Selected</t>
        </is>
      </c>
      <c r="E47" t="inlineStr">
        <is>
          <t>Selected</t>
        </is>
      </c>
      <c r="F47">
        <f>1</f>
        <v>1</v>
      </c>
      <c r="G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H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I47">
        <f>G47*H47*1</f>
        <v>1</v>
      </c>
      <c r="J47">
        <f>1</f>
        <v>1</v>
      </c>
      <c r="K47">
        <f>IF(OR(All_Questions_Q4_F_Q="(None)",All_Questions_Q4_F_Q="",ISBLANK(All_Questions_Q4_F_Q),All_Questions_Q4_F_V="(All)",All_Questions_Q4_F_V="",ISBLANK(All_Questions_Q4_F_V)),1,IFERROR(IF(ISNUMBER(SEARCH("|"&amp;INDEX(INDIRECT(All_Questions_Q4_F_resolved_column),46)&amp;"|",All_Questions_Q4_F_wrapped)),1,0),0))*1</f>
        <v>1</v>
      </c>
      <c r="L47">
        <f>IF(OR(All_Questions_Q5_F_Q="(None)",All_Questions_Q5_F_Q="",ISBLANK(All_Questions_Q5_F_Q),All_Questions_Q5_F_V="(All)",All_Questions_Q5_F_V="",ISBLANK(All_Questions_Q5_F_V)),1,IFERROR(IF(ISNUMBER(SEARCH("|"&amp;INDEX(INDIRECT(All_Questions_Q5_F_resolved_column),46)&amp;"|",All_Questions_Q5_F_wrapped)),1,0),0))*1</f>
        <v>1</v>
      </c>
    </row>
    <row r="48">
      <c r="A48" t="n">
        <v>47</v>
      </c>
      <c r="B48" t="inlineStr">
        <is>
          <t>Selected</t>
        </is>
      </c>
      <c r="C48" t="inlineStr">
        <is>
          <t>Selected</t>
        </is>
      </c>
      <c r="D48" t="inlineStr">
        <is>
          <t>Selected</t>
        </is>
      </c>
      <c r="E48" t="inlineStr">
        <is>
          <t>Selected</t>
        </is>
      </c>
      <c r="F48">
        <f>1</f>
        <v>1</v>
      </c>
      <c r="G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H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I48">
        <f>G48*H48*1</f>
        <v>1</v>
      </c>
      <c r="J48">
        <f>1</f>
        <v>1</v>
      </c>
      <c r="K48">
        <f>IF(OR(All_Questions_Q4_F_Q="(None)",All_Questions_Q4_F_Q="",ISBLANK(All_Questions_Q4_F_Q),All_Questions_Q4_F_V="(All)",All_Questions_Q4_F_V="",ISBLANK(All_Questions_Q4_F_V)),1,IFERROR(IF(ISNUMBER(SEARCH("|"&amp;INDEX(INDIRECT(All_Questions_Q4_F_resolved_column),47)&amp;"|",All_Questions_Q4_F_wrapped)),1,0),0))*1</f>
        <v>1</v>
      </c>
      <c r="L48">
        <f>IF(OR(All_Questions_Q5_F_Q="(None)",All_Questions_Q5_F_Q="",ISBLANK(All_Questions_Q5_F_Q),All_Questions_Q5_F_V="(All)",All_Questions_Q5_F_V="",ISBLANK(All_Questions_Q5_F_V)),1,IFERROR(IF(ISNUMBER(SEARCH("|"&amp;INDEX(INDIRECT(All_Questions_Q5_F_resolved_column),47)&amp;"|",All_Questions_Q5_F_wrapped)),1,0),0))*1</f>
        <v>1</v>
      </c>
    </row>
    <row r="49">
      <c r="A49" t="n">
        <v>48</v>
      </c>
      <c r="B49" t="inlineStr">
        <is>
          <t>Selected</t>
        </is>
      </c>
      <c r="C49" t="inlineStr">
        <is>
          <t>Selected</t>
        </is>
      </c>
      <c r="D49" t="inlineStr">
        <is>
          <t>Selected</t>
        </is>
      </c>
      <c r="E49" t="inlineStr">
        <is>
          <t>Selected</t>
        </is>
      </c>
      <c r="F49">
        <f>1</f>
        <v>1</v>
      </c>
      <c r="G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H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I49">
        <f>G49*H49*1</f>
        <v>1</v>
      </c>
      <c r="J49">
        <f>1</f>
        <v>1</v>
      </c>
      <c r="K49">
        <f>IF(OR(All_Questions_Q4_F_Q="(None)",All_Questions_Q4_F_Q="",ISBLANK(All_Questions_Q4_F_Q),All_Questions_Q4_F_V="(All)",All_Questions_Q4_F_V="",ISBLANK(All_Questions_Q4_F_V)),1,IFERROR(IF(ISNUMBER(SEARCH("|"&amp;INDEX(INDIRECT(All_Questions_Q4_F_resolved_column),48)&amp;"|",All_Questions_Q4_F_wrapped)),1,0),0))*1</f>
        <v>1</v>
      </c>
      <c r="L49">
        <f>IF(OR(All_Questions_Q5_F_Q="(None)",All_Questions_Q5_F_Q="",ISBLANK(All_Questions_Q5_F_Q),All_Questions_Q5_F_V="(All)",All_Questions_Q5_F_V="",ISBLANK(All_Questions_Q5_F_V)),1,IFERROR(IF(ISNUMBER(SEARCH("|"&amp;INDEX(INDIRECT(All_Questions_Q5_F_resolved_column),48)&amp;"|",All_Questions_Q5_F_wrapped)),1,0),0))*1</f>
        <v>1</v>
      </c>
    </row>
    <row r="50">
      <c r="A50" t="n">
        <v>49</v>
      </c>
      <c r="B50" t="inlineStr">
        <is>
          <t>Selected</t>
        </is>
      </c>
      <c r="C50" t="inlineStr">
        <is>
          <t>Selected</t>
        </is>
      </c>
      <c r="D50" t="inlineStr">
        <is>
          <t>Selected</t>
        </is>
      </c>
      <c r="E50" t="inlineStr">
        <is>
          <t>Selected</t>
        </is>
      </c>
      <c r="F50">
        <f>1</f>
        <v>1</v>
      </c>
      <c r="G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H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I50">
        <f>G50*H50*1</f>
        <v>1</v>
      </c>
      <c r="J50">
        <f>1</f>
        <v>1</v>
      </c>
      <c r="K50">
        <f>IF(OR(All_Questions_Q4_F_Q="(None)",All_Questions_Q4_F_Q="",ISBLANK(All_Questions_Q4_F_Q),All_Questions_Q4_F_V="(All)",All_Questions_Q4_F_V="",ISBLANK(All_Questions_Q4_F_V)),1,IFERROR(IF(ISNUMBER(SEARCH("|"&amp;INDEX(INDIRECT(All_Questions_Q4_F_resolved_column),49)&amp;"|",All_Questions_Q4_F_wrapped)),1,0),0))*1</f>
        <v>1</v>
      </c>
      <c r="L50">
        <f>IF(OR(All_Questions_Q5_F_Q="(None)",All_Questions_Q5_F_Q="",ISBLANK(All_Questions_Q5_F_Q),All_Questions_Q5_F_V="(All)",All_Questions_Q5_F_V="",ISBLANK(All_Questions_Q5_F_V)),1,IFERROR(IF(ISNUMBER(SEARCH("|"&amp;INDEX(INDIRECT(All_Questions_Q5_F_resolved_column),49)&amp;"|",All_Questions_Q5_F_wrapped)),1,0),0))*1</f>
        <v>1</v>
      </c>
    </row>
    <row r="51">
      <c r="A51" t="n">
        <v>50</v>
      </c>
      <c r="B51" t="inlineStr">
        <is>
          <t>Selected</t>
        </is>
      </c>
      <c r="C51" t="inlineStr">
        <is>
          <t>Selected</t>
        </is>
      </c>
      <c r="D51" t="inlineStr">
        <is>
          <t>Selected</t>
        </is>
      </c>
      <c r="E51" t="inlineStr">
        <is>
          <t>Selected</t>
        </is>
      </c>
      <c r="F51">
        <f>1</f>
        <v>1</v>
      </c>
      <c r="G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H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I51">
        <f>G51*H51*1</f>
        <v>1</v>
      </c>
      <c r="J51">
        <f>1</f>
        <v>1</v>
      </c>
      <c r="K51">
        <f>IF(OR(All_Questions_Q4_F_Q="(None)",All_Questions_Q4_F_Q="",ISBLANK(All_Questions_Q4_F_Q),All_Questions_Q4_F_V="(All)",All_Questions_Q4_F_V="",ISBLANK(All_Questions_Q4_F_V)),1,IFERROR(IF(ISNUMBER(SEARCH("|"&amp;INDEX(INDIRECT(All_Questions_Q4_F_resolved_column),50)&amp;"|",All_Questions_Q4_F_wrapped)),1,0),0))*1</f>
        <v>1</v>
      </c>
      <c r="L51">
        <f>IF(OR(All_Questions_Q5_F_Q="(None)",All_Questions_Q5_F_Q="",ISBLANK(All_Questions_Q5_F_Q),All_Questions_Q5_F_V="(All)",All_Questions_Q5_F_V="",ISBLANK(All_Questions_Q5_F_V)),1,IFERROR(IF(ISNUMBER(SEARCH("|"&amp;INDEX(INDIRECT(All_Questions_Q5_F_resolved_column),50)&amp;"|",All_Questions_Q5_F_wrapped)),1,0),0))*1</f>
        <v>1</v>
      </c>
    </row>
    <row r="52">
      <c r="A52" t="n">
        <v>51</v>
      </c>
      <c r="B52" t="inlineStr">
        <is>
          <t>Selected</t>
        </is>
      </c>
      <c r="C52" t="inlineStr">
        <is>
          <t>Selected</t>
        </is>
      </c>
      <c r="D52" t="inlineStr">
        <is>
          <t>Selected</t>
        </is>
      </c>
      <c r="E52" t="inlineStr">
        <is>
          <t>Selected</t>
        </is>
      </c>
      <c r="F52">
        <f>1</f>
        <v>1</v>
      </c>
      <c r="G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H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I52">
        <f>G52*H52*1</f>
        <v>1</v>
      </c>
      <c r="J52">
        <f>1</f>
        <v>1</v>
      </c>
      <c r="K52">
        <f>IF(OR(All_Questions_Q4_F_Q="(None)",All_Questions_Q4_F_Q="",ISBLANK(All_Questions_Q4_F_Q),All_Questions_Q4_F_V="(All)",All_Questions_Q4_F_V="",ISBLANK(All_Questions_Q4_F_V)),1,IFERROR(IF(ISNUMBER(SEARCH("|"&amp;INDEX(INDIRECT(All_Questions_Q4_F_resolved_column),51)&amp;"|",All_Questions_Q4_F_wrapped)),1,0),0))*1</f>
        <v>1</v>
      </c>
      <c r="L52">
        <f>IF(OR(All_Questions_Q5_F_Q="(None)",All_Questions_Q5_F_Q="",ISBLANK(All_Questions_Q5_F_Q),All_Questions_Q5_F_V="(All)",All_Questions_Q5_F_V="",ISBLANK(All_Questions_Q5_F_V)),1,IFERROR(IF(ISNUMBER(SEARCH("|"&amp;INDEX(INDIRECT(All_Questions_Q5_F_resolved_column),51)&amp;"|",All_Questions_Q5_F_wrapped)),1,0),0))*1</f>
        <v>1</v>
      </c>
    </row>
    <row r="53">
      <c r="A53" t="n">
        <v>52</v>
      </c>
      <c r="B53" t="inlineStr">
        <is>
          <t>Selected</t>
        </is>
      </c>
      <c r="C53" t="inlineStr">
        <is>
          <t>Selected</t>
        </is>
      </c>
      <c r="D53" t="inlineStr">
        <is>
          <t>Selected</t>
        </is>
      </c>
      <c r="E53" t="inlineStr">
        <is>
          <t>Selected</t>
        </is>
      </c>
      <c r="F53">
        <f>1</f>
        <v>1</v>
      </c>
      <c r="G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H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I53">
        <f>G53*H53*1</f>
        <v>1</v>
      </c>
      <c r="J53">
        <f>1</f>
        <v>1</v>
      </c>
      <c r="K53">
        <f>IF(OR(All_Questions_Q4_F_Q="(None)",All_Questions_Q4_F_Q="",ISBLANK(All_Questions_Q4_F_Q),All_Questions_Q4_F_V="(All)",All_Questions_Q4_F_V="",ISBLANK(All_Questions_Q4_F_V)),1,IFERROR(IF(ISNUMBER(SEARCH("|"&amp;INDEX(INDIRECT(All_Questions_Q4_F_resolved_column),52)&amp;"|",All_Questions_Q4_F_wrapped)),1,0),0))*1</f>
        <v>1</v>
      </c>
      <c r="L53">
        <f>IF(OR(All_Questions_Q5_F_Q="(None)",All_Questions_Q5_F_Q="",ISBLANK(All_Questions_Q5_F_Q),All_Questions_Q5_F_V="(All)",All_Questions_Q5_F_V="",ISBLANK(All_Questions_Q5_F_V)),1,IFERROR(IF(ISNUMBER(SEARCH("|"&amp;INDEX(INDIRECT(All_Questions_Q5_F_resolved_column),52)&amp;"|",All_Questions_Q5_F_wrapped)),1,0),0))*1</f>
        <v>1</v>
      </c>
    </row>
    <row r="54">
      <c r="A54" t="n">
        <v>53</v>
      </c>
      <c r="B54" t="inlineStr">
        <is>
          <t>Selected</t>
        </is>
      </c>
      <c r="C54" t="inlineStr">
        <is>
          <t>Selected</t>
        </is>
      </c>
      <c r="D54" t="inlineStr">
        <is>
          <t>Selected</t>
        </is>
      </c>
      <c r="E54" t="inlineStr">
        <is>
          <t>Selected</t>
        </is>
      </c>
      <c r="F54">
        <f>1</f>
        <v>1</v>
      </c>
      <c r="G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H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I54">
        <f>G54*H54*1</f>
        <v>1</v>
      </c>
      <c r="J54">
        <f>1</f>
        <v>1</v>
      </c>
      <c r="K54">
        <f>IF(OR(All_Questions_Q4_F_Q="(None)",All_Questions_Q4_F_Q="",ISBLANK(All_Questions_Q4_F_Q),All_Questions_Q4_F_V="(All)",All_Questions_Q4_F_V="",ISBLANK(All_Questions_Q4_F_V)),1,IFERROR(IF(ISNUMBER(SEARCH("|"&amp;INDEX(INDIRECT(All_Questions_Q4_F_resolved_column),53)&amp;"|",All_Questions_Q4_F_wrapped)),1,0),0))*1</f>
        <v>1</v>
      </c>
      <c r="L54">
        <f>IF(OR(All_Questions_Q5_F_Q="(None)",All_Questions_Q5_F_Q="",ISBLANK(All_Questions_Q5_F_Q),All_Questions_Q5_F_V="(All)",All_Questions_Q5_F_V="",ISBLANK(All_Questions_Q5_F_V)),1,IFERROR(IF(ISNUMBER(SEARCH("|"&amp;INDEX(INDIRECT(All_Questions_Q5_F_resolved_column),53)&amp;"|",All_Questions_Q5_F_wrapped)),1,0),0))*1</f>
        <v>1</v>
      </c>
    </row>
    <row r="55">
      <c r="A55" t="n">
        <v>54</v>
      </c>
      <c r="B55" t="inlineStr">
        <is>
          <t>Selected</t>
        </is>
      </c>
      <c r="C55" t="inlineStr">
        <is>
          <t>Selected</t>
        </is>
      </c>
      <c r="D55" t="inlineStr">
        <is>
          <t>Selected</t>
        </is>
      </c>
      <c r="E55" t="inlineStr">
        <is>
          <t>Selected</t>
        </is>
      </c>
      <c r="F55">
        <f>1</f>
        <v>1</v>
      </c>
      <c r="G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H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I55">
        <f>G55*H55*1</f>
        <v>1</v>
      </c>
      <c r="J55">
        <f>1</f>
        <v>1</v>
      </c>
      <c r="K55">
        <f>IF(OR(All_Questions_Q4_F_Q="(None)",All_Questions_Q4_F_Q="",ISBLANK(All_Questions_Q4_F_Q),All_Questions_Q4_F_V="(All)",All_Questions_Q4_F_V="",ISBLANK(All_Questions_Q4_F_V)),1,IFERROR(IF(ISNUMBER(SEARCH("|"&amp;INDEX(INDIRECT(All_Questions_Q4_F_resolved_column),54)&amp;"|",All_Questions_Q4_F_wrapped)),1,0),0))*1</f>
        <v>1</v>
      </c>
      <c r="L55">
        <f>IF(OR(All_Questions_Q5_F_Q="(None)",All_Questions_Q5_F_Q="",ISBLANK(All_Questions_Q5_F_Q),All_Questions_Q5_F_V="(All)",All_Questions_Q5_F_V="",ISBLANK(All_Questions_Q5_F_V)),1,IFERROR(IF(ISNUMBER(SEARCH("|"&amp;INDEX(INDIRECT(All_Questions_Q5_F_resolved_column),54)&amp;"|",All_Questions_Q5_F_wrapped)),1,0),0))*1</f>
        <v>1</v>
      </c>
    </row>
    <row r="56">
      <c r="A56" t="n">
        <v>55</v>
      </c>
      <c r="B56" t="inlineStr">
        <is>
          <t>Selected</t>
        </is>
      </c>
      <c r="C56" t="inlineStr">
        <is>
          <t>Selected</t>
        </is>
      </c>
      <c r="D56" t="inlineStr">
        <is>
          <t>Selected</t>
        </is>
      </c>
      <c r="E56" t="inlineStr">
        <is>
          <t>Selected</t>
        </is>
      </c>
      <c r="F56">
        <f>1</f>
        <v>1</v>
      </c>
      <c r="G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H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I56">
        <f>G56*H56*1</f>
        <v>1</v>
      </c>
      <c r="J56">
        <f>1</f>
        <v>1</v>
      </c>
      <c r="K56">
        <f>IF(OR(All_Questions_Q4_F_Q="(None)",All_Questions_Q4_F_Q="",ISBLANK(All_Questions_Q4_F_Q),All_Questions_Q4_F_V="(All)",All_Questions_Q4_F_V="",ISBLANK(All_Questions_Q4_F_V)),1,IFERROR(IF(ISNUMBER(SEARCH("|"&amp;INDEX(INDIRECT(All_Questions_Q4_F_resolved_column),55)&amp;"|",All_Questions_Q4_F_wrapped)),1,0),0))*1</f>
        <v>1</v>
      </c>
      <c r="L56">
        <f>IF(OR(All_Questions_Q5_F_Q="(None)",All_Questions_Q5_F_Q="",ISBLANK(All_Questions_Q5_F_Q),All_Questions_Q5_F_V="(All)",All_Questions_Q5_F_V="",ISBLANK(All_Questions_Q5_F_V)),1,IFERROR(IF(ISNUMBER(SEARCH("|"&amp;INDEX(INDIRECT(All_Questions_Q5_F_resolved_column),55)&amp;"|",All_Questions_Q5_F_wrapped)),1,0),0))*1</f>
        <v>1</v>
      </c>
    </row>
    <row r="57">
      <c r="A57" t="n">
        <v>56</v>
      </c>
      <c r="B57" t="inlineStr">
        <is>
          <t>Selected</t>
        </is>
      </c>
      <c r="C57" t="inlineStr">
        <is>
          <t>Selected</t>
        </is>
      </c>
      <c r="D57" t="inlineStr">
        <is>
          <t>Selected</t>
        </is>
      </c>
      <c r="E57" t="inlineStr">
        <is>
          <t>Selected</t>
        </is>
      </c>
      <c r="F57">
        <f>1</f>
        <v>1</v>
      </c>
      <c r="G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H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I57">
        <f>G57*H57*1</f>
        <v>1</v>
      </c>
      <c r="J57">
        <f>1</f>
        <v>1</v>
      </c>
      <c r="K57">
        <f>IF(OR(All_Questions_Q4_F_Q="(None)",All_Questions_Q4_F_Q="",ISBLANK(All_Questions_Q4_F_Q),All_Questions_Q4_F_V="(All)",All_Questions_Q4_F_V="",ISBLANK(All_Questions_Q4_F_V)),1,IFERROR(IF(ISNUMBER(SEARCH("|"&amp;INDEX(INDIRECT(All_Questions_Q4_F_resolved_column),56)&amp;"|",All_Questions_Q4_F_wrapped)),1,0),0))*1</f>
        <v>1</v>
      </c>
      <c r="L57">
        <f>IF(OR(All_Questions_Q5_F_Q="(None)",All_Questions_Q5_F_Q="",ISBLANK(All_Questions_Q5_F_Q),All_Questions_Q5_F_V="(All)",All_Questions_Q5_F_V="",ISBLANK(All_Questions_Q5_F_V)),1,IFERROR(IF(ISNUMBER(SEARCH("|"&amp;INDEX(INDIRECT(All_Questions_Q5_F_resolved_column),56)&amp;"|",All_Questions_Q5_F_wrapped)),1,0),0))*1</f>
        <v>1</v>
      </c>
    </row>
    <row r="58">
      <c r="A58" t="n">
        <v>57</v>
      </c>
      <c r="B58" t="inlineStr">
        <is>
          <t>Selected</t>
        </is>
      </c>
      <c r="C58" t="inlineStr">
        <is>
          <t>Selected</t>
        </is>
      </c>
      <c r="D58" t="inlineStr">
        <is>
          <t>Selected</t>
        </is>
      </c>
      <c r="E58" t="inlineStr">
        <is>
          <t>Selected</t>
        </is>
      </c>
      <c r="F58">
        <f>1</f>
        <v>1</v>
      </c>
      <c r="G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H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I58">
        <f>G58*H58*1</f>
        <v>1</v>
      </c>
      <c r="J58">
        <f>1</f>
        <v>1</v>
      </c>
      <c r="K58">
        <f>IF(OR(All_Questions_Q4_F_Q="(None)",All_Questions_Q4_F_Q="",ISBLANK(All_Questions_Q4_F_Q),All_Questions_Q4_F_V="(All)",All_Questions_Q4_F_V="",ISBLANK(All_Questions_Q4_F_V)),1,IFERROR(IF(ISNUMBER(SEARCH("|"&amp;INDEX(INDIRECT(All_Questions_Q4_F_resolved_column),57)&amp;"|",All_Questions_Q4_F_wrapped)),1,0),0))*1</f>
        <v>1</v>
      </c>
      <c r="L58">
        <f>IF(OR(All_Questions_Q5_F_Q="(None)",All_Questions_Q5_F_Q="",ISBLANK(All_Questions_Q5_F_Q),All_Questions_Q5_F_V="(All)",All_Questions_Q5_F_V="",ISBLANK(All_Questions_Q5_F_V)),1,IFERROR(IF(ISNUMBER(SEARCH("|"&amp;INDEX(INDIRECT(All_Questions_Q5_F_resolved_column),57)&amp;"|",All_Questions_Q5_F_wrapped)),1,0),0))*1</f>
        <v>1</v>
      </c>
    </row>
    <row r="59">
      <c r="A59" t="n">
        <v>58</v>
      </c>
      <c r="B59" t="inlineStr">
        <is>
          <t>Selected</t>
        </is>
      </c>
      <c r="C59" t="inlineStr">
        <is>
          <t>Selected</t>
        </is>
      </c>
      <c r="D59" t="inlineStr">
        <is>
          <t>Selected</t>
        </is>
      </c>
      <c r="E59" t="inlineStr">
        <is>
          <t>Selected</t>
        </is>
      </c>
      <c r="F59">
        <f>1</f>
        <v>1</v>
      </c>
      <c r="G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H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I59">
        <f>G59*H59*1</f>
        <v>1</v>
      </c>
      <c r="J59">
        <f>1</f>
        <v>1</v>
      </c>
      <c r="K59">
        <f>IF(OR(All_Questions_Q4_F_Q="(None)",All_Questions_Q4_F_Q="",ISBLANK(All_Questions_Q4_F_Q),All_Questions_Q4_F_V="(All)",All_Questions_Q4_F_V="",ISBLANK(All_Questions_Q4_F_V)),1,IFERROR(IF(ISNUMBER(SEARCH("|"&amp;INDEX(INDIRECT(All_Questions_Q4_F_resolved_column),58)&amp;"|",All_Questions_Q4_F_wrapped)),1,0),0))*1</f>
        <v>1</v>
      </c>
      <c r="L59">
        <f>IF(OR(All_Questions_Q5_F_Q="(None)",All_Questions_Q5_F_Q="",ISBLANK(All_Questions_Q5_F_Q),All_Questions_Q5_F_V="(All)",All_Questions_Q5_F_V="",ISBLANK(All_Questions_Q5_F_V)),1,IFERROR(IF(ISNUMBER(SEARCH("|"&amp;INDEX(INDIRECT(All_Questions_Q5_F_resolved_column),58)&amp;"|",All_Questions_Q5_F_wrapped)),1,0),0))*1</f>
        <v>1</v>
      </c>
    </row>
    <row r="60">
      <c r="A60" t="n">
        <v>59</v>
      </c>
      <c r="B60" t="inlineStr">
        <is>
          <t>Selected</t>
        </is>
      </c>
      <c r="C60" t="inlineStr">
        <is>
          <t>Selected</t>
        </is>
      </c>
      <c r="D60" t="inlineStr">
        <is>
          <t>Selected</t>
        </is>
      </c>
      <c r="E60" t="inlineStr">
        <is>
          <t>Selected</t>
        </is>
      </c>
      <c r="F60">
        <f>1</f>
        <v>1</v>
      </c>
      <c r="G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H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I60">
        <f>G60*H60*1</f>
        <v>1</v>
      </c>
      <c r="J60">
        <f>1</f>
        <v>1</v>
      </c>
      <c r="K60">
        <f>IF(OR(All_Questions_Q4_F_Q="(None)",All_Questions_Q4_F_Q="",ISBLANK(All_Questions_Q4_F_Q),All_Questions_Q4_F_V="(All)",All_Questions_Q4_F_V="",ISBLANK(All_Questions_Q4_F_V)),1,IFERROR(IF(ISNUMBER(SEARCH("|"&amp;INDEX(INDIRECT(All_Questions_Q4_F_resolved_column),59)&amp;"|",All_Questions_Q4_F_wrapped)),1,0),0))*1</f>
        <v>1</v>
      </c>
      <c r="L60">
        <f>IF(OR(All_Questions_Q5_F_Q="(None)",All_Questions_Q5_F_Q="",ISBLANK(All_Questions_Q5_F_Q),All_Questions_Q5_F_V="(All)",All_Questions_Q5_F_V="",ISBLANK(All_Questions_Q5_F_V)),1,IFERROR(IF(ISNUMBER(SEARCH("|"&amp;INDEX(INDIRECT(All_Questions_Q5_F_resolved_column),59)&amp;"|",All_Questions_Q5_F_wrapped)),1,0),0))*1</f>
        <v>1</v>
      </c>
    </row>
    <row r="61">
      <c r="A61" t="n">
        <v>60</v>
      </c>
      <c r="B61" t="inlineStr">
        <is>
          <t>Selected</t>
        </is>
      </c>
      <c r="C61" t="inlineStr">
        <is>
          <t>Selected</t>
        </is>
      </c>
      <c r="D61" t="inlineStr">
        <is>
          <t>Selected</t>
        </is>
      </c>
      <c r="E61" t="inlineStr">
        <is>
          <t>Selected</t>
        </is>
      </c>
      <c r="F61">
        <f>1</f>
        <v>1</v>
      </c>
      <c r="G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H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I61">
        <f>G61*H61*1</f>
        <v>1</v>
      </c>
      <c r="J61">
        <f>1</f>
        <v>1</v>
      </c>
      <c r="K61">
        <f>IF(OR(All_Questions_Q4_F_Q="(None)",All_Questions_Q4_F_Q="",ISBLANK(All_Questions_Q4_F_Q),All_Questions_Q4_F_V="(All)",All_Questions_Q4_F_V="",ISBLANK(All_Questions_Q4_F_V)),1,IFERROR(IF(ISNUMBER(SEARCH("|"&amp;INDEX(INDIRECT(All_Questions_Q4_F_resolved_column),60)&amp;"|",All_Questions_Q4_F_wrapped)),1,0),0))*1</f>
        <v>1</v>
      </c>
      <c r="L61">
        <f>IF(OR(All_Questions_Q5_F_Q="(None)",All_Questions_Q5_F_Q="",ISBLANK(All_Questions_Q5_F_Q),All_Questions_Q5_F_V="(All)",All_Questions_Q5_F_V="",ISBLANK(All_Questions_Q5_F_V)),1,IFERROR(IF(ISNUMBER(SEARCH("|"&amp;INDEX(INDIRECT(All_Questions_Q5_F_resolved_column),60)&amp;"|",All_Questions_Q5_F_wrapped)),1,0),0))*1</f>
        <v>1</v>
      </c>
    </row>
    <row r="62">
      <c r="A62" t="n">
        <v>61</v>
      </c>
      <c r="B62" t="inlineStr">
        <is>
          <t>Selected</t>
        </is>
      </c>
      <c r="C62" t="inlineStr">
        <is>
          <t>Selected</t>
        </is>
      </c>
      <c r="D62" t="inlineStr">
        <is>
          <t>Selected</t>
        </is>
      </c>
      <c r="E62" t="inlineStr">
        <is>
          <t>Selected</t>
        </is>
      </c>
      <c r="F62">
        <f>1</f>
        <v>1</v>
      </c>
      <c r="G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H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I62">
        <f>G62*H62*1</f>
        <v>1</v>
      </c>
      <c r="J62">
        <f>1</f>
        <v>1</v>
      </c>
      <c r="K62">
        <f>IF(OR(All_Questions_Q4_F_Q="(None)",All_Questions_Q4_F_Q="",ISBLANK(All_Questions_Q4_F_Q),All_Questions_Q4_F_V="(All)",All_Questions_Q4_F_V="",ISBLANK(All_Questions_Q4_F_V)),1,IFERROR(IF(ISNUMBER(SEARCH("|"&amp;INDEX(INDIRECT(All_Questions_Q4_F_resolved_column),61)&amp;"|",All_Questions_Q4_F_wrapped)),1,0),0))*1</f>
        <v>1</v>
      </c>
      <c r="L62">
        <f>IF(OR(All_Questions_Q5_F_Q="(None)",All_Questions_Q5_F_Q="",ISBLANK(All_Questions_Q5_F_Q),All_Questions_Q5_F_V="(All)",All_Questions_Q5_F_V="",ISBLANK(All_Questions_Q5_F_V)),1,IFERROR(IF(ISNUMBER(SEARCH("|"&amp;INDEX(INDIRECT(All_Questions_Q5_F_resolved_column),61)&amp;"|",All_Questions_Q5_F_wrapped)),1,0),0))*1</f>
        <v>1</v>
      </c>
    </row>
    <row r="63">
      <c r="A63" t="n">
        <v>62</v>
      </c>
      <c r="B63" t="inlineStr">
        <is>
          <t>Selected</t>
        </is>
      </c>
      <c r="C63" t="inlineStr">
        <is>
          <t>Selected</t>
        </is>
      </c>
      <c r="D63" t="inlineStr">
        <is>
          <t>Selected</t>
        </is>
      </c>
      <c r="E63" t="inlineStr">
        <is>
          <t>Selected</t>
        </is>
      </c>
      <c r="F63">
        <f>1</f>
        <v>1</v>
      </c>
      <c r="G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H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I63">
        <f>G63*H63*1</f>
        <v>1</v>
      </c>
      <c r="J63">
        <f>1</f>
        <v>1</v>
      </c>
      <c r="K63">
        <f>IF(OR(All_Questions_Q4_F_Q="(None)",All_Questions_Q4_F_Q="",ISBLANK(All_Questions_Q4_F_Q),All_Questions_Q4_F_V="(All)",All_Questions_Q4_F_V="",ISBLANK(All_Questions_Q4_F_V)),1,IFERROR(IF(ISNUMBER(SEARCH("|"&amp;INDEX(INDIRECT(All_Questions_Q4_F_resolved_column),62)&amp;"|",All_Questions_Q4_F_wrapped)),1,0),0))*1</f>
        <v>1</v>
      </c>
      <c r="L63">
        <f>IF(OR(All_Questions_Q5_F_Q="(None)",All_Questions_Q5_F_Q="",ISBLANK(All_Questions_Q5_F_Q),All_Questions_Q5_F_V="(All)",All_Questions_Q5_F_V="",ISBLANK(All_Questions_Q5_F_V)),1,IFERROR(IF(ISNUMBER(SEARCH("|"&amp;INDEX(INDIRECT(All_Questions_Q5_F_resolved_column),62)&amp;"|",All_Questions_Q5_F_wrapped)),1,0),0))*1</f>
        <v>1</v>
      </c>
    </row>
    <row r="64">
      <c r="A64" t="n">
        <v>63</v>
      </c>
      <c r="B64" t="inlineStr">
        <is>
          <t>Selected</t>
        </is>
      </c>
      <c r="C64" t="inlineStr">
        <is>
          <t>Selected</t>
        </is>
      </c>
      <c r="D64" t="inlineStr">
        <is>
          <t>Selected</t>
        </is>
      </c>
      <c r="E64" t="inlineStr">
        <is>
          <t>Selected</t>
        </is>
      </c>
      <c r="F64">
        <f>1</f>
        <v>1</v>
      </c>
      <c r="G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H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I64">
        <f>G64*H64*1</f>
        <v>1</v>
      </c>
      <c r="J64">
        <f>1</f>
        <v>1</v>
      </c>
      <c r="K64">
        <f>IF(OR(All_Questions_Q4_F_Q="(None)",All_Questions_Q4_F_Q="",ISBLANK(All_Questions_Q4_F_Q),All_Questions_Q4_F_V="(All)",All_Questions_Q4_F_V="",ISBLANK(All_Questions_Q4_F_V)),1,IFERROR(IF(ISNUMBER(SEARCH("|"&amp;INDEX(INDIRECT(All_Questions_Q4_F_resolved_column),63)&amp;"|",All_Questions_Q4_F_wrapped)),1,0),0))*1</f>
        <v>1</v>
      </c>
      <c r="L64">
        <f>IF(OR(All_Questions_Q5_F_Q="(None)",All_Questions_Q5_F_Q="",ISBLANK(All_Questions_Q5_F_Q),All_Questions_Q5_F_V="(All)",All_Questions_Q5_F_V="",ISBLANK(All_Questions_Q5_F_V)),1,IFERROR(IF(ISNUMBER(SEARCH("|"&amp;INDEX(INDIRECT(All_Questions_Q5_F_resolved_column),63)&amp;"|",All_Questions_Q5_F_wrapped)),1,0),0))*1</f>
        <v>1</v>
      </c>
    </row>
    <row r="65">
      <c r="A65" t="n">
        <v>64</v>
      </c>
      <c r="B65" t="inlineStr">
        <is>
          <t>Selected</t>
        </is>
      </c>
      <c r="C65" t="inlineStr">
        <is>
          <t>Selected</t>
        </is>
      </c>
      <c r="D65" t="inlineStr">
        <is>
          <t>Selected</t>
        </is>
      </c>
      <c r="E65" t="inlineStr">
        <is>
          <t>Selected</t>
        </is>
      </c>
      <c r="F65">
        <f>1</f>
        <v>1</v>
      </c>
      <c r="G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H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I65">
        <f>G65*H65*1</f>
        <v>1</v>
      </c>
      <c r="J65">
        <f>1</f>
        <v>1</v>
      </c>
      <c r="K65">
        <f>IF(OR(All_Questions_Q4_F_Q="(None)",All_Questions_Q4_F_Q="",ISBLANK(All_Questions_Q4_F_Q),All_Questions_Q4_F_V="(All)",All_Questions_Q4_F_V="",ISBLANK(All_Questions_Q4_F_V)),1,IFERROR(IF(ISNUMBER(SEARCH("|"&amp;INDEX(INDIRECT(All_Questions_Q4_F_resolved_column),64)&amp;"|",All_Questions_Q4_F_wrapped)),1,0),0))*1</f>
        <v>1</v>
      </c>
      <c r="L65">
        <f>IF(OR(All_Questions_Q5_F_Q="(None)",All_Questions_Q5_F_Q="",ISBLANK(All_Questions_Q5_F_Q),All_Questions_Q5_F_V="(All)",All_Questions_Q5_F_V="",ISBLANK(All_Questions_Q5_F_V)),1,IFERROR(IF(ISNUMBER(SEARCH("|"&amp;INDEX(INDIRECT(All_Questions_Q5_F_resolved_column),64)&amp;"|",All_Questions_Q5_F_wrapped)),1,0),0))*1</f>
        <v>1</v>
      </c>
    </row>
    <row r="66">
      <c r="A66" t="n">
        <v>65</v>
      </c>
      <c r="B66" t="inlineStr">
        <is>
          <t>Selected</t>
        </is>
      </c>
      <c r="C66" t="inlineStr">
        <is>
          <t>Selected</t>
        </is>
      </c>
      <c r="D66" t="inlineStr">
        <is>
          <t>Selected</t>
        </is>
      </c>
      <c r="E66" t="inlineStr">
        <is>
          <t>Selected</t>
        </is>
      </c>
      <c r="F66">
        <f>1</f>
        <v>1</v>
      </c>
      <c r="G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H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I66">
        <f>G66*H66*1</f>
        <v>1</v>
      </c>
      <c r="J66">
        <f>1</f>
        <v>1</v>
      </c>
      <c r="K66">
        <f>IF(OR(All_Questions_Q4_F_Q="(None)",All_Questions_Q4_F_Q="",ISBLANK(All_Questions_Q4_F_Q),All_Questions_Q4_F_V="(All)",All_Questions_Q4_F_V="",ISBLANK(All_Questions_Q4_F_V)),1,IFERROR(IF(ISNUMBER(SEARCH("|"&amp;INDEX(INDIRECT(All_Questions_Q4_F_resolved_column),65)&amp;"|",All_Questions_Q4_F_wrapped)),1,0),0))*1</f>
        <v>1</v>
      </c>
      <c r="L66">
        <f>IF(OR(All_Questions_Q5_F_Q="(None)",All_Questions_Q5_F_Q="",ISBLANK(All_Questions_Q5_F_Q),All_Questions_Q5_F_V="(All)",All_Questions_Q5_F_V="",ISBLANK(All_Questions_Q5_F_V)),1,IFERROR(IF(ISNUMBER(SEARCH("|"&amp;INDEX(INDIRECT(All_Questions_Q5_F_resolved_column),65)&amp;"|",All_Questions_Q5_F_wrapped)),1,0),0))*1</f>
        <v>1</v>
      </c>
    </row>
    <row r="67">
      <c r="A67" t="n">
        <v>66</v>
      </c>
      <c r="B67" t="inlineStr">
        <is>
          <t>Selected</t>
        </is>
      </c>
      <c r="C67" t="inlineStr">
        <is>
          <t>Selected</t>
        </is>
      </c>
      <c r="D67" t="inlineStr">
        <is>
          <t>Selected</t>
        </is>
      </c>
      <c r="E67" t="inlineStr">
        <is>
          <t>Selected</t>
        </is>
      </c>
      <c r="F67">
        <f>1</f>
        <v>1</v>
      </c>
      <c r="G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H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I67">
        <f>G67*H67*1</f>
        <v>1</v>
      </c>
      <c r="J67">
        <f>1</f>
        <v>1</v>
      </c>
      <c r="K67">
        <f>IF(OR(All_Questions_Q4_F_Q="(None)",All_Questions_Q4_F_Q="",ISBLANK(All_Questions_Q4_F_Q),All_Questions_Q4_F_V="(All)",All_Questions_Q4_F_V="",ISBLANK(All_Questions_Q4_F_V)),1,IFERROR(IF(ISNUMBER(SEARCH("|"&amp;INDEX(INDIRECT(All_Questions_Q4_F_resolved_column),66)&amp;"|",All_Questions_Q4_F_wrapped)),1,0),0))*1</f>
        <v>1</v>
      </c>
      <c r="L67">
        <f>IF(OR(All_Questions_Q5_F_Q="(None)",All_Questions_Q5_F_Q="",ISBLANK(All_Questions_Q5_F_Q),All_Questions_Q5_F_V="(All)",All_Questions_Q5_F_V="",ISBLANK(All_Questions_Q5_F_V)),1,IFERROR(IF(ISNUMBER(SEARCH("|"&amp;INDEX(INDIRECT(All_Questions_Q5_F_resolved_column),66)&amp;"|",All_Questions_Q5_F_wrapped)),1,0),0))*1</f>
        <v>1</v>
      </c>
    </row>
    <row r="68">
      <c r="A68" t="n">
        <v>67</v>
      </c>
      <c r="B68" t="inlineStr">
        <is>
          <t>Selected</t>
        </is>
      </c>
      <c r="C68" t="inlineStr">
        <is>
          <t>Selected</t>
        </is>
      </c>
      <c r="D68" t="inlineStr">
        <is>
          <t>Selected</t>
        </is>
      </c>
      <c r="E68" t="inlineStr">
        <is>
          <t>Selected</t>
        </is>
      </c>
      <c r="F68">
        <f>1</f>
        <v>1</v>
      </c>
      <c r="G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H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I68">
        <f>G68*H68*1</f>
        <v>1</v>
      </c>
      <c r="J68">
        <f>1</f>
        <v>1</v>
      </c>
      <c r="K68">
        <f>IF(OR(All_Questions_Q4_F_Q="(None)",All_Questions_Q4_F_Q="",ISBLANK(All_Questions_Q4_F_Q),All_Questions_Q4_F_V="(All)",All_Questions_Q4_F_V="",ISBLANK(All_Questions_Q4_F_V)),1,IFERROR(IF(ISNUMBER(SEARCH("|"&amp;INDEX(INDIRECT(All_Questions_Q4_F_resolved_column),67)&amp;"|",All_Questions_Q4_F_wrapped)),1,0),0))*1</f>
        <v>1</v>
      </c>
      <c r="L68">
        <f>IF(OR(All_Questions_Q5_F_Q="(None)",All_Questions_Q5_F_Q="",ISBLANK(All_Questions_Q5_F_Q),All_Questions_Q5_F_V="(All)",All_Questions_Q5_F_V="",ISBLANK(All_Questions_Q5_F_V)),1,IFERROR(IF(ISNUMBER(SEARCH("|"&amp;INDEX(INDIRECT(All_Questions_Q5_F_resolved_column),67)&amp;"|",All_Questions_Q5_F_wrapped)),1,0),0))*1</f>
        <v>1</v>
      </c>
    </row>
    <row r="69">
      <c r="A69" t="n">
        <v>68</v>
      </c>
      <c r="B69" t="inlineStr">
        <is>
          <t>Selected</t>
        </is>
      </c>
      <c r="C69" t="inlineStr">
        <is>
          <t>Selected</t>
        </is>
      </c>
      <c r="D69" t="inlineStr">
        <is>
          <t>Selected</t>
        </is>
      </c>
      <c r="E69" t="inlineStr">
        <is>
          <t>Selected</t>
        </is>
      </c>
      <c r="F69">
        <f>1</f>
        <v>1</v>
      </c>
      <c r="G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H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I69">
        <f>G69*H69*1</f>
        <v>1</v>
      </c>
      <c r="J69">
        <f>1</f>
        <v>1</v>
      </c>
      <c r="K69">
        <f>IF(OR(All_Questions_Q4_F_Q="(None)",All_Questions_Q4_F_Q="",ISBLANK(All_Questions_Q4_F_Q),All_Questions_Q4_F_V="(All)",All_Questions_Q4_F_V="",ISBLANK(All_Questions_Q4_F_V)),1,IFERROR(IF(ISNUMBER(SEARCH("|"&amp;INDEX(INDIRECT(All_Questions_Q4_F_resolved_column),68)&amp;"|",All_Questions_Q4_F_wrapped)),1,0),0))*1</f>
        <v>1</v>
      </c>
      <c r="L69">
        <f>IF(OR(All_Questions_Q5_F_Q="(None)",All_Questions_Q5_F_Q="",ISBLANK(All_Questions_Q5_F_Q),All_Questions_Q5_F_V="(All)",All_Questions_Q5_F_V="",ISBLANK(All_Questions_Q5_F_V)),1,IFERROR(IF(ISNUMBER(SEARCH("|"&amp;INDEX(INDIRECT(All_Questions_Q5_F_resolved_column),68)&amp;"|",All_Questions_Q5_F_wrapped)),1,0),0))*1</f>
        <v>1</v>
      </c>
    </row>
    <row r="70">
      <c r="A70" t="n">
        <v>69</v>
      </c>
      <c r="B70" t="inlineStr">
        <is>
          <t>Selected</t>
        </is>
      </c>
      <c r="C70" t="inlineStr">
        <is>
          <t>Selected</t>
        </is>
      </c>
      <c r="D70" t="inlineStr">
        <is>
          <t>Selected</t>
        </is>
      </c>
      <c r="E70" t="inlineStr">
        <is>
          <t>Selected</t>
        </is>
      </c>
      <c r="F70">
        <f>1</f>
        <v>1</v>
      </c>
      <c r="G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H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I70">
        <f>G70*H70*1</f>
        <v>1</v>
      </c>
      <c r="J70">
        <f>1</f>
        <v>1</v>
      </c>
      <c r="K70">
        <f>IF(OR(All_Questions_Q4_F_Q="(None)",All_Questions_Q4_F_Q="",ISBLANK(All_Questions_Q4_F_Q),All_Questions_Q4_F_V="(All)",All_Questions_Q4_F_V="",ISBLANK(All_Questions_Q4_F_V)),1,IFERROR(IF(ISNUMBER(SEARCH("|"&amp;INDEX(INDIRECT(All_Questions_Q4_F_resolved_column),69)&amp;"|",All_Questions_Q4_F_wrapped)),1,0),0))*1</f>
        <v>1</v>
      </c>
      <c r="L70">
        <f>IF(OR(All_Questions_Q5_F_Q="(None)",All_Questions_Q5_F_Q="",ISBLANK(All_Questions_Q5_F_Q),All_Questions_Q5_F_V="(All)",All_Questions_Q5_F_V="",ISBLANK(All_Questions_Q5_F_V)),1,IFERROR(IF(ISNUMBER(SEARCH("|"&amp;INDEX(INDIRECT(All_Questions_Q5_F_resolved_column),69)&amp;"|",All_Questions_Q5_F_wrapped)),1,0),0))*1</f>
        <v>1</v>
      </c>
    </row>
    <row r="71">
      <c r="A71" t="n">
        <v>70</v>
      </c>
      <c r="B71" t="inlineStr">
        <is>
          <t>Selected</t>
        </is>
      </c>
      <c r="C71" t="inlineStr">
        <is>
          <t>Selected</t>
        </is>
      </c>
      <c r="D71" t="inlineStr">
        <is>
          <t>Selected</t>
        </is>
      </c>
      <c r="E71" t="inlineStr">
        <is>
          <t>Selected</t>
        </is>
      </c>
      <c r="F71">
        <f>1</f>
        <v>1</v>
      </c>
      <c r="G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H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I71">
        <f>G71*H71*1</f>
        <v>1</v>
      </c>
      <c r="J71">
        <f>1</f>
        <v>1</v>
      </c>
      <c r="K71">
        <f>IF(OR(All_Questions_Q4_F_Q="(None)",All_Questions_Q4_F_Q="",ISBLANK(All_Questions_Q4_F_Q),All_Questions_Q4_F_V="(All)",All_Questions_Q4_F_V="",ISBLANK(All_Questions_Q4_F_V)),1,IFERROR(IF(ISNUMBER(SEARCH("|"&amp;INDEX(INDIRECT(All_Questions_Q4_F_resolved_column),70)&amp;"|",All_Questions_Q4_F_wrapped)),1,0),0))*1</f>
        <v>1</v>
      </c>
      <c r="L71">
        <f>IF(OR(All_Questions_Q5_F_Q="(None)",All_Questions_Q5_F_Q="",ISBLANK(All_Questions_Q5_F_Q),All_Questions_Q5_F_V="(All)",All_Questions_Q5_F_V="",ISBLANK(All_Questions_Q5_F_V)),1,IFERROR(IF(ISNUMBER(SEARCH("|"&amp;INDEX(INDIRECT(All_Questions_Q5_F_resolved_column),70)&amp;"|",All_Questions_Q5_F_wrapped)),1,0),0))*1</f>
        <v>1</v>
      </c>
    </row>
    <row r="72">
      <c r="A72" t="n">
        <v>71</v>
      </c>
      <c r="B72" t="inlineStr">
        <is>
          <t>Selected</t>
        </is>
      </c>
      <c r="C72" t="inlineStr">
        <is>
          <t>Selected</t>
        </is>
      </c>
      <c r="D72" t="inlineStr">
        <is>
          <t>Selected</t>
        </is>
      </c>
      <c r="E72" t="inlineStr">
        <is>
          <t>Selected</t>
        </is>
      </c>
      <c r="F72">
        <f>1</f>
        <v>1</v>
      </c>
      <c r="G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H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I72">
        <f>G72*H72*1</f>
        <v>1</v>
      </c>
      <c r="J72">
        <f>1</f>
        <v>1</v>
      </c>
      <c r="K72">
        <f>IF(OR(All_Questions_Q4_F_Q="(None)",All_Questions_Q4_F_Q="",ISBLANK(All_Questions_Q4_F_Q),All_Questions_Q4_F_V="(All)",All_Questions_Q4_F_V="",ISBLANK(All_Questions_Q4_F_V)),1,IFERROR(IF(ISNUMBER(SEARCH("|"&amp;INDEX(INDIRECT(All_Questions_Q4_F_resolved_column),71)&amp;"|",All_Questions_Q4_F_wrapped)),1,0),0))*1</f>
        <v>1</v>
      </c>
      <c r="L72">
        <f>IF(OR(All_Questions_Q5_F_Q="(None)",All_Questions_Q5_F_Q="",ISBLANK(All_Questions_Q5_F_Q),All_Questions_Q5_F_V="(All)",All_Questions_Q5_F_V="",ISBLANK(All_Questions_Q5_F_V)),1,IFERROR(IF(ISNUMBER(SEARCH("|"&amp;INDEX(INDIRECT(All_Questions_Q5_F_resolved_column),71)&amp;"|",All_Questions_Q5_F_wrapped)),1,0),0))*1</f>
        <v>1</v>
      </c>
    </row>
    <row r="73">
      <c r="A73" t="n">
        <v>72</v>
      </c>
      <c r="B73" t="inlineStr">
        <is>
          <t>Selected</t>
        </is>
      </c>
      <c r="C73" t="inlineStr">
        <is>
          <t>Selected</t>
        </is>
      </c>
      <c r="D73" t="inlineStr">
        <is>
          <t>Selected</t>
        </is>
      </c>
      <c r="E73" t="inlineStr">
        <is>
          <t>Selected</t>
        </is>
      </c>
      <c r="F73">
        <f>1</f>
        <v>1</v>
      </c>
      <c r="G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H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I73">
        <f>G73*H73*1</f>
        <v>1</v>
      </c>
      <c r="J73">
        <f>1</f>
        <v>1</v>
      </c>
      <c r="K73">
        <f>IF(OR(All_Questions_Q4_F_Q="(None)",All_Questions_Q4_F_Q="",ISBLANK(All_Questions_Q4_F_Q),All_Questions_Q4_F_V="(All)",All_Questions_Q4_F_V="",ISBLANK(All_Questions_Q4_F_V)),1,IFERROR(IF(ISNUMBER(SEARCH("|"&amp;INDEX(INDIRECT(All_Questions_Q4_F_resolved_column),72)&amp;"|",All_Questions_Q4_F_wrapped)),1,0),0))*1</f>
        <v>1</v>
      </c>
      <c r="L73">
        <f>IF(OR(All_Questions_Q5_F_Q="(None)",All_Questions_Q5_F_Q="",ISBLANK(All_Questions_Q5_F_Q),All_Questions_Q5_F_V="(All)",All_Questions_Q5_F_V="",ISBLANK(All_Questions_Q5_F_V)),1,IFERROR(IF(ISNUMBER(SEARCH("|"&amp;INDEX(INDIRECT(All_Questions_Q5_F_resolved_column),72)&amp;"|",All_Questions_Q5_F_wrapped)),1,0),0))*1</f>
        <v>1</v>
      </c>
    </row>
    <row r="74">
      <c r="A74" t="n">
        <v>73</v>
      </c>
      <c r="B74" t="inlineStr">
        <is>
          <t>Selected</t>
        </is>
      </c>
      <c r="C74" t="inlineStr">
        <is>
          <t>Selected</t>
        </is>
      </c>
      <c r="D74" t="inlineStr">
        <is>
          <t>Selected</t>
        </is>
      </c>
      <c r="E74" t="inlineStr">
        <is>
          <t>Selected</t>
        </is>
      </c>
      <c r="F74">
        <f>1</f>
        <v>1</v>
      </c>
      <c r="G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H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I74">
        <f>G74*H74*1</f>
        <v>1</v>
      </c>
      <c r="J74">
        <f>1</f>
        <v>1</v>
      </c>
      <c r="K74">
        <f>IF(OR(All_Questions_Q4_F_Q="(None)",All_Questions_Q4_F_Q="",ISBLANK(All_Questions_Q4_F_Q),All_Questions_Q4_F_V="(All)",All_Questions_Q4_F_V="",ISBLANK(All_Questions_Q4_F_V)),1,IFERROR(IF(ISNUMBER(SEARCH("|"&amp;INDEX(INDIRECT(All_Questions_Q4_F_resolved_column),73)&amp;"|",All_Questions_Q4_F_wrapped)),1,0),0))*1</f>
        <v>1</v>
      </c>
      <c r="L74">
        <f>IF(OR(All_Questions_Q5_F_Q="(None)",All_Questions_Q5_F_Q="",ISBLANK(All_Questions_Q5_F_Q),All_Questions_Q5_F_V="(All)",All_Questions_Q5_F_V="",ISBLANK(All_Questions_Q5_F_V)),1,IFERROR(IF(ISNUMBER(SEARCH("|"&amp;INDEX(INDIRECT(All_Questions_Q5_F_resolved_column),73)&amp;"|",All_Questions_Q5_F_wrapped)),1,0),0))*1</f>
        <v>1</v>
      </c>
    </row>
    <row r="75">
      <c r="A75" t="n">
        <v>74</v>
      </c>
      <c r="B75" t="inlineStr">
        <is>
          <t>Selected</t>
        </is>
      </c>
      <c r="C75" t="inlineStr">
        <is>
          <t>Selected</t>
        </is>
      </c>
      <c r="D75" t="inlineStr">
        <is>
          <t>Selected</t>
        </is>
      </c>
      <c r="E75" t="inlineStr">
        <is>
          <t>Selected</t>
        </is>
      </c>
      <c r="F75">
        <f>1</f>
        <v>1</v>
      </c>
      <c r="G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H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I75">
        <f>G75*H75*1</f>
        <v>1</v>
      </c>
      <c r="J75">
        <f>1</f>
        <v>1</v>
      </c>
      <c r="K75">
        <f>IF(OR(All_Questions_Q4_F_Q="(None)",All_Questions_Q4_F_Q="",ISBLANK(All_Questions_Q4_F_Q),All_Questions_Q4_F_V="(All)",All_Questions_Q4_F_V="",ISBLANK(All_Questions_Q4_F_V)),1,IFERROR(IF(ISNUMBER(SEARCH("|"&amp;INDEX(INDIRECT(All_Questions_Q4_F_resolved_column),74)&amp;"|",All_Questions_Q4_F_wrapped)),1,0),0))*1</f>
        <v>1</v>
      </c>
      <c r="L75">
        <f>IF(OR(All_Questions_Q5_F_Q="(None)",All_Questions_Q5_F_Q="",ISBLANK(All_Questions_Q5_F_Q),All_Questions_Q5_F_V="(All)",All_Questions_Q5_F_V="",ISBLANK(All_Questions_Q5_F_V)),1,IFERROR(IF(ISNUMBER(SEARCH("|"&amp;INDEX(INDIRECT(All_Questions_Q5_F_resolved_column),74)&amp;"|",All_Questions_Q5_F_wrapped)),1,0),0))*1</f>
        <v>1</v>
      </c>
    </row>
    <row r="76">
      <c r="A76" t="n">
        <v>75</v>
      </c>
      <c r="B76" t="inlineStr">
        <is>
          <t>Selected</t>
        </is>
      </c>
      <c r="C76" t="inlineStr">
        <is>
          <t>Selected</t>
        </is>
      </c>
      <c r="D76" t="inlineStr">
        <is>
          <t>Selected</t>
        </is>
      </c>
      <c r="E76" t="inlineStr">
        <is>
          <t>Selected</t>
        </is>
      </c>
      <c r="F76">
        <f>1</f>
        <v>1</v>
      </c>
      <c r="G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H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I76">
        <f>G76*H76*1</f>
        <v>1</v>
      </c>
      <c r="J76">
        <f>1</f>
        <v>1</v>
      </c>
      <c r="K76">
        <f>IF(OR(All_Questions_Q4_F_Q="(None)",All_Questions_Q4_F_Q="",ISBLANK(All_Questions_Q4_F_Q),All_Questions_Q4_F_V="(All)",All_Questions_Q4_F_V="",ISBLANK(All_Questions_Q4_F_V)),1,IFERROR(IF(ISNUMBER(SEARCH("|"&amp;INDEX(INDIRECT(All_Questions_Q4_F_resolved_column),75)&amp;"|",All_Questions_Q4_F_wrapped)),1,0),0))*1</f>
        <v>1</v>
      </c>
      <c r="L76">
        <f>IF(OR(All_Questions_Q5_F_Q="(None)",All_Questions_Q5_F_Q="",ISBLANK(All_Questions_Q5_F_Q),All_Questions_Q5_F_V="(All)",All_Questions_Q5_F_V="",ISBLANK(All_Questions_Q5_F_V)),1,IFERROR(IF(ISNUMBER(SEARCH("|"&amp;INDEX(INDIRECT(All_Questions_Q5_F_resolved_column),75)&amp;"|",All_Questions_Q5_F_wrapped)),1,0),0))*1</f>
        <v>1</v>
      </c>
    </row>
    <row r="77">
      <c r="A77" t="n">
        <v>76</v>
      </c>
      <c r="B77" t="inlineStr">
        <is>
          <t>Selected</t>
        </is>
      </c>
      <c r="C77" t="inlineStr">
        <is>
          <t>Selected</t>
        </is>
      </c>
      <c r="D77" t="inlineStr">
        <is>
          <t>Selected</t>
        </is>
      </c>
      <c r="E77" t="inlineStr">
        <is>
          <t>Selected</t>
        </is>
      </c>
      <c r="F77">
        <f>1</f>
        <v>1</v>
      </c>
      <c r="G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H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I77">
        <f>G77*H77*1</f>
        <v>1</v>
      </c>
      <c r="J77">
        <f>1</f>
        <v>1</v>
      </c>
      <c r="K77">
        <f>IF(OR(All_Questions_Q4_F_Q="(None)",All_Questions_Q4_F_Q="",ISBLANK(All_Questions_Q4_F_Q),All_Questions_Q4_F_V="(All)",All_Questions_Q4_F_V="",ISBLANK(All_Questions_Q4_F_V)),1,IFERROR(IF(ISNUMBER(SEARCH("|"&amp;INDEX(INDIRECT(All_Questions_Q4_F_resolved_column),76)&amp;"|",All_Questions_Q4_F_wrapped)),1,0),0))*1</f>
        <v>1</v>
      </c>
      <c r="L77">
        <f>IF(OR(All_Questions_Q5_F_Q="(None)",All_Questions_Q5_F_Q="",ISBLANK(All_Questions_Q5_F_Q),All_Questions_Q5_F_V="(All)",All_Questions_Q5_F_V="",ISBLANK(All_Questions_Q5_F_V)),1,IFERROR(IF(ISNUMBER(SEARCH("|"&amp;INDEX(INDIRECT(All_Questions_Q5_F_resolved_column),76)&amp;"|",All_Questions_Q5_F_wrapped)),1,0),0))*1</f>
        <v>1</v>
      </c>
    </row>
    <row r="78">
      <c r="A78" t="n">
        <v>77</v>
      </c>
      <c r="B78" t="inlineStr">
        <is>
          <t>Selected</t>
        </is>
      </c>
      <c r="C78" t="inlineStr">
        <is>
          <t>Selected</t>
        </is>
      </c>
      <c r="D78" t="inlineStr">
        <is>
          <t>Selected</t>
        </is>
      </c>
      <c r="E78" t="inlineStr">
        <is>
          <t>Selected</t>
        </is>
      </c>
      <c r="F78">
        <f>1</f>
        <v>1</v>
      </c>
      <c r="G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H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I78">
        <f>G78*H78*1</f>
        <v>1</v>
      </c>
      <c r="J78">
        <f>1</f>
        <v>1</v>
      </c>
      <c r="K78">
        <f>IF(OR(All_Questions_Q4_F_Q="(None)",All_Questions_Q4_F_Q="",ISBLANK(All_Questions_Q4_F_Q),All_Questions_Q4_F_V="(All)",All_Questions_Q4_F_V="",ISBLANK(All_Questions_Q4_F_V)),1,IFERROR(IF(ISNUMBER(SEARCH("|"&amp;INDEX(INDIRECT(All_Questions_Q4_F_resolved_column),77)&amp;"|",All_Questions_Q4_F_wrapped)),1,0),0))*1</f>
        <v>1</v>
      </c>
      <c r="L78">
        <f>IF(OR(All_Questions_Q5_F_Q="(None)",All_Questions_Q5_F_Q="",ISBLANK(All_Questions_Q5_F_Q),All_Questions_Q5_F_V="(All)",All_Questions_Q5_F_V="",ISBLANK(All_Questions_Q5_F_V)),1,IFERROR(IF(ISNUMBER(SEARCH("|"&amp;INDEX(INDIRECT(All_Questions_Q5_F_resolved_column),77)&amp;"|",All_Questions_Q5_F_wrapped)),1,0),0))*1</f>
        <v>1</v>
      </c>
    </row>
    <row r="79">
      <c r="A79" t="n">
        <v>78</v>
      </c>
      <c r="B79" t="inlineStr">
        <is>
          <t>Selected</t>
        </is>
      </c>
      <c r="C79" t="inlineStr">
        <is>
          <t>Selected</t>
        </is>
      </c>
      <c r="D79" t="inlineStr">
        <is>
          <t>Selected</t>
        </is>
      </c>
      <c r="F79">
        <f>1</f>
        <v>1</v>
      </c>
      <c r="G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H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I79">
        <f>G79*H79*1</f>
        <v>1</v>
      </c>
      <c r="J79">
        <f>1</f>
        <v>1</v>
      </c>
      <c r="K79">
        <f>IF(OR(All_Questions_Q4_F_Q="(None)",All_Questions_Q4_F_Q="",ISBLANK(All_Questions_Q4_F_Q),All_Questions_Q4_F_V="(All)",All_Questions_Q4_F_V="",ISBLANK(All_Questions_Q4_F_V)),1,IFERROR(IF(ISNUMBER(SEARCH("|"&amp;INDEX(INDIRECT(All_Questions_Q4_F_resolved_column),78)&amp;"|",All_Questions_Q4_F_wrapped)),1,0),0))*1</f>
        <v>1</v>
      </c>
      <c r="L79">
        <f>IF(OR(All_Questions_Q5_F_Q="(None)",All_Questions_Q5_F_Q="",ISBLANK(All_Questions_Q5_F_Q),All_Questions_Q5_F_V="(All)",All_Questions_Q5_F_V="",ISBLANK(All_Questions_Q5_F_V)),1,IFERROR(IF(ISNUMBER(SEARCH("|"&amp;INDEX(INDIRECT(All_Questions_Q5_F_resolved_column),78)&amp;"|",All_Questions_Q5_F_wrapped)),1,0),0))*1</f>
        <v>1</v>
      </c>
    </row>
    <row r="80">
      <c r="A80" t="n">
        <v>79</v>
      </c>
      <c r="B80" t="inlineStr">
        <is>
          <t>Selected</t>
        </is>
      </c>
      <c r="C80" t="inlineStr">
        <is>
          <t>Selected</t>
        </is>
      </c>
      <c r="D80" t="inlineStr">
        <is>
          <t>Selected</t>
        </is>
      </c>
      <c r="F80">
        <f>1</f>
        <v>1</v>
      </c>
      <c r="G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H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I80">
        <f>G80*H80*1</f>
        <v>1</v>
      </c>
      <c r="J80">
        <f>1</f>
        <v>1</v>
      </c>
      <c r="K80">
        <f>IF(OR(All_Questions_Q4_F_Q="(None)",All_Questions_Q4_F_Q="",ISBLANK(All_Questions_Q4_F_Q),All_Questions_Q4_F_V="(All)",All_Questions_Q4_F_V="",ISBLANK(All_Questions_Q4_F_V)),1,IFERROR(IF(ISNUMBER(SEARCH("|"&amp;INDEX(INDIRECT(All_Questions_Q4_F_resolved_column),79)&amp;"|",All_Questions_Q4_F_wrapped)),1,0),0))*1</f>
        <v>1</v>
      </c>
      <c r="L80">
        <f>IF(OR(All_Questions_Q5_F_Q="(None)",All_Questions_Q5_F_Q="",ISBLANK(All_Questions_Q5_F_Q),All_Questions_Q5_F_V="(All)",All_Questions_Q5_F_V="",ISBLANK(All_Questions_Q5_F_V)),1,IFERROR(IF(ISNUMBER(SEARCH("|"&amp;INDEX(INDIRECT(All_Questions_Q5_F_resolved_column),79)&amp;"|",All_Questions_Q5_F_wrapped)),1,0),0))*1</f>
        <v>1</v>
      </c>
    </row>
    <row r="81">
      <c r="A81" t="n">
        <v>80</v>
      </c>
      <c r="B81" t="inlineStr">
        <is>
          <t>Selected</t>
        </is>
      </c>
      <c r="C81" t="inlineStr">
        <is>
          <t>Selected</t>
        </is>
      </c>
      <c r="D81" t="inlineStr">
        <is>
          <t>Selected</t>
        </is>
      </c>
      <c r="F81">
        <f>1</f>
        <v>1</v>
      </c>
      <c r="G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H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I81">
        <f>G81*H81*1</f>
        <v>1</v>
      </c>
      <c r="J81">
        <f>1</f>
        <v>1</v>
      </c>
      <c r="K81">
        <f>IF(OR(All_Questions_Q4_F_Q="(None)",All_Questions_Q4_F_Q="",ISBLANK(All_Questions_Q4_F_Q),All_Questions_Q4_F_V="(All)",All_Questions_Q4_F_V="",ISBLANK(All_Questions_Q4_F_V)),1,IFERROR(IF(ISNUMBER(SEARCH("|"&amp;INDEX(INDIRECT(All_Questions_Q4_F_resolved_column),80)&amp;"|",All_Questions_Q4_F_wrapped)),1,0),0))*1</f>
        <v>1</v>
      </c>
      <c r="L81">
        <f>IF(OR(All_Questions_Q5_F_Q="(None)",All_Questions_Q5_F_Q="",ISBLANK(All_Questions_Q5_F_Q),All_Questions_Q5_F_V="(All)",All_Questions_Q5_F_V="",ISBLANK(All_Questions_Q5_F_V)),1,IFERROR(IF(ISNUMBER(SEARCH("|"&amp;INDEX(INDIRECT(All_Questions_Q5_F_resolved_column),80)&amp;"|",All_Questions_Q5_F_wrapped)),1,0),0))*1</f>
        <v>1</v>
      </c>
    </row>
    <row r="82">
      <c r="A82" t="n">
        <v>81</v>
      </c>
      <c r="B82" t="inlineStr">
        <is>
          <t>Selected</t>
        </is>
      </c>
      <c r="C82" t="inlineStr">
        <is>
          <t>Selected</t>
        </is>
      </c>
      <c r="D82" t="inlineStr">
        <is>
          <t>Selected</t>
        </is>
      </c>
      <c r="F82">
        <f>1</f>
        <v>1</v>
      </c>
      <c r="G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H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I82">
        <f>G82*H82*1</f>
        <v>1</v>
      </c>
      <c r="J82">
        <f>1</f>
        <v>1</v>
      </c>
      <c r="K82">
        <f>IF(OR(All_Questions_Q4_F_Q="(None)",All_Questions_Q4_F_Q="",ISBLANK(All_Questions_Q4_F_Q),All_Questions_Q4_F_V="(All)",All_Questions_Q4_F_V="",ISBLANK(All_Questions_Q4_F_V)),1,IFERROR(IF(ISNUMBER(SEARCH("|"&amp;INDEX(INDIRECT(All_Questions_Q4_F_resolved_column),81)&amp;"|",All_Questions_Q4_F_wrapped)),1,0),0))*1</f>
        <v>1</v>
      </c>
      <c r="L82">
        <f>IF(OR(All_Questions_Q5_F_Q="(None)",All_Questions_Q5_F_Q="",ISBLANK(All_Questions_Q5_F_Q),All_Questions_Q5_F_V="(All)",All_Questions_Q5_F_V="",ISBLANK(All_Questions_Q5_F_V)),1,IFERROR(IF(ISNUMBER(SEARCH("|"&amp;INDEX(INDIRECT(All_Questions_Q5_F_resolved_column),81)&amp;"|",All_Questions_Q5_F_wrapped)),1,0),0))*1</f>
        <v>1</v>
      </c>
    </row>
    <row r="83">
      <c r="A83" t="n">
        <v>82</v>
      </c>
      <c r="B83" t="inlineStr">
        <is>
          <t>Selected</t>
        </is>
      </c>
      <c r="C83" t="inlineStr">
        <is>
          <t>Selected</t>
        </is>
      </c>
      <c r="D83" t="inlineStr">
        <is>
          <t>Selected</t>
        </is>
      </c>
      <c r="F83">
        <f>1</f>
        <v>1</v>
      </c>
      <c r="G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H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I83">
        <f>G83*H83*1</f>
        <v>1</v>
      </c>
      <c r="J83">
        <f>1</f>
        <v>1</v>
      </c>
      <c r="K83">
        <f>IF(OR(All_Questions_Q4_F_Q="(None)",All_Questions_Q4_F_Q="",ISBLANK(All_Questions_Q4_F_Q),All_Questions_Q4_F_V="(All)",All_Questions_Q4_F_V="",ISBLANK(All_Questions_Q4_F_V)),1,IFERROR(IF(ISNUMBER(SEARCH("|"&amp;INDEX(INDIRECT(All_Questions_Q4_F_resolved_column),82)&amp;"|",All_Questions_Q4_F_wrapped)),1,0),0))*1</f>
        <v>1</v>
      </c>
      <c r="L83">
        <f>IF(OR(All_Questions_Q5_F_Q="(None)",All_Questions_Q5_F_Q="",ISBLANK(All_Questions_Q5_F_Q),All_Questions_Q5_F_V="(All)",All_Questions_Q5_F_V="",ISBLANK(All_Questions_Q5_F_V)),1,IFERROR(IF(ISNUMBER(SEARCH("|"&amp;INDEX(INDIRECT(All_Questions_Q5_F_resolved_column),82)&amp;"|",All_Questions_Q5_F_wrapped)),1,0),0))*1</f>
        <v>1</v>
      </c>
    </row>
    <row r="84">
      <c r="A84" t="n">
        <v>83</v>
      </c>
      <c r="B84" t="inlineStr">
        <is>
          <t>Selected</t>
        </is>
      </c>
      <c r="C84" t="inlineStr">
        <is>
          <t>Selected</t>
        </is>
      </c>
      <c r="D84" t="inlineStr">
        <is>
          <t>Selected</t>
        </is>
      </c>
      <c r="F84">
        <f>1</f>
        <v>1</v>
      </c>
      <c r="G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H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I84">
        <f>G84*H84*1</f>
        <v>1</v>
      </c>
      <c r="J84">
        <f>1</f>
        <v>1</v>
      </c>
      <c r="K84">
        <f>IF(OR(All_Questions_Q4_F_Q="(None)",All_Questions_Q4_F_Q="",ISBLANK(All_Questions_Q4_F_Q),All_Questions_Q4_F_V="(All)",All_Questions_Q4_F_V="",ISBLANK(All_Questions_Q4_F_V)),1,IFERROR(IF(ISNUMBER(SEARCH("|"&amp;INDEX(INDIRECT(All_Questions_Q4_F_resolved_column),83)&amp;"|",All_Questions_Q4_F_wrapped)),1,0),0))*1</f>
        <v>1</v>
      </c>
      <c r="L84">
        <f>IF(OR(All_Questions_Q5_F_Q="(None)",All_Questions_Q5_F_Q="",ISBLANK(All_Questions_Q5_F_Q),All_Questions_Q5_F_V="(All)",All_Questions_Q5_F_V="",ISBLANK(All_Questions_Q5_F_V)),1,IFERROR(IF(ISNUMBER(SEARCH("|"&amp;INDEX(INDIRECT(All_Questions_Q5_F_resolved_column),83)&amp;"|",All_Questions_Q5_F_wrapped)),1,0),0))*1</f>
        <v>1</v>
      </c>
    </row>
    <row r="85">
      <c r="A85" t="n">
        <v>84</v>
      </c>
      <c r="B85" t="inlineStr">
        <is>
          <t>Selected</t>
        </is>
      </c>
      <c r="D85" t="inlineStr">
        <is>
          <t>Selected</t>
        </is>
      </c>
      <c r="F85">
        <f>1</f>
        <v>1</v>
      </c>
      <c r="G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H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I85">
        <f>G85*H85*1</f>
        <v>1</v>
      </c>
      <c r="J85">
        <f>1</f>
        <v>1</v>
      </c>
      <c r="K85">
        <f>IF(OR(All_Questions_Q4_F_Q="(None)",All_Questions_Q4_F_Q="",ISBLANK(All_Questions_Q4_F_Q),All_Questions_Q4_F_V="(All)",All_Questions_Q4_F_V="",ISBLANK(All_Questions_Q4_F_V)),1,IFERROR(IF(ISNUMBER(SEARCH("|"&amp;INDEX(INDIRECT(All_Questions_Q4_F_resolved_column),84)&amp;"|",All_Questions_Q4_F_wrapped)),1,0),0))*1</f>
        <v>1</v>
      </c>
      <c r="L85">
        <f>IF(OR(All_Questions_Q5_F_Q="(None)",All_Questions_Q5_F_Q="",ISBLANK(All_Questions_Q5_F_Q),All_Questions_Q5_F_V="(All)",All_Questions_Q5_F_V="",ISBLANK(All_Questions_Q5_F_V)),1,IFERROR(IF(ISNUMBER(SEARCH("|"&amp;INDEX(INDIRECT(All_Questions_Q5_F_resolved_column),84)&amp;"|",All_Questions_Q5_F_wrapped)),1,0),0))*1</f>
        <v>1</v>
      </c>
    </row>
    <row r="86">
      <c r="A86" t="n">
        <v>85</v>
      </c>
      <c r="B86" t="inlineStr">
        <is>
          <t>Selected</t>
        </is>
      </c>
      <c r="D86" t="inlineStr">
        <is>
          <t>Selected</t>
        </is>
      </c>
      <c r="F86">
        <f>1</f>
        <v>1</v>
      </c>
      <c r="G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H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I86">
        <f>G86*H86*1</f>
        <v>1</v>
      </c>
      <c r="J86">
        <f>1</f>
        <v>1</v>
      </c>
      <c r="K86">
        <f>IF(OR(All_Questions_Q4_F_Q="(None)",All_Questions_Q4_F_Q="",ISBLANK(All_Questions_Q4_F_Q),All_Questions_Q4_F_V="(All)",All_Questions_Q4_F_V="",ISBLANK(All_Questions_Q4_F_V)),1,IFERROR(IF(ISNUMBER(SEARCH("|"&amp;INDEX(INDIRECT(All_Questions_Q4_F_resolved_column),85)&amp;"|",All_Questions_Q4_F_wrapped)),1,0),0))*1</f>
        <v>1</v>
      </c>
      <c r="L86">
        <f>IF(OR(All_Questions_Q5_F_Q="(None)",All_Questions_Q5_F_Q="",ISBLANK(All_Questions_Q5_F_Q),All_Questions_Q5_F_V="(All)",All_Questions_Q5_F_V="",ISBLANK(All_Questions_Q5_F_V)),1,IFERROR(IF(ISNUMBER(SEARCH("|"&amp;INDEX(INDIRECT(All_Questions_Q5_F_resolved_column),85)&amp;"|",All_Questions_Q5_F_wrapped)),1,0),0))*1</f>
        <v>1</v>
      </c>
    </row>
    <row r="87">
      <c r="A87" t="n">
        <v>86</v>
      </c>
      <c r="B87" t="inlineStr">
        <is>
          <t>Selected</t>
        </is>
      </c>
      <c r="D87" t="inlineStr">
        <is>
          <t>Selected</t>
        </is>
      </c>
      <c r="F87">
        <f>1</f>
        <v>1</v>
      </c>
      <c r="G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H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I87">
        <f>G87*H87*1</f>
        <v>1</v>
      </c>
      <c r="J87">
        <f>1</f>
        <v>1</v>
      </c>
      <c r="K87">
        <f>IF(OR(All_Questions_Q4_F_Q="(None)",All_Questions_Q4_F_Q="",ISBLANK(All_Questions_Q4_F_Q),All_Questions_Q4_F_V="(All)",All_Questions_Q4_F_V="",ISBLANK(All_Questions_Q4_F_V)),1,IFERROR(IF(ISNUMBER(SEARCH("|"&amp;INDEX(INDIRECT(All_Questions_Q4_F_resolved_column),86)&amp;"|",All_Questions_Q4_F_wrapped)),1,0),0))*1</f>
        <v>1</v>
      </c>
      <c r="L87">
        <f>IF(OR(All_Questions_Q5_F_Q="(None)",All_Questions_Q5_F_Q="",ISBLANK(All_Questions_Q5_F_Q),All_Questions_Q5_F_V="(All)",All_Questions_Q5_F_V="",ISBLANK(All_Questions_Q5_F_V)),1,IFERROR(IF(ISNUMBER(SEARCH("|"&amp;INDEX(INDIRECT(All_Questions_Q5_F_resolved_column),86)&amp;"|",All_Questions_Q5_F_wrapped)),1,0),0))*1</f>
        <v>1</v>
      </c>
    </row>
    <row r="88">
      <c r="A88" t="n">
        <v>87</v>
      </c>
      <c r="B88" t="inlineStr">
        <is>
          <t>Selected</t>
        </is>
      </c>
      <c r="D88" t="inlineStr">
        <is>
          <t>Selected</t>
        </is>
      </c>
      <c r="F88">
        <f>1</f>
        <v>1</v>
      </c>
      <c r="G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H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I88">
        <f>G88*H88*1</f>
        <v>1</v>
      </c>
      <c r="J88">
        <f>1</f>
        <v>1</v>
      </c>
      <c r="K88">
        <f>IF(OR(All_Questions_Q4_F_Q="(None)",All_Questions_Q4_F_Q="",ISBLANK(All_Questions_Q4_F_Q),All_Questions_Q4_F_V="(All)",All_Questions_Q4_F_V="",ISBLANK(All_Questions_Q4_F_V)),1,IFERROR(IF(ISNUMBER(SEARCH("|"&amp;INDEX(INDIRECT(All_Questions_Q4_F_resolved_column),87)&amp;"|",All_Questions_Q4_F_wrapped)),1,0),0))*1</f>
        <v>1</v>
      </c>
      <c r="L88">
        <f>IF(OR(All_Questions_Q5_F_Q="(None)",All_Questions_Q5_F_Q="",ISBLANK(All_Questions_Q5_F_Q),All_Questions_Q5_F_V="(All)",All_Questions_Q5_F_V="",ISBLANK(All_Questions_Q5_F_V)),1,IFERROR(IF(ISNUMBER(SEARCH("|"&amp;INDEX(INDIRECT(All_Questions_Q5_F_resolved_column),87)&amp;"|",All_Questions_Q5_F_wrapped)),1,0),0))*1</f>
        <v>1</v>
      </c>
    </row>
    <row r="89">
      <c r="A89" t="n">
        <v>88</v>
      </c>
      <c r="B89" t="inlineStr">
        <is>
          <t>Selected</t>
        </is>
      </c>
      <c r="D89" t="inlineStr">
        <is>
          <t>Selected</t>
        </is>
      </c>
      <c r="F89">
        <f>1</f>
        <v>1</v>
      </c>
      <c r="G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H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I89">
        <f>G89*H89*1</f>
        <v>1</v>
      </c>
      <c r="J89">
        <f>1</f>
        <v>1</v>
      </c>
      <c r="K89">
        <f>IF(OR(All_Questions_Q4_F_Q="(None)",All_Questions_Q4_F_Q="",ISBLANK(All_Questions_Q4_F_Q),All_Questions_Q4_F_V="(All)",All_Questions_Q4_F_V="",ISBLANK(All_Questions_Q4_F_V)),1,IFERROR(IF(ISNUMBER(SEARCH("|"&amp;INDEX(INDIRECT(All_Questions_Q4_F_resolved_column),88)&amp;"|",All_Questions_Q4_F_wrapped)),1,0),0))*1</f>
        <v>1</v>
      </c>
      <c r="L89">
        <f>IF(OR(All_Questions_Q5_F_Q="(None)",All_Questions_Q5_F_Q="",ISBLANK(All_Questions_Q5_F_Q),All_Questions_Q5_F_V="(All)",All_Questions_Q5_F_V="",ISBLANK(All_Questions_Q5_F_V)),1,IFERROR(IF(ISNUMBER(SEARCH("|"&amp;INDEX(INDIRECT(All_Questions_Q5_F_resolved_column),88)&amp;"|",All_Questions_Q5_F_wrapped)),1,0),0))*1</f>
        <v>1</v>
      </c>
    </row>
    <row r="90">
      <c r="A90" t="n">
        <v>89</v>
      </c>
      <c r="B90" t="inlineStr">
        <is>
          <t>Selected</t>
        </is>
      </c>
      <c r="D90" t="inlineStr">
        <is>
          <t>Selected</t>
        </is>
      </c>
      <c r="F90">
        <f>1</f>
        <v>1</v>
      </c>
      <c r="G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H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I90">
        <f>G90*H90*1</f>
        <v>1</v>
      </c>
      <c r="J90">
        <f>1</f>
        <v>1</v>
      </c>
      <c r="K90">
        <f>IF(OR(All_Questions_Q4_F_Q="(None)",All_Questions_Q4_F_Q="",ISBLANK(All_Questions_Q4_F_Q),All_Questions_Q4_F_V="(All)",All_Questions_Q4_F_V="",ISBLANK(All_Questions_Q4_F_V)),1,IFERROR(IF(ISNUMBER(SEARCH("|"&amp;INDEX(INDIRECT(All_Questions_Q4_F_resolved_column),89)&amp;"|",All_Questions_Q4_F_wrapped)),1,0),0))*1</f>
        <v>1</v>
      </c>
      <c r="L90">
        <f>IF(OR(All_Questions_Q5_F_Q="(None)",All_Questions_Q5_F_Q="",ISBLANK(All_Questions_Q5_F_Q),All_Questions_Q5_F_V="(All)",All_Questions_Q5_F_V="",ISBLANK(All_Questions_Q5_F_V)),1,IFERROR(IF(ISNUMBER(SEARCH("|"&amp;INDEX(INDIRECT(All_Questions_Q5_F_resolved_column),89)&amp;"|",All_Questions_Q5_F_wrapped)),1,0),0))*1</f>
        <v>1</v>
      </c>
    </row>
    <row r="91">
      <c r="A91" t="n">
        <v>90</v>
      </c>
      <c r="B91" t="inlineStr">
        <is>
          <t>Selected</t>
        </is>
      </c>
      <c r="D91" t="inlineStr">
        <is>
          <t>Selected</t>
        </is>
      </c>
      <c r="F91">
        <f>1</f>
        <v>1</v>
      </c>
      <c r="G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H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I91">
        <f>G91*H91*1</f>
        <v>1</v>
      </c>
      <c r="J91">
        <f>1</f>
        <v>1</v>
      </c>
      <c r="K91">
        <f>IF(OR(All_Questions_Q4_F_Q="(None)",All_Questions_Q4_F_Q="",ISBLANK(All_Questions_Q4_F_Q),All_Questions_Q4_F_V="(All)",All_Questions_Q4_F_V="",ISBLANK(All_Questions_Q4_F_V)),1,IFERROR(IF(ISNUMBER(SEARCH("|"&amp;INDEX(INDIRECT(All_Questions_Q4_F_resolved_column),90)&amp;"|",All_Questions_Q4_F_wrapped)),1,0),0))*1</f>
        <v>1</v>
      </c>
      <c r="L91">
        <f>IF(OR(All_Questions_Q5_F_Q="(None)",All_Questions_Q5_F_Q="",ISBLANK(All_Questions_Q5_F_Q),All_Questions_Q5_F_V="(All)",All_Questions_Q5_F_V="",ISBLANK(All_Questions_Q5_F_V)),1,IFERROR(IF(ISNUMBER(SEARCH("|"&amp;INDEX(INDIRECT(All_Questions_Q5_F_resolved_column),90)&amp;"|",All_Questions_Q5_F_wrapped)),1,0),0))*1</f>
        <v>1</v>
      </c>
    </row>
    <row r="92">
      <c r="A92" t="n">
        <v>91</v>
      </c>
      <c r="B92" t="inlineStr">
        <is>
          <t>Selected</t>
        </is>
      </c>
      <c r="D92" t="inlineStr">
        <is>
          <t>Selected</t>
        </is>
      </c>
      <c r="F92">
        <f>1</f>
        <v>1</v>
      </c>
      <c r="G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H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I92">
        <f>G92*H92*1</f>
        <v>1</v>
      </c>
      <c r="J92">
        <f>1</f>
        <v>1</v>
      </c>
      <c r="K92">
        <f>IF(OR(All_Questions_Q4_F_Q="(None)",All_Questions_Q4_F_Q="",ISBLANK(All_Questions_Q4_F_Q),All_Questions_Q4_F_V="(All)",All_Questions_Q4_F_V="",ISBLANK(All_Questions_Q4_F_V)),1,IFERROR(IF(ISNUMBER(SEARCH("|"&amp;INDEX(INDIRECT(All_Questions_Q4_F_resolved_column),91)&amp;"|",All_Questions_Q4_F_wrapped)),1,0),0))*1</f>
        <v>1</v>
      </c>
      <c r="L92">
        <f>IF(OR(All_Questions_Q5_F_Q="(None)",All_Questions_Q5_F_Q="",ISBLANK(All_Questions_Q5_F_Q),All_Questions_Q5_F_V="(All)",All_Questions_Q5_F_V="",ISBLANK(All_Questions_Q5_F_V)),1,IFERROR(IF(ISNUMBER(SEARCH("|"&amp;INDEX(INDIRECT(All_Questions_Q5_F_resolved_column),91)&amp;"|",All_Questions_Q5_F_wrapped)),1,0),0))*1</f>
        <v>1</v>
      </c>
    </row>
    <row r="93">
      <c r="A93" t="n">
        <v>92</v>
      </c>
      <c r="B93" t="inlineStr">
        <is>
          <t>Selected</t>
        </is>
      </c>
      <c r="D93" t="inlineStr">
        <is>
          <t>Selected</t>
        </is>
      </c>
      <c r="F93">
        <f>1</f>
        <v>1</v>
      </c>
      <c r="G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H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I93">
        <f>G93*H93*1</f>
        <v>1</v>
      </c>
      <c r="J93">
        <f>1</f>
        <v>1</v>
      </c>
      <c r="K93">
        <f>IF(OR(All_Questions_Q4_F_Q="(None)",All_Questions_Q4_F_Q="",ISBLANK(All_Questions_Q4_F_Q),All_Questions_Q4_F_V="(All)",All_Questions_Q4_F_V="",ISBLANK(All_Questions_Q4_F_V)),1,IFERROR(IF(ISNUMBER(SEARCH("|"&amp;INDEX(INDIRECT(All_Questions_Q4_F_resolved_column),92)&amp;"|",All_Questions_Q4_F_wrapped)),1,0),0))*1</f>
        <v>1</v>
      </c>
      <c r="L93">
        <f>IF(OR(All_Questions_Q5_F_Q="(None)",All_Questions_Q5_F_Q="",ISBLANK(All_Questions_Q5_F_Q),All_Questions_Q5_F_V="(All)",All_Questions_Q5_F_V="",ISBLANK(All_Questions_Q5_F_V)),1,IFERROR(IF(ISNUMBER(SEARCH("|"&amp;INDEX(INDIRECT(All_Questions_Q5_F_resolved_column),92)&amp;"|",All_Questions_Q5_F_wrapped)),1,0),0))*1</f>
        <v>1</v>
      </c>
    </row>
    <row r="94">
      <c r="A94" t="n">
        <v>93</v>
      </c>
      <c r="B94" t="inlineStr">
        <is>
          <t>Selected</t>
        </is>
      </c>
      <c r="D94" t="inlineStr">
        <is>
          <t>Selected</t>
        </is>
      </c>
      <c r="F94">
        <f>1</f>
        <v>1</v>
      </c>
      <c r="G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H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I94">
        <f>G94*H94*1</f>
        <v>1</v>
      </c>
      <c r="J94">
        <f>1</f>
        <v>1</v>
      </c>
      <c r="K94">
        <f>IF(OR(All_Questions_Q4_F_Q="(None)",All_Questions_Q4_F_Q="",ISBLANK(All_Questions_Q4_F_Q),All_Questions_Q4_F_V="(All)",All_Questions_Q4_F_V="",ISBLANK(All_Questions_Q4_F_V)),1,IFERROR(IF(ISNUMBER(SEARCH("|"&amp;INDEX(INDIRECT(All_Questions_Q4_F_resolved_column),93)&amp;"|",All_Questions_Q4_F_wrapped)),1,0),0))*1</f>
        <v>1</v>
      </c>
      <c r="L94">
        <f>IF(OR(All_Questions_Q5_F_Q="(None)",All_Questions_Q5_F_Q="",ISBLANK(All_Questions_Q5_F_Q),All_Questions_Q5_F_V="(All)",All_Questions_Q5_F_V="",ISBLANK(All_Questions_Q5_F_V)),1,IFERROR(IF(ISNUMBER(SEARCH("|"&amp;INDEX(INDIRECT(All_Questions_Q5_F_resolved_column),93)&amp;"|",All_Questions_Q5_F_wrapped)),1,0),0))*1</f>
        <v>1</v>
      </c>
    </row>
    <row r="95">
      <c r="A95" t="n">
        <v>94</v>
      </c>
      <c r="B95" t="inlineStr">
        <is>
          <t>Selected</t>
        </is>
      </c>
      <c r="D95" t="inlineStr">
        <is>
          <t>Selected</t>
        </is>
      </c>
      <c r="F95">
        <f>1</f>
        <v>1</v>
      </c>
      <c r="G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H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I95">
        <f>G95*H95*1</f>
        <v>1</v>
      </c>
      <c r="J95">
        <f>1</f>
        <v>1</v>
      </c>
      <c r="K95">
        <f>IF(OR(All_Questions_Q4_F_Q="(None)",All_Questions_Q4_F_Q="",ISBLANK(All_Questions_Q4_F_Q),All_Questions_Q4_F_V="(All)",All_Questions_Q4_F_V="",ISBLANK(All_Questions_Q4_F_V)),1,IFERROR(IF(ISNUMBER(SEARCH("|"&amp;INDEX(INDIRECT(All_Questions_Q4_F_resolved_column),94)&amp;"|",All_Questions_Q4_F_wrapped)),1,0),0))*1</f>
        <v>1</v>
      </c>
      <c r="L95">
        <f>IF(OR(All_Questions_Q5_F_Q="(None)",All_Questions_Q5_F_Q="",ISBLANK(All_Questions_Q5_F_Q),All_Questions_Q5_F_V="(All)",All_Questions_Q5_F_V="",ISBLANK(All_Questions_Q5_F_V)),1,IFERROR(IF(ISNUMBER(SEARCH("|"&amp;INDEX(INDIRECT(All_Questions_Q5_F_resolved_column),94)&amp;"|",All_Questions_Q5_F_wrapped)),1,0),0))*1</f>
        <v>1</v>
      </c>
    </row>
    <row r="96">
      <c r="A96" t="n">
        <v>95</v>
      </c>
      <c r="B96" t="inlineStr">
        <is>
          <t>Selected</t>
        </is>
      </c>
      <c r="D96" t="inlineStr">
        <is>
          <t>Selected</t>
        </is>
      </c>
      <c r="F96">
        <f>1</f>
        <v>1</v>
      </c>
      <c r="G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H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I96">
        <f>G96*H96*1</f>
        <v>1</v>
      </c>
      <c r="J96">
        <f>1</f>
        <v>1</v>
      </c>
      <c r="K96">
        <f>IF(OR(All_Questions_Q4_F_Q="(None)",All_Questions_Q4_F_Q="",ISBLANK(All_Questions_Q4_F_Q),All_Questions_Q4_F_V="(All)",All_Questions_Q4_F_V="",ISBLANK(All_Questions_Q4_F_V)),1,IFERROR(IF(ISNUMBER(SEARCH("|"&amp;INDEX(INDIRECT(All_Questions_Q4_F_resolved_column),95)&amp;"|",All_Questions_Q4_F_wrapped)),1,0),0))*1</f>
        <v>1</v>
      </c>
      <c r="L96">
        <f>IF(OR(All_Questions_Q5_F_Q="(None)",All_Questions_Q5_F_Q="",ISBLANK(All_Questions_Q5_F_Q),All_Questions_Q5_F_V="(All)",All_Questions_Q5_F_V="",ISBLANK(All_Questions_Q5_F_V)),1,IFERROR(IF(ISNUMBER(SEARCH("|"&amp;INDEX(INDIRECT(All_Questions_Q5_F_resolved_column),95)&amp;"|",All_Questions_Q5_F_wrapped)),1,0),0))*1</f>
        <v>1</v>
      </c>
    </row>
    <row r="97">
      <c r="A97" t="n">
        <v>96</v>
      </c>
      <c r="B97" t="inlineStr">
        <is>
          <t>Selected</t>
        </is>
      </c>
      <c r="D97" t="inlineStr">
        <is>
          <t>Selected</t>
        </is>
      </c>
      <c r="F97">
        <f>1</f>
        <v>1</v>
      </c>
      <c r="G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H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I97">
        <f>G97*H97*1</f>
        <v>1</v>
      </c>
      <c r="J97">
        <f>1</f>
        <v>1</v>
      </c>
      <c r="K97">
        <f>IF(OR(All_Questions_Q4_F_Q="(None)",All_Questions_Q4_F_Q="",ISBLANK(All_Questions_Q4_F_Q),All_Questions_Q4_F_V="(All)",All_Questions_Q4_F_V="",ISBLANK(All_Questions_Q4_F_V)),1,IFERROR(IF(ISNUMBER(SEARCH("|"&amp;INDEX(INDIRECT(All_Questions_Q4_F_resolved_column),96)&amp;"|",All_Questions_Q4_F_wrapped)),1,0),0))*1</f>
        <v>1</v>
      </c>
      <c r="L97">
        <f>IF(OR(All_Questions_Q5_F_Q="(None)",All_Questions_Q5_F_Q="",ISBLANK(All_Questions_Q5_F_Q),All_Questions_Q5_F_V="(All)",All_Questions_Q5_F_V="",ISBLANK(All_Questions_Q5_F_V)),1,IFERROR(IF(ISNUMBER(SEARCH("|"&amp;INDEX(INDIRECT(All_Questions_Q5_F_resolved_column),96)&amp;"|",All_Questions_Q5_F_wrapped)),1,0),0))*1</f>
        <v>1</v>
      </c>
    </row>
    <row r="98">
      <c r="A98" t="n">
        <v>97</v>
      </c>
      <c r="B98" t="inlineStr">
        <is>
          <t>Selected</t>
        </is>
      </c>
      <c r="D98" t="inlineStr">
        <is>
          <t>Selected</t>
        </is>
      </c>
      <c r="F98">
        <f>1</f>
        <v>1</v>
      </c>
      <c r="G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H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I98">
        <f>G98*H98*1</f>
        <v>1</v>
      </c>
      <c r="J98">
        <f>1</f>
        <v>1</v>
      </c>
      <c r="K98">
        <f>IF(OR(All_Questions_Q4_F_Q="(None)",All_Questions_Q4_F_Q="",ISBLANK(All_Questions_Q4_F_Q),All_Questions_Q4_F_V="(All)",All_Questions_Q4_F_V="",ISBLANK(All_Questions_Q4_F_V)),1,IFERROR(IF(ISNUMBER(SEARCH("|"&amp;INDEX(INDIRECT(All_Questions_Q4_F_resolved_column),97)&amp;"|",All_Questions_Q4_F_wrapped)),1,0),0))*1</f>
        <v>1</v>
      </c>
      <c r="L98">
        <f>IF(OR(All_Questions_Q5_F_Q="(None)",All_Questions_Q5_F_Q="",ISBLANK(All_Questions_Q5_F_Q),All_Questions_Q5_F_V="(All)",All_Questions_Q5_F_V="",ISBLANK(All_Questions_Q5_F_V)),1,IFERROR(IF(ISNUMBER(SEARCH("|"&amp;INDEX(INDIRECT(All_Questions_Q5_F_resolved_column),97)&amp;"|",All_Questions_Q5_F_wrapped)),1,0),0))*1</f>
        <v>1</v>
      </c>
    </row>
    <row r="99">
      <c r="A99" t="n">
        <v>98</v>
      </c>
      <c r="B99" t="inlineStr">
        <is>
          <t>Selected</t>
        </is>
      </c>
      <c r="D99" t="inlineStr">
        <is>
          <t>Selected</t>
        </is>
      </c>
      <c r="F99">
        <f>1</f>
        <v>1</v>
      </c>
      <c r="G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H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I99">
        <f>G99*H99*1</f>
        <v>1</v>
      </c>
      <c r="J99">
        <f>1</f>
        <v>1</v>
      </c>
      <c r="K99">
        <f>IF(OR(All_Questions_Q4_F_Q="(None)",All_Questions_Q4_F_Q="",ISBLANK(All_Questions_Q4_F_Q),All_Questions_Q4_F_V="(All)",All_Questions_Q4_F_V="",ISBLANK(All_Questions_Q4_F_V)),1,IFERROR(IF(ISNUMBER(SEARCH("|"&amp;INDEX(INDIRECT(All_Questions_Q4_F_resolved_column),98)&amp;"|",All_Questions_Q4_F_wrapped)),1,0),0))*1</f>
        <v>1</v>
      </c>
      <c r="L99">
        <f>IF(OR(All_Questions_Q5_F_Q="(None)",All_Questions_Q5_F_Q="",ISBLANK(All_Questions_Q5_F_Q),All_Questions_Q5_F_V="(All)",All_Questions_Q5_F_V="",ISBLANK(All_Questions_Q5_F_V)),1,IFERROR(IF(ISNUMBER(SEARCH("|"&amp;INDEX(INDIRECT(All_Questions_Q5_F_resolved_column),98)&amp;"|",All_Questions_Q5_F_wrapped)),1,0),0))*1</f>
        <v>1</v>
      </c>
    </row>
    <row r="100">
      <c r="A100" t="n">
        <v>99</v>
      </c>
      <c r="B100" t="inlineStr">
        <is>
          <t>Selected</t>
        </is>
      </c>
      <c r="D100" t="inlineStr">
        <is>
          <t>Selected</t>
        </is>
      </c>
      <c r="F100">
        <f>1</f>
        <v>1</v>
      </c>
      <c r="G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H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I100">
        <f>G100*H100*1</f>
        <v>1</v>
      </c>
      <c r="J100">
        <f>1</f>
        <v>1</v>
      </c>
      <c r="K100">
        <f>IF(OR(All_Questions_Q4_F_Q="(None)",All_Questions_Q4_F_Q="",ISBLANK(All_Questions_Q4_F_Q),All_Questions_Q4_F_V="(All)",All_Questions_Q4_F_V="",ISBLANK(All_Questions_Q4_F_V)),1,IFERROR(IF(ISNUMBER(SEARCH("|"&amp;INDEX(INDIRECT(All_Questions_Q4_F_resolved_column),99)&amp;"|",All_Questions_Q4_F_wrapped)),1,0),0))*1</f>
        <v>1</v>
      </c>
      <c r="L100">
        <f>IF(OR(All_Questions_Q5_F_Q="(None)",All_Questions_Q5_F_Q="",ISBLANK(All_Questions_Q5_F_Q),All_Questions_Q5_F_V="(All)",All_Questions_Q5_F_V="",ISBLANK(All_Questions_Q5_F_V)),1,IFERROR(IF(ISNUMBER(SEARCH("|"&amp;INDEX(INDIRECT(All_Questions_Q5_F_resolved_column),99)&amp;"|",All_Questions_Q5_F_wrapped)),1,0),0))*1</f>
        <v>1</v>
      </c>
    </row>
    <row r="101">
      <c r="A101" t="n">
        <v>100</v>
      </c>
      <c r="B101" t="inlineStr">
        <is>
          <t>Selected</t>
        </is>
      </c>
      <c r="D101" t="inlineStr">
        <is>
          <t>Selected</t>
        </is>
      </c>
      <c r="F101">
        <f>1</f>
        <v>1</v>
      </c>
      <c r="G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H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I101">
        <f>G101*H101*1</f>
        <v>1</v>
      </c>
      <c r="J101">
        <f>1</f>
        <v>1</v>
      </c>
      <c r="K101">
        <f>IF(OR(All_Questions_Q4_F_Q="(None)",All_Questions_Q4_F_Q="",ISBLANK(All_Questions_Q4_F_Q),All_Questions_Q4_F_V="(All)",All_Questions_Q4_F_V="",ISBLANK(All_Questions_Q4_F_V)),1,IFERROR(IF(ISNUMBER(SEARCH("|"&amp;INDEX(INDIRECT(All_Questions_Q4_F_resolved_column),100)&amp;"|",All_Questions_Q4_F_wrapped)),1,0),0))*1</f>
        <v>1</v>
      </c>
      <c r="L101">
        <f>IF(OR(All_Questions_Q5_F_Q="(None)",All_Questions_Q5_F_Q="",ISBLANK(All_Questions_Q5_F_Q),All_Questions_Q5_F_V="(All)",All_Questions_Q5_F_V="",ISBLANK(All_Questions_Q5_F_V)),1,IFERROR(IF(ISNUMBER(SEARCH("|"&amp;INDEX(INDIRECT(All_Questions_Q5_F_resolved_column),100)&amp;"|",All_Questions_Q5_F_wrapped)),1,0),0))*1</f>
        <v>1</v>
      </c>
    </row>
    <row r="102">
      <c r="A102" t="n">
        <v>101</v>
      </c>
      <c r="B102" t="inlineStr">
        <is>
          <t>Selected</t>
        </is>
      </c>
      <c r="D102" t="inlineStr">
        <is>
          <t>Selected</t>
        </is>
      </c>
      <c r="F102">
        <f>1</f>
        <v>1</v>
      </c>
      <c r="G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H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I102">
        <f>G102*H102*1</f>
        <v>1</v>
      </c>
      <c r="J102">
        <f>1</f>
        <v>1</v>
      </c>
      <c r="K102">
        <f>IF(OR(All_Questions_Q4_F_Q="(None)",All_Questions_Q4_F_Q="",ISBLANK(All_Questions_Q4_F_Q),All_Questions_Q4_F_V="(All)",All_Questions_Q4_F_V="",ISBLANK(All_Questions_Q4_F_V)),1,IFERROR(IF(ISNUMBER(SEARCH("|"&amp;INDEX(INDIRECT(All_Questions_Q4_F_resolved_column),101)&amp;"|",All_Questions_Q4_F_wrapped)),1,0),0))*1</f>
        <v>1</v>
      </c>
      <c r="L102">
        <f>IF(OR(All_Questions_Q5_F_Q="(None)",All_Questions_Q5_F_Q="",ISBLANK(All_Questions_Q5_F_Q),All_Questions_Q5_F_V="(All)",All_Questions_Q5_F_V="",ISBLANK(All_Questions_Q5_F_V)),1,IFERROR(IF(ISNUMBER(SEARCH("|"&amp;INDEX(INDIRECT(All_Questions_Q5_F_resolved_column),101)&amp;"|",All_Questions_Q5_F_wrapped)),1,0),0))*1</f>
        <v>1</v>
      </c>
    </row>
    <row r="103">
      <c r="A103" t="n">
        <v>102</v>
      </c>
      <c r="B103" t="inlineStr">
        <is>
          <t>Selected</t>
        </is>
      </c>
      <c r="D103" t="inlineStr">
        <is>
          <t>Selected</t>
        </is>
      </c>
      <c r="F103">
        <f>1</f>
        <v>1</v>
      </c>
      <c r="G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H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I103">
        <f>G103*H103*1</f>
        <v>1</v>
      </c>
      <c r="J103">
        <f>1</f>
        <v>1</v>
      </c>
      <c r="K103">
        <f>IF(OR(All_Questions_Q4_F_Q="(None)",All_Questions_Q4_F_Q="",ISBLANK(All_Questions_Q4_F_Q),All_Questions_Q4_F_V="(All)",All_Questions_Q4_F_V="",ISBLANK(All_Questions_Q4_F_V)),1,IFERROR(IF(ISNUMBER(SEARCH("|"&amp;INDEX(INDIRECT(All_Questions_Q4_F_resolved_column),102)&amp;"|",All_Questions_Q4_F_wrapped)),1,0),0))*1</f>
        <v>1</v>
      </c>
      <c r="L103">
        <f>IF(OR(All_Questions_Q5_F_Q="(None)",All_Questions_Q5_F_Q="",ISBLANK(All_Questions_Q5_F_Q),All_Questions_Q5_F_V="(All)",All_Questions_Q5_F_V="",ISBLANK(All_Questions_Q5_F_V)),1,IFERROR(IF(ISNUMBER(SEARCH("|"&amp;INDEX(INDIRECT(All_Questions_Q5_F_resolved_column),102)&amp;"|",All_Questions_Q5_F_wrapped)),1,0),0))*1</f>
        <v>1</v>
      </c>
    </row>
    <row r="104">
      <c r="A104" t="n">
        <v>103</v>
      </c>
      <c r="B104" t="inlineStr">
        <is>
          <t>Selected</t>
        </is>
      </c>
      <c r="D104" t="inlineStr">
        <is>
          <t>Selected</t>
        </is>
      </c>
      <c r="F104">
        <f>1</f>
        <v>1</v>
      </c>
      <c r="G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H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I104">
        <f>G104*H104*1</f>
        <v>1</v>
      </c>
      <c r="J104">
        <f>1</f>
        <v>1</v>
      </c>
      <c r="K104">
        <f>IF(OR(All_Questions_Q4_F_Q="(None)",All_Questions_Q4_F_Q="",ISBLANK(All_Questions_Q4_F_Q),All_Questions_Q4_F_V="(All)",All_Questions_Q4_F_V="",ISBLANK(All_Questions_Q4_F_V)),1,IFERROR(IF(ISNUMBER(SEARCH("|"&amp;INDEX(INDIRECT(All_Questions_Q4_F_resolved_column),103)&amp;"|",All_Questions_Q4_F_wrapped)),1,0),0))*1</f>
        <v>1</v>
      </c>
      <c r="L104">
        <f>IF(OR(All_Questions_Q5_F_Q="(None)",All_Questions_Q5_F_Q="",ISBLANK(All_Questions_Q5_F_Q),All_Questions_Q5_F_V="(All)",All_Questions_Q5_F_V="",ISBLANK(All_Questions_Q5_F_V)),1,IFERROR(IF(ISNUMBER(SEARCH("|"&amp;INDEX(INDIRECT(All_Questions_Q5_F_resolved_column),103)&amp;"|",All_Questions_Q5_F_wrapped)),1,0),0))*1</f>
        <v>1</v>
      </c>
    </row>
    <row r="105">
      <c r="A105" t="n">
        <v>104</v>
      </c>
      <c r="B105" t="inlineStr">
        <is>
          <t>Selected</t>
        </is>
      </c>
      <c r="D105" t="inlineStr">
        <is>
          <t>Selected</t>
        </is>
      </c>
      <c r="F105">
        <f>1</f>
        <v>1</v>
      </c>
      <c r="G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H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I105">
        <f>G105*H105*1</f>
        <v>1</v>
      </c>
      <c r="J105">
        <f>1</f>
        <v>1</v>
      </c>
      <c r="K105">
        <f>IF(OR(All_Questions_Q4_F_Q="(None)",All_Questions_Q4_F_Q="",ISBLANK(All_Questions_Q4_F_Q),All_Questions_Q4_F_V="(All)",All_Questions_Q4_F_V="",ISBLANK(All_Questions_Q4_F_V)),1,IFERROR(IF(ISNUMBER(SEARCH("|"&amp;INDEX(INDIRECT(All_Questions_Q4_F_resolved_column),104)&amp;"|",All_Questions_Q4_F_wrapped)),1,0),0))*1</f>
        <v>1</v>
      </c>
      <c r="L105">
        <f>IF(OR(All_Questions_Q5_F_Q="(None)",All_Questions_Q5_F_Q="",ISBLANK(All_Questions_Q5_F_Q),All_Questions_Q5_F_V="(All)",All_Questions_Q5_F_V="",ISBLANK(All_Questions_Q5_F_V)),1,IFERROR(IF(ISNUMBER(SEARCH("|"&amp;INDEX(INDIRECT(All_Questions_Q5_F_resolved_column),104)&amp;"|",All_Questions_Q5_F_wrapped)),1,0),0))*1</f>
        <v>1</v>
      </c>
    </row>
    <row r="106">
      <c r="A106" t="n">
        <v>105</v>
      </c>
      <c r="B106" t="inlineStr">
        <is>
          <t>Selected</t>
        </is>
      </c>
      <c r="D106" t="inlineStr">
        <is>
          <t>Selected</t>
        </is>
      </c>
      <c r="F106">
        <f>1</f>
        <v>1</v>
      </c>
      <c r="G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H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I106">
        <f>G106*H106*1</f>
        <v>1</v>
      </c>
      <c r="J106">
        <f>1</f>
        <v>1</v>
      </c>
      <c r="K106">
        <f>IF(OR(All_Questions_Q4_F_Q="(None)",All_Questions_Q4_F_Q="",ISBLANK(All_Questions_Q4_F_Q),All_Questions_Q4_F_V="(All)",All_Questions_Q4_F_V="",ISBLANK(All_Questions_Q4_F_V)),1,IFERROR(IF(ISNUMBER(SEARCH("|"&amp;INDEX(INDIRECT(All_Questions_Q4_F_resolved_column),105)&amp;"|",All_Questions_Q4_F_wrapped)),1,0),0))*1</f>
        <v>1</v>
      </c>
      <c r="L106">
        <f>IF(OR(All_Questions_Q5_F_Q="(None)",All_Questions_Q5_F_Q="",ISBLANK(All_Questions_Q5_F_Q),All_Questions_Q5_F_V="(All)",All_Questions_Q5_F_V="",ISBLANK(All_Questions_Q5_F_V)),1,IFERROR(IF(ISNUMBER(SEARCH("|"&amp;INDEX(INDIRECT(All_Questions_Q5_F_resolved_column),105)&amp;"|",All_Questions_Q5_F_wrapped)),1,0),0))*1</f>
        <v>1</v>
      </c>
    </row>
    <row r="107">
      <c r="A107" t="n">
        <v>106</v>
      </c>
      <c r="B107" t="inlineStr">
        <is>
          <t>Selected</t>
        </is>
      </c>
      <c r="D107" t="inlineStr">
        <is>
          <t>Selected</t>
        </is>
      </c>
      <c r="F107">
        <f>1</f>
        <v>1</v>
      </c>
      <c r="G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H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I107">
        <f>G107*H107*1</f>
        <v>1</v>
      </c>
      <c r="J107">
        <f>1</f>
        <v>1</v>
      </c>
      <c r="K107">
        <f>IF(OR(All_Questions_Q4_F_Q="(None)",All_Questions_Q4_F_Q="",ISBLANK(All_Questions_Q4_F_Q),All_Questions_Q4_F_V="(All)",All_Questions_Q4_F_V="",ISBLANK(All_Questions_Q4_F_V)),1,IFERROR(IF(ISNUMBER(SEARCH("|"&amp;INDEX(INDIRECT(All_Questions_Q4_F_resolved_column),106)&amp;"|",All_Questions_Q4_F_wrapped)),1,0),0))*1</f>
        <v>1</v>
      </c>
      <c r="L107">
        <f>IF(OR(All_Questions_Q5_F_Q="(None)",All_Questions_Q5_F_Q="",ISBLANK(All_Questions_Q5_F_Q),All_Questions_Q5_F_V="(All)",All_Questions_Q5_F_V="",ISBLANK(All_Questions_Q5_F_V)),1,IFERROR(IF(ISNUMBER(SEARCH("|"&amp;INDEX(INDIRECT(All_Questions_Q5_F_resolved_column),106)&amp;"|",All_Questions_Q5_F_wrapped)),1,0),0))*1</f>
        <v>1</v>
      </c>
    </row>
    <row r="108">
      <c r="A108" t="n">
        <v>107</v>
      </c>
      <c r="B108" t="inlineStr">
        <is>
          <t>Selected</t>
        </is>
      </c>
      <c r="D108" t="inlineStr">
        <is>
          <t>Selected</t>
        </is>
      </c>
      <c r="F108">
        <f>1</f>
        <v>1</v>
      </c>
      <c r="G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H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I108">
        <f>G108*H108*1</f>
        <v>1</v>
      </c>
      <c r="J108">
        <f>1</f>
        <v>1</v>
      </c>
      <c r="K108">
        <f>IF(OR(All_Questions_Q4_F_Q="(None)",All_Questions_Q4_F_Q="",ISBLANK(All_Questions_Q4_F_Q),All_Questions_Q4_F_V="(All)",All_Questions_Q4_F_V="",ISBLANK(All_Questions_Q4_F_V)),1,IFERROR(IF(ISNUMBER(SEARCH("|"&amp;INDEX(INDIRECT(All_Questions_Q4_F_resolved_column),107)&amp;"|",All_Questions_Q4_F_wrapped)),1,0),0))*1</f>
        <v>1</v>
      </c>
      <c r="L108">
        <f>IF(OR(All_Questions_Q5_F_Q="(None)",All_Questions_Q5_F_Q="",ISBLANK(All_Questions_Q5_F_Q),All_Questions_Q5_F_V="(All)",All_Questions_Q5_F_V="",ISBLANK(All_Questions_Q5_F_V)),1,IFERROR(IF(ISNUMBER(SEARCH("|"&amp;INDEX(INDIRECT(All_Questions_Q5_F_resolved_column),107)&amp;"|",All_Questions_Q5_F_wrapped)),1,0),0))*1</f>
        <v>1</v>
      </c>
    </row>
    <row r="109">
      <c r="A109" t="n">
        <v>108</v>
      </c>
      <c r="B109" t="inlineStr">
        <is>
          <t>Selected</t>
        </is>
      </c>
      <c r="D109" t="inlineStr">
        <is>
          <t>Selected</t>
        </is>
      </c>
      <c r="F109">
        <f>1</f>
        <v>1</v>
      </c>
      <c r="G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H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I109">
        <f>G109*H109*1</f>
        <v>1</v>
      </c>
      <c r="J109">
        <f>1</f>
        <v>1</v>
      </c>
      <c r="K109">
        <f>IF(OR(All_Questions_Q4_F_Q="(None)",All_Questions_Q4_F_Q="",ISBLANK(All_Questions_Q4_F_Q),All_Questions_Q4_F_V="(All)",All_Questions_Q4_F_V="",ISBLANK(All_Questions_Q4_F_V)),1,IFERROR(IF(ISNUMBER(SEARCH("|"&amp;INDEX(INDIRECT(All_Questions_Q4_F_resolved_column),108)&amp;"|",All_Questions_Q4_F_wrapped)),1,0),0))*1</f>
        <v>1</v>
      </c>
      <c r="L109">
        <f>IF(OR(All_Questions_Q5_F_Q="(None)",All_Questions_Q5_F_Q="",ISBLANK(All_Questions_Q5_F_Q),All_Questions_Q5_F_V="(All)",All_Questions_Q5_F_V="",ISBLANK(All_Questions_Q5_F_V)),1,IFERROR(IF(ISNUMBER(SEARCH("|"&amp;INDEX(INDIRECT(All_Questions_Q5_F_resolved_column),108)&amp;"|",All_Questions_Q5_F_wrapped)),1,0),0))*1</f>
        <v>1</v>
      </c>
    </row>
    <row r="110">
      <c r="A110" t="n">
        <v>109</v>
      </c>
      <c r="B110" t="inlineStr">
        <is>
          <t>Selected</t>
        </is>
      </c>
      <c r="D110" t="inlineStr">
        <is>
          <t>Selected</t>
        </is>
      </c>
      <c r="F110">
        <f>1</f>
        <v>1</v>
      </c>
      <c r="G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H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I110">
        <f>G110*H110*1</f>
        <v>1</v>
      </c>
      <c r="J110">
        <f>1</f>
        <v>1</v>
      </c>
      <c r="K110">
        <f>IF(OR(All_Questions_Q4_F_Q="(None)",All_Questions_Q4_F_Q="",ISBLANK(All_Questions_Q4_F_Q),All_Questions_Q4_F_V="(All)",All_Questions_Q4_F_V="",ISBLANK(All_Questions_Q4_F_V)),1,IFERROR(IF(ISNUMBER(SEARCH("|"&amp;INDEX(INDIRECT(All_Questions_Q4_F_resolved_column),109)&amp;"|",All_Questions_Q4_F_wrapped)),1,0),0))*1</f>
        <v>1</v>
      </c>
      <c r="L110">
        <f>IF(OR(All_Questions_Q5_F_Q="(None)",All_Questions_Q5_F_Q="",ISBLANK(All_Questions_Q5_F_Q),All_Questions_Q5_F_V="(All)",All_Questions_Q5_F_V="",ISBLANK(All_Questions_Q5_F_V)),1,IFERROR(IF(ISNUMBER(SEARCH("|"&amp;INDEX(INDIRECT(All_Questions_Q5_F_resolved_column),109)&amp;"|",All_Questions_Q5_F_wrapped)),1,0),0))*1</f>
        <v>1</v>
      </c>
    </row>
    <row r="111">
      <c r="A111" t="n">
        <v>110</v>
      </c>
      <c r="B111" t="inlineStr">
        <is>
          <t>Selected</t>
        </is>
      </c>
      <c r="D111" t="inlineStr">
        <is>
          <t>Selected</t>
        </is>
      </c>
      <c r="F111">
        <f>1</f>
        <v>1</v>
      </c>
      <c r="G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H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I111">
        <f>G111*H111*1</f>
        <v>1</v>
      </c>
      <c r="J111">
        <f>1</f>
        <v>1</v>
      </c>
      <c r="K111">
        <f>IF(OR(All_Questions_Q4_F_Q="(None)",All_Questions_Q4_F_Q="",ISBLANK(All_Questions_Q4_F_Q),All_Questions_Q4_F_V="(All)",All_Questions_Q4_F_V="",ISBLANK(All_Questions_Q4_F_V)),1,IFERROR(IF(ISNUMBER(SEARCH("|"&amp;INDEX(INDIRECT(All_Questions_Q4_F_resolved_column),110)&amp;"|",All_Questions_Q4_F_wrapped)),1,0),0))*1</f>
        <v>1</v>
      </c>
      <c r="L111">
        <f>IF(OR(All_Questions_Q5_F_Q="(None)",All_Questions_Q5_F_Q="",ISBLANK(All_Questions_Q5_F_Q),All_Questions_Q5_F_V="(All)",All_Questions_Q5_F_V="",ISBLANK(All_Questions_Q5_F_V)),1,IFERROR(IF(ISNUMBER(SEARCH("|"&amp;INDEX(INDIRECT(All_Questions_Q5_F_resolved_column),110)&amp;"|",All_Questions_Q5_F_wrapped)),1,0),0))*1</f>
        <v>1</v>
      </c>
    </row>
    <row r="112">
      <c r="A112" t="n">
        <v>111</v>
      </c>
      <c r="B112" t="inlineStr">
        <is>
          <t>Selected</t>
        </is>
      </c>
      <c r="D112" t="inlineStr">
        <is>
          <t>Selected</t>
        </is>
      </c>
      <c r="F112">
        <f>1</f>
        <v>1</v>
      </c>
      <c r="G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H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I112">
        <f>G112*H112*1</f>
        <v>1</v>
      </c>
      <c r="J112">
        <f>1</f>
        <v>1</v>
      </c>
      <c r="K1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111)&amp;"|",All_Questions_Q4_F_wrapped)),1,0),0))*1</f>
        <v>1</v>
      </c>
      <c r="L1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111)&amp;"|",All_Questions_Q5_F_wrapped)),1,0),0))*1</f>
        <v>1</v>
      </c>
    </row>
    <row r="113">
      <c r="A113" t="n">
        <v>112</v>
      </c>
      <c r="B113" t="inlineStr">
        <is>
          <t>Selected</t>
        </is>
      </c>
      <c r="D113" t="inlineStr">
        <is>
          <t>Selected</t>
        </is>
      </c>
      <c r="F113">
        <f>1</f>
        <v>1</v>
      </c>
      <c r="G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H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I113">
        <f>G113*H113*1</f>
        <v>1</v>
      </c>
      <c r="J113">
        <f>1</f>
        <v>1</v>
      </c>
      <c r="K113">
        <f>IF(OR(All_Questions_Q4_F_Q="(None)",All_Questions_Q4_F_Q="",ISBLANK(All_Questions_Q4_F_Q),All_Questions_Q4_F_V="(All)",All_Questions_Q4_F_V="",ISBLANK(All_Questions_Q4_F_V)),1,IFERROR(IF(ISNUMBER(SEARCH("|"&amp;INDEX(INDIRECT(All_Questions_Q4_F_resolved_column),112)&amp;"|",All_Questions_Q4_F_wrapped)),1,0),0))*1</f>
        <v>1</v>
      </c>
      <c r="L113">
        <f>IF(OR(All_Questions_Q5_F_Q="(None)",All_Questions_Q5_F_Q="",ISBLANK(All_Questions_Q5_F_Q),All_Questions_Q5_F_V="(All)",All_Questions_Q5_F_V="",ISBLANK(All_Questions_Q5_F_V)),1,IFERROR(IF(ISNUMBER(SEARCH("|"&amp;INDEX(INDIRECT(All_Questions_Q5_F_resolved_column),112)&amp;"|",All_Questions_Q5_F_wrapped)),1,0),0))*1</f>
        <v>1</v>
      </c>
    </row>
    <row r="114">
      <c r="A114" t="n">
        <v>113</v>
      </c>
      <c r="B114" t="inlineStr">
        <is>
          <t>Selected</t>
        </is>
      </c>
      <c r="D114" t="inlineStr">
        <is>
          <t>Selected</t>
        </is>
      </c>
      <c r="F114">
        <f>1</f>
        <v>1</v>
      </c>
      <c r="G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H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I114">
        <f>G114*H114*1</f>
        <v>1</v>
      </c>
      <c r="J114">
        <f>1</f>
        <v>1</v>
      </c>
      <c r="K114">
        <f>IF(OR(All_Questions_Q4_F_Q="(None)",All_Questions_Q4_F_Q="",ISBLANK(All_Questions_Q4_F_Q),All_Questions_Q4_F_V="(All)",All_Questions_Q4_F_V="",ISBLANK(All_Questions_Q4_F_V)),1,IFERROR(IF(ISNUMBER(SEARCH("|"&amp;INDEX(INDIRECT(All_Questions_Q4_F_resolved_column),113)&amp;"|",All_Questions_Q4_F_wrapped)),1,0),0))*1</f>
        <v>1</v>
      </c>
      <c r="L114">
        <f>IF(OR(All_Questions_Q5_F_Q="(None)",All_Questions_Q5_F_Q="",ISBLANK(All_Questions_Q5_F_Q),All_Questions_Q5_F_V="(All)",All_Questions_Q5_F_V="",ISBLANK(All_Questions_Q5_F_V)),1,IFERROR(IF(ISNUMBER(SEARCH("|"&amp;INDEX(INDIRECT(All_Questions_Q5_F_resolved_column),113)&amp;"|",All_Questions_Q5_F_wrapped)),1,0),0))*1</f>
        <v>1</v>
      </c>
    </row>
    <row r="115">
      <c r="A115" t="n">
        <v>114</v>
      </c>
      <c r="B115" t="inlineStr">
        <is>
          <t>Selected</t>
        </is>
      </c>
      <c r="D115" t="inlineStr">
        <is>
          <t>Selected</t>
        </is>
      </c>
      <c r="F115">
        <f>1</f>
        <v>1</v>
      </c>
      <c r="G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H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I115">
        <f>G115*H115*1</f>
        <v>1</v>
      </c>
      <c r="J115">
        <f>1</f>
        <v>1</v>
      </c>
      <c r="K115">
        <f>IF(OR(All_Questions_Q4_F_Q="(None)",All_Questions_Q4_F_Q="",ISBLANK(All_Questions_Q4_F_Q),All_Questions_Q4_F_V="(All)",All_Questions_Q4_F_V="",ISBLANK(All_Questions_Q4_F_V)),1,IFERROR(IF(ISNUMBER(SEARCH("|"&amp;INDEX(INDIRECT(All_Questions_Q4_F_resolved_column),114)&amp;"|",All_Questions_Q4_F_wrapped)),1,0),0))*1</f>
        <v>1</v>
      </c>
      <c r="L115">
        <f>IF(OR(All_Questions_Q5_F_Q="(None)",All_Questions_Q5_F_Q="",ISBLANK(All_Questions_Q5_F_Q),All_Questions_Q5_F_V="(All)",All_Questions_Q5_F_V="",ISBLANK(All_Questions_Q5_F_V)),1,IFERROR(IF(ISNUMBER(SEARCH("|"&amp;INDEX(INDIRECT(All_Questions_Q5_F_resolved_column),114)&amp;"|",All_Questions_Q5_F_wrapped)),1,0),0))*1</f>
        <v>1</v>
      </c>
    </row>
    <row r="116">
      <c r="A116" t="n">
        <v>115</v>
      </c>
      <c r="B116" t="inlineStr">
        <is>
          <t>Selected</t>
        </is>
      </c>
      <c r="D116" t="inlineStr">
        <is>
          <t>Selected</t>
        </is>
      </c>
      <c r="F116">
        <f>1</f>
        <v>1</v>
      </c>
      <c r="G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H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I116">
        <f>G116*H116*1</f>
        <v>1</v>
      </c>
      <c r="J116">
        <f>1</f>
        <v>1</v>
      </c>
      <c r="K116">
        <f>IF(OR(All_Questions_Q4_F_Q="(None)",All_Questions_Q4_F_Q="",ISBLANK(All_Questions_Q4_F_Q),All_Questions_Q4_F_V="(All)",All_Questions_Q4_F_V="",ISBLANK(All_Questions_Q4_F_V)),1,IFERROR(IF(ISNUMBER(SEARCH("|"&amp;INDEX(INDIRECT(All_Questions_Q4_F_resolved_column),115)&amp;"|",All_Questions_Q4_F_wrapped)),1,0),0))*1</f>
        <v>1</v>
      </c>
      <c r="L116">
        <f>IF(OR(All_Questions_Q5_F_Q="(None)",All_Questions_Q5_F_Q="",ISBLANK(All_Questions_Q5_F_Q),All_Questions_Q5_F_V="(All)",All_Questions_Q5_F_V="",ISBLANK(All_Questions_Q5_F_V)),1,IFERROR(IF(ISNUMBER(SEARCH("|"&amp;INDEX(INDIRECT(All_Questions_Q5_F_resolved_column),115)&amp;"|",All_Questions_Q5_F_wrapped)),1,0),0))*1</f>
        <v>1</v>
      </c>
    </row>
    <row r="117">
      <c r="A117" t="n">
        <v>116</v>
      </c>
      <c r="B117" t="inlineStr">
        <is>
          <t>Selected</t>
        </is>
      </c>
      <c r="D117" t="inlineStr">
        <is>
          <t>Selected</t>
        </is>
      </c>
      <c r="F117">
        <f>1</f>
        <v>1</v>
      </c>
      <c r="G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H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I117">
        <f>G117*H117*1</f>
        <v>1</v>
      </c>
      <c r="J117">
        <f>1</f>
        <v>1</v>
      </c>
      <c r="K117">
        <f>IF(OR(All_Questions_Q4_F_Q="(None)",All_Questions_Q4_F_Q="",ISBLANK(All_Questions_Q4_F_Q),All_Questions_Q4_F_V="(All)",All_Questions_Q4_F_V="",ISBLANK(All_Questions_Q4_F_V)),1,IFERROR(IF(ISNUMBER(SEARCH("|"&amp;INDEX(INDIRECT(All_Questions_Q4_F_resolved_column),116)&amp;"|",All_Questions_Q4_F_wrapped)),1,0),0))*1</f>
        <v>1</v>
      </c>
      <c r="L117">
        <f>IF(OR(All_Questions_Q5_F_Q="(None)",All_Questions_Q5_F_Q="",ISBLANK(All_Questions_Q5_F_Q),All_Questions_Q5_F_V="(All)",All_Questions_Q5_F_V="",ISBLANK(All_Questions_Q5_F_V)),1,IFERROR(IF(ISNUMBER(SEARCH("|"&amp;INDEX(INDIRECT(All_Questions_Q5_F_resolved_column),116)&amp;"|",All_Questions_Q5_F_wrapped)),1,0),0))*1</f>
        <v>1</v>
      </c>
    </row>
    <row r="118">
      <c r="A118" t="n">
        <v>117</v>
      </c>
      <c r="B118" t="inlineStr">
        <is>
          <t>Selected</t>
        </is>
      </c>
      <c r="D118" t="inlineStr">
        <is>
          <t>Selected</t>
        </is>
      </c>
      <c r="F118">
        <f>1</f>
        <v>1</v>
      </c>
      <c r="G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H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I118">
        <f>G118*H118*1</f>
        <v>1</v>
      </c>
      <c r="J118">
        <f>1</f>
        <v>1</v>
      </c>
      <c r="K118">
        <f>IF(OR(All_Questions_Q4_F_Q="(None)",All_Questions_Q4_F_Q="",ISBLANK(All_Questions_Q4_F_Q),All_Questions_Q4_F_V="(All)",All_Questions_Q4_F_V="",ISBLANK(All_Questions_Q4_F_V)),1,IFERROR(IF(ISNUMBER(SEARCH("|"&amp;INDEX(INDIRECT(All_Questions_Q4_F_resolved_column),117)&amp;"|",All_Questions_Q4_F_wrapped)),1,0),0))*1</f>
        <v>1</v>
      </c>
      <c r="L118">
        <f>IF(OR(All_Questions_Q5_F_Q="(None)",All_Questions_Q5_F_Q="",ISBLANK(All_Questions_Q5_F_Q),All_Questions_Q5_F_V="(All)",All_Questions_Q5_F_V="",ISBLANK(All_Questions_Q5_F_V)),1,IFERROR(IF(ISNUMBER(SEARCH("|"&amp;INDEX(INDIRECT(All_Questions_Q5_F_resolved_column),117)&amp;"|",All_Questions_Q5_F_wrapped)),1,0),0))*1</f>
        <v>1</v>
      </c>
    </row>
    <row r="119">
      <c r="A119" t="n">
        <v>118</v>
      </c>
      <c r="B119" t="inlineStr">
        <is>
          <t>Selected</t>
        </is>
      </c>
      <c r="D119" t="inlineStr">
        <is>
          <t>Selected</t>
        </is>
      </c>
      <c r="F119">
        <f>1</f>
        <v>1</v>
      </c>
      <c r="G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H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I119">
        <f>G119*H119*1</f>
        <v>1</v>
      </c>
      <c r="J119">
        <f>1</f>
        <v>1</v>
      </c>
      <c r="K119">
        <f>IF(OR(All_Questions_Q4_F_Q="(None)",All_Questions_Q4_F_Q="",ISBLANK(All_Questions_Q4_F_Q),All_Questions_Q4_F_V="(All)",All_Questions_Q4_F_V="",ISBLANK(All_Questions_Q4_F_V)),1,IFERROR(IF(ISNUMBER(SEARCH("|"&amp;INDEX(INDIRECT(All_Questions_Q4_F_resolved_column),118)&amp;"|",All_Questions_Q4_F_wrapped)),1,0),0))*1</f>
        <v>1</v>
      </c>
      <c r="L119">
        <f>IF(OR(All_Questions_Q5_F_Q="(None)",All_Questions_Q5_F_Q="",ISBLANK(All_Questions_Q5_F_Q),All_Questions_Q5_F_V="(All)",All_Questions_Q5_F_V="",ISBLANK(All_Questions_Q5_F_V)),1,IFERROR(IF(ISNUMBER(SEARCH("|"&amp;INDEX(INDIRECT(All_Questions_Q5_F_resolved_column),118)&amp;"|",All_Questions_Q5_F_wrapped)),1,0),0))*1</f>
        <v>1</v>
      </c>
    </row>
    <row r="120">
      <c r="A120" t="n">
        <v>119</v>
      </c>
      <c r="B120" t="inlineStr">
        <is>
          <t>Selected</t>
        </is>
      </c>
      <c r="D120" t="inlineStr">
        <is>
          <t>Selected</t>
        </is>
      </c>
      <c r="F120">
        <f>1</f>
        <v>1</v>
      </c>
      <c r="G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H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I120">
        <f>G120*H120*1</f>
        <v>1</v>
      </c>
      <c r="J120">
        <f>1</f>
        <v>1</v>
      </c>
      <c r="K120">
        <f>IF(OR(All_Questions_Q4_F_Q="(None)",All_Questions_Q4_F_Q="",ISBLANK(All_Questions_Q4_F_Q),All_Questions_Q4_F_V="(All)",All_Questions_Q4_F_V="",ISBLANK(All_Questions_Q4_F_V)),1,IFERROR(IF(ISNUMBER(SEARCH("|"&amp;INDEX(INDIRECT(All_Questions_Q4_F_resolved_column),119)&amp;"|",All_Questions_Q4_F_wrapped)),1,0),0))*1</f>
        <v>1</v>
      </c>
      <c r="L120">
        <f>IF(OR(All_Questions_Q5_F_Q="(None)",All_Questions_Q5_F_Q="",ISBLANK(All_Questions_Q5_F_Q),All_Questions_Q5_F_V="(All)",All_Questions_Q5_F_V="",ISBLANK(All_Questions_Q5_F_V)),1,IFERROR(IF(ISNUMBER(SEARCH("|"&amp;INDEX(INDIRECT(All_Questions_Q5_F_resolved_column),119)&amp;"|",All_Questions_Q5_F_wrapped)),1,0),0))*1</f>
        <v>1</v>
      </c>
    </row>
    <row r="121">
      <c r="A121" t="n">
        <v>120</v>
      </c>
      <c r="B121" t="inlineStr">
        <is>
          <t>Selected</t>
        </is>
      </c>
      <c r="F121">
        <f>1</f>
        <v>1</v>
      </c>
      <c r="G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H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I121">
        <f>G121*H121*1</f>
        <v>1</v>
      </c>
      <c r="J121">
        <f>1</f>
        <v>1</v>
      </c>
      <c r="K121">
        <f>IF(OR(All_Questions_Q4_F_Q="(None)",All_Questions_Q4_F_Q="",ISBLANK(All_Questions_Q4_F_Q),All_Questions_Q4_F_V="(All)",All_Questions_Q4_F_V="",ISBLANK(All_Questions_Q4_F_V)),1,IFERROR(IF(ISNUMBER(SEARCH("|"&amp;INDEX(INDIRECT(All_Questions_Q4_F_resolved_column),120)&amp;"|",All_Questions_Q4_F_wrapped)),1,0),0))*1</f>
        <v>1</v>
      </c>
      <c r="L121">
        <f>IF(OR(All_Questions_Q5_F_Q="(None)",All_Questions_Q5_F_Q="",ISBLANK(All_Questions_Q5_F_Q),All_Questions_Q5_F_V="(All)",All_Questions_Q5_F_V="",ISBLANK(All_Questions_Q5_F_V)),1,IFERROR(IF(ISNUMBER(SEARCH("|"&amp;INDEX(INDIRECT(All_Questions_Q5_F_resolved_column),120)&amp;"|",All_Questions_Q5_F_wrapped)),1,0),0))*1</f>
        <v>1</v>
      </c>
    </row>
    <row r="122">
      <c r="A122" t="n">
        <v>121</v>
      </c>
      <c r="B122" t="inlineStr">
        <is>
          <t>Selected</t>
        </is>
      </c>
      <c r="F122">
        <f>1</f>
        <v>1</v>
      </c>
      <c r="G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H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I122">
        <f>G122*H122*1</f>
        <v>1</v>
      </c>
      <c r="J122">
        <f>1</f>
        <v>1</v>
      </c>
      <c r="K122">
        <f>IF(OR(All_Questions_Q4_F_Q="(None)",All_Questions_Q4_F_Q="",ISBLANK(All_Questions_Q4_F_Q),All_Questions_Q4_F_V="(All)",All_Questions_Q4_F_V="",ISBLANK(All_Questions_Q4_F_V)),1,IFERROR(IF(ISNUMBER(SEARCH("|"&amp;INDEX(INDIRECT(All_Questions_Q4_F_resolved_column),121)&amp;"|",All_Questions_Q4_F_wrapped)),1,0),0))*1</f>
        <v>1</v>
      </c>
      <c r="L122">
        <f>IF(OR(All_Questions_Q5_F_Q="(None)",All_Questions_Q5_F_Q="",ISBLANK(All_Questions_Q5_F_Q),All_Questions_Q5_F_V="(All)",All_Questions_Q5_F_V="",ISBLANK(All_Questions_Q5_F_V)),1,IFERROR(IF(ISNUMBER(SEARCH("|"&amp;INDEX(INDIRECT(All_Questions_Q5_F_resolved_column),121)&amp;"|",All_Questions_Q5_F_wrapped)),1,0),0))*1</f>
        <v>1</v>
      </c>
    </row>
    <row r="123">
      <c r="A123" t="n">
        <v>122</v>
      </c>
      <c r="B123" t="inlineStr">
        <is>
          <t>Selected</t>
        </is>
      </c>
      <c r="F123">
        <f>1</f>
        <v>1</v>
      </c>
      <c r="G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H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I123">
        <f>G123*H123*1</f>
        <v>1</v>
      </c>
      <c r="J123">
        <f>1</f>
        <v>1</v>
      </c>
      <c r="K123">
        <f>IF(OR(All_Questions_Q4_F_Q="(None)",All_Questions_Q4_F_Q="",ISBLANK(All_Questions_Q4_F_Q),All_Questions_Q4_F_V="(All)",All_Questions_Q4_F_V="",ISBLANK(All_Questions_Q4_F_V)),1,IFERROR(IF(ISNUMBER(SEARCH("|"&amp;INDEX(INDIRECT(All_Questions_Q4_F_resolved_column),122)&amp;"|",All_Questions_Q4_F_wrapped)),1,0),0))*1</f>
        <v>1</v>
      </c>
      <c r="L123">
        <f>IF(OR(All_Questions_Q5_F_Q="(None)",All_Questions_Q5_F_Q="",ISBLANK(All_Questions_Q5_F_Q),All_Questions_Q5_F_V="(All)",All_Questions_Q5_F_V="",ISBLANK(All_Questions_Q5_F_V)),1,IFERROR(IF(ISNUMBER(SEARCH("|"&amp;INDEX(INDIRECT(All_Questions_Q5_F_resolved_column),122)&amp;"|",All_Questions_Q5_F_wrapped)),1,0),0))*1</f>
        <v>1</v>
      </c>
    </row>
    <row r="124">
      <c r="A124" t="n">
        <v>123</v>
      </c>
      <c r="B124" t="inlineStr">
        <is>
          <t>Selected</t>
        </is>
      </c>
      <c r="F124">
        <f>1</f>
        <v>1</v>
      </c>
      <c r="G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H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I124">
        <f>G124*H124*1</f>
        <v>1</v>
      </c>
      <c r="J124">
        <f>1</f>
        <v>1</v>
      </c>
      <c r="K124">
        <f>IF(OR(All_Questions_Q4_F_Q="(None)",All_Questions_Q4_F_Q="",ISBLANK(All_Questions_Q4_F_Q),All_Questions_Q4_F_V="(All)",All_Questions_Q4_F_V="",ISBLANK(All_Questions_Q4_F_V)),1,IFERROR(IF(ISNUMBER(SEARCH("|"&amp;INDEX(INDIRECT(All_Questions_Q4_F_resolved_column),123)&amp;"|",All_Questions_Q4_F_wrapped)),1,0),0))*1</f>
        <v>1</v>
      </c>
      <c r="L124">
        <f>IF(OR(All_Questions_Q5_F_Q="(None)",All_Questions_Q5_F_Q="",ISBLANK(All_Questions_Q5_F_Q),All_Questions_Q5_F_V="(All)",All_Questions_Q5_F_V="",ISBLANK(All_Questions_Q5_F_V)),1,IFERROR(IF(ISNUMBER(SEARCH("|"&amp;INDEX(INDIRECT(All_Questions_Q5_F_resolved_column),123)&amp;"|",All_Questions_Q5_F_wrapped)),1,0),0))*1</f>
        <v>1</v>
      </c>
    </row>
    <row r="125">
      <c r="A125" t="n">
        <v>124</v>
      </c>
      <c r="B125" t="inlineStr">
        <is>
          <t>Selected</t>
        </is>
      </c>
      <c r="F125">
        <f>1</f>
        <v>1</v>
      </c>
      <c r="G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H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I125">
        <f>G125*H125*1</f>
        <v>1</v>
      </c>
      <c r="J125">
        <f>1</f>
        <v>1</v>
      </c>
      <c r="K125">
        <f>IF(OR(All_Questions_Q4_F_Q="(None)",All_Questions_Q4_F_Q="",ISBLANK(All_Questions_Q4_F_Q),All_Questions_Q4_F_V="(All)",All_Questions_Q4_F_V="",ISBLANK(All_Questions_Q4_F_V)),1,IFERROR(IF(ISNUMBER(SEARCH("|"&amp;INDEX(INDIRECT(All_Questions_Q4_F_resolved_column),124)&amp;"|",All_Questions_Q4_F_wrapped)),1,0),0))*1</f>
        <v>1</v>
      </c>
      <c r="L125">
        <f>IF(OR(All_Questions_Q5_F_Q="(None)",All_Questions_Q5_F_Q="",ISBLANK(All_Questions_Q5_F_Q),All_Questions_Q5_F_V="(All)",All_Questions_Q5_F_V="",ISBLANK(All_Questions_Q5_F_V)),1,IFERROR(IF(ISNUMBER(SEARCH("|"&amp;INDEX(INDIRECT(All_Questions_Q5_F_resolved_column),124)&amp;"|",All_Questions_Q5_F_wrapped)),1,0),0))*1</f>
        <v>1</v>
      </c>
    </row>
    <row r="126">
      <c r="A126" t="n">
        <v>125</v>
      </c>
      <c r="B126" t="inlineStr">
        <is>
          <t>Selected</t>
        </is>
      </c>
      <c r="F126">
        <f>1</f>
        <v>1</v>
      </c>
      <c r="G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H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I126">
        <f>G126*H126*1</f>
        <v>1</v>
      </c>
      <c r="J126">
        <f>1</f>
        <v>1</v>
      </c>
      <c r="K126">
        <f>IF(OR(All_Questions_Q4_F_Q="(None)",All_Questions_Q4_F_Q="",ISBLANK(All_Questions_Q4_F_Q),All_Questions_Q4_F_V="(All)",All_Questions_Q4_F_V="",ISBLANK(All_Questions_Q4_F_V)),1,IFERROR(IF(ISNUMBER(SEARCH("|"&amp;INDEX(INDIRECT(All_Questions_Q4_F_resolved_column),125)&amp;"|",All_Questions_Q4_F_wrapped)),1,0),0))*1</f>
        <v>1</v>
      </c>
      <c r="L126">
        <f>IF(OR(All_Questions_Q5_F_Q="(None)",All_Questions_Q5_F_Q="",ISBLANK(All_Questions_Q5_F_Q),All_Questions_Q5_F_V="(All)",All_Questions_Q5_F_V="",ISBLANK(All_Questions_Q5_F_V)),1,IFERROR(IF(ISNUMBER(SEARCH("|"&amp;INDEX(INDIRECT(All_Questions_Q5_F_resolved_column),125)&amp;"|",All_Questions_Q5_F_wrapped)),1,0),0))*1</f>
        <v>1</v>
      </c>
    </row>
    <row r="127">
      <c r="A127" t="n">
        <v>126</v>
      </c>
      <c r="B127" t="inlineStr">
        <is>
          <t>Selected</t>
        </is>
      </c>
      <c r="F127">
        <f>1</f>
        <v>1</v>
      </c>
      <c r="G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H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I127">
        <f>G127*H127*1</f>
        <v>1</v>
      </c>
      <c r="J127">
        <f>1</f>
        <v>1</v>
      </c>
      <c r="K127">
        <f>IF(OR(All_Questions_Q4_F_Q="(None)",All_Questions_Q4_F_Q="",ISBLANK(All_Questions_Q4_F_Q),All_Questions_Q4_F_V="(All)",All_Questions_Q4_F_V="",ISBLANK(All_Questions_Q4_F_V)),1,IFERROR(IF(ISNUMBER(SEARCH("|"&amp;INDEX(INDIRECT(All_Questions_Q4_F_resolved_column),126)&amp;"|",All_Questions_Q4_F_wrapped)),1,0),0))*1</f>
        <v>1</v>
      </c>
      <c r="L127">
        <f>IF(OR(All_Questions_Q5_F_Q="(None)",All_Questions_Q5_F_Q="",ISBLANK(All_Questions_Q5_F_Q),All_Questions_Q5_F_V="(All)",All_Questions_Q5_F_V="",ISBLANK(All_Questions_Q5_F_V)),1,IFERROR(IF(ISNUMBER(SEARCH("|"&amp;INDEX(INDIRECT(All_Questions_Q5_F_resolved_column),126)&amp;"|",All_Questions_Q5_F_wrapped)),1,0),0))*1</f>
        <v>1</v>
      </c>
    </row>
    <row r="128">
      <c r="A128" t="n">
        <v>127</v>
      </c>
      <c r="B128" t="inlineStr">
        <is>
          <t>Selected</t>
        </is>
      </c>
      <c r="F128">
        <f>1</f>
        <v>1</v>
      </c>
      <c r="G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H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I128">
        <f>G128*H128*1</f>
        <v>1</v>
      </c>
      <c r="J128">
        <f>1</f>
        <v>1</v>
      </c>
      <c r="K128">
        <f>IF(OR(All_Questions_Q4_F_Q="(None)",All_Questions_Q4_F_Q="",ISBLANK(All_Questions_Q4_F_Q),All_Questions_Q4_F_V="(All)",All_Questions_Q4_F_V="",ISBLANK(All_Questions_Q4_F_V)),1,IFERROR(IF(ISNUMBER(SEARCH("|"&amp;INDEX(INDIRECT(All_Questions_Q4_F_resolved_column),127)&amp;"|",All_Questions_Q4_F_wrapped)),1,0),0))*1</f>
        <v>1</v>
      </c>
      <c r="L128">
        <f>IF(OR(All_Questions_Q5_F_Q="(None)",All_Questions_Q5_F_Q="",ISBLANK(All_Questions_Q5_F_Q),All_Questions_Q5_F_V="(All)",All_Questions_Q5_F_V="",ISBLANK(All_Questions_Q5_F_V)),1,IFERROR(IF(ISNUMBER(SEARCH("|"&amp;INDEX(INDIRECT(All_Questions_Q5_F_resolved_column),127)&amp;"|",All_Questions_Q5_F_wrapped)),1,0),0))*1</f>
        <v>1</v>
      </c>
    </row>
    <row r="129">
      <c r="A129" t="n">
        <v>128</v>
      </c>
      <c r="B129" t="inlineStr">
        <is>
          <t>Selected</t>
        </is>
      </c>
      <c r="F129">
        <f>1</f>
        <v>1</v>
      </c>
      <c r="G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H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I129">
        <f>G129*H129*1</f>
        <v>1</v>
      </c>
      <c r="J129">
        <f>1</f>
        <v>1</v>
      </c>
      <c r="K129">
        <f>IF(OR(All_Questions_Q4_F_Q="(None)",All_Questions_Q4_F_Q="",ISBLANK(All_Questions_Q4_F_Q),All_Questions_Q4_F_V="(All)",All_Questions_Q4_F_V="",ISBLANK(All_Questions_Q4_F_V)),1,IFERROR(IF(ISNUMBER(SEARCH("|"&amp;INDEX(INDIRECT(All_Questions_Q4_F_resolved_column),128)&amp;"|",All_Questions_Q4_F_wrapped)),1,0),0))*1</f>
        <v>1</v>
      </c>
      <c r="L129">
        <f>IF(OR(All_Questions_Q5_F_Q="(None)",All_Questions_Q5_F_Q="",ISBLANK(All_Questions_Q5_F_Q),All_Questions_Q5_F_V="(All)",All_Questions_Q5_F_V="",ISBLANK(All_Questions_Q5_F_V)),1,IFERROR(IF(ISNUMBER(SEARCH("|"&amp;INDEX(INDIRECT(All_Questions_Q5_F_resolved_column),128)&amp;"|",All_Questions_Q5_F_wrapped)),1,0),0))*1</f>
        <v>1</v>
      </c>
    </row>
    <row r="130">
      <c r="A130" t="n">
        <v>129</v>
      </c>
      <c r="B130" t="inlineStr">
        <is>
          <t>Selected</t>
        </is>
      </c>
      <c r="F130">
        <f>1</f>
        <v>1</v>
      </c>
      <c r="G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H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I130">
        <f>G130*H130*1</f>
        <v>1</v>
      </c>
      <c r="J130">
        <f>1</f>
        <v>1</v>
      </c>
      <c r="K130">
        <f>IF(OR(All_Questions_Q4_F_Q="(None)",All_Questions_Q4_F_Q="",ISBLANK(All_Questions_Q4_F_Q),All_Questions_Q4_F_V="(All)",All_Questions_Q4_F_V="",ISBLANK(All_Questions_Q4_F_V)),1,IFERROR(IF(ISNUMBER(SEARCH("|"&amp;INDEX(INDIRECT(All_Questions_Q4_F_resolved_column),129)&amp;"|",All_Questions_Q4_F_wrapped)),1,0),0))*1</f>
        <v>1</v>
      </c>
      <c r="L130">
        <f>IF(OR(All_Questions_Q5_F_Q="(None)",All_Questions_Q5_F_Q="",ISBLANK(All_Questions_Q5_F_Q),All_Questions_Q5_F_V="(All)",All_Questions_Q5_F_V="",ISBLANK(All_Questions_Q5_F_V)),1,IFERROR(IF(ISNUMBER(SEARCH("|"&amp;INDEX(INDIRECT(All_Questions_Q5_F_resolved_column),129)&amp;"|",All_Questions_Q5_F_wrapped)),1,0),0))*1</f>
        <v>1</v>
      </c>
    </row>
    <row r="131">
      <c r="A131" t="n">
        <v>130</v>
      </c>
      <c r="B131" t="inlineStr">
        <is>
          <t>Selected</t>
        </is>
      </c>
      <c r="F131">
        <f>1</f>
        <v>1</v>
      </c>
      <c r="G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H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I131">
        <f>G131*H131*1</f>
        <v>1</v>
      </c>
      <c r="J131">
        <f>1</f>
        <v>1</v>
      </c>
      <c r="K131">
        <f>IF(OR(All_Questions_Q4_F_Q="(None)",All_Questions_Q4_F_Q="",ISBLANK(All_Questions_Q4_F_Q),All_Questions_Q4_F_V="(All)",All_Questions_Q4_F_V="",ISBLANK(All_Questions_Q4_F_V)),1,IFERROR(IF(ISNUMBER(SEARCH("|"&amp;INDEX(INDIRECT(All_Questions_Q4_F_resolved_column),130)&amp;"|",All_Questions_Q4_F_wrapped)),1,0),0))*1</f>
        <v>1</v>
      </c>
      <c r="L131">
        <f>IF(OR(All_Questions_Q5_F_Q="(None)",All_Questions_Q5_F_Q="",ISBLANK(All_Questions_Q5_F_Q),All_Questions_Q5_F_V="(All)",All_Questions_Q5_F_V="",ISBLANK(All_Questions_Q5_F_V)),1,IFERROR(IF(ISNUMBER(SEARCH("|"&amp;INDEX(INDIRECT(All_Questions_Q5_F_resolved_column),130)&amp;"|",All_Questions_Q5_F_wrapped)),1,0),0))*1</f>
        <v>1</v>
      </c>
    </row>
    <row r="132">
      <c r="A132" t="n">
        <v>131</v>
      </c>
      <c r="B132" t="inlineStr">
        <is>
          <t>Selected</t>
        </is>
      </c>
      <c r="F132">
        <f>1</f>
        <v>1</v>
      </c>
      <c r="G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H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I132">
        <f>G132*H132*1</f>
        <v>1</v>
      </c>
      <c r="J132">
        <f>1</f>
        <v>1</v>
      </c>
      <c r="K132">
        <f>IF(OR(All_Questions_Q4_F_Q="(None)",All_Questions_Q4_F_Q="",ISBLANK(All_Questions_Q4_F_Q),All_Questions_Q4_F_V="(All)",All_Questions_Q4_F_V="",ISBLANK(All_Questions_Q4_F_V)),1,IFERROR(IF(ISNUMBER(SEARCH("|"&amp;INDEX(INDIRECT(All_Questions_Q4_F_resolved_column),131)&amp;"|",All_Questions_Q4_F_wrapped)),1,0),0))*1</f>
        <v>1</v>
      </c>
      <c r="L132">
        <f>IF(OR(All_Questions_Q5_F_Q="(None)",All_Questions_Q5_F_Q="",ISBLANK(All_Questions_Q5_F_Q),All_Questions_Q5_F_V="(All)",All_Questions_Q5_F_V="",ISBLANK(All_Questions_Q5_F_V)),1,IFERROR(IF(ISNUMBER(SEARCH("|"&amp;INDEX(INDIRECT(All_Questions_Q5_F_resolved_column),131)&amp;"|",All_Questions_Q5_F_wrapped)),1,0),0))*1</f>
        <v>1</v>
      </c>
    </row>
    <row r="133">
      <c r="A133" t="n">
        <v>132</v>
      </c>
      <c r="B133" t="inlineStr">
        <is>
          <t>Selected</t>
        </is>
      </c>
      <c r="F133">
        <f>1</f>
        <v>1</v>
      </c>
      <c r="G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H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I133">
        <f>G133*H133*1</f>
        <v>1</v>
      </c>
      <c r="J133">
        <f>1</f>
        <v>1</v>
      </c>
      <c r="K133">
        <f>IF(OR(All_Questions_Q4_F_Q="(None)",All_Questions_Q4_F_Q="",ISBLANK(All_Questions_Q4_F_Q),All_Questions_Q4_F_V="(All)",All_Questions_Q4_F_V="",ISBLANK(All_Questions_Q4_F_V)),1,IFERROR(IF(ISNUMBER(SEARCH("|"&amp;INDEX(INDIRECT(All_Questions_Q4_F_resolved_column),132)&amp;"|",All_Questions_Q4_F_wrapped)),1,0),0))*1</f>
        <v>1</v>
      </c>
      <c r="L133">
        <f>IF(OR(All_Questions_Q5_F_Q="(None)",All_Questions_Q5_F_Q="",ISBLANK(All_Questions_Q5_F_Q),All_Questions_Q5_F_V="(All)",All_Questions_Q5_F_V="",ISBLANK(All_Questions_Q5_F_V)),1,IFERROR(IF(ISNUMBER(SEARCH("|"&amp;INDEX(INDIRECT(All_Questions_Q5_F_resolved_column),132)&amp;"|",All_Questions_Q5_F_wrapped)),1,0),0))*1</f>
        <v>1</v>
      </c>
    </row>
    <row r="134">
      <c r="A134" t="n">
        <v>133</v>
      </c>
      <c r="B134" t="inlineStr">
        <is>
          <t>Selected</t>
        </is>
      </c>
      <c r="F134">
        <f>1</f>
        <v>1</v>
      </c>
      <c r="G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H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I134">
        <f>G134*H134*1</f>
        <v>1</v>
      </c>
      <c r="J134">
        <f>1</f>
        <v>1</v>
      </c>
      <c r="K134">
        <f>IF(OR(All_Questions_Q4_F_Q="(None)",All_Questions_Q4_F_Q="",ISBLANK(All_Questions_Q4_F_Q),All_Questions_Q4_F_V="(All)",All_Questions_Q4_F_V="",ISBLANK(All_Questions_Q4_F_V)),1,IFERROR(IF(ISNUMBER(SEARCH("|"&amp;INDEX(INDIRECT(All_Questions_Q4_F_resolved_column),133)&amp;"|",All_Questions_Q4_F_wrapped)),1,0),0))*1</f>
        <v>1</v>
      </c>
      <c r="L134">
        <f>IF(OR(All_Questions_Q5_F_Q="(None)",All_Questions_Q5_F_Q="",ISBLANK(All_Questions_Q5_F_Q),All_Questions_Q5_F_V="(All)",All_Questions_Q5_F_V="",ISBLANK(All_Questions_Q5_F_V)),1,IFERROR(IF(ISNUMBER(SEARCH("|"&amp;INDEX(INDIRECT(All_Questions_Q5_F_resolved_column),133)&amp;"|",All_Questions_Q5_F_wrapped)),1,0),0))*1</f>
        <v>1</v>
      </c>
    </row>
    <row r="135">
      <c r="A135" t="n">
        <v>134</v>
      </c>
      <c r="B135" t="inlineStr">
        <is>
          <t>Selected</t>
        </is>
      </c>
      <c r="F135">
        <f>1</f>
        <v>1</v>
      </c>
      <c r="G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H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I135">
        <f>G135*H135*1</f>
        <v>1</v>
      </c>
      <c r="J135">
        <f>1</f>
        <v>1</v>
      </c>
      <c r="K135">
        <f>IF(OR(All_Questions_Q4_F_Q="(None)",All_Questions_Q4_F_Q="",ISBLANK(All_Questions_Q4_F_Q),All_Questions_Q4_F_V="(All)",All_Questions_Q4_F_V="",ISBLANK(All_Questions_Q4_F_V)),1,IFERROR(IF(ISNUMBER(SEARCH("|"&amp;INDEX(INDIRECT(All_Questions_Q4_F_resolved_column),134)&amp;"|",All_Questions_Q4_F_wrapped)),1,0),0))*1</f>
        <v>1</v>
      </c>
      <c r="L135">
        <f>IF(OR(All_Questions_Q5_F_Q="(None)",All_Questions_Q5_F_Q="",ISBLANK(All_Questions_Q5_F_Q),All_Questions_Q5_F_V="(All)",All_Questions_Q5_F_V="",ISBLANK(All_Questions_Q5_F_V)),1,IFERROR(IF(ISNUMBER(SEARCH("|"&amp;INDEX(INDIRECT(All_Questions_Q5_F_resolved_column),134)&amp;"|",All_Questions_Q5_F_wrapped)),1,0),0))*1</f>
        <v>1</v>
      </c>
    </row>
    <row r="136">
      <c r="A136" t="n">
        <v>135</v>
      </c>
      <c r="B136" t="inlineStr">
        <is>
          <t>Selected</t>
        </is>
      </c>
      <c r="F136">
        <f>1</f>
        <v>1</v>
      </c>
      <c r="G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H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I136">
        <f>G136*H136*1</f>
        <v>1</v>
      </c>
      <c r="J136">
        <f>1</f>
        <v>1</v>
      </c>
      <c r="K136">
        <f>IF(OR(All_Questions_Q4_F_Q="(None)",All_Questions_Q4_F_Q="",ISBLANK(All_Questions_Q4_F_Q),All_Questions_Q4_F_V="(All)",All_Questions_Q4_F_V="",ISBLANK(All_Questions_Q4_F_V)),1,IFERROR(IF(ISNUMBER(SEARCH("|"&amp;INDEX(INDIRECT(All_Questions_Q4_F_resolved_column),135)&amp;"|",All_Questions_Q4_F_wrapped)),1,0),0))*1</f>
        <v>1</v>
      </c>
      <c r="L136">
        <f>IF(OR(All_Questions_Q5_F_Q="(None)",All_Questions_Q5_F_Q="",ISBLANK(All_Questions_Q5_F_Q),All_Questions_Q5_F_V="(All)",All_Questions_Q5_F_V="",ISBLANK(All_Questions_Q5_F_V)),1,IFERROR(IF(ISNUMBER(SEARCH("|"&amp;INDEX(INDIRECT(All_Questions_Q5_F_resolved_column),135)&amp;"|",All_Questions_Q5_F_wrapped)),1,0),0))*1</f>
        <v>1</v>
      </c>
    </row>
    <row r="137">
      <c r="A137" t="n">
        <v>136</v>
      </c>
      <c r="B137" t="inlineStr">
        <is>
          <t>Selected</t>
        </is>
      </c>
      <c r="F137">
        <f>1</f>
        <v>1</v>
      </c>
      <c r="G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H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I137">
        <f>G137*H137*1</f>
        <v>1</v>
      </c>
      <c r="J137">
        <f>1</f>
        <v>1</v>
      </c>
      <c r="K137">
        <f>IF(OR(All_Questions_Q4_F_Q="(None)",All_Questions_Q4_F_Q="",ISBLANK(All_Questions_Q4_F_Q),All_Questions_Q4_F_V="(All)",All_Questions_Q4_F_V="",ISBLANK(All_Questions_Q4_F_V)),1,IFERROR(IF(ISNUMBER(SEARCH("|"&amp;INDEX(INDIRECT(All_Questions_Q4_F_resolved_column),136)&amp;"|",All_Questions_Q4_F_wrapped)),1,0),0))*1</f>
        <v>1</v>
      </c>
      <c r="L137">
        <f>IF(OR(All_Questions_Q5_F_Q="(None)",All_Questions_Q5_F_Q="",ISBLANK(All_Questions_Q5_F_Q),All_Questions_Q5_F_V="(All)",All_Questions_Q5_F_V="",ISBLANK(All_Questions_Q5_F_V)),1,IFERROR(IF(ISNUMBER(SEARCH("|"&amp;INDEX(INDIRECT(All_Questions_Q5_F_resolved_column),136)&amp;"|",All_Questions_Q5_F_wrapped)),1,0),0))*1</f>
        <v>1</v>
      </c>
    </row>
    <row r="138">
      <c r="A138" t="n">
        <v>137</v>
      </c>
      <c r="B138" t="inlineStr">
        <is>
          <t>Selected</t>
        </is>
      </c>
      <c r="F138">
        <f>1</f>
        <v>1</v>
      </c>
      <c r="G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H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I138">
        <f>G138*H138*1</f>
        <v>1</v>
      </c>
      <c r="J138">
        <f>1</f>
        <v>1</v>
      </c>
      <c r="K138">
        <f>IF(OR(All_Questions_Q4_F_Q="(None)",All_Questions_Q4_F_Q="",ISBLANK(All_Questions_Q4_F_Q),All_Questions_Q4_F_V="(All)",All_Questions_Q4_F_V="",ISBLANK(All_Questions_Q4_F_V)),1,IFERROR(IF(ISNUMBER(SEARCH("|"&amp;INDEX(INDIRECT(All_Questions_Q4_F_resolved_column),137)&amp;"|",All_Questions_Q4_F_wrapped)),1,0),0))*1</f>
        <v>1</v>
      </c>
      <c r="L138">
        <f>IF(OR(All_Questions_Q5_F_Q="(None)",All_Questions_Q5_F_Q="",ISBLANK(All_Questions_Q5_F_Q),All_Questions_Q5_F_V="(All)",All_Questions_Q5_F_V="",ISBLANK(All_Questions_Q5_F_V)),1,IFERROR(IF(ISNUMBER(SEARCH("|"&amp;INDEX(INDIRECT(All_Questions_Q5_F_resolved_column),137)&amp;"|",All_Questions_Q5_F_wrapped)),1,0),0))*1</f>
        <v>1</v>
      </c>
    </row>
    <row r="139">
      <c r="A139" t="n">
        <v>138</v>
      </c>
      <c r="B139" t="inlineStr">
        <is>
          <t>Selected</t>
        </is>
      </c>
      <c r="F139">
        <f>1</f>
        <v>1</v>
      </c>
      <c r="G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H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I139">
        <f>G139*H139*1</f>
        <v>1</v>
      </c>
      <c r="J139">
        <f>1</f>
        <v>1</v>
      </c>
      <c r="K139">
        <f>IF(OR(All_Questions_Q4_F_Q="(None)",All_Questions_Q4_F_Q="",ISBLANK(All_Questions_Q4_F_Q),All_Questions_Q4_F_V="(All)",All_Questions_Q4_F_V="",ISBLANK(All_Questions_Q4_F_V)),1,IFERROR(IF(ISNUMBER(SEARCH("|"&amp;INDEX(INDIRECT(All_Questions_Q4_F_resolved_column),138)&amp;"|",All_Questions_Q4_F_wrapped)),1,0),0))*1</f>
        <v>1</v>
      </c>
      <c r="L139">
        <f>IF(OR(All_Questions_Q5_F_Q="(None)",All_Questions_Q5_F_Q="",ISBLANK(All_Questions_Q5_F_Q),All_Questions_Q5_F_V="(All)",All_Questions_Q5_F_V="",ISBLANK(All_Questions_Q5_F_V)),1,IFERROR(IF(ISNUMBER(SEARCH("|"&amp;INDEX(INDIRECT(All_Questions_Q5_F_resolved_column),138)&amp;"|",All_Questions_Q5_F_wrapped)),1,0),0))*1</f>
        <v>1</v>
      </c>
    </row>
    <row r="140">
      <c r="A140" t="n">
        <v>139</v>
      </c>
      <c r="B140" t="inlineStr">
        <is>
          <t>Selected</t>
        </is>
      </c>
      <c r="F140">
        <f>1</f>
        <v>1</v>
      </c>
      <c r="G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H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I140">
        <f>G140*H140*1</f>
        <v>1</v>
      </c>
      <c r="J140">
        <f>1</f>
        <v>1</v>
      </c>
      <c r="K140">
        <f>IF(OR(All_Questions_Q4_F_Q="(None)",All_Questions_Q4_F_Q="",ISBLANK(All_Questions_Q4_F_Q),All_Questions_Q4_F_V="(All)",All_Questions_Q4_F_V="",ISBLANK(All_Questions_Q4_F_V)),1,IFERROR(IF(ISNUMBER(SEARCH("|"&amp;INDEX(INDIRECT(All_Questions_Q4_F_resolved_column),139)&amp;"|",All_Questions_Q4_F_wrapped)),1,0),0))*1</f>
        <v>1</v>
      </c>
      <c r="L140">
        <f>IF(OR(All_Questions_Q5_F_Q="(None)",All_Questions_Q5_F_Q="",ISBLANK(All_Questions_Q5_F_Q),All_Questions_Q5_F_V="(All)",All_Questions_Q5_F_V="",ISBLANK(All_Questions_Q5_F_V)),1,IFERROR(IF(ISNUMBER(SEARCH("|"&amp;INDEX(INDIRECT(All_Questions_Q5_F_resolved_column),139)&amp;"|",All_Questions_Q5_F_wrapped)),1,0),0))*1</f>
        <v>1</v>
      </c>
    </row>
    <row r="141">
      <c r="A141" t="n">
        <v>140</v>
      </c>
      <c r="B141" t="inlineStr">
        <is>
          <t>Selected</t>
        </is>
      </c>
      <c r="F141">
        <f>1</f>
        <v>1</v>
      </c>
      <c r="G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H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I141">
        <f>G141*H141*1</f>
        <v>1</v>
      </c>
      <c r="J141">
        <f>1</f>
        <v>1</v>
      </c>
      <c r="K141">
        <f>IF(OR(All_Questions_Q4_F_Q="(None)",All_Questions_Q4_F_Q="",ISBLANK(All_Questions_Q4_F_Q),All_Questions_Q4_F_V="(All)",All_Questions_Q4_F_V="",ISBLANK(All_Questions_Q4_F_V)),1,IFERROR(IF(ISNUMBER(SEARCH("|"&amp;INDEX(INDIRECT(All_Questions_Q4_F_resolved_column),140)&amp;"|",All_Questions_Q4_F_wrapped)),1,0),0))*1</f>
        <v>1</v>
      </c>
      <c r="L141">
        <f>IF(OR(All_Questions_Q5_F_Q="(None)",All_Questions_Q5_F_Q="",ISBLANK(All_Questions_Q5_F_Q),All_Questions_Q5_F_V="(All)",All_Questions_Q5_F_V="",ISBLANK(All_Questions_Q5_F_V)),1,IFERROR(IF(ISNUMBER(SEARCH("|"&amp;INDEX(INDIRECT(All_Questions_Q5_F_resolved_column),140)&amp;"|",All_Questions_Q5_F_wrapped)),1,0),0))*1</f>
        <v>1</v>
      </c>
    </row>
    <row r="142">
      <c r="A142" t="n">
        <v>141</v>
      </c>
      <c r="B142" t="inlineStr">
        <is>
          <t>Selected</t>
        </is>
      </c>
      <c r="F142">
        <f>1</f>
        <v>1</v>
      </c>
      <c r="G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H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I142">
        <f>G142*H142*1</f>
        <v>1</v>
      </c>
      <c r="J142">
        <f>1</f>
        <v>1</v>
      </c>
      <c r="K142">
        <f>IF(OR(All_Questions_Q4_F_Q="(None)",All_Questions_Q4_F_Q="",ISBLANK(All_Questions_Q4_F_Q),All_Questions_Q4_F_V="(All)",All_Questions_Q4_F_V="",ISBLANK(All_Questions_Q4_F_V)),1,IFERROR(IF(ISNUMBER(SEARCH("|"&amp;INDEX(INDIRECT(All_Questions_Q4_F_resolved_column),141)&amp;"|",All_Questions_Q4_F_wrapped)),1,0),0))*1</f>
        <v>1</v>
      </c>
      <c r="L142">
        <f>IF(OR(All_Questions_Q5_F_Q="(None)",All_Questions_Q5_F_Q="",ISBLANK(All_Questions_Q5_F_Q),All_Questions_Q5_F_V="(All)",All_Questions_Q5_F_V="",ISBLANK(All_Questions_Q5_F_V)),1,IFERROR(IF(ISNUMBER(SEARCH("|"&amp;INDEX(INDIRECT(All_Questions_Q5_F_resolved_column),141)&amp;"|",All_Questions_Q5_F_wrapped)),1,0),0))*1</f>
        <v>1</v>
      </c>
    </row>
    <row r="143">
      <c r="A143" t="n">
        <v>142</v>
      </c>
      <c r="F143">
        <f>1</f>
        <v>1</v>
      </c>
      <c r="G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H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I143">
        <f>G143*H143*1</f>
        <v>1</v>
      </c>
      <c r="J143">
        <f>1</f>
        <v>1</v>
      </c>
      <c r="K143">
        <f>IF(OR(All_Questions_Q4_F_Q="(None)",All_Questions_Q4_F_Q="",ISBLANK(All_Questions_Q4_F_Q),All_Questions_Q4_F_V="(All)",All_Questions_Q4_F_V="",ISBLANK(All_Questions_Q4_F_V)),1,IFERROR(IF(ISNUMBER(SEARCH("|"&amp;INDEX(INDIRECT(All_Questions_Q4_F_resolved_column),142)&amp;"|",All_Questions_Q4_F_wrapped)),1,0),0))*1</f>
        <v>1</v>
      </c>
      <c r="L143">
        <f>IF(OR(All_Questions_Q5_F_Q="(None)",All_Questions_Q5_F_Q="",ISBLANK(All_Questions_Q5_F_Q),All_Questions_Q5_F_V="(All)",All_Questions_Q5_F_V="",ISBLANK(All_Questions_Q5_F_V)),1,IFERROR(IF(ISNUMBER(SEARCH("|"&amp;INDEX(INDIRECT(All_Questions_Q5_F_resolved_column),142)&amp;"|",All_Questions_Q5_F_wrapped)),1,0),0))*1</f>
        <v>1</v>
      </c>
    </row>
    <row r="144">
      <c r="A144" t="n">
        <v>143</v>
      </c>
      <c r="F144">
        <f>1</f>
        <v>1</v>
      </c>
      <c r="G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H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I144">
        <f>G144*H144*1</f>
        <v>1</v>
      </c>
      <c r="J144">
        <f>1</f>
        <v>1</v>
      </c>
      <c r="K144">
        <f>IF(OR(All_Questions_Q4_F_Q="(None)",All_Questions_Q4_F_Q="",ISBLANK(All_Questions_Q4_F_Q),All_Questions_Q4_F_V="(All)",All_Questions_Q4_F_V="",ISBLANK(All_Questions_Q4_F_V)),1,IFERROR(IF(ISNUMBER(SEARCH("|"&amp;INDEX(INDIRECT(All_Questions_Q4_F_resolved_column),143)&amp;"|",All_Questions_Q4_F_wrapped)),1,0),0))*1</f>
        <v>1</v>
      </c>
      <c r="L144">
        <f>IF(OR(All_Questions_Q5_F_Q="(None)",All_Questions_Q5_F_Q="",ISBLANK(All_Questions_Q5_F_Q),All_Questions_Q5_F_V="(All)",All_Questions_Q5_F_V="",ISBLANK(All_Questions_Q5_F_V)),1,IFERROR(IF(ISNUMBER(SEARCH("|"&amp;INDEX(INDIRECT(All_Questions_Q5_F_resolved_column),143)&amp;"|",All_Questions_Q5_F_wrapped)),1,0),0))*1</f>
        <v>1</v>
      </c>
    </row>
    <row r="145">
      <c r="A145" t="n">
        <v>144</v>
      </c>
      <c r="F145">
        <f>1</f>
        <v>1</v>
      </c>
      <c r="G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H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I145">
        <f>G145*H145*1</f>
        <v>1</v>
      </c>
      <c r="J145">
        <f>1</f>
        <v>1</v>
      </c>
      <c r="K145">
        <f>IF(OR(All_Questions_Q4_F_Q="(None)",All_Questions_Q4_F_Q="",ISBLANK(All_Questions_Q4_F_Q),All_Questions_Q4_F_V="(All)",All_Questions_Q4_F_V="",ISBLANK(All_Questions_Q4_F_V)),1,IFERROR(IF(ISNUMBER(SEARCH("|"&amp;INDEX(INDIRECT(All_Questions_Q4_F_resolved_column),144)&amp;"|",All_Questions_Q4_F_wrapped)),1,0),0))*1</f>
        <v>1</v>
      </c>
      <c r="L145">
        <f>IF(OR(All_Questions_Q5_F_Q="(None)",All_Questions_Q5_F_Q="",ISBLANK(All_Questions_Q5_F_Q),All_Questions_Q5_F_V="(All)",All_Questions_Q5_F_V="",ISBLANK(All_Questions_Q5_F_V)),1,IFERROR(IF(ISNUMBER(SEARCH("|"&amp;INDEX(INDIRECT(All_Questions_Q5_F_resolved_column),144)&amp;"|",All_Questions_Q5_F_wrapped)),1,0),0))*1</f>
        <v>1</v>
      </c>
    </row>
    <row r="146">
      <c r="A146" t="n">
        <v>145</v>
      </c>
      <c r="F146">
        <f>1</f>
        <v>1</v>
      </c>
      <c r="G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H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I146">
        <f>G146*H146*1</f>
        <v>1</v>
      </c>
      <c r="J146">
        <f>1</f>
        <v>1</v>
      </c>
      <c r="K146">
        <f>IF(OR(All_Questions_Q4_F_Q="(None)",All_Questions_Q4_F_Q="",ISBLANK(All_Questions_Q4_F_Q),All_Questions_Q4_F_V="(All)",All_Questions_Q4_F_V="",ISBLANK(All_Questions_Q4_F_V)),1,IFERROR(IF(ISNUMBER(SEARCH("|"&amp;INDEX(INDIRECT(All_Questions_Q4_F_resolved_column),145)&amp;"|",All_Questions_Q4_F_wrapped)),1,0),0))*1</f>
        <v>1</v>
      </c>
      <c r="L146">
        <f>IF(OR(All_Questions_Q5_F_Q="(None)",All_Questions_Q5_F_Q="",ISBLANK(All_Questions_Q5_F_Q),All_Questions_Q5_F_V="(All)",All_Questions_Q5_F_V="",ISBLANK(All_Questions_Q5_F_V)),1,IFERROR(IF(ISNUMBER(SEARCH("|"&amp;INDEX(INDIRECT(All_Questions_Q5_F_resolved_column),145)&amp;"|",All_Questions_Q5_F_wrapped)),1,0),0))*1</f>
        <v>1</v>
      </c>
    </row>
    <row r="147">
      <c r="A147" t="n">
        <v>146</v>
      </c>
      <c r="F147">
        <f>1</f>
        <v>1</v>
      </c>
      <c r="G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H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I147">
        <f>G147*H147*1</f>
        <v>1</v>
      </c>
      <c r="J147">
        <f>1</f>
        <v>1</v>
      </c>
      <c r="K147">
        <f>IF(OR(All_Questions_Q4_F_Q="(None)",All_Questions_Q4_F_Q="",ISBLANK(All_Questions_Q4_F_Q),All_Questions_Q4_F_V="(All)",All_Questions_Q4_F_V="",ISBLANK(All_Questions_Q4_F_V)),1,IFERROR(IF(ISNUMBER(SEARCH("|"&amp;INDEX(INDIRECT(All_Questions_Q4_F_resolved_column),146)&amp;"|",All_Questions_Q4_F_wrapped)),1,0),0))*1</f>
        <v>1</v>
      </c>
      <c r="L147">
        <f>IF(OR(All_Questions_Q5_F_Q="(None)",All_Questions_Q5_F_Q="",ISBLANK(All_Questions_Q5_F_Q),All_Questions_Q5_F_V="(All)",All_Questions_Q5_F_V="",ISBLANK(All_Questions_Q5_F_V)),1,IFERROR(IF(ISNUMBER(SEARCH("|"&amp;INDEX(INDIRECT(All_Questions_Q5_F_resolved_column),146)&amp;"|",All_Questions_Q5_F_wrapped)),1,0),0))*1</f>
        <v>1</v>
      </c>
    </row>
    <row r="148">
      <c r="A148" t="n">
        <v>147</v>
      </c>
      <c r="F148">
        <f>1</f>
        <v>1</v>
      </c>
      <c r="G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H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I148">
        <f>G148*H148*1</f>
        <v>1</v>
      </c>
      <c r="J148">
        <f>1</f>
        <v>1</v>
      </c>
      <c r="K148">
        <f>IF(OR(All_Questions_Q4_F_Q="(None)",All_Questions_Q4_F_Q="",ISBLANK(All_Questions_Q4_F_Q),All_Questions_Q4_F_V="(All)",All_Questions_Q4_F_V="",ISBLANK(All_Questions_Q4_F_V)),1,IFERROR(IF(ISNUMBER(SEARCH("|"&amp;INDEX(INDIRECT(All_Questions_Q4_F_resolved_column),147)&amp;"|",All_Questions_Q4_F_wrapped)),1,0),0))*1</f>
        <v>1</v>
      </c>
      <c r="L148">
        <f>IF(OR(All_Questions_Q5_F_Q="(None)",All_Questions_Q5_F_Q="",ISBLANK(All_Questions_Q5_F_Q),All_Questions_Q5_F_V="(All)",All_Questions_Q5_F_V="",ISBLANK(All_Questions_Q5_F_V)),1,IFERROR(IF(ISNUMBER(SEARCH("|"&amp;INDEX(INDIRECT(All_Questions_Q5_F_resolved_column),147)&amp;"|",All_Questions_Q5_F_wrapped)),1,0),0))*1</f>
        <v>1</v>
      </c>
    </row>
    <row r="149">
      <c r="A149" t="n">
        <v>148</v>
      </c>
      <c r="F149">
        <f>1</f>
        <v>1</v>
      </c>
      <c r="G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H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I149">
        <f>G149*H149*1</f>
        <v>1</v>
      </c>
      <c r="J149">
        <f>1</f>
        <v>1</v>
      </c>
      <c r="K149">
        <f>IF(OR(All_Questions_Q4_F_Q="(None)",All_Questions_Q4_F_Q="",ISBLANK(All_Questions_Q4_F_Q),All_Questions_Q4_F_V="(All)",All_Questions_Q4_F_V="",ISBLANK(All_Questions_Q4_F_V)),1,IFERROR(IF(ISNUMBER(SEARCH("|"&amp;INDEX(INDIRECT(All_Questions_Q4_F_resolved_column),148)&amp;"|",All_Questions_Q4_F_wrapped)),1,0),0))*1</f>
        <v>1</v>
      </c>
      <c r="L149">
        <f>IF(OR(All_Questions_Q5_F_Q="(None)",All_Questions_Q5_F_Q="",ISBLANK(All_Questions_Q5_F_Q),All_Questions_Q5_F_V="(All)",All_Questions_Q5_F_V="",ISBLANK(All_Questions_Q5_F_V)),1,IFERROR(IF(ISNUMBER(SEARCH("|"&amp;INDEX(INDIRECT(All_Questions_Q5_F_resolved_column),148)&amp;"|",All_Questions_Q5_F_wrapped)),1,0),0))*1</f>
        <v>1</v>
      </c>
    </row>
    <row r="150">
      <c r="A150" t="n">
        <v>149</v>
      </c>
      <c r="F150">
        <f>1</f>
        <v>1</v>
      </c>
      <c r="G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H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I150">
        <f>G150*H150*1</f>
        <v>1</v>
      </c>
      <c r="J150">
        <f>1</f>
        <v>1</v>
      </c>
      <c r="K150">
        <f>IF(OR(All_Questions_Q4_F_Q="(None)",All_Questions_Q4_F_Q="",ISBLANK(All_Questions_Q4_F_Q),All_Questions_Q4_F_V="(All)",All_Questions_Q4_F_V="",ISBLANK(All_Questions_Q4_F_V)),1,IFERROR(IF(ISNUMBER(SEARCH("|"&amp;INDEX(INDIRECT(All_Questions_Q4_F_resolved_column),149)&amp;"|",All_Questions_Q4_F_wrapped)),1,0),0))*1</f>
        <v>1</v>
      </c>
      <c r="L150">
        <f>IF(OR(All_Questions_Q5_F_Q="(None)",All_Questions_Q5_F_Q="",ISBLANK(All_Questions_Q5_F_Q),All_Questions_Q5_F_V="(All)",All_Questions_Q5_F_V="",ISBLANK(All_Questions_Q5_F_V)),1,IFERROR(IF(ISNUMBER(SEARCH("|"&amp;INDEX(INDIRECT(All_Questions_Q5_F_resolved_column),149)&amp;"|",All_Questions_Q5_F_wrapped)),1,0),0))*1</f>
        <v>1</v>
      </c>
    </row>
    <row r="151">
      <c r="A151" t="n">
        <v>150</v>
      </c>
      <c r="F151">
        <f>1</f>
        <v>1</v>
      </c>
      <c r="G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H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I151">
        <f>G151*H151*1</f>
        <v>1</v>
      </c>
      <c r="J151">
        <f>1</f>
        <v>1</v>
      </c>
      <c r="K151">
        <f>IF(OR(All_Questions_Q4_F_Q="(None)",All_Questions_Q4_F_Q="",ISBLANK(All_Questions_Q4_F_Q),All_Questions_Q4_F_V="(All)",All_Questions_Q4_F_V="",ISBLANK(All_Questions_Q4_F_V)),1,IFERROR(IF(ISNUMBER(SEARCH("|"&amp;INDEX(INDIRECT(All_Questions_Q4_F_resolved_column),150)&amp;"|",All_Questions_Q4_F_wrapped)),1,0),0))*1</f>
        <v>1</v>
      </c>
      <c r="L151">
        <f>IF(OR(All_Questions_Q5_F_Q="(None)",All_Questions_Q5_F_Q="",ISBLANK(All_Questions_Q5_F_Q),All_Questions_Q5_F_V="(All)",All_Questions_Q5_F_V="",ISBLANK(All_Questions_Q5_F_V)),1,IFERROR(IF(ISNUMBER(SEARCH("|"&amp;INDEX(INDIRECT(All_Questions_Q5_F_resolved_column),150)&amp;"|",All_Questions_Q5_F_wrapped)),1,0),0))*1</f>
        <v>1</v>
      </c>
    </row>
    <row r="152">
      <c r="A152" t="n">
        <v>151</v>
      </c>
      <c r="F152">
        <f>1</f>
        <v>1</v>
      </c>
      <c r="G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H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I152">
        <f>G152*H152*1</f>
        <v>1</v>
      </c>
      <c r="J152">
        <f>1</f>
        <v>1</v>
      </c>
      <c r="K152">
        <f>IF(OR(All_Questions_Q4_F_Q="(None)",All_Questions_Q4_F_Q="",ISBLANK(All_Questions_Q4_F_Q),All_Questions_Q4_F_V="(All)",All_Questions_Q4_F_V="",ISBLANK(All_Questions_Q4_F_V)),1,IFERROR(IF(ISNUMBER(SEARCH("|"&amp;INDEX(INDIRECT(All_Questions_Q4_F_resolved_column),151)&amp;"|",All_Questions_Q4_F_wrapped)),1,0),0))*1</f>
        <v>1</v>
      </c>
      <c r="L152">
        <f>IF(OR(All_Questions_Q5_F_Q="(None)",All_Questions_Q5_F_Q="",ISBLANK(All_Questions_Q5_F_Q),All_Questions_Q5_F_V="(All)",All_Questions_Q5_F_V="",ISBLANK(All_Questions_Q5_F_V)),1,IFERROR(IF(ISNUMBER(SEARCH("|"&amp;INDEX(INDIRECT(All_Questions_Q5_F_resolved_column),151)&amp;"|",All_Questions_Q5_F_wrapped)),1,0),0))*1</f>
        <v>1</v>
      </c>
    </row>
    <row r="153">
      <c r="A153" t="n">
        <v>152</v>
      </c>
      <c r="F153">
        <f>1</f>
        <v>1</v>
      </c>
      <c r="G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H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I153">
        <f>G153*H153*1</f>
        <v>1</v>
      </c>
      <c r="J153">
        <f>1</f>
        <v>1</v>
      </c>
      <c r="K153">
        <f>IF(OR(All_Questions_Q4_F_Q="(None)",All_Questions_Q4_F_Q="",ISBLANK(All_Questions_Q4_F_Q),All_Questions_Q4_F_V="(All)",All_Questions_Q4_F_V="",ISBLANK(All_Questions_Q4_F_V)),1,IFERROR(IF(ISNUMBER(SEARCH("|"&amp;INDEX(INDIRECT(All_Questions_Q4_F_resolved_column),152)&amp;"|",All_Questions_Q4_F_wrapped)),1,0),0))*1</f>
        <v>1</v>
      </c>
      <c r="L153">
        <f>IF(OR(All_Questions_Q5_F_Q="(None)",All_Questions_Q5_F_Q="",ISBLANK(All_Questions_Q5_F_Q),All_Questions_Q5_F_V="(All)",All_Questions_Q5_F_V="",ISBLANK(All_Questions_Q5_F_V)),1,IFERROR(IF(ISNUMBER(SEARCH("|"&amp;INDEX(INDIRECT(All_Questions_Q5_F_resolved_column),152)&amp;"|",All_Questions_Q5_F_wrapped)),1,0),0))*1</f>
        <v>1</v>
      </c>
    </row>
    <row r="154">
      <c r="A154" t="n">
        <v>153</v>
      </c>
      <c r="F154">
        <f>1</f>
        <v>1</v>
      </c>
      <c r="G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H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I154">
        <f>G154*H154*1</f>
        <v>1</v>
      </c>
      <c r="J154">
        <f>1</f>
        <v>1</v>
      </c>
      <c r="K154">
        <f>IF(OR(All_Questions_Q4_F_Q="(None)",All_Questions_Q4_F_Q="",ISBLANK(All_Questions_Q4_F_Q),All_Questions_Q4_F_V="(All)",All_Questions_Q4_F_V="",ISBLANK(All_Questions_Q4_F_V)),1,IFERROR(IF(ISNUMBER(SEARCH("|"&amp;INDEX(INDIRECT(All_Questions_Q4_F_resolved_column),153)&amp;"|",All_Questions_Q4_F_wrapped)),1,0),0))*1</f>
        <v>1</v>
      </c>
      <c r="L154">
        <f>IF(OR(All_Questions_Q5_F_Q="(None)",All_Questions_Q5_F_Q="",ISBLANK(All_Questions_Q5_F_Q),All_Questions_Q5_F_V="(All)",All_Questions_Q5_F_V="",ISBLANK(All_Questions_Q5_F_V)),1,IFERROR(IF(ISNUMBER(SEARCH("|"&amp;INDEX(INDIRECT(All_Questions_Q5_F_resolved_column),153)&amp;"|",All_Questions_Q5_F_wrapped)),1,0),0))*1</f>
        <v>1</v>
      </c>
    </row>
    <row r="155">
      <c r="A155" t="n">
        <v>154</v>
      </c>
      <c r="F155">
        <f>1</f>
        <v>1</v>
      </c>
      <c r="G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H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I155">
        <f>G155*H155*1</f>
        <v>1</v>
      </c>
      <c r="J155">
        <f>1</f>
        <v>1</v>
      </c>
      <c r="K155">
        <f>IF(OR(All_Questions_Q4_F_Q="(None)",All_Questions_Q4_F_Q="",ISBLANK(All_Questions_Q4_F_Q),All_Questions_Q4_F_V="(All)",All_Questions_Q4_F_V="",ISBLANK(All_Questions_Q4_F_V)),1,IFERROR(IF(ISNUMBER(SEARCH("|"&amp;INDEX(INDIRECT(All_Questions_Q4_F_resolved_column),154)&amp;"|",All_Questions_Q4_F_wrapped)),1,0),0))*1</f>
        <v>1</v>
      </c>
      <c r="L155">
        <f>IF(OR(All_Questions_Q5_F_Q="(None)",All_Questions_Q5_F_Q="",ISBLANK(All_Questions_Q5_F_Q),All_Questions_Q5_F_V="(All)",All_Questions_Q5_F_V="",ISBLANK(All_Questions_Q5_F_V)),1,IFERROR(IF(ISNUMBER(SEARCH("|"&amp;INDEX(INDIRECT(All_Questions_Q5_F_resolved_column),154)&amp;"|",All_Questions_Q5_F_wrapped)),1,0),0))*1</f>
        <v>1</v>
      </c>
    </row>
    <row r="156">
      <c r="A156" t="n">
        <v>155</v>
      </c>
      <c r="F156">
        <f>1</f>
        <v>1</v>
      </c>
      <c r="G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H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I156">
        <f>G156*H156*1</f>
        <v>1</v>
      </c>
      <c r="J156">
        <f>1</f>
        <v>1</v>
      </c>
      <c r="K156">
        <f>IF(OR(All_Questions_Q4_F_Q="(None)",All_Questions_Q4_F_Q="",ISBLANK(All_Questions_Q4_F_Q),All_Questions_Q4_F_V="(All)",All_Questions_Q4_F_V="",ISBLANK(All_Questions_Q4_F_V)),1,IFERROR(IF(ISNUMBER(SEARCH("|"&amp;INDEX(INDIRECT(All_Questions_Q4_F_resolved_column),155)&amp;"|",All_Questions_Q4_F_wrapped)),1,0),0))*1</f>
        <v>1</v>
      </c>
      <c r="L156">
        <f>IF(OR(All_Questions_Q5_F_Q="(None)",All_Questions_Q5_F_Q="",ISBLANK(All_Questions_Q5_F_Q),All_Questions_Q5_F_V="(All)",All_Questions_Q5_F_V="",ISBLANK(All_Questions_Q5_F_V)),1,IFERROR(IF(ISNUMBER(SEARCH("|"&amp;INDEX(INDIRECT(All_Questions_Q5_F_resolved_column),155)&amp;"|",All_Questions_Q5_F_wrapped)),1,0),0))*1</f>
        <v>1</v>
      </c>
    </row>
    <row r="157">
      <c r="A157" t="n">
        <v>156</v>
      </c>
      <c r="F157">
        <f>1</f>
        <v>1</v>
      </c>
      <c r="G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H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I157">
        <f>G157*H157*1</f>
        <v>1</v>
      </c>
      <c r="J157">
        <f>1</f>
        <v>1</v>
      </c>
      <c r="K157">
        <f>IF(OR(All_Questions_Q4_F_Q="(None)",All_Questions_Q4_F_Q="",ISBLANK(All_Questions_Q4_F_Q),All_Questions_Q4_F_V="(All)",All_Questions_Q4_F_V="",ISBLANK(All_Questions_Q4_F_V)),1,IFERROR(IF(ISNUMBER(SEARCH("|"&amp;INDEX(INDIRECT(All_Questions_Q4_F_resolved_column),156)&amp;"|",All_Questions_Q4_F_wrapped)),1,0),0))*1</f>
        <v>1</v>
      </c>
      <c r="L157">
        <f>IF(OR(All_Questions_Q5_F_Q="(None)",All_Questions_Q5_F_Q="",ISBLANK(All_Questions_Q5_F_Q),All_Questions_Q5_F_V="(All)",All_Questions_Q5_F_V="",ISBLANK(All_Questions_Q5_F_V)),1,IFERROR(IF(ISNUMBER(SEARCH("|"&amp;INDEX(INDIRECT(All_Questions_Q5_F_resolved_column),156)&amp;"|",All_Questions_Q5_F_wrapped)),1,0),0))*1</f>
        <v>1</v>
      </c>
    </row>
    <row r="158">
      <c r="A158" t="n">
        <v>157</v>
      </c>
      <c r="F158">
        <f>1</f>
        <v>1</v>
      </c>
      <c r="G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H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I158">
        <f>G158*H158*1</f>
        <v>1</v>
      </c>
      <c r="J158">
        <f>1</f>
        <v>1</v>
      </c>
      <c r="K158">
        <f>IF(OR(All_Questions_Q4_F_Q="(None)",All_Questions_Q4_F_Q="",ISBLANK(All_Questions_Q4_F_Q),All_Questions_Q4_F_V="(All)",All_Questions_Q4_F_V="",ISBLANK(All_Questions_Q4_F_V)),1,IFERROR(IF(ISNUMBER(SEARCH("|"&amp;INDEX(INDIRECT(All_Questions_Q4_F_resolved_column),157)&amp;"|",All_Questions_Q4_F_wrapped)),1,0),0))*1</f>
        <v>1</v>
      </c>
      <c r="L158">
        <f>IF(OR(All_Questions_Q5_F_Q="(None)",All_Questions_Q5_F_Q="",ISBLANK(All_Questions_Q5_F_Q),All_Questions_Q5_F_V="(All)",All_Questions_Q5_F_V="",ISBLANK(All_Questions_Q5_F_V)),1,IFERROR(IF(ISNUMBER(SEARCH("|"&amp;INDEX(INDIRECT(All_Questions_Q5_F_resolved_column),157)&amp;"|",All_Questions_Q5_F_wrapped)),1,0),0))*1</f>
        <v>1</v>
      </c>
    </row>
    <row r="159">
      <c r="A159" t="n">
        <v>158</v>
      </c>
      <c r="F159">
        <f>1</f>
        <v>1</v>
      </c>
      <c r="G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H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I159">
        <f>G159*H159*1</f>
        <v>1</v>
      </c>
      <c r="J159">
        <f>1</f>
        <v>1</v>
      </c>
      <c r="K159">
        <f>IF(OR(All_Questions_Q4_F_Q="(None)",All_Questions_Q4_F_Q="",ISBLANK(All_Questions_Q4_F_Q),All_Questions_Q4_F_V="(All)",All_Questions_Q4_F_V="",ISBLANK(All_Questions_Q4_F_V)),1,IFERROR(IF(ISNUMBER(SEARCH("|"&amp;INDEX(INDIRECT(All_Questions_Q4_F_resolved_column),158)&amp;"|",All_Questions_Q4_F_wrapped)),1,0),0))*1</f>
        <v>1</v>
      </c>
      <c r="L159">
        <f>IF(OR(All_Questions_Q5_F_Q="(None)",All_Questions_Q5_F_Q="",ISBLANK(All_Questions_Q5_F_Q),All_Questions_Q5_F_V="(All)",All_Questions_Q5_F_V="",ISBLANK(All_Questions_Q5_F_V)),1,IFERROR(IF(ISNUMBER(SEARCH("|"&amp;INDEX(INDIRECT(All_Questions_Q5_F_resolved_column),158)&amp;"|",All_Questions_Q5_F_wrapped)),1,0),0))*1</f>
        <v>1</v>
      </c>
    </row>
    <row r="160">
      <c r="A160" t="n">
        <v>159</v>
      </c>
      <c r="F160">
        <f>1</f>
        <v>1</v>
      </c>
      <c r="G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H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I160">
        <f>G160*H160*1</f>
        <v>1</v>
      </c>
      <c r="J160">
        <f>1</f>
        <v>1</v>
      </c>
      <c r="K160">
        <f>IF(OR(All_Questions_Q4_F_Q="(None)",All_Questions_Q4_F_Q="",ISBLANK(All_Questions_Q4_F_Q),All_Questions_Q4_F_V="(All)",All_Questions_Q4_F_V="",ISBLANK(All_Questions_Q4_F_V)),1,IFERROR(IF(ISNUMBER(SEARCH("|"&amp;INDEX(INDIRECT(All_Questions_Q4_F_resolved_column),159)&amp;"|",All_Questions_Q4_F_wrapped)),1,0),0))*1</f>
        <v>1</v>
      </c>
      <c r="L160">
        <f>IF(OR(All_Questions_Q5_F_Q="(None)",All_Questions_Q5_F_Q="",ISBLANK(All_Questions_Q5_F_Q),All_Questions_Q5_F_V="(All)",All_Questions_Q5_F_V="",ISBLANK(All_Questions_Q5_F_V)),1,IFERROR(IF(ISNUMBER(SEARCH("|"&amp;INDEX(INDIRECT(All_Questions_Q5_F_resolved_column),159)&amp;"|",All_Questions_Q5_F_wrapped)),1,0),0))*1</f>
        <v>1</v>
      </c>
    </row>
    <row r="161">
      <c r="A161" t="n">
        <v>160</v>
      </c>
      <c r="F161">
        <f>1</f>
        <v>1</v>
      </c>
      <c r="G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H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I161">
        <f>G161*H161*1</f>
        <v>1</v>
      </c>
      <c r="J161">
        <f>1</f>
        <v>1</v>
      </c>
      <c r="K161">
        <f>IF(OR(All_Questions_Q4_F_Q="(None)",All_Questions_Q4_F_Q="",ISBLANK(All_Questions_Q4_F_Q),All_Questions_Q4_F_V="(All)",All_Questions_Q4_F_V="",ISBLANK(All_Questions_Q4_F_V)),1,IFERROR(IF(ISNUMBER(SEARCH("|"&amp;INDEX(INDIRECT(All_Questions_Q4_F_resolved_column),160)&amp;"|",All_Questions_Q4_F_wrapped)),1,0),0))*1</f>
        <v>1</v>
      </c>
      <c r="L161">
        <f>IF(OR(All_Questions_Q5_F_Q="(None)",All_Questions_Q5_F_Q="",ISBLANK(All_Questions_Q5_F_Q),All_Questions_Q5_F_V="(All)",All_Questions_Q5_F_V="",ISBLANK(All_Questions_Q5_F_V)),1,IFERROR(IF(ISNUMBER(SEARCH("|"&amp;INDEX(INDIRECT(All_Questions_Q5_F_resolved_column),160)&amp;"|",All_Questions_Q5_F_wrapped)),1,0),0))*1</f>
        <v>1</v>
      </c>
    </row>
    <row r="162">
      <c r="A162" t="n">
        <v>161</v>
      </c>
      <c r="F162">
        <f>1</f>
        <v>1</v>
      </c>
      <c r="G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H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I162">
        <f>G162*H162*1</f>
        <v>1</v>
      </c>
      <c r="J162">
        <f>1</f>
        <v>1</v>
      </c>
      <c r="K162">
        <f>IF(OR(All_Questions_Q4_F_Q="(None)",All_Questions_Q4_F_Q="",ISBLANK(All_Questions_Q4_F_Q),All_Questions_Q4_F_V="(All)",All_Questions_Q4_F_V="",ISBLANK(All_Questions_Q4_F_V)),1,IFERROR(IF(ISNUMBER(SEARCH("|"&amp;INDEX(INDIRECT(All_Questions_Q4_F_resolved_column),161)&amp;"|",All_Questions_Q4_F_wrapped)),1,0),0))*1</f>
        <v>1</v>
      </c>
      <c r="L162">
        <f>IF(OR(All_Questions_Q5_F_Q="(None)",All_Questions_Q5_F_Q="",ISBLANK(All_Questions_Q5_F_Q),All_Questions_Q5_F_V="(All)",All_Questions_Q5_F_V="",ISBLANK(All_Questions_Q5_F_V)),1,IFERROR(IF(ISNUMBER(SEARCH("|"&amp;INDEX(INDIRECT(All_Questions_Q5_F_resolved_column),161)&amp;"|",All_Questions_Q5_F_wrapped)),1,0),0))*1</f>
        <v>1</v>
      </c>
    </row>
    <row r="163">
      <c r="A163" t="n">
        <v>162</v>
      </c>
      <c r="F163">
        <f>1</f>
        <v>1</v>
      </c>
      <c r="G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H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I163">
        <f>G163*H163*1</f>
        <v>1</v>
      </c>
      <c r="J163">
        <f>1</f>
        <v>1</v>
      </c>
      <c r="K163">
        <f>IF(OR(All_Questions_Q4_F_Q="(None)",All_Questions_Q4_F_Q="",ISBLANK(All_Questions_Q4_F_Q),All_Questions_Q4_F_V="(All)",All_Questions_Q4_F_V="",ISBLANK(All_Questions_Q4_F_V)),1,IFERROR(IF(ISNUMBER(SEARCH("|"&amp;INDEX(INDIRECT(All_Questions_Q4_F_resolved_column),162)&amp;"|",All_Questions_Q4_F_wrapped)),1,0),0))*1</f>
        <v>1</v>
      </c>
      <c r="L163">
        <f>IF(OR(All_Questions_Q5_F_Q="(None)",All_Questions_Q5_F_Q="",ISBLANK(All_Questions_Q5_F_Q),All_Questions_Q5_F_V="(All)",All_Questions_Q5_F_V="",ISBLANK(All_Questions_Q5_F_V)),1,IFERROR(IF(ISNUMBER(SEARCH("|"&amp;INDEX(INDIRECT(All_Questions_Q5_F_resolved_column),162)&amp;"|",All_Questions_Q5_F_wrapped)),1,0),0))*1</f>
        <v>1</v>
      </c>
    </row>
    <row r="164">
      <c r="A164" t="n">
        <v>163</v>
      </c>
      <c r="F164">
        <f>1</f>
        <v>1</v>
      </c>
      <c r="G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H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I164">
        <f>G164*H164*1</f>
        <v>1</v>
      </c>
      <c r="J164">
        <f>1</f>
        <v>1</v>
      </c>
      <c r="K164">
        <f>IF(OR(All_Questions_Q4_F_Q="(None)",All_Questions_Q4_F_Q="",ISBLANK(All_Questions_Q4_F_Q),All_Questions_Q4_F_V="(All)",All_Questions_Q4_F_V="",ISBLANK(All_Questions_Q4_F_V)),1,IFERROR(IF(ISNUMBER(SEARCH("|"&amp;INDEX(INDIRECT(All_Questions_Q4_F_resolved_column),163)&amp;"|",All_Questions_Q4_F_wrapped)),1,0),0))*1</f>
        <v>1</v>
      </c>
      <c r="L164">
        <f>IF(OR(All_Questions_Q5_F_Q="(None)",All_Questions_Q5_F_Q="",ISBLANK(All_Questions_Q5_F_Q),All_Questions_Q5_F_V="(All)",All_Questions_Q5_F_V="",ISBLANK(All_Questions_Q5_F_V)),1,IFERROR(IF(ISNUMBER(SEARCH("|"&amp;INDEX(INDIRECT(All_Questions_Q5_F_resolved_column),163)&amp;"|",All_Questions_Q5_F_wrapped)),1,0),0))*1</f>
        <v>1</v>
      </c>
    </row>
    <row r="165">
      <c r="A165" t="n">
        <v>164</v>
      </c>
      <c r="F165">
        <f>1</f>
        <v>1</v>
      </c>
      <c r="G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H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I165">
        <f>G165*H165*1</f>
        <v>1</v>
      </c>
      <c r="J165">
        <f>1</f>
        <v>1</v>
      </c>
      <c r="K165">
        <f>IF(OR(All_Questions_Q4_F_Q="(None)",All_Questions_Q4_F_Q="",ISBLANK(All_Questions_Q4_F_Q),All_Questions_Q4_F_V="(All)",All_Questions_Q4_F_V="",ISBLANK(All_Questions_Q4_F_V)),1,IFERROR(IF(ISNUMBER(SEARCH("|"&amp;INDEX(INDIRECT(All_Questions_Q4_F_resolved_column),164)&amp;"|",All_Questions_Q4_F_wrapped)),1,0),0))*1</f>
        <v>1</v>
      </c>
      <c r="L165">
        <f>IF(OR(All_Questions_Q5_F_Q="(None)",All_Questions_Q5_F_Q="",ISBLANK(All_Questions_Q5_F_Q),All_Questions_Q5_F_V="(All)",All_Questions_Q5_F_V="",ISBLANK(All_Questions_Q5_F_V)),1,IFERROR(IF(ISNUMBER(SEARCH("|"&amp;INDEX(INDIRECT(All_Questions_Q5_F_resolved_column),164)&amp;"|",All_Questions_Q5_F_wrapped)),1,0),0))*1</f>
        <v>1</v>
      </c>
    </row>
    <row r="166">
      <c r="A166" t="n">
        <v>165</v>
      </c>
      <c r="F166">
        <f>1</f>
        <v>1</v>
      </c>
      <c r="G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H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I166">
        <f>G166*H166*1</f>
        <v>1</v>
      </c>
      <c r="J166">
        <f>1</f>
        <v>1</v>
      </c>
      <c r="K166">
        <f>IF(OR(All_Questions_Q4_F_Q="(None)",All_Questions_Q4_F_Q="",ISBLANK(All_Questions_Q4_F_Q),All_Questions_Q4_F_V="(All)",All_Questions_Q4_F_V="",ISBLANK(All_Questions_Q4_F_V)),1,IFERROR(IF(ISNUMBER(SEARCH("|"&amp;INDEX(INDIRECT(All_Questions_Q4_F_resolved_column),165)&amp;"|",All_Questions_Q4_F_wrapped)),1,0),0))*1</f>
        <v>1</v>
      </c>
      <c r="L166">
        <f>IF(OR(All_Questions_Q5_F_Q="(None)",All_Questions_Q5_F_Q="",ISBLANK(All_Questions_Q5_F_Q),All_Questions_Q5_F_V="(All)",All_Questions_Q5_F_V="",ISBLANK(All_Questions_Q5_F_V)),1,IFERROR(IF(ISNUMBER(SEARCH("|"&amp;INDEX(INDIRECT(All_Questions_Q5_F_resolved_column),165)&amp;"|",All_Questions_Q5_F_wrapped)),1,0),0))*1</f>
        <v>1</v>
      </c>
    </row>
    <row r="167">
      <c r="A167" t="n">
        <v>166</v>
      </c>
      <c r="F167">
        <f>1</f>
        <v>1</v>
      </c>
      <c r="G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H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I167">
        <f>G167*H167*1</f>
        <v>1</v>
      </c>
      <c r="J167">
        <f>1</f>
        <v>1</v>
      </c>
      <c r="K167">
        <f>IF(OR(All_Questions_Q4_F_Q="(None)",All_Questions_Q4_F_Q="",ISBLANK(All_Questions_Q4_F_Q),All_Questions_Q4_F_V="(All)",All_Questions_Q4_F_V="",ISBLANK(All_Questions_Q4_F_V)),1,IFERROR(IF(ISNUMBER(SEARCH("|"&amp;INDEX(INDIRECT(All_Questions_Q4_F_resolved_column),166)&amp;"|",All_Questions_Q4_F_wrapped)),1,0),0))*1</f>
        <v>1</v>
      </c>
      <c r="L167">
        <f>IF(OR(All_Questions_Q5_F_Q="(None)",All_Questions_Q5_F_Q="",ISBLANK(All_Questions_Q5_F_Q),All_Questions_Q5_F_V="(All)",All_Questions_Q5_F_V="",ISBLANK(All_Questions_Q5_F_V)),1,IFERROR(IF(ISNUMBER(SEARCH("|"&amp;INDEX(INDIRECT(All_Questions_Q5_F_resolved_column),166)&amp;"|",All_Questions_Q5_F_wrapped)),1,0),0))*1</f>
        <v>1</v>
      </c>
    </row>
    <row r="168">
      <c r="A168" t="n">
        <v>167</v>
      </c>
      <c r="F168">
        <f>1</f>
        <v>1</v>
      </c>
      <c r="G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H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I168">
        <f>G168*H168*1</f>
        <v>1</v>
      </c>
      <c r="J168">
        <f>1</f>
        <v>1</v>
      </c>
      <c r="K168">
        <f>IF(OR(All_Questions_Q4_F_Q="(None)",All_Questions_Q4_F_Q="",ISBLANK(All_Questions_Q4_F_Q),All_Questions_Q4_F_V="(All)",All_Questions_Q4_F_V="",ISBLANK(All_Questions_Q4_F_V)),1,IFERROR(IF(ISNUMBER(SEARCH("|"&amp;INDEX(INDIRECT(All_Questions_Q4_F_resolved_column),167)&amp;"|",All_Questions_Q4_F_wrapped)),1,0),0))*1</f>
        <v>1</v>
      </c>
      <c r="L168">
        <f>IF(OR(All_Questions_Q5_F_Q="(None)",All_Questions_Q5_F_Q="",ISBLANK(All_Questions_Q5_F_Q),All_Questions_Q5_F_V="(All)",All_Questions_Q5_F_V="",ISBLANK(All_Questions_Q5_F_V)),1,IFERROR(IF(ISNUMBER(SEARCH("|"&amp;INDEX(INDIRECT(All_Questions_Q5_F_resolved_column),167)&amp;"|",All_Questions_Q5_F_wrapped)),1,0),0))*1</f>
        <v>1</v>
      </c>
    </row>
    <row r="169">
      <c r="A169" t="n">
        <v>168</v>
      </c>
      <c r="F169">
        <f>1</f>
        <v>1</v>
      </c>
      <c r="G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H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I169">
        <f>G169*H169*1</f>
        <v>1</v>
      </c>
      <c r="J169">
        <f>1</f>
        <v>1</v>
      </c>
      <c r="K169">
        <f>IF(OR(All_Questions_Q4_F_Q="(None)",All_Questions_Q4_F_Q="",ISBLANK(All_Questions_Q4_F_Q),All_Questions_Q4_F_V="(All)",All_Questions_Q4_F_V="",ISBLANK(All_Questions_Q4_F_V)),1,IFERROR(IF(ISNUMBER(SEARCH("|"&amp;INDEX(INDIRECT(All_Questions_Q4_F_resolved_column),168)&amp;"|",All_Questions_Q4_F_wrapped)),1,0),0))*1</f>
        <v>1</v>
      </c>
      <c r="L169">
        <f>IF(OR(All_Questions_Q5_F_Q="(None)",All_Questions_Q5_F_Q="",ISBLANK(All_Questions_Q5_F_Q),All_Questions_Q5_F_V="(All)",All_Questions_Q5_F_V="",ISBLANK(All_Questions_Q5_F_V)),1,IFERROR(IF(ISNUMBER(SEARCH("|"&amp;INDEX(INDIRECT(All_Questions_Q5_F_resolved_column),168)&amp;"|",All_Questions_Q5_F_wrapped)),1,0),0))*1</f>
        <v>1</v>
      </c>
    </row>
    <row r="170">
      <c r="A170" t="n">
        <v>169</v>
      </c>
      <c r="F170">
        <f>1</f>
        <v>1</v>
      </c>
      <c r="G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H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I170">
        <f>G170*H170*1</f>
        <v>1</v>
      </c>
      <c r="J170">
        <f>1</f>
        <v>1</v>
      </c>
      <c r="K170">
        <f>IF(OR(All_Questions_Q4_F_Q="(None)",All_Questions_Q4_F_Q="",ISBLANK(All_Questions_Q4_F_Q),All_Questions_Q4_F_V="(All)",All_Questions_Q4_F_V="",ISBLANK(All_Questions_Q4_F_V)),1,IFERROR(IF(ISNUMBER(SEARCH("|"&amp;INDEX(INDIRECT(All_Questions_Q4_F_resolved_column),169)&amp;"|",All_Questions_Q4_F_wrapped)),1,0),0))*1</f>
        <v>1</v>
      </c>
      <c r="L170">
        <f>IF(OR(All_Questions_Q5_F_Q="(None)",All_Questions_Q5_F_Q="",ISBLANK(All_Questions_Q5_F_Q),All_Questions_Q5_F_V="(All)",All_Questions_Q5_F_V="",ISBLANK(All_Questions_Q5_F_V)),1,IFERROR(IF(ISNUMBER(SEARCH("|"&amp;INDEX(INDIRECT(All_Questions_Q5_F_resolved_column),169)&amp;"|",All_Questions_Q5_F_wrapped)),1,0),0))*1</f>
        <v>1</v>
      </c>
    </row>
    <row r="171">
      <c r="A171" t="n">
        <v>170</v>
      </c>
      <c r="F171">
        <f>1</f>
        <v>1</v>
      </c>
      <c r="G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H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I171">
        <f>G171*H171*1</f>
        <v>1</v>
      </c>
      <c r="J171">
        <f>1</f>
        <v>1</v>
      </c>
      <c r="K171">
        <f>IF(OR(All_Questions_Q4_F_Q="(None)",All_Questions_Q4_F_Q="",ISBLANK(All_Questions_Q4_F_Q),All_Questions_Q4_F_V="(All)",All_Questions_Q4_F_V="",ISBLANK(All_Questions_Q4_F_V)),1,IFERROR(IF(ISNUMBER(SEARCH("|"&amp;INDEX(INDIRECT(All_Questions_Q4_F_resolved_column),170)&amp;"|",All_Questions_Q4_F_wrapped)),1,0),0))*1</f>
        <v>1</v>
      </c>
      <c r="L171">
        <f>IF(OR(All_Questions_Q5_F_Q="(None)",All_Questions_Q5_F_Q="",ISBLANK(All_Questions_Q5_F_Q),All_Questions_Q5_F_V="(All)",All_Questions_Q5_F_V="",ISBLANK(All_Questions_Q5_F_V)),1,IFERROR(IF(ISNUMBER(SEARCH("|"&amp;INDEX(INDIRECT(All_Questions_Q5_F_resolved_column),170)&amp;"|",All_Questions_Q5_F_wrapped)),1,0),0))*1</f>
        <v>1</v>
      </c>
    </row>
    <row r="172">
      <c r="A172" t="n">
        <v>171</v>
      </c>
      <c r="F172">
        <f>1</f>
        <v>1</v>
      </c>
      <c r="G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H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I172">
        <f>G172*H172*1</f>
        <v>1</v>
      </c>
      <c r="J172">
        <f>1</f>
        <v>1</v>
      </c>
      <c r="K172">
        <f>IF(OR(All_Questions_Q4_F_Q="(None)",All_Questions_Q4_F_Q="",ISBLANK(All_Questions_Q4_F_Q),All_Questions_Q4_F_V="(All)",All_Questions_Q4_F_V="",ISBLANK(All_Questions_Q4_F_V)),1,IFERROR(IF(ISNUMBER(SEARCH("|"&amp;INDEX(INDIRECT(All_Questions_Q4_F_resolved_column),171)&amp;"|",All_Questions_Q4_F_wrapped)),1,0),0))*1</f>
        <v>1</v>
      </c>
      <c r="L172">
        <f>IF(OR(All_Questions_Q5_F_Q="(None)",All_Questions_Q5_F_Q="",ISBLANK(All_Questions_Q5_F_Q),All_Questions_Q5_F_V="(All)",All_Questions_Q5_F_V="",ISBLANK(All_Questions_Q5_F_V)),1,IFERROR(IF(ISNUMBER(SEARCH("|"&amp;INDEX(INDIRECT(All_Questions_Q5_F_resolved_column),171)&amp;"|",All_Questions_Q5_F_wrapped)),1,0),0))*1</f>
        <v>1</v>
      </c>
    </row>
    <row r="173">
      <c r="A173" t="n">
        <v>172</v>
      </c>
      <c r="F173">
        <f>1</f>
        <v>1</v>
      </c>
      <c r="G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H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I173">
        <f>G173*H173*1</f>
        <v>1</v>
      </c>
      <c r="J173">
        <f>1</f>
        <v>1</v>
      </c>
      <c r="K173">
        <f>IF(OR(All_Questions_Q4_F_Q="(None)",All_Questions_Q4_F_Q="",ISBLANK(All_Questions_Q4_F_Q),All_Questions_Q4_F_V="(All)",All_Questions_Q4_F_V="",ISBLANK(All_Questions_Q4_F_V)),1,IFERROR(IF(ISNUMBER(SEARCH("|"&amp;INDEX(INDIRECT(All_Questions_Q4_F_resolved_column),172)&amp;"|",All_Questions_Q4_F_wrapped)),1,0),0))*1</f>
        <v>1</v>
      </c>
      <c r="L173">
        <f>IF(OR(All_Questions_Q5_F_Q="(None)",All_Questions_Q5_F_Q="",ISBLANK(All_Questions_Q5_F_Q),All_Questions_Q5_F_V="(All)",All_Questions_Q5_F_V="",ISBLANK(All_Questions_Q5_F_V)),1,IFERROR(IF(ISNUMBER(SEARCH("|"&amp;INDEX(INDIRECT(All_Questions_Q5_F_resolved_column),172)&amp;"|",All_Questions_Q5_F_wrapped)),1,0),0))*1</f>
        <v>1</v>
      </c>
    </row>
    <row r="174">
      <c r="A174" t="n">
        <v>173</v>
      </c>
      <c r="F174">
        <f>1</f>
        <v>1</v>
      </c>
      <c r="G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H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I174">
        <f>G174*H174*1</f>
        <v>1</v>
      </c>
      <c r="J174">
        <f>1</f>
        <v>1</v>
      </c>
      <c r="K174">
        <f>IF(OR(All_Questions_Q4_F_Q="(None)",All_Questions_Q4_F_Q="",ISBLANK(All_Questions_Q4_F_Q),All_Questions_Q4_F_V="(All)",All_Questions_Q4_F_V="",ISBLANK(All_Questions_Q4_F_V)),1,IFERROR(IF(ISNUMBER(SEARCH("|"&amp;INDEX(INDIRECT(All_Questions_Q4_F_resolved_column),173)&amp;"|",All_Questions_Q4_F_wrapped)),1,0),0))*1</f>
        <v>1</v>
      </c>
      <c r="L174">
        <f>IF(OR(All_Questions_Q5_F_Q="(None)",All_Questions_Q5_F_Q="",ISBLANK(All_Questions_Q5_F_Q),All_Questions_Q5_F_V="(All)",All_Questions_Q5_F_V="",ISBLANK(All_Questions_Q5_F_V)),1,IFERROR(IF(ISNUMBER(SEARCH("|"&amp;INDEX(INDIRECT(All_Questions_Q5_F_resolved_column),173)&amp;"|",All_Questions_Q5_F_wrapped)),1,0),0))*1</f>
        <v>1</v>
      </c>
    </row>
    <row r="175">
      <c r="A175" t="n">
        <v>174</v>
      </c>
      <c r="F175">
        <f>1</f>
        <v>1</v>
      </c>
      <c r="G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H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I175">
        <f>G175*H175*1</f>
        <v>1</v>
      </c>
      <c r="J175">
        <f>1</f>
        <v>1</v>
      </c>
      <c r="K175">
        <f>IF(OR(All_Questions_Q4_F_Q="(None)",All_Questions_Q4_F_Q="",ISBLANK(All_Questions_Q4_F_Q),All_Questions_Q4_F_V="(All)",All_Questions_Q4_F_V="",ISBLANK(All_Questions_Q4_F_V)),1,IFERROR(IF(ISNUMBER(SEARCH("|"&amp;INDEX(INDIRECT(All_Questions_Q4_F_resolved_column),174)&amp;"|",All_Questions_Q4_F_wrapped)),1,0),0))*1</f>
        <v>1</v>
      </c>
      <c r="L175">
        <f>IF(OR(All_Questions_Q5_F_Q="(None)",All_Questions_Q5_F_Q="",ISBLANK(All_Questions_Q5_F_Q),All_Questions_Q5_F_V="(All)",All_Questions_Q5_F_V="",ISBLANK(All_Questions_Q5_F_V)),1,IFERROR(IF(ISNUMBER(SEARCH("|"&amp;INDEX(INDIRECT(All_Questions_Q5_F_resolved_column),174)&amp;"|",All_Questions_Q5_F_wrapped)),1,0),0))*1</f>
        <v>1</v>
      </c>
    </row>
    <row r="176">
      <c r="A176" t="n">
        <v>175</v>
      </c>
      <c r="F176">
        <f>1</f>
        <v>1</v>
      </c>
      <c r="G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H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I176">
        <f>G176*H176*1</f>
        <v>1</v>
      </c>
      <c r="J176">
        <f>1</f>
        <v>1</v>
      </c>
      <c r="K176">
        <f>IF(OR(All_Questions_Q4_F_Q="(None)",All_Questions_Q4_F_Q="",ISBLANK(All_Questions_Q4_F_Q),All_Questions_Q4_F_V="(All)",All_Questions_Q4_F_V="",ISBLANK(All_Questions_Q4_F_V)),1,IFERROR(IF(ISNUMBER(SEARCH("|"&amp;INDEX(INDIRECT(All_Questions_Q4_F_resolved_column),175)&amp;"|",All_Questions_Q4_F_wrapped)),1,0),0))*1</f>
        <v>1</v>
      </c>
      <c r="L176">
        <f>IF(OR(All_Questions_Q5_F_Q="(None)",All_Questions_Q5_F_Q="",ISBLANK(All_Questions_Q5_F_Q),All_Questions_Q5_F_V="(All)",All_Questions_Q5_F_V="",ISBLANK(All_Questions_Q5_F_V)),1,IFERROR(IF(ISNUMBER(SEARCH("|"&amp;INDEX(INDIRECT(All_Questions_Q5_F_resolved_column),175)&amp;"|",All_Questions_Q5_F_wrapped)),1,0),0))*1</f>
        <v>1</v>
      </c>
    </row>
    <row r="177">
      <c r="A177" t="n">
        <v>176</v>
      </c>
      <c r="F177">
        <f>1</f>
        <v>1</v>
      </c>
      <c r="G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H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I177">
        <f>G177*H177*1</f>
        <v>1</v>
      </c>
      <c r="J177">
        <f>1</f>
        <v>1</v>
      </c>
      <c r="K177">
        <f>IF(OR(All_Questions_Q4_F_Q="(None)",All_Questions_Q4_F_Q="",ISBLANK(All_Questions_Q4_F_Q),All_Questions_Q4_F_V="(All)",All_Questions_Q4_F_V="",ISBLANK(All_Questions_Q4_F_V)),1,IFERROR(IF(ISNUMBER(SEARCH("|"&amp;INDEX(INDIRECT(All_Questions_Q4_F_resolved_column),176)&amp;"|",All_Questions_Q4_F_wrapped)),1,0),0))*1</f>
        <v>1</v>
      </c>
      <c r="L177">
        <f>IF(OR(All_Questions_Q5_F_Q="(None)",All_Questions_Q5_F_Q="",ISBLANK(All_Questions_Q5_F_Q),All_Questions_Q5_F_V="(All)",All_Questions_Q5_F_V="",ISBLANK(All_Questions_Q5_F_V)),1,IFERROR(IF(ISNUMBER(SEARCH("|"&amp;INDEX(INDIRECT(All_Questions_Q5_F_resolved_column),176)&amp;"|",All_Questions_Q5_F_wrapped)),1,0),0))*1</f>
        <v>1</v>
      </c>
    </row>
    <row r="178">
      <c r="A178" t="n">
        <v>177</v>
      </c>
      <c r="F178">
        <f>1</f>
        <v>1</v>
      </c>
      <c r="G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H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I178">
        <f>G178*H178*1</f>
        <v>1</v>
      </c>
      <c r="J178">
        <f>1</f>
        <v>1</v>
      </c>
      <c r="K178">
        <f>IF(OR(All_Questions_Q4_F_Q="(None)",All_Questions_Q4_F_Q="",ISBLANK(All_Questions_Q4_F_Q),All_Questions_Q4_F_V="(All)",All_Questions_Q4_F_V="",ISBLANK(All_Questions_Q4_F_V)),1,IFERROR(IF(ISNUMBER(SEARCH("|"&amp;INDEX(INDIRECT(All_Questions_Q4_F_resolved_column),177)&amp;"|",All_Questions_Q4_F_wrapped)),1,0),0))*1</f>
        <v>1</v>
      </c>
      <c r="L178">
        <f>IF(OR(All_Questions_Q5_F_Q="(None)",All_Questions_Q5_F_Q="",ISBLANK(All_Questions_Q5_F_Q),All_Questions_Q5_F_V="(All)",All_Questions_Q5_F_V="",ISBLANK(All_Questions_Q5_F_V)),1,IFERROR(IF(ISNUMBER(SEARCH("|"&amp;INDEX(INDIRECT(All_Questions_Q5_F_resolved_column),177)&amp;"|",All_Questions_Q5_F_wrapped)),1,0),0))*1</f>
        <v>1</v>
      </c>
    </row>
    <row r="179">
      <c r="A179" t="n">
        <v>178</v>
      </c>
      <c r="F179">
        <f>1</f>
        <v>1</v>
      </c>
      <c r="G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H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I179">
        <f>G179*H179*1</f>
        <v>1</v>
      </c>
      <c r="J179">
        <f>1</f>
        <v>1</v>
      </c>
      <c r="K179">
        <f>IF(OR(All_Questions_Q4_F_Q="(None)",All_Questions_Q4_F_Q="",ISBLANK(All_Questions_Q4_F_Q),All_Questions_Q4_F_V="(All)",All_Questions_Q4_F_V="",ISBLANK(All_Questions_Q4_F_V)),1,IFERROR(IF(ISNUMBER(SEARCH("|"&amp;INDEX(INDIRECT(All_Questions_Q4_F_resolved_column),178)&amp;"|",All_Questions_Q4_F_wrapped)),1,0),0))*1</f>
        <v>1</v>
      </c>
      <c r="L179">
        <f>IF(OR(All_Questions_Q5_F_Q="(None)",All_Questions_Q5_F_Q="",ISBLANK(All_Questions_Q5_F_Q),All_Questions_Q5_F_V="(All)",All_Questions_Q5_F_V="",ISBLANK(All_Questions_Q5_F_V)),1,IFERROR(IF(ISNUMBER(SEARCH("|"&amp;INDEX(INDIRECT(All_Questions_Q5_F_resolved_column),178)&amp;"|",All_Questions_Q5_F_wrapped)),1,0),0))*1</f>
        <v>1</v>
      </c>
    </row>
    <row r="180">
      <c r="A180" t="n">
        <v>179</v>
      </c>
      <c r="F180">
        <f>1</f>
        <v>1</v>
      </c>
      <c r="G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H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I180">
        <f>G180*H180*1</f>
        <v>1</v>
      </c>
      <c r="J180">
        <f>1</f>
        <v>1</v>
      </c>
      <c r="K180">
        <f>IF(OR(All_Questions_Q4_F_Q="(None)",All_Questions_Q4_F_Q="",ISBLANK(All_Questions_Q4_F_Q),All_Questions_Q4_F_V="(All)",All_Questions_Q4_F_V="",ISBLANK(All_Questions_Q4_F_V)),1,IFERROR(IF(ISNUMBER(SEARCH("|"&amp;INDEX(INDIRECT(All_Questions_Q4_F_resolved_column),179)&amp;"|",All_Questions_Q4_F_wrapped)),1,0),0))*1</f>
        <v>1</v>
      </c>
      <c r="L180">
        <f>IF(OR(All_Questions_Q5_F_Q="(None)",All_Questions_Q5_F_Q="",ISBLANK(All_Questions_Q5_F_Q),All_Questions_Q5_F_V="(All)",All_Questions_Q5_F_V="",ISBLANK(All_Questions_Q5_F_V)),1,IFERROR(IF(ISNUMBER(SEARCH("|"&amp;INDEX(INDIRECT(All_Questions_Q5_F_resolved_column),179)&amp;"|",All_Questions_Q5_F_wrapped)),1,0),0))*1</f>
        <v>1</v>
      </c>
    </row>
    <row r="181">
      <c r="A181" t="n">
        <v>180</v>
      </c>
      <c r="F181">
        <f>1</f>
        <v>1</v>
      </c>
      <c r="G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H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I181">
        <f>G181*H181*1</f>
        <v>1</v>
      </c>
      <c r="J181">
        <f>1</f>
        <v>1</v>
      </c>
      <c r="K181">
        <f>IF(OR(All_Questions_Q4_F_Q="(None)",All_Questions_Q4_F_Q="",ISBLANK(All_Questions_Q4_F_Q),All_Questions_Q4_F_V="(All)",All_Questions_Q4_F_V="",ISBLANK(All_Questions_Q4_F_V)),1,IFERROR(IF(ISNUMBER(SEARCH("|"&amp;INDEX(INDIRECT(All_Questions_Q4_F_resolved_column),180)&amp;"|",All_Questions_Q4_F_wrapped)),1,0),0))*1</f>
        <v>1</v>
      </c>
      <c r="L181">
        <f>IF(OR(All_Questions_Q5_F_Q="(None)",All_Questions_Q5_F_Q="",ISBLANK(All_Questions_Q5_F_Q),All_Questions_Q5_F_V="(All)",All_Questions_Q5_F_V="",ISBLANK(All_Questions_Q5_F_V)),1,IFERROR(IF(ISNUMBER(SEARCH("|"&amp;INDEX(INDIRECT(All_Questions_Q5_F_resolved_column),180)&amp;"|",All_Questions_Q5_F_wrapped)),1,0),0))*1</f>
        <v>1</v>
      </c>
    </row>
    <row r="182">
      <c r="A182" t="n">
        <v>181</v>
      </c>
      <c r="F182">
        <f>1</f>
        <v>1</v>
      </c>
      <c r="G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H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I182">
        <f>G182*H182*1</f>
        <v>1</v>
      </c>
      <c r="J182">
        <f>1</f>
        <v>1</v>
      </c>
      <c r="K182">
        <f>IF(OR(All_Questions_Q4_F_Q="(None)",All_Questions_Q4_F_Q="",ISBLANK(All_Questions_Q4_F_Q),All_Questions_Q4_F_V="(All)",All_Questions_Q4_F_V="",ISBLANK(All_Questions_Q4_F_V)),1,IFERROR(IF(ISNUMBER(SEARCH("|"&amp;INDEX(INDIRECT(All_Questions_Q4_F_resolved_column),181)&amp;"|",All_Questions_Q4_F_wrapped)),1,0),0))*1</f>
        <v>1</v>
      </c>
      <c r="L182">
        <f>IF(OR(All_Questions_Q5_F_Q="(None)",All_Questions_Q5_F_Q="",ISBLANK(All_Questions_Q5_F_Q),All_Questions_Q5_F_V="(All)",All_Questions_Q5_F_V="",ISBLANK(All_Questions_Q5_F_V)),1,IFERROR(IF(ISNUMBER(SEARCH("|"&amp;INDEX(INDIRECT(All_Questions_Q5_F_resolved_column),181)&amp;"|",All_Questions_Q5_F_wrapped)),1,0),0))*1</f>
        <v>1</v>
      </c>
    </row>
    <row r="183">
      <c r="A183" t="n">
        <v>182</v>
      </c>
      <c r="F183">
        <f>1</f>
        <v>1</v>
      </c>
      <c r="G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H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I183">
        <f>G183*H183*1</f>
        <v>1</v>
      </c>
      <c r="J183">
        <f>1</f>
        <v>1</v>
      </c>
      <c r="K183">
        <f>IF(OR(All_Questions_Q4_F_Q="(None)",All_Questions_Q4_F_Q="",ISBLANK(All_Questions_Q4_F_Q),All_Questions_Q4_F_V="(All)",All_Questions_Q4_F_V="",ISBLANK(All_Questions_Q4_F_V)),1,IFERROR(IF(ISNUMBER(SEARCH("|"&amp;INDEX(INDIRECT(All_Questions_Q4_F_resolved_column),182)&amp;"|",All_Questions_Q4_F_wrapped)),1,0),0))*1</f>
        <v>1</v>
      </c>
      <c r="L183">
        <f>IF(OR(All_Questions_Q5_F_Q="(None)",All_Questions_Q5_F_Q="",ISBLANK(All_Questions_Q5_F_Q),All_Questions_Q5_F_V="(All)",All_Questions_Q5_F_V="",ISBLANK(All_Questions_Q5_F_V)),1,IFERROR(IF(ISNUMBER(SEARCH("|"&amp;INDEX(INDIRECT(All_Questions_Q5_F_resolved_column),182)&amp;"|",All_Questions_Q5_F_wrapped)),1,0),0))*1</f>
        <v>1</v>
      </c>
    </row>
    <row r="184">
      <c r="A184" t="n">
        <v>183</v>
      </c>
      <c r="F184">
        <f>1</f>
        <v>1</v>
      </c>
      <c r="G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H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I184">
        <f>G184*H184*1</f>
        <v>1</v>
      </c>
      <c r="J184">
        <f>1</f>
        <v>1</v>
      </c>
      <c r="K184">
        <f>IF(OR(All_Questions_Q4_F_Q="(None)",All_Questions_Q4_F_Q="",ISBLANK(All_Questions_Q4_F_Q),All_Questions_Q4_F_V="(All)",All_Questions_Q4_F_V="",ISBLANK(All_Questions_Q4_F_V)),1,IFERROR(IF(ISNUMBER(SEARCH("|"&amp;INDEX(INDIRECT(All_Questions_Q4_F_resolved_column),183)&amp;"|",All_Questions_Q4_F_wrapped)),1,0),0))*1</f>
        <v>1</v>
      </c>
      <c r="L184">
        <f>IF(OR(All_Questions_Q5_F_Q="(None)",All_Questions_Q5_F_Q="",ISBLANK(All_Questions_Q5_F_Q),All_Questions_Q5_F_V="(All)",All_Questions_Q5_F_V="",ISBLANK(All_Questions_Q5_F_V)),1,IFERROR(IF(ISNUMBER(SEARCH("|"&amp;INDEX(INDIRECT(All_Questions_Q5_F_resolved_column),183)&amp;"|",All_Questions_Q5_F_wrapped)),1,0),0))*1</f>
        <v>1</v>
      </c>
    </row>
    <row r="185">
      <c r="A185" t="n">
        <v>184</v>
      </c>
      <c r="F185">
        <f>1</f>
        <v>1</v>
      </c>
      <c r="G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H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I185">
        <f>G185*H185*1</f>
        <v>1</v>
      </c>
      <c r="J185">
        <f>1</f>
        <v>1</v>
      </c>
      <c r="K185">
        <f>IF(OR(All_Questions_Q4_F_Q="(None)",All_Questions_Q4_F_Q="",ISBLANK(All_Questions_Q4_F_Q),All_Questions_Q4_F_V="(All)",All_Questions_Q4_F_V="",ISBLANK(All_Questions_Q4_F_V)),1,IFERROR(IF(ISNUMBER(SEARCH("|"&amp;INDEX(INDIRECT(All_Questions_Q4_F_resolved_column),184)&amp;"|",All_Questions_Q4_F_wrapped)),1,0),0))*1</f>
        <v>1</v>
      </c>
      <c r="L185">
        <f>IF(OR(All_Questions_Q5_F_Q="(None)",All_Questions_Q5_F_Q="",ISBLANK(All_Questions_Q5_F_Q),All_Questions_Q5_F_V="(All)",All_Questions_Q5_F_V="",ISBLANK(All_Questions_Q5_F_V)),1,IFERROR(IF(ISNUMBER(SEARCH("|"&amp;INDEX(INDIRECT(All_Questions_Q5_F_resolved_column),184)&amp;"|",All_Questions_Q5_F_wrapped)),1,0),0))*1</f>
        <v>1</v>
      </c>
    </row>
    <row r="186">
      <c r="A186" t="n">
        <v>185</v>
      </c>
      <c r="F186">
        <f>1</f>
        <v>1</v>
      </c>
      <c r="G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H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I186">
        <f>G186*H186*1</f>
        <v>1</v>
      </c>
      <c r="J186">
        <f>1</f>
        <v>1</v>
      </c>
      <c r="K186">
        <f>IF(OR(All_Questions_Q4_F_Q="(None)",All_Questions_Q4_F_Q="",ISBLANK(All_Questions_Q4_F_Q),All_Questions_Q4_F_V="(All)",All_Questions_Q4_F_V="",ISBLANK(All_Questions_Q4_F_V)),1,IFERROR(IF(ISNUMBER(SEARCH("|"&amp;INDEX(INDIRECT(All_Questions_Q4_F_resolved_column),185)&amp;"|",All_Questions_Q4_F_wrapped)),1,0),0))*1</f>
        <v>1</v>
      </c>
      <c r="L186">
        <f>IF(OR(All_Questions_Q5_F_Q="(None)",All_Questions_Q5_F_Q="",ISBLANK(All_Questions_Q5_F_Q),All_Questions_Q5_F_V="(All)",All_Questions_Q5_F_V="",ISBLANK(All_Questions_Q5_F_V)),1,IFERROR(IF(ISNUMBER(SEARCH("|"&amp;INDEX(INDIRECT(All_Questions_Q5_F_resolved_column),185)&amp;"|",All_Questions_Q5_F_wrapped)),1,0),0))*1</f>
        <v>1</v>
      </c>
    </row>
    <row r="187">
      <c r="A187" t="n">
        <v>186</v>
      </c>
      <c r="F187">
        <f>1</f>
        <v>1</v>
      </c>
      <c r="G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H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I187">
        <f>G187*H187*1</f>
        <v>1</v>
      </c>
      <c r="J187">
        <f>1</f>
        <v>1</v>
      </c>
      <c r="K187">
        <f>IF(OR(All_Questions_Q4_F_Q="(None)",All_Questions_Q4_F_Q="",ISBLANK(All_Questions_Q4_F_Q),All_Questions_Q4_F_V="(All)",All_Questions_Q4_F_V="",ISBLANK(All_Questions_Q4_F_V)),1,IFERROR(IF(ISNUMBER(SEARCH("|"&amp;INDEX(INDIRECT(All_Questions_Q4_F_resolved_column),186)&amp;"|",All_Questions_Q4_F_wrapped)),1,0),0))*1</f>
        <v>1</v>
      </c>
      <c r="L187">
        <f>IF(OR(All_Questions_Q5_F_Q="(None)",All_Questions_Q5_F_Q="",ISBLANK(All_Questions_Q5_F_Q),All_Questions_Q5_F_V="(All)",All_Questions_Q5_F_V="",ISBLANK(All_Questions_Q5_F_V)),1,IFERROR(IF(ISNUMBER(SEARCH("|"&amp;INDEX(INDIRECT(All_Questions_Q5_F_resolved_column),186)&amp;"|",All_Questions_Q5_F_wrapped)),1,0),0))*1</f>
        <v>1</v>
      </c>
    </row>
    <row r="188">
      <c r="A188" t="n">
        <v>187</v>
      </c>
      <c r="F188">
        <f>1</f>
        <v>1</v>
      </c>
      <c r="G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H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I188">
        <f>G188*H188*1</f>
        <v>1</v>
      </c>
      <c r="J188">
        <f>1</f>
        <v>1</v>
      </c>
      <c r="K188">
        <f>IF(OR(All_Questions_Q4_F_Q="(None)",All_Questions_Q4_F_Q="",ISBLANK(All_Questions_Q4_F_Q),All_Questions_Q4_F_V="(All)",All_Questions_Q4_F_V="",ISBLANK(All_Questions_Q4_F_V)),1,IFERROR(IF(ISNUMBER(SEARCH("|"&amp;INDEX(INDIRECT(All_Questions_Q4_F_resolved_column),187)&amp;"|",All_Questions_Q4_F_wrapped)),1,0),0))*1</f>
        <v>1</v>
      </c>
      <c r="L188">
        <f>IF(OR(All_Questions_Q5_F_Q="(None)",All_Questions_Q5_F_Q="",ISBLANK(All_Questions_Q5_F_Q),All_Questions_Q5_F_V="(All)",All_Questions_Q5_F_V="",ISBLANK(All_Questions_Q5_F_V)),1,IFERROR(IF(ISNUMBER(SEARCH("|"&amp;INDEX(INDIRECT(All_Questions_Q5_F_resolved_column),187)&amp;"|",All_Questions_Q5_F_wrapped)),1,0),0))*1</f>
        <v>1</v>
      </c>
    </row>
    <row r="189">
      <c r="A189" t="n">
        <v>188</v>
      </c>
      <c r="F189">
        <f>1</f>
        <v>1</v>
      </c>
      <c r="G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H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I189">
        <f>G189*H189*1</f>
        <v>1</v>
      </c>
      <c r="J189">
        <f>1</f>
        <v>1</v>
      </c>
      <c r="K189">
        <f>IF(OR(All_Questions_Q4_F_Q="(None)",All_Questions_Q4_F_Q="",ISBLANK(All_Questions_Q4_F_Q),All_Questions_Q4_F_V="(All)",All_Questions_Q4_F_V="",ISBLANK(All_Questions_Q4_F_V)),1,IFERROR(IF(ISNUMBER(SEARCH("|"&amp;INDEX(INDIRECT(All_Questions_Q4_F_resolved_column),188)&amp;"|",All_Questions_Q4_F_wrapped)),1,0),0))*1</f>
        <v>1</v>
      </c>
      <c r="L189">
        <f>IF(OR(All_Questions_Q5_F_Q="(None)",All_Questions_Q5_F_Q="",ISBLANK(All_Questions_Q5_F_Q),All_Questions_Q5_F_V="(All)",All_Questions_Q5_F_V="",ISBLANK(All_Questions_Q5_F_V)),1,IFERROR(IF(ISNUMBER(SEARCH("|"&amp;INDEX(INDIRECT(All_Questions_Q5_F_resolved_column),188)&amp;"|",All_Questions_Q5_F_wrapped)),1,0),0))*1</f>
        <v>1</v>
      </c>
    </row>
    <row r="190">
      <c r="A190" t="n">
        <v>189</v>
      </c>
      <c r="F190">
        <f>1</f>
        <v>1</v>
      </c>
      <c r="G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H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I190">
        <f>G190*H190*1</f>
        <v>1</v>
      </c>
      <c r="J190">
        <f>1</f>
        <v>1</v>
      </c>
      <c r="K190">
        <f>IF(OR(All_Questions_Q4_F_Q="(None)",All_Questions_Q4_F_Q="",ISBLANK(All_Questions_Q4_F_Q),All_Questions_Q4_F_V="(All)",All_Questions_Q4_F_V="",ISBLANK(All_Questions_Q4_F_V)),1,IFERROR(IF(ISNUMBER(SEARCH("|"&amp;INDEX(INDIRECT(All_Questions_Q4_F_resolved_column),189)&amp;"|",All_Questions_Q4_F_wrapped)),1,0),0))*1</f>
        <v>1</v>
      </c>
      <c r="L190">
        <f>IF(OR(All_Questions_Q5_F_Q="(None)",All_Questions_Q5_F_Q="",ISBLANK(All_Questions_Q5_F_Q),All_Questions_Q5_F_V="(All)",All_Questions_Q5_F_V="",ISBLANK(All_Questions_Q5_F_V)),1,IFERROR(IF(ISNUMBER(SEARCH("|"&amp;INDEX(INDIRECT(All_Questions_Q5_F_resolved_column),189)&amp;"|",All_Questions_Q5_F_wrapped)),1,0),0))*1</f>
        <v>1</v>
      </c>
    </row>
    <row r="191">
      <c r="A191" t="n">
        <v>190</v>
      </c>
      <c r="F191">
        <f>1</f>
        <v>1</v>
      </c>
      <c r="G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H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I191">
        <f>G191*H191*1</f>
        <v>1</v>
      </c>
      <c r="J191">
        <f>1</f>
        <v>1</v>
      </c>
      <c r="K191">
        <f>IF(OR(All_Questions_Q4_F_Q="(None)",All_Questions_Q4_F_Q="",ISBLANK(All_Questions_Q4_F_Q),All_Questions_Q4_F_V="(All)",All_Questions_Q4_F_V="",ISBLANK(All_Questions_Q4_F_V)),1,IFERROR(IF(ISNUMBER(SEARCH("|"&amp;INDEX(INDIRECT(All_Questions_Q4_F_resolved_column),190)&amp;"|",All_Questions_Q4_F_wrapped)),1,0),0))*1</f>
        <v>1</v>
      </c>
      <c r="L191">
        <f>IF(OR(All_Questions_Q5_F_Q="(None)",All_Questions_Q5_F_Q="",ISBLANK(All_Questions_Q5_F_Q),All_Questions_Q5_F_V="(All)",All_Questions_Q5_F_V="",ISBLANK(All_Questions_Q5_F_V)),1,IFERROR(IF(ISNUMBER(SEARCH("|"&amp;INDEX(INDIRECT(All_Questions_Q5_F_resolved_column),190)&amp;"|",All_Questions_Q5_F_wrapped)),1,0),0))*1</f>
        <v>1</v>
      </c>
    </row>
    <row r="192">
      <c r="A192" t="n">
        <v>191</v>
      </c>
      <c r="F192">
        <f>1</f>
        <v>1</v>
      </c>
      <c r="G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H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I192">
        <f>G192*H192*1</f>
        <v>1</v>
      </c>
      <c r="J192">
        <f>1</f>
        <v>1</v>
      </c>
      <c r="K192">
        <f>IF(OR(All_Questions_Q4_F_Q="(None)",All_Questions_Q4_F_Q="",ISBLANK(All_Questions_Q4_F_Q),All_Questions_Q4_F_V="(All)",All_Questions_Q4_F_V="",ISBLANK(All_Questions_Q4_F_V)),1,IFERROR(IF(ISNUMBER(SEARCH("|"&amp;INDEX(INDIRECT(All_Questions_Q4_F_resolved_column),191)&amp;"|",All_Questions_Q4_F_wrapped)),1,0),0))*1</f>
        <v>1</v>
      </c>
      <c r="L192">
        <f>IF(OR(All_Questions_Q5_F_Q="(None)",All_Questions_Q5_F_Q="",ISBLANK(All_Questions_Q5_F_Q),All_Questions_Q5_F_V="(All)",All_Questions_Q5_F_V="",ISBLANK(All_Questions_Q5_F_V)),1,IFERROR(IF(ISNUMBER(SEARCH("|"&amp;INDEX(INDIRECT(All_Questions_Q5_F_resolved_column),191)&amp;"|",All_Questions_Q5_F_wrapped)),1,0),0))*1</f>
        <v>1</v>
      </c>
    </row>
    <row r="193">
      <c r="A193" t="n">
        <v>192</v>
      </c>
      <c r="F193">
        <f>1</f>
        <v>1</v>
      </c>
      <c r="G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H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I193">
        <f>G193*H193*1</f>
        <v>1</v>
      </c>
      <c r="J193">
        <f>1</f>
        <v>1</v>
      </c>
      <c r="K193">
        <f>IF(OR(All_Questions_Q4_F_Q="(None)",All_Questions_Q4_F_Q="",ISBLANK(All_Questions_Q4_F_Q),All_Questions_Q4_F_V="(All)",All_Questions_Q4_F_V="",ISBLANK(All_Questions_Q4_F_V)),1,IFERROR(IF(ISNUMBER(SEARCH("|"&amp;INDEX(INDIRECT(All_Questions_Q4_F_resolved_column),192)&amp;"|",All_Questions_Q4_F_wrapped)),1,0),0))*1</f>
        <v>1</v>
      </c>
      <c r="L193">
        <f>IF(OR(All_Questions_Q5_F_Q="(None)",All_Questions_Q5_F_Q="",ISBLANK(All_Questions_Q5_F_Q),All_Questions_Q5_F_V="(All)",All_Questions_Q5_F_V="",ISBLANK(All_Questions_Q5_F_V)),1,IFERROR(IF(ISNUMBER(SEARCH("|"&amp;INDEX(INDIRECT(All_Questions_Q5_F_resolved_column),192)&amp;"|",All_Questions_Q5_F_wrapped)),1,0),0))*1</f>
        <v>1</v>
      </c>
    </row>
    <row r="194">
      <c r="A194" t="n">
        <v>193</v>
      </c>
      <c r="F194">
        <f>1</f>
        <v>1</v>
      </c>
      <c r="G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H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I194">
        <f>G194*H194*1</f>
        <v>1</v>
      </c>
      <c r="J194">
        <f>1</f>
        <v>1</v>
      </c>
      <c r="K194">
        <f>IF(OR(All_Questions_Q4_F_Q="(None)",All_Questions_Q4_F_Q="",ISBLANK(All_Questions_Q4_F_Q),All_Questions_Q4_F_V="(All)",All_Questions_Q4_F_V="",ISBLANK(All_Questions_Q4_F_V)),1,IFERROR(IF(ISNUMBER(SEARCH("|"&amp;INDEX(INDIRECT(All_Questions_Q4_F_resolved_column),193)&amp;"|",All_Questions_Q4_F_wrapped)),1,0),0))*1</f>
        <v>1</v>
      </c>
      <c r="L194">
        <f>IF(OR(All_Questions_Q5_F_Q="(None)",All_Questions_Q5_F_Q="",ISBLANK(All_Questions_Q5_F_Q),All_Questions_Q5_F_V="(All)",All_Questions_Q5_F_V="",ISBLANK(All_Questions_Q5_F_V)),1,IFERROR(IF(ISNUMBER(SEARCH("|"&amp;INDEX(INDIRECT(All_Questions_Q5_F_resolved_column),193)&amp;"|",All_Questions_Q5_F_wrapped)),1,0),0))*1</f>
        <v>1</v>
      </c>
    </row>
    <row r="195">
      <c r="A195" t="n">
        <v>194</v>
      </c>
      <c r="F195">
        <f>1</f>
        <v>1</v>
      </c>
      <c r="G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H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I195">
        <f>G195*H195*1</f>
        <v>1</v>
      </c>
      <c r="J195">
        <f>1</f>
        <v>1</v>
      </c>
      <c r="K195">
        <f>IF(OR(All_Questions_Q4_F_Q="(None)",All_Questions_Q4_F_Q="",ISBLANK(All_Questions_Q4_F_Q),All_Questions_Q4_F_V="(All)",All_Questions_Q4_F_V="",ISBLANK(All_Questions_Q4_F_V)),1,IFERROR(IF(ISNUMBER(SEARCH("|"&amp;INDEX(INDIRECT(All_Questions_Q4_F_resolved_column),194)&amp;"|",All_Questions_Q4_F_wrapped)),1,0),0))*1</f>
        <v>1</v>
      </c>
      <c r="L195">
        <f>IF(OR(All_Questions_Q5_F_Q="(None)",All_Questions_Q5_F_Q="",ISBLANK(All_Questions_Q5_F_Q),All_Questions_Q5_F_V="(All)",All_Questions_Q5_F_V="",ISBLANK(All_Questions_Q5_F_V)),1,IFERROR(IF(ISNUMBER(SEARCH("|"&amp;INDEX(INDIRECT(All_Questions_Q5_F_resolved_column),194)&amp;"|",All_Questions_Q5_F_wrapped)),1,0),0))*1</f>
        <v>1</v>
      </c>
    </row>
    <row r="196">
      <c r="A196" t="n">
        <v>195</v>
      </c>
      <c r="F196">
        <f>1</f>
        <v>1</v>
      </c>
      <c r="G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H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I196">
        <f>G196*H196*1</f>
        <v>1</v>
      </c>
      <c r="J196">
        <f>1</f>
        <v>1</v>
      </c>
      <c r="K196">
        <f>IF(OR(All_Questions_Q4_F_Q="(None)",All_Questions_Q4_F_Q="",ISBLANK(All_Questions_Q4_F_Q),All_Questions_Q4_F_V="(All)",All_Questions_Q4_F_V="",ISBLANK(All_Questions_Q4_F_V)),1,IFERROR(IF(ISNUMBER(SEARCH("|"&amp;INDEX(INDIRECT(All_Questions_Q4_F_resolved_column),195)&amp;"|",All_Questions_Q4_F_wrapped)),1,0),0))*1</f>
        <v>1</v>
      </c>
      <c r="L196">
        <f>IF(OR(All_Questions_Q5_F_Q="(None)",All_Questions_Q5_F_Q="",ISBLANK(All_Questions_Q5_F_Q),All_Questions_Q5_F_V="(All)",All_Questions_Q5_F_V="",ISBLANK(All_Questions_Q5_F_V)),1,IFERROR(IF(ISNUMBER(SEARCH("|"&amp;INDEX(INDIRECT(All_Questions_Q5_F_resolved_column),195)&amp;"|",All_Questions_Q5_F_wrapped)),1,0),0))*1</f>
        <v>1</v>
      </c>
    </row>
    <row r="197">
      <c r="A197" t="n">
        <v>196</v>
      </c>
      <c r="F197">
        <f>1</f>
        <v>1</v>
      </c>
      <c r="G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H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I197">
        <f>G197*H197*1</f>
        <v>1</v>
      </c>
      <c r="J197">
        <f>1</f>
        <v>1</v>
      </c>
      <c r="K197">
        <f>IF(OR(All_Questions_Q4_F_Q="(None)",All_Questions_Q4_F_Q="",ISBLANK(All_Questions_Q4_F_Q),All_Questions_Q4_F_V="(All)",All_Questions_Q4_F_V="",ISBLANK(All_Questions_Q4_F_V)),1,IFERROR(IF(ISNUMBER(SEARCH("|"&amp;INDEX(INDIRECT(All_Questions_Q4_F_resolved_column),196)&amp;"|",All_Questions_Q4_F_wrapped)),1,0),0))*1</f>
        <v>1</v>
      </c>
      <c r="L197">
        <f>IF(OR(All_Questions_Q5_F_Q="(None)",All_Questions_Q5_F_Q="",ISBLANK(All_Questions_Q5_F_Q),All_Questions_Q5_F_V="(All)",All_Questions_Q5_F_V="",ISBLANK(All_Questions_Q5_F_V)),1,IFERROR(IF(ISNUMBER(SEARCH("|"&amp;INDEX(INDIRECT(All_Questions_Q5_F_resolved_column),196)&amp;"|",All_Questions_Q5_F_wrapped)),1,0),0))*1</f>
        <v>1</v>
      </c>
    </row>
    <row r="198">
      <c r="A198" t="n">
        <v>197</v>
      </c>
      <c r="F198">
        <f>1</f>
        <v>1</v>
      </c>
      <c r="G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H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I198">
        <f>G198*H198*1</f>
        <v>1</v>
      </c>
      <c r="J198">
        <f>1</f>
        <v>1</v>
      </c>
      <c r="K198">
        <f>IF(OR(All_Questions_Q4_F_Q="(None)",All_Questions_Q4_F_Q="",ISBLANK(All_Questions_Q4_F_Q),All_Questions_Q4_F_V="(All)",All_Questions_Q4_F_V="",ISBLANK(All_Questions_Q4_F_V)),1,IFERROR(IF(ISNUMBER(SEARCH("|"&amp;INDEX(INDIRECT(All_Questions_Q4_F_resolved_column),197)&amp;"|",All_Questions_Q4_F_wrapped)),1,0),0))*1</f>
        <v>1</v>
      </c>
      <c r="L198">
        <f>IF(OR(All_Questions_Q5_F_Q="(None)",All_Questions_Q5_F_Q="",ISBLANK(All_Questions_Q5_F_Q),All_Questions_Q5_F_V="(All)",All_Questions_Q5_F_V="",ISBLANK(All_Questions_Q5_F_V)),1,IFERROR(IF(ISNUMBER(SEARCH("|"&amp;INDEX(INDIRECT(All_Questions_Q5_F_resolved_column),197)&amp;"|",All_Questions_Q5_F_wrapped)),1,0),0))*1</f>
        <v>1</v>
      </c>
    </row>
    <row r="199">
      <c r="A199" t="n">
        <v>198</v>
      </c>
      <c r="F199">
        <f>1</f>
        <v>1</v>
      </c>
      <c r="G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H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I199">
        <f>G199*H199*1</f>
        <v>1</v>
      </c>
      <c r="J199">
        <f>1</f>
        <v>1</v>
      </c>
      <c r="K199">
        <f>IF(OR(All_Questions_Q4_F_Q="(None)",All_Questions_Q4_F_Q="",ISBLANK(All_Questions_Q4_F_Q),All_Questions_Q4_F_V="(All)",All_Questions_Q4_F_V="",ISBLANK(All_Questions_Q4_F_V)),1,IFERROR(IF(ISNUMBER(SEARCH("|"&amp;INDEX(INDIRECT(All_Questions_Q4_F_resolved_column),198)&amp;"|",All_Questions_Q4_F_wrapped)),1,0),0))*1</f>
        <v>1</v>
      </c>
      <c r="L199">
        <f>IF(OR(All_Questions_Q5_F_Q="(None)",All_Questions_Q5_F_Q="",ISBLANK(All_Questions_Q5_F_Q),All_Questions_Q5_F_V="(All)",All_Questions_Q5_F_V="",ISBLANK(All_Questions_Q5_F_V)),1,IFERROR(IF(ISNUMBER(SEARCH("|"&amp;INDEX(INDIRECT(All_Questions_Q5_F_resolved_column),198)&amp;"|",All_Questions_Q5_F_wrapped)),1,0),0))*1</f>
        <v>1</v>
      </c>
    </row>
    <row r="200">
      <c r="A200" t="n">
        <v>199</v>
      </c>
      <c r="F200">
        <f>1</f>
        <v>1</v>
      </c>
      <c r="G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H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I200">
        <f>G200*H200*1</f>
        <v>1</v>
      </c>
      <c r="J200">
        <f>1</f>
        <v>1</v>
      </c>
      <c r="K200">
        <f>IF(OR(All_Questions_Q4_F_Q="(None)",All_Questions_Q4_F_Q="",ISBLANK(All_Questions_Q4_F_Q),All_Questions_Q4_F_V="(All)",All_Questions_Q4_F_V="",ISBLANK(All_Questions_Q4_F_V)),1,IFERROR(IF(ISNUMBER(SEARCH("|"&amp;INDEX(INDIRECT(All_Questions_Q4_F_resolved_column),199)&amp;"|",All_Questions_Q4_F_wrapped)),1,0),0))*1</f>
        <v>1</v>
      </c>
      <c r="L200">
        <f>IF(OR(All_Questions_Q5_F_Q="(None)",All_Questions_Q5_F_Q="",ISBLANK(All_Questions_Q5_F_Q),All_Questions_Q5_F_V="(All)",All_Questions_Q5_F_V="",ISBLANK(All_Questions_Q5_F_V)),1,IFERROR(IF(ISNUMBER(SEARCH("|"&amp;INDEX(INDIRECT(All_Questions_Q5_F_resolved_column),199)&amp;"|",All_Questions_Q5_F_wrapped)),1,0),0))*1</f>
        <v>1</v>
      </c>
    </row>
    <row r="201">
      <c r="A201" t="n">
        <v>200</v>
      </c>
      <c r="F201">
        <f>1</f>
        <v>1</v>
      </c>
      <c r="G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H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I201">
        <f>G201*H201*1</f>
        <v>1</v>
      </c>
      <c r="J201">
        <f>1</f>
        <v>1</v>
      </c>
      <c r="K201">
        <f>IF(OR(All_Questions_Q4_F_Q="(None)",All_Questions_Q4_F_Q="",ISBLANK(All_Questions_Q4_F_Q),All_Questions_Q4_F_V="(All)",All_Questions_Q4_F_V="",ISBLANK(All_Questions_Q4_F_V)),1,IFERROR(IF(ISNUMBER(SEARCH("|"&amp;INDEX(INDIRECT(All_Questions_Q4_F_resolved_column),200)&amp;"|",All_Questions_Q4_F_wrapped)),1,0),0))*1</f>
        <v>1</v>
      </c>
      <c r="L201">
        <f>IF(OR(All_Questions_Q5_F_Q="(None)",All_Questions_Q5_F_Q="",ISBLANK(All_Questions_Q5_F_Q),All_Questions_Q5_F_V="(All)",All_Questions_Q5_F_V="",ISBLANK(All_Questions_Q5_F_V)),1,IFERROR(IF(ISNUMBER(SEARCH("|"&amp;INDEX(INDIRECT(All_Questions_Q5_F_resolved_column),200)&amp;"|",All_Questions_Q5_F_wrapped)),1,0),0))*1</f>
        <v>1</v>
      </c>
    </row>
    <row r="202">
      <c r="A202" t="n">
        <v>201</v>
      </c>
      <c r="F202">
        <f>1</f>
        <v>1</v>
      </c>
      <c r="G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H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I202">
        <f>G202*H202*1</f>
        <v>1</v>
      </c>
      <c r="J202">
        <f>1</f>
        <v>1</v>
      </c>
      <c r="K202">
        <f>IF(OR(All_Questions_Q4_F_Q="(None)",All_Questions_Q4_F_Q="",ISBLANK(All_Questions_Q4_F_Q),All_Questions_Q4_F_V="(All)",All_Questions_Q4_F_V="",ISBLANK(All_Questions_Q4_F_V)),1,IFERROR(IF(ISNUMBER(SEARCH("|"&amp;INDEX(INDIRECT(All_Questions_Q4_F_resolved_column),201)&amp;"|",All_Questions_Q4_F_wrapped)),1,0),0))*1</f>
        <v>1</v>
      </c>
      <c r="L202">
        <f>IF(OR(All_Questions_Q5_F_Q="(None)",All_Questions_Q5_F_Q="",ISBLANK(All_Questions_Q5_F_Q),All_Questions_Q5_F_V="(All)",All_Questions_Q5_F_V="",ISBLANK(All_Questions_Q5_F_V)),1,IFERROR(IF(ISNUMBER(SEARCH("|"&amp;INDEX(INDIRECT(All_Questions_Q5_F_resolved_column),201)&amp;"|",All_Questions_Q5_F_wrapped)),1,0),0))*1</f>
        <v>1</v>
      </c>
    </row>
    <row r="203">
      <c r="A203" t="n">
        <v>202</v>
      </c>
      <c r="F203">
        <f>1</f>
        <v>1</v>
      </c>
      <c r="G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H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I203">
        <f>G203*H203*1</f>
        <v>1</v>
      </c>
      <c r="J203">
        <f>1</f>
        <v>1</v>
      </c>
      <c r="K203">
        <f>IF(OR(All_Questions_Q4_F_Q="(None)",All_Questions_Q4_F_Q="",ISBLANK(All_Questions_Q4_F_Q),All_Questions_Q4_F_V="(All)",All_Questions_Q4_F_V="",ISBLANK(All_Questions_Q4_F_V)),1,IFERROR(IF(ISNUMBER(SEARCH("|"&amp;INDEX(INDIRECT(All_Questions_Q4_F_resolved_column),202)&amp;"|",All_Questions_Q4_F_wrapped)),1,0),0))*1</f>
        <v>1</v>
      </c>
      <c r="L203">
        <f>IF(OR(All_Questions_Q5_F_Q="(None)",All_Questions_Q5_F_Q="",ISBLANK(All_Questions_Q5_F_Q),All_Questions_Q5_F_V="(All)",All_Questions_Q5_F_V="",ISBLANK(All_Questions_Q5_F_V)),1,IFERROR(IF(ISNUMBER(SEARCH("|"&amp;INDEX(INDIRECT(All_Questions_Q5_F_resolved_column),202)&amp;"|",All_Questions_Q5_F_wrapped)),1,0),0))*1</f>
        <v>1</v>
      </c>
    </row>
    <row r="204">
      <c r="A204" t="n">
        <v>203</v>
      </c>
      <c r="F204">
        <f>1</f>
        <v>1</v>
      </c>
      <c r="G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H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I204">
        <f>G204*H204*1</f>
        <v>1</v>
      </c>
      <c r="J204">
        <f>1</f>
        <v>1</v>
      </c>
      <c r="K204">
        <f>IF(OR(All_Questions_Q4_F_Q="(None)",All_Questions_Q4_F_Q="",ISBLANK(All_Questions_Q4_F_Q),All_Questions_Q4_F_V="(All)",All_Questions_Q4_F_V="",ISBLANK(All_Questions_Q4_F_V)),1,IFERROR(IF(ISNUMBER(SEARCH("|"&amp;INDEX(INDIRECT(All_Questions_Q4_F_resolved_column),203)&amp;"|",All_Questions_Q4_F_wrapped)),1,0),0))*1</f>
        <v>1</v>
      </c>
      <c r="L204">
        <f>IF(OR(All_Questions_Q5_F_Q="(None)",All_Questions_Q5_F_Q="",ISBLANK(All_Questions_Q5_F_Q),All_Questions_Q5_F_V="(All)",All_Questions_Q5_F_V="",ISBLANK(All_Questions_Q5_F_V)),1,IFERROR(IF(ISNUMBER(SEARCH("|"&amp;INDEX(INDIRECT(All_Questions_Q5_F_resolved_column),203)&amp;"|",All_Questions_Q5_F_wrapped)),1,0),0))*1</f>
        <v>1</v>
      </c>
    </row>
    <row r="205">
      <c r="A205" t="n">
        <v>204</v>
      </c>
      <c r="F205">
        <f>1</f>
        <v>1</v>
      </c>
      <c r="G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H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I205">
        <f>G205*H205*1</f>
        <v>1</v>
      </c>
      <c r="J205">
        <f>1</f>
        <v>1</v>
      </c>
      <c r="K205">
        <f>IF(OR(All_Questions_Q4_F_Q="(None)",All_Questions_Q4_F_Q="",ISBLANK(All_Questions_Q4_F_Q),All_Questions_Q4_F_V="(All)",All_Questions_Q4_F_V="",ISBLANK(All_Questions_Q4_F_V)),1,IFERROR(IF(ISNUMBER(SEARCH("|"&amp;INDEX(INDIRECT(All_Questions_Q4_F_resolved_column),204)&amp;"|",All_Questions_Q4_F_wrapped)),1,0),0))*1</f>
        <v>1</v>
      </c>
      <c r="L205">
        <f>IF(OR(All_Questions_Q5_F_Q="(None)",All_Questions_Q5_F_Q="",ISBLANK(All_Questions_Q5_F_Q),All_Questions_Q5_F_V="(All)",All_Questions_Q5_F_V="",ISBLANK(All_Questions_Q5_F_V)),1,IFERROR(IF(ISNUMBER(SEARCH("|"&amp;INDEX(INDIRECT(All_Questions_Q5_F_resolved_column),204)&amp;"|",All_Questions_Q5_F_wrapped)),1,0),0))*1</f>
        <v>1</v>
      </c>
    </row>
    <row r="206">
      <c r="A206" t="n">
        <v>205</v>
      </c>
      <c r="F206">
        <f>1</f>
        <v>1</v>
      </c>
      <c r="G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H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I206">
        <f>G206*H206*1</f>
        <v>1</v>
      </c>
      <c r="J206">
        <f>1</f>
        <v>1</v>
      </c>
      <c r="K206">
        <f>IF(OR(All_Questions_Q4_F_Q="(None)",All_Questions_Q4_F_Q="",ISBLANK(All_Questions_Q4_F_Q),All_Questions_Q4_F_V="(All)",All_Questions_Q4_F_V="",ISBLANK(All_Questions_Q4_F_V)),1,IFERROR(IF(ISNUMBER(SEARCH("|"&amp;INDEX(INDIRECT(All_Questions_Q4_F_resolved_column),205)&amp;"|",All_Questions_Q4_F_wrapped)),1,0),0))*1</f>
        <v>1</v>
      </c>
      <c r="L206">
        <f>IF(OR(All_Questions_Q5_F_Q="(None)",All_Questions_Q5_F_Q="",ISBLANK(All_Questions_Q5_F_Q),All_Questions_Q5_F_V="(All)",All_Questions_Q5_F_V="",ISBLANK(All_Questions_Q5_F_V)),1,IFERROR(IF(ISNUMBER(SEARCH("|"&amp;INDEX(INDIRECT(All_Questions_Q5_F_resolved_column),205)&amp;"|",All_Questions_Q5_F_wrapped)),1,0),0))*1</f>
        <v>1</v>
      </c>
    </row>
    <row r="207">
      <c r="A207" t="n">
        <v>206</v>
      </c>
      <c r="F207">
        <f>1</f>
        <v>1</v>
      </c>
      <c r="G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H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I207">
        <f>G207*H207*1</f>
        <v>1</v>
      </c>
      <c r="J207">
        <f>1</f>
        <v>1</v>
      </c>
      <c r="K207">
        <f>IF(OR(All_Questions_Q4_F_Q="(None)",All_Questions_Q4_F_Q="",ISBLANK(All_Questions_Q4_F_Q),All_Questions_Q4_F_V="(All)",All_Questions_Q4_F_V="",ISBLANK(All_Questions_Q4_F_V)),1,IFERROR(IF(ISNUMBER(SEARCH("|"&amp;INDEX(INDIRECT(All_Questions_Q4_F_resolved_column),206)&amp;"|",All_Questions_Q4_F_wrapped)),1,0),0))*1</f>
        <v>1</v>
      </c>
      <c r="L207">
        <f>IF(OR(All_Questions_Q5_F_Q="(None)",All_Questions_Q5_F_Q="",ISBLANK(All_Questions_Q5_F_Q),All_Questions_Q5_F_V="(All)",All_Questions_Q5_F_V="",ISBLANK(All_Questions_Q5_F_V)),1,IFERROR(IF(ISNUMBER(SEARCH("|"&amp;INDEX(INDIRECT(All_Questions_Q5_F_resolved_column),206)&amp;"|",All_Questions_Q5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Q4r1_options</t>
        </is>
      </c>
      <c r="G1" t="inlineStr">
        <is>
          <t>Q4r2_options</t>
        </is>
      </c>
      <c r="H1" t="inlineStr">
        <is>
          <t>Q5r1_options</t>
        </is>
      </c>
      <c r="I1" t="inlineStr">
        <is>
          <t>Q5r2_options</t>
        </is>
      </c>
      <c r="J1" t="inlineStr">
        <is>
          <t>Q4r1_local_options</t>
        </is>
      </c>
      <c r="K1" t="inlineStr">
        <is>
          <t>Q4r2_local_options</t>
        </is>
      </c>
      <c r="L1" t="inlineStr">
        <is>
          <t>Q5r1_local_options</t>
        </is>
      </c>
      <c r="M1" t="inlineStr">
        <is>
          <t>Q5r2_local_options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J4" t="inlineStr">
        <is>
          <t>Selected</t>
        </is>
      </c>
      <c r="K4" t="inlineStr">
        <is>
          <t>Selected</t>
        </is>
      </c>
      <c r="L4" t="inlineStr">
        <is>
          <t>Selected</t>
        </is>
      </c>
      <c r="M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Business needs</t>
        </is>
      </c>
      <c r="D2" t="inlineStr">
        <is>
          <t>MULTI_SELECT_BINARY</t>
        </is>
      </c>
      <c r="E2" t="inlineStr">
        <is>
          <t>Q4r1, Q4r2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[Q5]</t>
        </is>
      </c>
      <c r="B3" t="inlineStr">
        <is>
          <t>Q5</t>
        </is>
      </c>
      <c r="C3" t="inlineStr">
        <is>
          <t>Pressures</t>
        </is>
      </c>
      <c r="D3" t="inlineStr">
        <is>
          <t>MULTI_SELECT_BINARY</t>
        </is>
      </c>
      <c r="E3" t="inlineStr">
        <is>
          <t>Q5r1, Q5r2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2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MULTI_SELECT_BINARY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Q5</t>
        </is>
      </c>
      <c r="B3" t="inlineStr">
        <is>
          <t>Q5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196</v>
      </c>
      <c r="G3" t="n">
        <v>10</v>
      </c>
      <c r="H3" s="7" t="n">
        <v>0.04854368932038835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Q4 - Business needs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IFERROR(INDEX(All_Questions_Data_Names,MATCH(All_Questions_Q4_F_Q,All_Questions,0)),"'_RawData'!$A:$A")</f>
        <v>respondent_id_data</v>
      </c>
      <c r="G13" t="str">
        <f>"|" &amp; SUBSTITUTE(All_Questions_Q4_F_V,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IF(All_Questions_Q4_CT="(None)","",IFERROR(INDEX(INDIRECT(IFERROR(INDEX(All_Questions_Options_Names,MATCH(All_Questions_Q4_CT,All_Questions,0)),"'_Options'!$E$2:$E$2")),2),""))</f>
        <v/>
      </c>
      <c r="H16" s="2" t="str">
        <f>IF(All_Questions_Q4_CT="(None)","",IFERROR(INDEX(INDIRECT(IFERROR(INDEX(All_Questions_Options_Names,MATCH(All_Questions_Q4_CT,All_Questions,0)),"'_Options'!$E$2:$E$2")),3),""))</f>
        <v/>
      </c>
      <c r="I16" s="2" t="str">
        <f>IF(All_Questions_Q4_CT="(None)","",IFERROR(INDEX(INDIRECT(IFERROR(INDEX(All_Questions_Options_Names,MATCH(All_Questions_Q4_CT,All_Questions,0)),"'_Options'!$E$2:$E$2")),4),""))</f>
        <v/>
      </c>
      <c r="J16" s="2" t="str">
        <f>IF(All_Questions_Q4_CT="(None)","",IFERROR(INDEX(INDIRECT(IFERROR(INDEX(All_Questions_Options_Names,MATCH(All_Questions_Q4_CT,All_Questions,0)),"'_Options'!$E$2:$E$2")),5),""))</f>
        <v/>
      </c>
      <c r="K16" s="2" t="str">
        <f>IF(All_Questions_Q4_CT="(None)","",IFERROR(INDEX(INDIRECT(IFERROR(INDEX(All_Questions_Options_Names,MATCH(All_Questions_Q4_CT,All_Questions,0)),"'_Options'!$E$2:$E$2")),6),""))</f>
        <v/>
      </c>
      <c r="L16" s="2" t="str">
        <f>IF(All_Questions_Q4_CT="(None)","",IFERROR(INDEX(INDIRECT(IFERROR(INDEX(All_Questions_Options_Names,MATCH(All_Questions_Q4_CT,All_Questions,0)),"'_Options'!$E$2:$E$2")),7),""))</f>
        <v/>
      </c>
      <c r="M16" s="2" t="str">
        <f>IF(All_Questions_Q4_CT="(None)","",IFERROR(INDEX(INDIRECT(IFERROR(INDEX(All_Questions_Options_Names,MATCH(All_Questions_Q4_CT,All_Questions,0)),"'_Options'!$E$2:$E$2")),8),""))</f>
        <v/>
      </c>
      <c r="N16" s="2" t="str">
        <f>IF(All_Questions_Q4_CT="(None)","",IFERROR(INDEX(INDIRECT(IFERROR(INDEX(All_Questions_Options_Names,MATCH(All_Questions_Q4_CT,All_Questions,0)),"'_Options'!$E$2:$E$2")),9),""))</f>
        <v/>
      </c>
      <c r="O16" s="2" t="str">
        <f>IF(All_Questions_Q4_CT="(None)","",IFERROR(INDEX(INDIRECT(IFERROR(INDEX(All_Questions_Options_Names,MATCH(All_Questions_Q4_CT,All_Questions,0)),"'_Options'!$E$2:$E$2")),10),""))</f>
        <v/>
      </c>
      <c r="P16" s="2" t="str">
        <f>IF(All_Questions_Q4_CT="(None)","",IFERROR(INDEX(INDIRECT(IFERROR(INDEX(All_Questions_Options_Names,MATCH(All_Questions_Q4_CT,All_Questions,0)),"'_Options'!$E$2:$E$2")),11),""))</f>
        <v/>
      </c>
      <c r="Q16" s="2" t="str">
        <f>IF(All_Questions_Q4_CT="(None)","",IFERROR(INDEX(INDIRECT(IFERROR(INDEX(All_Questions_Options_Names,MATCH(All_Questions_Q4_CT,All_Questions,0)),"'_Options'!$E$2:$E$2")),12),""))</f>
        <v/>
      </c>
      <c r="R16" s="2" t="str">
        <f>IF(All_Questions_Q4_CT="(None)","",IF(COUNTA(INDIRECT(IFERROR(INDEX(All_Questions_Options_Names,MATCH(All_Questions_Q4_CT,All_Questions,0)),"'_Options'!$E$2:$E$2")))-1&gt;11,"Other",IFERROR(INDEX(INDIRECT(IFERROR(INDEX(All_Questions_Options_Names,MATCH(All_Questions_Q4_CT,All_Questions,0)),"'_Options'!$E$2:$E$2")),13),"")))</f>
        <v/>
      </c>
      <c r="S16" s="4" t="inlineStr">
        <is>
          <t>Total</t>
        </is>
      </c>
    </row>
    <row r="17">
      <c r="A17" t="inlineStr">
        <is>
          <t>Revenue intelligence</t>
        </is>
      </c>
      <c r="B17">
        <f>COUNTIFS(Q4r1_data,"Selected",passes_workbook_filters_data,1,passes_workbook_custom_filters_data,1,All_Questions_passes_local_filters_data,1,All_Questions_Q4_F_passes_per_q_filter_data,1)</f>
        <v>141</v>
      </c>
      <c r="C17" s="7">
        <f>IFERROR(B17/SUMPRODUCT(--((--(Q4r1_data&lt;&gt;"")+--(Q4r2_data&lt;&gt;""))&gt;0),--(passes_workbook_filters_data=1),--(passes_workbook_custom_filters_data=1),--(All_Questions_passes_local_filters_data=1),--(All_Questions_Q4_F_passes_per_q_filter_data=1)),0)</f>
        <v>0.6844660194174758</v>
      </c>
      <c r="D17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Other business need</t>
        </is>
      </c>
      <c r="B18">
        <f>COUNTIFS(Q4r2_data,"Selected",passes_workbook_filters_data,1,passes_workbook_custom_filters_data,1,All_Questions_passes_local_filters_data,1,All_Questions_Q4_F_passes_per_q_filter_data,1)</f>
        <v>83</v>
      </c>
      <c r="C18" s="7">
        <f>IFERROR(B18/SUMPRODUCT(--((--(Q4r1_data&lt;&gt;"")+--(Q4r2_data&lt;&gt;""))&gt;0),--(passes_workbook_filters_data=1),--(passes_workbook_custom_filters_data=1),--(All_Questions_passes_local_filters_data=1),--(All_Questions_Q4_F_passes_per_q_filter_data=1)),0)</f>
        <v>0.4029126213592233</v>
      </c>
      <c r="D18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8" t="inlineStr">
        <is>
          <t>Revenue intelligence</t>
        </is>
      </c>
      <c r="G18">
        <f>IF(OR(All_Questions_Q4_CT="(None)",G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)</f>
        <v>0</v>
      </c>
      <c r="H18">
        <f>IF(OR(All_Questions_Q4_CT="(None)",H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)</f>
        <v>0</v>
      </c>
      <c r="I18">
        <f>IF(OR(All_Questions_Q4_CT="(None)",I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)</f>
        <v>0</v>
      </c>
      <c r="J18">
        <f>IF(OR(All_Questions_Q4_CT="(None)",J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)</f>
        <v>0</v>
      </c>
      <c r="K18">
        <f>IF(OR(All_Questions_Q4_CT="(None)",K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)</f>
        <v>0</v>
      </c>
      <c r="L18">
        <f>IF(OR(All_Questions_Q4_CT="(None)",L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)</f>
        <v>0</v>
      </c>
      <c r="M18">
        <f>IF(OR(All_Questions_Q4_CT="(None)",M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)</f>
        <v>0</v>
      </c>
      <c r="N18">
        <f>IF(OR(All_Questions_Q4_CT="(None)",N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)</f>
        <v>0</v>
      </c>
      <c r="O18">
        <f>IF(OR(All_Questions_Q4_CT="(None)",O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)</f>
        <v>0</v>
      </c>
      <c r="P18">
        <f>IF(OR(All_Questions_Q4_CT="(None)",P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)</f>
        <v>0</v>
      </c>
      <c r="Q18">
        <f>IF(OR(All_Questions_Q4_CT="(None)",Q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)</f>
        <v>0</v>
      </c>
      <c r="R18">
        <f>IF(OR(All_Questions_Q4_CT="(None)",R$16=""),"",IF(R$16="Other",COUNTIFS(Q4r1_data,"Selected",passes_workbook_filters_data,1,passes_workbook_custom_filters_data,1,All_Questions_passes_local_filters_data,1,All_Questions_Q4_F_passes_per_q_filter_data,1)-SUM(G18,H18,I18,J18,K18,L18,M18,N18,O18,P18,Q18)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))</f>
        <v>0</v>
      </c>
      <c r="S18">
        <f>IF(All_Questions_Q4_CT="(None)","",COUNTIFS(Q4r1_data,"Selected",passes_workbook_filters_data,1,passes_workbook_custom_filters_data,1,All_Questions_passes_local_filters_data,1,All_Questions_Q4_F_passes_per_q_filter_data,1))</f>
        <v>0</v>
      </c>
    </row>
    <row r="19">
      <c r="A19" s="15" t="inlineStr">
        <is>
          <t>Total respondents</t>
        </is>
      </c>
      <c r="B19" s="15" t="n">
        <v>206</v>
      </c>
      <c r="C19" s="15" t="n"/>
      <c r="D19" s="15" t="n"/>
      <c r="F19" t="inlineStr">
        <is>
          <t>Other business need</t>
        </is>
      </c>
      <c r="G19">
        <f>IF(OR(All_Questions_Q4_CT="(None)",G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)</f>
        <v>0</v>
      </c>
      <c r="H19">
        <f>IF(OR(All_Questions_Q4_CT="(None)",H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)</f>
        <v>0</v>
      </c>
      <c r="I19">
        <f>IF(OR(All_Questions_Q4_CT="(None)",I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)</f>
        <v>0</v>
      </c>
      <c r="J19">
        <f>IF(OR(All_Questions_Q4_CT="(None)",J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)</f>
        <v>0</v>
      </c>
      <c r="K19">
        <f>IF(OR(All_Questions_Q4_CT="(None)",K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)</f>
        <v>0</v>
      </c>
      <c r="L19">
        <f>IF(OR(All_Questions_Q4_CT="(None)",L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)</f>
        <v>0</v>
      </c>
      <c r="M19">
        <f>IF(OR(All_Questions_Q4_CT="(None)",M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)</f>
        <v>0</v>
      </c>
      <c r="N19">
        <f>IF(OR(All_Questions_Q4_CT="(None)",N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)</f>
        <v>0</v>
      </c>
      <c r="O19">
        <f>IF(OR(All_Questions_Q4_CT="(None)",O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)</f>
        <v>0</v>
      </c>
      <c r="P19">
        <f>IF(OR(All_Questions_Q4_CT="(None)",P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)</f>
        <v>0</v>
      </c>
      <c r="Q19">
        <f>IF(OR(All_Questions_Q4_CT="(None)",Q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)</f>
        <v>0</v>
      </c>
      <c r="R19">
        <f>IF(OR(All_Questions_Q4_CT="(None)",R$16=""),"",IF(R$16="Other",COUNTIFS(Q4r2_data,"Selected",passes_workbook_filters_data,1,passes_workbook_custom_filters_data,1,All_Questions_passes_local_filters_data,1,All_Questions_Q4_F_passes_per_q_filter_data,1)-SUM(G19,H19,I19,J19,K19,L19,M19,N19,O19,P19,Q19)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))</f>
        <v>0</v>
      </c>
      <c r="S19">
        <f>IF(All_Questions_Q4_CT="(None)","",COUNTIFS(Q4r2_data,"Selected",passes_workbook_filters_data,1,passes_workbook_custom_filters_data,1,All_Questions_passes_local_filters_data,1,All_Questions_Q4_F_passes_per_q_filter_data,1))</f>
        <v>0</v>
      </c>
    </row>
    <row r="20">
      <c r="A20" s="4" t="inlineStr">
        <is>
          <t>Total responses</t>
        </is>
      </c>
      <c r="B20" s="4" t="n">
        <v>224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IF(All_Questions_Q4_CT="(None)","",COUNTIFS(respondent_id_data,"&lt;&gt;",passes_workbook_filters_data,1,passes_workbook_custom_filters_data,1,All_Questions_passes_local_filters_data,1,All_Questions_Q4_F_passes_per_q_filter_data,1))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Q5 - Pressures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IFERROR(INDEX(All_Questions_Data_Names,MATCH(All_Questions_Q5_F_Q,All_Questions,0)),"'_RawData'!$A:$A")</f>
        <v>respondent_id_data</v>
      </c>
      <c r="G24" t="str">
        <f>"|" &amp; SUBSTITUTE(All_Questions_Q5_F_V,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IF(All_Questions_Q5_CT="(None)","",IFERROR(INDEX(INDIRECT(IFERROR(INDEX(All_Questions_Options_Names,MATCH(All_Questions_Q5_CT,All_Questions,0)),"'_Options'!$E$2:$E$2")),2),""))</f>
        <v/>
      </c>
      <c r="H27" s="2" t="str">
        <f>IF(All_Questions_Q5_CT="(None)","",IFERROR(INDEX(INDIRECT(IFERROR(INDEX(All_Questions_Options_Names,MATCH(All_Questions_Q5_CT,All_Questions,0)),"'_Options'!$E$2:$E$2")),3),""))</f>
        <v/>
      </c>
      <c r="I27" s="2" t="str">
        <f>IF(All_Questions_Q5_CT="(None)","",IFERROR(INDEX(INDIRECT(IFERROR(INDEX(All_Questions_Options_Names,MATCH(All_Questions_Q5_CT,All_Questions,0)),"'_Options'!$E$2:$E$2")),4),""))</f>
        <v/>
      </c>
      <c r="J27" s="2" t="str">
        <f>IF(All_Questions_Q5_CT="(None)","",IFERROR(INDEX(INDIRECT(IFERROR(INDEX(All_Questions_Options_Names,MATCH(All_Questions_Q5_CT,All_Questions,0)),"'_Options'!$E$2:$E$2")),5),""))</f>
        <v/>
      </c>
      <c r="K27" s="2" t="str">
        <f>IF(All_Questions_Q5_CT="(None)","",IFERROR(INDEX(INDIRECT(IFERROR(INDEX(All_Questions_Options_Names,MATCH(All_Questions_Q5_CT,All_Questions,0)),"'_Options'!$E$2:$E$2")),6),""))</f>
        <v/>
      </c>
      <c r="L27" s="2" t="str">
        <f>IF(All_Questions_Q5_CT="(None)","",IFERROR(INDEX(INDIRECT(IFERROR(INDEX(All_Questions_Options_Names,MATCH(All_Questions_Q5_CT,All_Questions,0)),"'_Options'!$E$2:$E$2")),7),""))</f>
        <v/>
      </c>
      <c r="M27" s="2" t="str">
        <f>IF(All_Questions_Q5_CT="(None)","",IFERROR(INDEX(INDIRECT(IFERROR(INDEX(All_Questions_Options_Names,MATCH(All_Questions_Q5_CT,All_Questions,0)),"'_Options'!$E$2:$E$2")),8),""))</f>
        <v/>
      </c>
      <c r="N27" s="2" t="str">
        <f>IF(All_Questions_Q5_CT="(None)","",IFERROR(INDEX(INDIRECT(IFERROR(INDEX(All_Questions_Options_Names,MATCH(All_Questions_Q5_CT,All_Questions,0)),"'_Options'!$E$2:$E$2")),9),""))</f>
        <v/>
      </c>
      <c r="O27" s="2" t="str">
        <f>IF(All_Questions_Q5_CT="(None)","",IFERROR(INDEX(INDIRECT(IFERROR(INDEX(All_Questions_Options_Names,MATCH(All_Questions_Q5_CT,All_Questions,0)),"'_Options'!$E$2:$E$2")),10),""))</f>
        <v/>
      </c>
      <c r="P27" s="2" t="str">
        <f>IF(All_Questions_Q5_CT="(None)","",IFERROR(INDEX(INDIRECT(IFERROR(INDEX(All_Questions_Options_Names,MATCH(All_Questions_Q5_CT,All_Questions,0)),"'_Options'!$E$2:$E$2")),11),""))</f>
        <v/>
      </c>
      <c r="Q27" s="2" t="str">
        <f>IF(All_Questions_Q5_CT="(None)","",IFERROR(INDEX(INDIRECT(IFERROR(INDEX(All_Questions_Options_Names,MATCH(All_Questions_Q5_CT,All_Questions,0)),"'_Options'!$E$2:$E$2")),12),""))</f>
        <v/>
      </c>
      <c r="R27" s="2" t="str">
        <f>IF(All_Questions_Q5_CT="(None)","",IF(COUNTA(INDIRECT(IFERROR(INDEX(All_Questions_Options_Names,MATCH(All_Questions_Q5_CT,All_Questions,0)),"'_Options'!$E$2:$E$2")))-1&gt;11,"Other",IFERROR(INDEX(INDIRECT(IFERROR(INDEX(All_Questions_Options_Names,MATCH(All_Questions_Q5_CT,All_Questions,0)),"'_Options'!$E$2:$E$2")),13),"")))</f>
        <v/>
      </c>
      <c r="S27" s="4" t="inlineStr">
        <is>
          <t>Total</t>
        </is>
      </c>
    </row>
    <row r="28">
      <c r="A28" t="inlineStr">
        <is>
          <t>Cost pressure</t>
        </is>
      </c>
      <c r="B28">
        <f>COUNTIFS(Q5r1_data,"Selected",passes_workbook_filters_data,1,passes_workbook_custom_filters_data,1,All_Questions_passes_local_filters_data,1,All_Questions_Q5_F_passes_per_q_filter_data,1)</f>
        <v>119</v>
      </c>
      <c r="C28" s="7">
        <f>IFERROR(B28/SUMPRODUCT(--((--(Q5r1_data&lt;&gt;"")+--(Q5r2_data&lt;&gt;""))&gt;0),--(passes_workbook_filters_data=1),--(passes_workbook_custom_filters_data=1),--(All_Questions_passes_local_filters_data=1),--(All_Questions_Q5_F_passes_per_q_filter_data=1)),0)</f>
        <v>0.6071428571428571</v>
      </c>
      <c r="D28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Other pressure</t>
        </is>
      </c>
      <c r="B29">
        <f>COUNTIFS(Q5r2_data,"Selected",passes_workbook_filters_data,1,passes_workbook_custom_filters_data,1,All_Questions_passes_local_filters_data,1,All_Questions_Q5_F_passes_per_q_filter_data,1)</f>
        <v>77</v>
      </c>
      <c r="C29" s="7">
        <f>IFERROR(B29/SUMPRODUCT(--((--(Q5r1_data&lt;&gt;"")+--(Q5r2_data&lt;&gt;""))&gt;0),--(passes_workbook_filters_data=1),--(passes_workbook_custom_filters_data=1),--(All_Questions_passes_local_filters_data=1),--(All_Questions_Q5_F_passes_per_q_filter_data=1)),0)</f>
        <v>0.39285714285714285</v>
      </c>
      <c r="D29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9" t="inlineStr">
        <is>
          <t>Cost pressure</t>
        </is>
      </c>
      <c r="G29">
        <f>IF(OR(All_Questions_Q5_CT="(None)",G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)</f>
        <v>0</v>
      </c>
      <c r="H29">
        <f>IF(OR(All_Questions_Q5_CT="(None)",H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)</f>
        <v>0</v>
      </c>
      <c r="I29">
        <f>IF(OR(All_Questions_Q5_CT="(None)",I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)</f>
        <v>0</v>
      </c>
      <c r="J29">
        <f>IF(OR(All_Questions_Q5_CT="(None)",J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)</f>
        <v>0</v>
      </c>
      <c r="K29">
        <f>IF(OR(All_Questions_Q5_CT="(None)",K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)</f>
        <v>0</v>
      </c>
      <c r="L29">
        <f>IF(OR(All_Questions_Q5_CT="(None)",L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)</f>
        <v>0</v>
      </c>
      <c r="M29">
        <f>IF(OR(All_Questions_Q5_CT="(None)",M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)</f>
        <v>0</v>
      </c>
      <c r="N29">
        <f>IF(OR(All_Questions_Q5_CT="(None)",N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)</f>
        <v>0</v>
      </c>
      <c r="O29">
        <f>IF(OR(All_Questions_Q5_CT="(None)",O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)</f>
        <v>0</v>
      </c>
      <c r="P29">
        <f>IF(OR(All_Questions_Q5_CT="(None)",P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)</f>
        <v>0</v>
      </c>
      <c r="Q29">
        <f>IF(OR(All_Questions_Q5_CT="(None)",Q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)</f>
        <v>0</v>
      </c>
      <c r="R29">
        <f>IF(OR(All_Questions_Q5_CT="(None)",R$27=""),"",IF(R$27="Other",COUNTIFS(Q5r1_data,"Selected",passes_workbook_filters_data,1,passes_workbook_custom_filters_data,1,All_Questions_passes_local_filters_data,1,All_Questions_Q5_F_passes_per_q_filter_data,1)-SUM(G29,H29,I29,J29,K29,L29,M29,N29,O29,P29,Q29)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))</f>
        <v>0</v>
      </c>
      <c r="S29">
        <f>IF(All_Questions_Q5_CT="(None)","",COUNTIFS(Q5r1_data,"Selected",passes_workbook_filters_data,1,passes_workbook_custom_filters_data,1,All_Questions_passes_local_filters_data,1,All_Questions_Q5_F_passes_per_q_filter_data,1))</f>
        <v>0</v>
      </c>
    </row>
    <row r="30">
      <c r="A30" s="15" t="inlineStr">
        <is>
          <t>Total respondents</t>
        </is>
      </c>
      <c r="B30" s="15" t="n">
        <v>196</v>
      </c>
      <c r="C30" s="15" t="n"/>
      <c r="D30" s="15" t="n"/>
      <c r="F30" t="inlineStr">
        <is>
          <t>Other pressure</t>
        </is>
      </c>
      <c r="G30">
        <f>IF(OR(All_Questions_Q5_CT="(None)",G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)</f>
        <v>0</v>
      </c>
      <c r="H30">
        <f>IF(OR(All_Questions_Q5_CT="(None)",H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)</f>
        <v>0</v>
      </c>
      <c r="I30">
        <f>IF(OR(All_Questions_Q5_CT="(None)",I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)</f>
        <v>0</v>
      </c>
      <c r="J30">
        <f>IF(OR(All_Questions_Q5_CT="(None)",J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)</f>
        <v>0</v>
      </c>
      <c r="K30">
        <f>IF(OR(All_Questions_Q5_CT="(None)",K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)</f>
        <v>0</v>
      </c>
      <c r="L30">
        <f>IF(OR(All_Questions_Q5_CT="(None)",L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)</f>
        <v>0</v>
      </c>
      <c r="M30">
        <f>IF(OR(All_Questions_Q5_CT="(None)",M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)</f>
        <v>0</v>
      </c>
      <c r="N30">
        <f>IF(OR(All_Questions_Q5_CT="(None)",N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)</f>
        <v>0</v>
      </c>
      <c r="O30">
        <f>IF(OR(All_Questions_Q5_CT="(None)",O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)</f>
        <v>0</v>
      </c>
      <c r="P30">
        <f>IF(OR(All_Questions_Q5_CT="(None)",P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)</f>
        <v>0</v>
      </c>
      <c r="Q30">
        <f>IF(OR(All_Questions_Q5_CT="(None)",Q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)</f>
        <v>0</v>
      </c>
      <c r="R30">
        <f>IF(OR(All_Questions_Q5_CT="(None)",R$27=""),"",IF(R$27="Other",COUNTIFS(Q5r2_data,"Selected",passes_workbook_filters_data,1,passes_workbook_custom_filters_data,1,All_Questions_passes_local_filters_data,1,All_Questions_Q5_F_passes_per_q_filter_data,1)-SUM(G30,H30,I30,J30,K30,L30,M30,N30,O30,P30,Q30)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))</f>
        <v>0</v>
      </c>
      <c r="S30">
        <f>IF(All_Questions_Q5_CT="(None)","",COUNTIFS(Q5r2_data,"Selected",passes_workbook_filters_data,1,passes_workbook_custom_filters_data,1,All_Questions_passes_local_filters_data,1,All_Questions_Q5_F_passes_per_q_filter_data,1))</f>
        <v>0</v>
      </c>
    </row>
    <row r="31">
      <c r="A31" s="4" t="inlineStr">
        <is>
          <t>Total responses</t>
        </is>
      </c>
      <c r="B31" s="4" t="n">
        <v>196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IF(All_Questions_Q5_CT="(None)","",COUNTIFS(respondent_id_data,"&lt;&gt;",passes_workbook_filters_data,1,passes_workbook_custom_filters_data,1,All_Questions_passes_local_filters_data,1,All_Questions_Q5_F_passes_per_q_filter_data,1))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=INDIRECT(IFERROR(INDEX(All_Questions_Options_Names,MATCH(All_Questions_Q5_F_Q,All_Questions,0)),"'_Options'!$E$2:$E$2"))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2026-06-03T21:14:26Z</dcterms:created>
  <dcterms:modified xmlns:dcterms="http://purl.org/dc/terms/" xmlns:xsi="http://www.w3.org/2001/XMLSchema-instance" xsi:type="dcterms:W3CDTF">2026-06-03T21:14:28Z</dcterms:modified>
</cp:coreProperties>
</file>