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Questions'!$C$23</definedName>
    <definedName name="All_Questions_Q_VERY_LONG_SINGLE_SELECT_EXPORT_NAME_F_V">'All Questions'!$E$23</definedName>
    <definedName name="All_Questions_Q_VERY_LONG_SINGLE_SELECT_EXPORT_NAME_F_resolved_column">'All Questions'!$F$23</definedName>
    <definedName name="All_Questions_Q_VERY_LONG_SINGLE_SELECT_EXPORT_NAME_F_wrapped">'All Questions'!$G$23</definedName>
    <definedName name="All_Questions_Q_VERY_LONG_SINGLE_SELECT_EXPORT_NAME_F_passes_per_q_filter_data">'_RawData'!$T$2:$T$11</definedName>
    <definedName name="All_Questions_Q_VERY_LONG_SINGLE_SELECT_EXPORT_NAME_CT">'All Questions'!$C$24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XLOOKUP(Theme_One_Q_MS_EXPORT_F_Q,All_Questions,All_Questions_Data_Names,"respondent_id_data")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IFERROR(INDEX(INDIRECT(XLOOKUP(Theme_One_Q_MS_EXPORT_CT,All_Questions,All_Questions_Options_Names,"None_options")),2),"")</f>
        <v/>
      </c>
      <c r="H26" t="str">
        <f>IFERROR(INDEX(INDIRECT(XLOOKUP(Theme_One_Q_MS_EXPORT_CT,All_Questions,All_Questions_Options_Names,"None_options")),3),"")</f>
        <v/>
      </c>
      <c r="I26" t="str">
        <f>IFERROR(INDEX(INDIRECT(XLOOKUP(Theme_One_Q_MS_EXPORT_CT,All_Questions,All_Questions_Options_Names,"None_options")),4),"")</f>
        <v/>
      </c>
      <c r="J26" t="str">
        <f>IFERROR(INDEX(INDIRECT(XLOOKUP(Theme_One_Q_MS_EXPORT_CT,All_Questions,All_Questions_Options_Names,"None_options")),5),"")</f>
        <v/>
      </c>
      <c r="K26" t="str">
        <f>IFERROR(INDEX(INDIRECT(XLOOKUP(Theme_One_Q_MS_EXPORT_CT,All_Questions,All_Questions_Options_Names,"None_options")),6),"")</f>
        <v/>
      </c>
      <c r="L26" t="str">
        <f>IFERROR(INDEX(INDIRECT(XLOOKUP(Theme_One_Q_MS_EXPORT_CT,All_Questions,All_Questions_Options_Names,"None_options")),7),"")</f>
        <v/>
      </c>
      <c r="M26" t="str">
        <f>IFERROR(INDEX(INDIRECT(XLOOKUP(Theme_One_Q_MS_EXPORT_CT,All_Questions,All_Questions_Options_Names,"None_options")),8),"")</f>
        <v/>
      </c>
      <c r="N26" t="str">
        <f>IFERROR(INDEX(INDIRECT(XLOOKUP(Theme_One_Q_MS_EXPORT_CT,All_Questions,All_Questions_Options_Names,"None_options")),9),"")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</sheetData>
  <mergeCells count="3">
    <mergeCell ref="A22:J22"/>
    <mergeCell ref="A1:J1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=INDIRECT(XLOOKUP(Theme_One_Q_MS_EXPORT_F_Q,All_Questions,All_Questions_Options_Names,"None_options"))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Grid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XLOOKUP(All_Questions_Q_GRID_EXPORT_F_Q,All_Questions,All_Questions_Data_Names,"respondent_id_data")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IFERROR(INDEX(INDIRECT(XLOOKUP(All_Questions_Q_GRID_EXPORT_CT,All_Questions,All_Questions_Options_Names,"None_options")),2),"")</f>
        <v/>
      </c>
      <c r="H16" t="str">
        <f>IFERROR(INDEX(INDIRECT(XLOOKUP(All_Questions_Q_GRID_EXPORT_CT,All_Questions,All_Questions_Options_Names,"None_options")),3),"")</f>
        <v/>
      </c>
      <c r="I16" t="str">
        <f>IFERROR(INDEX(INDIRECT(XLOOKUP(All_Questions_Q_GRID_EXPORT_CT,All_Questions,All_Questions_Options_Names,"None_options")),4),"")</f>
        <v/>
      </c>
      <c r="J16" t="str">
        <f>IFERROR(INDEX(INDIRECT(XLOOKUP(All_Questions_Q_GRID_EXPORT_CT,All_Questions,All_Questions_Options_Names,"None_options")),5),"")</f>
        <v/>
      </c>
      <c r="K16" t="str">
        <f>IFERROR(INDEX(INDIRECT(XLOOKUP(All_Questions_Q_GRID_EXPORT_CT,All_Questions,All_Questions_Options_Names,"None_options")),6),"")</f>
        <v/>
      </c>
      <c r="L16" t="str">
        <f>IFERROR(INDEX(INDIRECT(XLOOKUP(All_Questions_Q_GRID_EXPORT_CT,All_Questions,All_Questions_Options_Names,"None_options")),7),"")</f>
        <v/>
      </c>
      <c r="M16" t="str">
        <f>IFERROR(INDEX(INDIRECT(XLOOKUP(All_Questions_Q_GRID_EXPORT_CT,All_Questions,All_Questions_Options_Names,"None_options")),8),"")</f>
        <v/>
      </c>
      <c r="N16" t="str">
        <f>IFERROR(INDEX(INDIRECT(XLOOKUP(All_Questions_Q_GRID_EXPORT_CT,All_Questions,All_Questions_Options_Names,"None_options")),9),"")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t="inlineStr">
        <is>
          <t>Grid first row</t>
        </is>
      </c>
      <c r="G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7">
        <f>SUM(G17:N17)</f>
        <v>0</v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second row</t>
        </is>
      </c>
      <c r="G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20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Long sheet name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XLOOKUP(All_Questions_Q_VERY_LONG_SINGLE_SELECT_EXPORT_NAME_F_Q,All_Questions,All_Questions_Data_Names,"respondent_id_data")</f>
        <v>respondent_id_data</v>
      </c>
      <c r="G23" t="str">
        <f>"|" &amp; SUBSTITUTE(All_Questions_Q_VERY_LONG_SINGLE_SELECT_EXPORT_NAME_F_V,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IFERROR(INDEX(INDIRECT(XLOOKUP(All_Questions_Q_VERY_LONG_SINGLE_SELECT_EXPORT_NAME_CT,All_Questions,All_Questions_Options_Names,"None_options")),2),"")</f>
        <v/>
      </c>
      <c r="H26" t="str">
        <f>IFERROR(INDEX(INDIRECT(XLOOKUP(All_Questions_Q_VERY_LONG_SINGLE_SELECT_EXPORT_NAME_CT,All_Questions,All_Questions_Options_Names,"None_options")),3),"")</f>
        <v/>
      </c>
      <c r="I26" t="str">
        <f>IFERROR(INDEX(INDIRECT(XLOOKUP(All_Questions_Q_VERY_LONG_SINGLE_SELECT_EXPORT_NAME_CT,All_Questions,All_Questions_Options_Names,"None_options")),4),"")</f>
        <v/>
      </c>
      <c r="J26" t="str">
        <f>IFERROR(INDEX(INDIRECT(XLOOKUP(All_Questions_Q_VERY_LONG_SINGLE_SELECT_EXPORT_NAME_CT,All_Questions,All_Questions_Options_Names,"None_options")),5),"")</f>
        <v/>
      </c>
      <c r="K26" t="str">
        <f>IFERROR(INDEX(INDIRECT(XLOOKUP(All_Questions_Q_VERY_LONG_SINGLE_SELECT_EXPORT_NAME_CT,All_Questions,All_Questions_Options_Names,"None_options")),6),"")</f>
        <v/>
      </c>
      <c r="L26" t="str">
        <f>IFERROR(INDEX(INDIRECT(XLOOKUP(All_Questions_Q_VERY_LONG_SINGLE_SELECT_EXPORT_NAME_CT,All_Questions,All_Questions_Options_Names,"None_options")),7),"")</f>
        <v/>
      </c>
      <c r="M26" t="str">
        <f>IFERROR(INDEX(INDIRECT(XLOOKUP(All_Questions_Q_VERY_LONG_SINGLE_SELECT_EXPORT_NAME_CT,All_Questions,All_Questions_Options_Names,"None_options")),8),"")</f>
        <v/>
      </c>
      <c r="N26" t="str">
        <f>IFERROR(INDEX(INDIRECT(XLOOKUP(All_Questions_Q_VERY_LONG_SINGLE_SELECT_EXPORT_NAME_CT,All_Questions,All_Questions_Options_Names,"None_options")),9),"")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A</t>
        </is>
      </c>
      <c r="B2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7" s="7">
        <f>IFERROR(B27/SUBTOTAL(9,B27:B28),0)</f>
        <v>0.7</v>
      </c>
      <c r="D27" s="14">
        <f>SUBTOTAL(9,B27:B28)</f>
        <v>10</v>
      </c>
      <c r="F27" t="inlineStr">
        <is>
          <t>A</t>
        </is>
      </c>
      <c r="G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7">
        <f>SUM(G27:N27)</f>
        <v>0</v>
      </c>
    </row>
    <row r="28">
      <c r="A28" t="inlineStr">
        <is>
          <t>B</t>
        </is>
      </c>
      <c r="B2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8" s="7">
        <f>IFERROR(B28/SUBTOTAL(9,B27:B28),0)</f>
        <v>0.3</v>
      </c>
      <c r="D28" s="14">
        <f>SUBTOTAL(9,B27:B28)</f>
        <v>10</v>
      </c>
      <c r="F28" t="inlineStr">
        <is>
          <t>B</t>
        </is>
      </c>
      <c r="G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</row>
  </sheetData>
  <mergeCells count="3">
    <mergeCell ref="A22:J22"/>
    <mergeCell ref="A1:J1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2026-05-15T14:59:17Z</dcterms:created>
  <dcterms:modified xmlns:dcterms="http://purl.org/dc/terms/" xmlns:xsi="http://www.w3.org/2001/XMLSchema-instance" xsi:type="dcterms:W3CDTF">2026-05-15T14:59:17Z</dcterms:modified>
</cp:coreProperties>
</file>