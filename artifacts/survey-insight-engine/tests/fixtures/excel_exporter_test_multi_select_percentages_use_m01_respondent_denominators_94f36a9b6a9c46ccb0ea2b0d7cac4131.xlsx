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'_Options'!$A$2:$A$6</definedName>
    <definedName name="All_Questions_Local">'_Options'!$B$2:$B$7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All_Questions_Q4_F_wrapped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All_Questions_Q5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All_Questions_Q4_F_wrapped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All_Questions_Q5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All_Questions_Q4_F_wrapped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All_Questions_Q5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All_Questions_Q4_F_wrapped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All_Questions_Q5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All_Questions_Q4_F_wrapped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All_Questions_Q5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All_Questions_Q4_F_wrapped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All_Questions_Q5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All_Questions_Q4_F_wrapped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All_Questions_Q5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All_Questions_Q4_F_wrapped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All_Questions_Q5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All_Questions_Q4_F_wrapped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All_Questions_Q5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All_Questions_Q4_F_wrapped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All_Questions_Q5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All_Questions_Q4_F_wrapped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All_Questions_Q5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All_Questions_Q4_F_wrapped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All_Questions_Q5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All_Questions_Q4_F_wrapped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All_Questions_Q5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All_Questions_Q4_F_wrapped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All_Questions_Q5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All_Questions_Q4_F_wrapped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All_Questions_Q5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All_Questions_Q4_F_wrapped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All_Questions_Q5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All_Questions_Q4_F_wrapped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All_Questions_Q5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All_Questions_Q4_F_wrapped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All_Questions_Q5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All_Questions_Q4_F_wrapped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All_Questions_Q5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All_Questions_Q4_F_wrapped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All_Questions_Q5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All_Questions_Q4_F_wrapped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All_Questions_Q5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All_Questions_Q4_F_wrapped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All_Questions_Q5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All_Questions_Q4_F_wrapped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All_Questions_Q5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All_Questions_Q4_F_wrapped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All_Questions_Q5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All_Questions_Q4_F_wrapped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All_Questions_Q5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All_Questions_Q4_F_wrapped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All_Questions_Q5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All_Questions_Q4_F_wrapped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All_Questions_Q5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All_Questions_Q4_F_wrapped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All_Questions_Q5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All_Questions_Q4_F_wrapped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All_Questions_Q5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All_Questions_Q4_F_wrapped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All_Questions_Q5_F_wrapped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All_Questions_Q4_F_wrapped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All_Questions_Q5_F_wrapped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All_Questions_Q4_F_wrapped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All_Questions_Q5_F_wrapped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All_Questions_Q4_F_wrapped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All_Questions_Q5_F_wrapped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All_Questions_Q4_F_wrapped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All_Questions_Q5_F_wrapped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All_Questions_Q4_F_wrapped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All_Questions_Q5_F_wrapped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All_Questions_Q4_F_wrapped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All_Questions_Q5_F_wrapped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All_Questions_Q4_F_wrapped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All_Questions_Q5_F_wrapped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All_Questions_Q4_F_wrapped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All_Questions_Q5_F_wrapped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All_Questions_Q4_F_wrapped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All_Questions_Q5_F_wrapped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All_Questions_Q4_F_wrapped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All_Questions_Q5_F_wrapped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All_Questions_Q4_F_wrapped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All_Questions_Q5_F_wrapped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All_Questions_Q4_F_wrapped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All_Questions_Q5_F_wrapped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All_Questions_Q4_F_wrapped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All_Questions_Q5_F_wrapped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All_Questions_Q4_F_wrapped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All_Questions_Q5_F_wrapped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All_Questions_Q4_F_wrapped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All_Questions_Q5_F_wrapped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All_Questions_Q4_F_wrapped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All_Questions_Q5_F_wrapped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All_Questions_Q4_F_wrapped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All_Questions_Q5_F_wrapped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All_Questions_Q4_F_wrapped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All_Questions_Q5_F_wrapped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All_Questions_Q4_F_wrapped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All_Questions_Q5_F_wrapped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All_Questions_Q4_F_wrapped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All_Questions_Q5_F_wrapped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All_Questions_Q4_F_wrapped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All_Questions_Q5_F_wrapped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All_Questions_Q4_F_wrapped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All_Questions_Q5_F_wrapped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All_Questions_Q4_F_wrapped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All_Questions_Q5_F_wrapped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All_Questions_Q4_F_wrapped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All_Questions_Q5_F_wrapped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All_Questions_Q4_F_wrapped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All_Questions_Q5_F_wrapped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All_Questions_Q4_F_wrapped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All_Questions_Q5_F_wrapped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All_Questions_Q4_F_wrapped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All_Questions_Q5_F_wrapped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All_Questions_Q4_F_wrapped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All_Questions_Q5_F_wrapped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All_Questions_Q4_F_wrapped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All_Questions_Q5_F_wrapped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All_Questions_Q4_F_wrapped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All_Questions_Q5_F_wrapped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All_Questions_Q4_F_wrapped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All_Questions_Q5_F_wrapped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All_Questions_Q4_F_wrapped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All_Questions_Q5_F_wrapped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All_Questions_Q4_F_wrapped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All_Questions_Q5_F_wrapped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All_Questions_Q4_F_wrapped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All_Questions_Q5_F_wrapped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All_Questions_Q4_F_wrapped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All_Questions_Q5_F_wrapped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All_Questions_Q4_F_wrapped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All_Questions_Q5_F_wrapped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All_Questions_Q4_F_wrapped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All_Questions_Q5_F_wrapped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All_Questions_Q4_F_wrapped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All_Questions_Q5_F_wrapped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All_Questions_Q4_F_wrapped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All_Questions_Q5_F_wrapped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All_Questions_Q4_F_wrapped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All_Questions_Q5_F_wrapped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All_Questions_Q4_F_wrapped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All_Questions_Q5_F_wrapped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All_Questions_Q4_F_wrapped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All_Questions_Q5_F_wrapped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All_Questions_Q4_F_wrapped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All_Questions_Q5_F_wrapped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All_Questions_Q4_F_wrapped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All_Questions_Q5_F_wrapped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All_Questions_Q4_F_wrapped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All_Questions_Q5_F_wrapped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All_Questions_Q4_F_wrapped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All_Questions_Q5_F_wrapped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All_Questions_Q4_F_wrapped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All_Questions_Q5_F_wrapped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All_Questions_Q4_F_wrapped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All_Questions_Q5_F_wrapped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All_Questions_Q4_F_wrapped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All_Questions_Q5_F_wrapped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All_Questions_Q4_F_wrapped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All_Questions_Q5_F_wrapped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All_Questions_Q4_F_wrapped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All_Questions_Q5_F_wrapped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All_Questions_Q4_F_wrapped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All_Questions_Q5_F_wrapped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All_Questions_Q4_F_wrapped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All_Questions_Q5_F_wrapped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All_Questions_Q4_F_wrapped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All_Questions_Q5_F_wrapped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All_Questions_Q4_F_wrapped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All_Questions_Q5_F_wrapped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All_Questions_Q4_F_wrapped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All_Questions_Q5_F_wrapped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All_Questions_Q4_F_wrapped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All_Questions_Q5_F_wrapped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All_Questions_Q4_F_wrapped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All_Questions_Q5_F_wrapped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All_Questions_Q4_F_wrapped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All_Questions_Q5_F_wrapped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All_Questions_Q4_F_wrapped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All_Questions_Q5_F_wrapped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All_Questions_Q4_F_wrapped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All_Questions_Q5_F_wrapped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All_Questions_Q4_F_wrapped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All_Questions_Q5_F_wrapped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All_Questions_Q4_F_wrapped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All_Questions_Q5_F_wrapped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All_Questions_Q4_F_wrapped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All_Questions_Q5_F_wrapped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All_Questions_Q4_F_wrapped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All_Questions_Q5_F_wrapped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All_Questions_Q4_F_wrapped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All_Questions_Q5_F_wrapped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All_Questions_Q4_F_wrapped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All_Questions_Q5_F_wrapped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All_Questions_Q4_F_wrapped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All_Questions_Q5_F_wrapped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All_Questions_Q4_F_wrapped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All_Questions_Q5_F_wrapped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All_Questions_Q4_F_wrapped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All_Questions_Q5_F_wrapped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All_Questions_Q4_F_wrapped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All_Questions_Q5_F_wrapped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All_Questions_Q4_F_wrapped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All_Questions_Q5_F_wrapped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All_Questions_Q4_F_wrapped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All_Questions_Q5_F_wrapped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All_Questions_Q4_F_wrapped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All_Questions_Q5_F_wrapped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All_Questions_Q4_F_wrapped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All_Questions_Q5_F_wrapped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All_Questions_Q4_F_wrapped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All_Questions_Q5_F_wrapped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All_Questions_Q4_F_wrapped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All_Questions_Q5_F_wrapped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All_Questions_Q4_F_wrapped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All_Questions_Q5_F_wrapped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All_Questions_Q4_F_wrapped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All_Questions_Q5_F_wrapped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All_Questions_Q4_F_wrapped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All_Questions_Q5_F_wrapped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All_Questions_Q4_F_wrapped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All_Questions_Q5_F_wrapped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All_Questions_Q4_F_wrapped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All_Questions_Q5_F_wrapped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All_Questions_Q4_F_wrapped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All_Questions_Q5_F_wrapped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All_Questions_Q4_F_wrapped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All_Questions_Q5_F_wrapped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All_Questions_Q4_F_wrapped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All_Questions_Q5_F_wrapped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All_Questions_Q4_F_wrapped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All_Questions_Q5_F_wrapped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All_Questions_Q4_F_wrapped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All_Questions_Q5_F_wrapped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All_Questions_Q4_F_wrapped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All_Questions_Q5_F_wrapped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All_Questions_Q4_F_wrapped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All_Questions_Q5_F_wrapped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All_Questions_Q4_F_wrapped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All_Questions_Q5_F_wrapped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All_Questions_Q4_F_wrapped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All_Questions_Q5_F_wrapped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All_Questions_Q4_F_wrapped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All_Questions_Q5_F_wrapped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All_Questions_Q4_F_wrapped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All_Questions_Q5_F_wrapped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All_Questions_Q4_F_wrapped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All_Questions_Q5_F_wrapped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All_Questions_Q4_F_wrapped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All_Questions_Q5_F_wrapped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All_Questions_Q4_F_wrapped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All_Questions_Q5_F_wrapped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All_Questions_Q4_F_wrapped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All_Questions_Q5_F_wrapped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All_Questions_Q4_F_wrapped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All_Questions_Q5_F_wrapped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All_Questions_Q4_F_wrapped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All_Questions_Q5_F_wrapped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All_Questions_Q4_F_wrapped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All_Questions_Q5_F_wrapped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All_Questions_Q4_F_wrapped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All_Questions_Q5_F_wrapped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All_Questions_Q4_F_wrapped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All_Questions_Q5_F_wrapped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All_Questions_Q4_F_wrapped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All_Questions_Q5_F_wrapped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All_Questions_Q4_F_wrapped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All_Questions_Q5_F_wrapped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All_Questions_Q4_F_wrapped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All_Questions_Q5_F_wrapped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All_Questions_Q4_F_wrapped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All_Questions_Q5_F_wrapped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All_Questions_Q4_F_wrapped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All_Questions_Q5_F_wrapped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All_Questions_Q4_F_wrapped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All_Questions_Q5_F_wrapped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All_Questions_Q4_F_wrapped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All_Questions_Q5_F_wrapped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All_Questions_Q4_F_wrapped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All_Questions_Q5_F_wrapped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All_Questions_Q4_F_wrapped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All_Questions_Q5_F_wrapped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All_Questions_Q4_F_wrapped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All_Questions_Q5_F_wrapped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All_Questions_Q4_F_wrapped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All_Questions_Q5_F_wrapped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All_Questions_Q4_F_wrapped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All_Questions_Q5_F_wrapped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All_Questions_Q4_F_wrapped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All_Questions_Q5_F_wrapped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All_Questions_Q4_F_wrapped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All_Questions_Q5_F_wrapped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All_Questions_Q4_F_wrapped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All_Questions_Q5_F_wrapped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All_Questions_Q4_F_wrapped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All_Questions_Q5_F_wrapped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All_Questions_Q4_F_wrapped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All_Questions_Q5_F_wrapped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All_Questions_Q4_F_wrapped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All_Questions_Q5_F_wrapped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All_Questions_Q4_F_wrapped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All_Questions_Q5_F_wrapped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All_Questions_Q4_F_wrapped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All_Questions_Q5_F_wrapped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All_Questions_Q4_F_wrapped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All_Questions_Q5_F_wrapped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All_Questions_Q4_F_wrapped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All_Questions_Q5_F_wrapped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All_Questions_Q4_F_wrapped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All_Questions_Q5_F_wrapped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All_Questions_Q4_F_wrapped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All_Questions_Q5_F_wrapped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All_Questions_Q4_F_wrapped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All_Questions_Q5_F_wrapped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All_Questions_Q4_F_wrapped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All_Questions_Q5_F_wrapped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All_Questions_Q4_F_wrapped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All_Questions_Q5_F_wrapped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All_Questions_Q4_F_wrapped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All_Questions_Q5_F_wrapped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All_Questions_Q4_F_wrapped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All_Questions_Q5_F_wrapped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All_Questions_Q4_F_wrapped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All_Questions_Q5_F_wrapped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All_Questions_Q4_F_wrapped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All_Questions_Q5_F_wrapped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All_Questions_Q4_F_wrapped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All_Questions_Q5_F_wrapped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All_Questions_Q4_F_wrapped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All_Questions_Q5_F_wrapped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All_Questions_Q4_F_wrapped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All_Questions_Q5_F_wrapped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All_Questions_Q4_F_wrapped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All_Questions_Q5_F_wrapped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All_Questions_Q4_F_wrapped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All_Questions_Q5_F_wrapped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All_Questions_Q4_F_wrapped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All_Questions_Q5_F_wrapped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All_Questions_Q4_F_wrapped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All_Questions_Q5_F_wrapped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All_Questions_Q4_F_wrapped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All_Questions_Q5_F_wrapped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All_Questions_Q4_F_wrapped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All_Questions_Q5_F_wrapped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All_Questions_Q4_F_wrapped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All_Questions_Q5_F_wrapped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All_Questions_Q4_F_wrapped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All_Questions_Q5_F_wrapped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All_Questions_Q4_F_wrapped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All_Questions_Q5_F_wrapped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All_Questions_Q4_F_wrapped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All_Questions_Q5_F_wrapped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All_Questions_Q4_F_wrapped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All_Questions_Q5_F_wrapped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All_Questions_Q4_F_wrapped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All_Questions_Q5_F_wrapped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All_Questions_Q4_F_wrapped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All_Questions_Q5_F_wrapped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All_Questions_Q4_F_wrapped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All_Questions_Q5_F_wrapped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All_Questions_Q4_F_wrapped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All_Questions_Q5_F_wrapped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All_Questions_Q4_F_wrapped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All_Questions_Q5_F_wrapped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All_Questions_Q4_F_wrapped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All_Questions_Q5_F_wrapped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All_Questions_Q4_F_wrapped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All_Questions_Q5_F_wrapped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All_Questions_Q4_F_wrapped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All_Questions_Q5_F_wrapped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All_Questions_Q4_F_wrapped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All_Questions_Q5_F_wrapped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All_Questions_Q4_F_wrapped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All_Questions_Q5_F_wrapped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All_Questions_Q4_F_wrapped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All_Questions_Q5_F_wrapped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All_Questions_Q4_F_wrapped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All_Questions_Q5_F_wrapped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All_Questions_Q4_F_wrapped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All_Questions_Q5_F_wrapped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All_Questions_Q4_F_wrapped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All_Questions_Q5_F_wrapped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All_Questions_Q4_F_wrapped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All_Questions_Q5_F_wrapped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All_Questions_Q4_F_wrapped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All_Questions_Q5_F_wrapped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All_Questions_Q4_F_wrapped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All_Questions_Q5_F_wrapped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All_Questions_Q4_F_wrapped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All_Questions_Q5_F_wrapped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All_Questions_Q4_F_wrapped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All_Questions_Q5_F_wrapped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All_Questions_Q4_F_wrapped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All_Questions_Q5_F_wrapped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All_Questions_Q4_F_wrapped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All_Questions_Q5_F_wrapped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All_Questions_Q4_F_wrapped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All_Questions_Q5_F_wrapped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All_Questions_Q4_F_wrapped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All_Questions_Q5_F_wrapped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All_Questions_Q4_F_wrapped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All_Questions_Q5_F_wrapped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All_Questions_Q4_F_wrapped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All_Questions_Q5_F_wrapped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All_Questions_Q4_F_wrapped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All_Questions_Q5_F_wrapped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All_Questions_Q4_F_wrapped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All_Questions_Q5_F_wrapped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All_Questions_Q4_F_wrapped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All_Questions_Q5_F_wrapped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All_Questions_Q4_F_wrapped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All_Questions_Q5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A3" t="inlineStr">
        <is>
          <t>Q4 - Business Needs - Revenue intelligence</t>
        </is>
      </c>
      <c r="B3" t="inlineStr">
        <is>
          <t>(None)</t>
        </is>
      </c>
      <c r="C3" t="inlineStr">
        <is>
          <t>'_RawData'!$B$2:$B$207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A4" t="inlineStr">
        <is>
          <t>Q4 - Business Needs - Other business need</t>
        </is>
      </c>
      <c r="B4" t="inlineStr">
        <is>
          <t>Q4 - Business Needs - Revenue intelligence</t>
        </is>
      </c>
      <c r="C4" t="inlineStr">
        <is>
          <t>'_RawData'!$C$2:$C$207</t>
        </is>
      </c>
      <c r="D4" t="inlineStr">
        <is>
          <t>'_Options'!$G$2:$G$3</t>
        </is>
      </c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</row>
    <row r="5">
      <c r="A5" t="inlineStr">
        <is>
          <t>Q5 - Pressures - Cost pressure</t>
        </is>
      </c>
      <c r="B5" t="inlineStr">
        <is>
          <t>Q4 - Business Needs - Other business need</t>
        </is>
      </c>
      <c r="C5" t="inlineStr">
        <is>
          <t>'_RawData'!$D$2:$D$207</t>
        </is>
      </c>
      <c r="D5" t="inlineStr">
        <is>
          <t>'_Options'!$H$2:$H$3</t>
        </is>
      </c>
    </row>
    <row r="6">
      <c r="A6" t="inlineStr">
        <is>
          <t>Q5 - Pressures - Other pressure</t>
        </is>
      </c>
      <c r="B6" t="inlineStr">
        <is>
          <t>Q5 - Pressures - Cost pressure</t>
        </is>
      </c>
      <c r="C6" t="inlineStr">
        <is>
          <t>'_RawData'!$E$2:$E$207</t>
        </is>
      </c>
      <c r="D6" t="inlineStr">
        <is>
          <t>'_Options'!$I$2:$I$3</t>
        </is>
      </c>
    </row>
    <row r="7">
      <c r="B7" t="inlineStr">
        <is>
          <t>Q5 - Pressures - Other pressure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IFERROR(INDEX(All_Questions_Data_Names,MATCH(All_Questions_Q4_F_Q,All_Questions,0)),"'_RawData'!$A:$A")</f>
        <v>respondent_id_data</v>
      </c>
      <c r="G13" t="str">
        <f>"|" &amp; SUBSTITUTE(All_Questions_Q4_F_V,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IF(All_Questions_Q4_CT="(None)","",IFERROR(INDEX(INDIRECT(IFERROR(INDEX(All_Questions_Options_Names,MATCH(All_Questions_Q4_CT,All_Questions,0)),"'_Options'!$E$2:$E$2")),2),""))</f>
        <v/>
      </c>
      <c r="H16" s="2" t="str">
        <f>IF(All_Questions_Q4_CT="(None)","",IFERROR(INDEX(INDIRECT(IFERROR(INDEX(All_Questions_Options_Names,MATCH(All_Questions_Q4_CT,All_Questions,0)),"'_Options'!$E$2:$E$2")),3),""))</f>
        <v/>
      </c>
      <c r="I16" s="2" t="str">
        <f>IF(All_Questions_Q4_CT="(None)","",IFERROR(INDEX(INDIRECT(IFERROR(INDEX(All_Questions_Options_Names,MATCH(All_Questions_Q4_CT,All_Questions,0)),"'_Options'!$E$2:$E$2")),4),""))</f>
        <v/>
      </c>
      <c r="J16" s="2" t="str">
        <f>IF(All_Questions_Q4_CT="(None)","",IFERROR(INDEX(INDIRECT(IFERROR(INDEX(All_Questions_Options_Names,MATCH(All_Questions_Q4_CT,All_Questions,0)),"'_Options'!$E$2:$E$2")),5),""))</f>
        <v/>
      </c>
      <c r="K16" s="2" t="str">
        <f>IF(All_Questions_Q4_CT="(None)","",IFERROR(INDEX(INDIRECT(IFERROR(INDEX(All_Questions_Options_Names,MATCH(All_Questions_Q4_CT,All_Questions,0)),"'_Options'!$E$2:$E$2")),6),""))</f>
        <v/>
      </c>
      <c r="L16" s="2" t="str">
        <f>IF(All_Questions_Q4_CT="(None)","",IFERROR(INDEX(INDIRECT(IFERROR(INDEX(All_Questions_Options_Names,MATCH(All_Questions_Q4_CT,All_Questions,0)),"'_Options'!$E$2:$E$2")),7),""))</f>
        <v/>
      </c>
      <c r="M16" s="2" t="str">
        <f>IF(All_Questions_Q4_CT="(None)","",IFERROR(INDEX(INDIRECT(IFERROR(INDEX(All_Questions_Options_Names,MATCH(All_Questions_Q4_CT,All_Questions,0)),"'_Options'!$E$2:$E$2")),8),""))</f>
        <v/>
      </c>
      <c r="N16" s="2" t="str">
        <f>IF(All_Questions_Q4_CT="(None)","",IFERROR(INDEX(INDIRECT(IFERROR(INDEX(All_Questions_Options_Names,MATCH(All_Questions_Q4_CT,All_Questions,0)),"'_Options'!$E$2:$E$2")),9),""))</f>
        <v/>
      </c>
      <c r="O16" s="2" t="str">
        <f>IF(All_Questions_Q4_CT="(None)","",IFERROR(INDEX(INDIRECT(IFERROR(INDEX(All_Questions_Options_Names,MATCH(All_Questions_Q4_CT,All_Questions,0)),"'_Options'!$E$2:$E$2")),10),""))</f>
        <v/>
      </c>
      <c r="P16" s="2" t="str">
        <f>IF(All_Questions_Q4_CT="(None)","",IFERROR(INDEX(INDIRECT(IFERROR(INDEX(All_Questions_Options_Names,MATCH(All_Questions_Q4_CT,All_Questions,0)),"'_Options'!$E$2:$E$2")),11),""))</f>
        <v/>
      </c>
      <c r="Q16" s="2" t="str">
        <f>IF(All_Questions_Q4_CT="(None)","",IFERROR(INDEX(INDIRECT(IFERROR(INDEX(All_Questions_Options_Names,MATCH(All_Questions_Q4_CT,All_Questions,0)),"'_Options'!$E$2:$E$2")),12),""))</f>
        <v/>
      </c>
      <c r="R16" s="2" t="str">
        <f>IF(All_Questions_Q4_CT="(None)","",IF(COUNTA(INDIRECT(IFERROR(INDEX(All_Questions_Options_Names,MATCH(All_Questions_Q4_CT,All_Questions,0)),"'_Options'!$E$2:$E$2")))-1&gt;11,"Other",IFERROR(INDEX(INDIRECT(IFERROR(INDEX(All_Questions_Options_Names,MATCH(All_Questions_Q4_CT,All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>
        <f>IF(OR(All_Questions_Q4_CT="(None)",G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8">
        <f>IF(OR(All_Questions_Q4_CT="(None)",H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8">
        <f>IF(OR(All_Questions_Q4_CT="(None)",I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8">
        <f>IF(OR(All_Questions_Q4_CT="(None)",J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8">
        <f>IF(OR(All_Questions_Q4_CT="(None)",K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8">
        <f>IF(OR(All_Questions_Q4_CT="(None)",L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8">
        <f>IF(OR(All_Questions_Q4_CT="(None)",M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8">
        <f>IF(OR(All_Questions_Q4_CT="(None)",N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8">
        <f>IF(OR(All_Questions_Q4_CT="(None)",O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8">
        <f>IF(OR(All_Questions_Q4_CT="(None)",P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8">
        <f>IF(OR(All_Questions_Q4_CT="(None)",Q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8">
        <f>IF(OR(All_Questions_Q4_CT="(None)",R$16=""),"",IF(R$16="Other",COUNTIFS(Q4r1_data,"Selected",passes_workbook_filters_data,1,passes_workbook_custom_filters_data,1,All_Questions_passes_local_filters_data,1,All_Questions_Q4_F_passes_per_q_filter_data,1)-SUM(G18,H18,I18,J18,K18,L18,M18,N18,O18,P18,Q18)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8">
        <f>IF(All_Questions_Q4_CT="(None)","",COUNTIFS(Q4r1_data,"Selected",passes_workbook_filters_data,1,passes_workbook_custom_filters_data,1,All_Questions_passes_local_filters_data,1,All_Questions_Q4_F_passes_per_q_filter_data,1))</f>
        <v>0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>
        <f>IF(OR(All_Questions_Q4_CT="(None)",G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9">
        <f>IF(OR(All_Questions_Q4_CT="(None)",H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9">
        <f>IF(OR(All_Questions_Q4_CT="(None)",I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9">
        <f>IF(OR(All_Questions_Q4_CT="(None)",J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9">
        <f>IF(OR(All_Questions_Q4_CT="(None)",K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9">
        <f>IF(OR(All_Questions_Q4_CT="(None)",L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9">
        <f>IF(OR(All_Questions_Q4_CT="(None)",M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9">
        <f>IF(OR(All_Questions_Q4_CT="(None)",N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9">
        <f>IF(OR(All_Questions_Q4_CT="(None)",O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9">
        <f>IF(OR(All_Questions_Q4_CT="(None)",P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9">
        <f>IF(OR(All_Questions_Q4_CT="(None)",Q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9">
        <f>IF(OR(All_Questions_Q4_CT="(None)",R$16=""),"",IF(R$16="Other",COUNTIFS(Q4r2_data,"Selected",passes_workbook_filters_data,1,passes_workbook_custom_filters_data,1,All_Questions_passes_local_filters_data,1,All_Questions_Q4_F_passes_per_q_filter_data,1)-SUM(G19,H19,I19,J19,K19,L19,M19,N19,O19,P19,Q19)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9">
        <f>IF(All_Questions_Q4_CT="(None)","",COUNTIFS(Q4r2_data,"Selected",passes_workbook_filters_data,1,passes_workbook_custom_filters_data,1,All_Questions_passes_local_filters_data,1,All_Questions_Q4_F_passes_per_q_filter_data,1))</f>
        <v>0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IFERROR(INDEX(All_Questions_Data_Names,MATCH(All_Questions_Q5_F_Q,All_Questions,0)),"'_RawData'!$A:$A")</f>
        <v>respondent_id_data</v>
      </c>
      <c r="G24" t="str">
        <f>"|" &amp; SUBSTITUTE(All_Questions_Q5_F_V,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IF(All_Questions_Q5_CT="(None)","",IFERROR(INDEX(INDIRECT(IFERROR(INDEX(All_Questions_Options_Names,MATCH(All_Questions_Q5_CT,All_Questions,0)),"'_Options'!$E$2:$E$2")),2),""))</f>
        <v/>
      </c>
      <c r="H27" s="2" t="str">
        <f>IF(All_Questions_Q5_CT="(None)","",IFERROR(INDEX(INDIRECT(IFERROR(INDEX(All_Questions_Options_Names,MATCH(All_Questions_Q5_CT,All_Questions,0)),"'_Options'!$E$2:$E$2")),3),""))</f>
        <v/>
      </c>
      <c r="I27" s="2" t="str">
        <f>IF(All_Questions_Q5_CT="(None)","",IFERROR(INDEX(INDIRECT(IFERROR(INDEX(All_Questions_Options_Names,MATCH(All_Questions_Q5_CT,All_Questions,0)),"'_Options'!$E$2:$E$2")),4),""))</f>
        <v/>
      </c>
      <c r="J27" s="2" t="str">
        <f>IF(All_Questions_Q5_CT="(None)","",IFERROR(INDEX(INDIRECT(IFERROR(INDEX(All_Questions_Options_Names,MATCH(All_Questions_Q5_CT,All_Questions,0)),"'_Options'!$E$2:$E$2")),5),""))</f>
        <v/>
      </c>
      <c r="K27" s="2" t="str">
        <f>IF(All_Questions_Q5_CT="(None)","",IFERROR(INDEX(INDIRECT(IFERROR(INDEX(All_Questions_Options_Names,MATCH(All_Questions_Q5_CT,All_Questions,0)),"'_Options'!$E$2:$E$2")),6),""))</f>
        <v/>
      </c>
      <c r="L27" s="2" t="str">
        <f>IF(All_Questions_Q5_CT="(None)","",IFERROR(INDEX(INDIRECT(IFERROR(INDEX(All_Questions_Options_Names,MATCH(All_Questions_Q5_CT,All_Questions,0)),"'_Options'!$E$2:$E$2")),7),""))</f>
        <v/>
      </c>
      <c r="M27" s="2" t="str">
        <f>IF(All_Questions_Q5_CT="(None)","",IFERROR(INDEX(INDIRECT(IFERROR(INDEX(All_Questions_Options_Names,MATCH(All_Questions_Q5_CT,All_Questions,0)),"'_Options'!$E$2:$E$2")),8),""))</f>
        <v/>
      </c>
      <c r="N27" s="2" t="str">
        <f>IF(All_Questions_Q5_CT="(None)","",IFERROR(INDEX(INDIRECT(IFERROR(INDEX(All_Questions_Options_Names,MATCH(All_Questions_Q5_CT,All_Questions,0)),"'_Options'!$E$2:$E$2")),9),""))</f>
        <v/>
      </c>
      <c r="O27" s="2" t="str">
        <f>IF(All_Questions_Q5_CT="(None)","",IFERROR(INDEX(INDIRECT(IFERROR(INDEX(All_Questions_Options_Names,MATCH(All_Questions_Q5_CT,All_Questions,0)),"'_Options'!$E$2:$E$2")),10),""))</f>
        <v/>
      </c>
      <c r="P27" s="2" t="str">
        <f>IF(All_Questions_Q5_CT="(None)","",IFERROR(INDEX(INDIRECT(IFERROR(INDEX(All_Questions_Options_Names,MATCH(All_Questions_Q5_CT,All_Questions,0)),"'_Options'!$E$2:$E$2")),11),""))</f>
        <v/>
      </c>
      <c r="Q27" s="2" t="str">
        <f>IF(All_Questions_Q5_CT="(None)","",IFERROR(INDEX(INDIRECT(IFERROR(INDEX(All_Questions_Options_Names,MATCH(All_Questions_Q5_CT,All_Questions,0)),"'_Options'!$E$2:$E$2")),12),""))</f>
        <v/>
      </c>
      <c r="R27" s="2" t="str">
        <f>IF(All_Questions_Q5_CT="(None)","",IF(COUNTA(INDIRECT(IFERROR(INDEX(All_Questions_Options_Names,MATCH(All_Questions_Q5_CT,All_Questions,0)),"'_Options'!$E$2:$E$2")))-1&gt;11,"Other",IFERROR(INDEX(INDIRECT(IFERROR(INDEX(All_Questions_Options_Names,MATCH(All_Questions_Q5_CT,All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>
        <f>IF(OR(All_Questions_Q5_CT="(None)",G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29">
        <f>IF(OR(All_Questions_Q5_CT="(None)",H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29">
        <f>IF(OR(All_Questions_Q5_CT="(None)",I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29">
        <f>IF(OR(All_Questions_Q5_CT="(None)",J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29">
        <f>IF(OR(All_Questions_Q5_CT="(None)",K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29">
        <f>IF(OR(All_Questions_Q5_CT="(None)",L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29">
        <f>IF(OR(All_Questions_Q5_CT="(None)",M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29">
        <f>IF(OR(All_Questions_Q5_CT="(None)",N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29">
        <f>IF(OR(All_Questions_Q5_CT="(None)",O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29">
        <f>IF(OR(All_Questions_Q5_CT="(None)",P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29">
        <f>IF(OR(All_Questions_Q5_CT="(None)",Q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29">
        <f>IF(OR(All_Questions_Q5_CT="(None)",R$27=""),"",IF(R$27="Other",COUNTIFS(Q5r1_data,"Selected",passes_workbook_filters_data,1,passes_workbook_custom_filters_data,1,All_Questions_passes_local_filters_data,1,All_Questions_Q5_F_passes_per_q_filter_data,1)-SUM(G29,H29,I29,J29,K29,L29,M29,N29,O29,P29,Q29)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29">
        <f>IF(All_Questions_Q5_CT="(None)","",COUNTIFS(Q5r1_data,"Selected",passes_workbook_filters_data,1,passes_workbook_custom_filters_data,1,All_Questions_passes_local_filters_data,1,All_Questions_Q5_F_passes_per_q_filter_data,1))</f>
        <v>0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>
        <f>IF(OR(All_Questions_Q5_CT="(None)",G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30">
        <f>IF(OR(All_Questions_Q5_CT="(None)",H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30">
        <f>IF(OR(All_Questions_Q5_CT="(None)",I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30">
        <f>IF(OR(All_Questions_Q5_CT="(None)",J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30">
        <f>IF(OR(All_Questions_Q5_CT="(None)",K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30">
        <f>IF(OR(All_Questions_Q5_CT="(None)",L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30">
        <f>IF(OR(All_Questions_Q5_CT="(None)",M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30">
        <f>IF(OR(All_Questions_Q5_CT="(None)",N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30">
        <f>IF(OR(All_Questions_Q5_CT="(None)",O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30">
        <f>IF(OR(All_Questions_Q5_CT="(None)",P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30">
        <f>IF(OR(All_Questions_Q5_CT="(None)",Q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30">
        <f>IF(OR(All_Questions_Q5_CT="(None)",R$27=""),"",IF(R$27="Other",COUNTIFS(Q5r2_data,"Selected",passes_workbook_filters_data,1,passes_workbook_custom_filters_data,1,All_Questions_passes_local_filters_data,1,All_Questions_Q5_F_passes_per_q_filter_data,1)-SUM(G30,H30,I30,J30,K30,L30,M30,N30,O30,P30,Q30)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30">
        <f>IF(All_Questions_Q5_CT="(None)","",COUNTIFS(Q5r2_data,"Selected",passes_workbook_filters_data,1,passes_workbook_custom_filters_data,1,All_Questions_passes_local_filters_data,1,All_Questions_Q5_F_passes_per_q_filter_data,1))</f>
        <v>0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2026-06-06T20:47:36Z</dcterms:created>
  <dcterms:modified xmlns:dcterms="http://purl.org/dc/terms/" xmlns:xsi="http://www.w3.org/2001/XMLSchema-instance" xsi:type="dcterms:W3CDTF">2026-06-06T20:47:38Z</dcterms:modified>
</cp:coreProperties>
</file>