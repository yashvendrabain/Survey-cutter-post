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n"/>
      <c r="I16" s="2" t="str">
        <f>IF(Theme_One_Q_SS_EXPORT_CT="(None)","",IFERROR(INDEX(INDIRECT(IFERROR(INDEX(All_Questions_Options_Names,MATCH(Theme_One_Q_SS_EXPORT_CT,All_Questions,0)),"'_Options'!$E$2:$E$2")),3),""))</f>
        <v/>
      </c>
      <c r="J16" s="2" t="n"/>
      <c r="K16" s="2" t="str">
        <f>IF(Theme_One_Q_SS_EXPORT_CT="(None)","",IFERROR(INDEX(INDIRECT(IFERROR(INDEX(All_Questions_Options_Names,MATCH(Theme_One_Q_SS_EXPORT_CT,All_Questions,0)),"'_Options'!$E$2:$E$2")),4),""))</f>
        <v/>
      </c>
      <c r="L16" s="2" t="n"/>
      <c r="M16" s="2" t="str">
        <f>IF(Theme_One_Q_SS_EXPORT_CT="(None)","",IFERROR(INDEX(INDIRECT(IFERROR(INDEX(All_Questions_Options_Names,MATCH(Theme_One_Q_SS_EXPORT_CT,All_Questions,0)),"'_Options'!$E$2:$E$2")),5),""))</f>
        <v/>
      </c>
      <c r="N16" s="2" t="n"/>
      <c r="O16" s="2" t="str">
        <f>IF(Theme_One_Q_SS_EXPORT_CT="(None)","",IFERROR(INDEX(INDIRECT(IFERROR(INDEX(All_Questions_Options_Names,MATCH(Theme_One_Q_SS_EXPORT_CT,All_Questions,0)),"'_Options'!$E$2:$E$2")),6),""))</f>
        <v/>
      </c>
      <c r="P16" s="2" t="n"/>
      <c r="Q16" s="2" t="str">
        <f>IF(Theme_One_Q_SS_EXPORT_CT="(None)","",IFERROR(INDEX(INDIRECT(IFERROR(INDEX(All_Questions_Options_Names,MATCH(Theme_One_Q_SS_EXPORT_CT,All_Questions,0)),"'_Options'!$E$2:$E$2")),7),""))</f>
        <v/>
      </c>
      <c r="R16" s="2" t="n"/>
      <c r="S16" s="2" t="str">
        <f>IF(Theme_One_Q_SS_EXPORT_CT="(None)","",IFERROR(INDEX(INDIRECT(IFERROR(INDEX(All_Questions_Options_Names,MATCH(Theme_One_Q_SS_EXPORT_CT,All_Questions,0)),"'_Options'!$E$2:$E$2")),8),""))</f>
        <v/>
      </c>
      <c r="T16" s="2" t="n"/>
      <c r="U16" s="2" t="str">
        <f>IF(Theme_One_Q_SS_EXPORT_CT="(None)","",IFERROR(INDEX(INDIRECT(IFERROR(INDEX(All_Questions_Options_Names,MATCH(Theme_One_Q_SS_EXPORT_CT,All_Questions,0)),"'_Options'!$E$2:$E$2")),9),""))</f>
        <v/>
      </c>
      <c r="V16" s="2" t="n"/>
      <c r="W16" s="2" t="str">
        <f>IF(Theme_One_Q_SS_EXPORT_CT="(None)","",IFERROR(INDEX(INDIRECT(IFERROR(INDEX(All_Questions_Options_Names,MATCH(Theme_One_Q_SS_EXPORT_CT,All_Questions,0)),"'_Options'!$E$2:$E$2")),10),""))</f>
        <v/>
      </c>
      <c r="X16" s="2" t="n"/>
      <c r="Y16" s="2" t="str">
        <f>IF(Theme_One_Q_SS_EXPORT_CT="(None)","",IFERROR(INDEX(INDIRECT(IFERROR(INDEX(All_Questions_Options_Names,MATCH(Theme_One_Q_SS_EXPORT_CT,All_Questions,0)),"'_Options'!$E$2:$E$2")),11),""))</f>
        <v/>
      </c>
      <c r="Z16" s="2" t="n"/>
      <c r="AA16" s="2" t="str">
        <f>IF(Theme_One_Q_SS_EXPORT_CT="(None)","",IFERROR(INDEX(INDIRECT(IFERROR(INDEX(All_Questions_Options_Names,MATCH(Theme_One_Q_SS_EXPORT_CT,All_Questions,0)),"'_Options'!$E$2:$E$2")),12),""))</f>
        <v/>
      </c>
      <c r="AB16" s="2" t="n"/>
      <c r="AC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,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S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U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W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Y$16)+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A$16)),COUNTIFS(respondent_id_data,"&lt;&gt;",passes_workbook_filters_data,1,passes_workbook_custom_filters_data,1,Theme_One_passes_local_filters_data,1,Theme_One_Q_SS_EXPORT_F_passes_per_q_filter_data,1,INDIRECT(IFERROR(INDEX(All_Questions_Data_Names,MATCH(Theme_One_Q_SS_EXPORT_CT,All_Questions,0)),"'_RawData'!$A:$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n"/>
      <c r="I26" s="2" t="str">
        <f>IF(Theme_One_Q_MS_EXPORT_CT="(None)","",IFERROR(INDEX(INDIRECT(IFERROR(INDEX(All_Questions_Options_Names,MATCH(Theme_One_Q_MS_EXPORT_CT,All_Questions,0)),"'_Options'!$E$2:$E$2")),3),""))</f>
        <v/>
      </c>
      <c r="J26" s="2" t="n"/>
      <c r="K26" s="2" t="str">
        <f>IF(Theme_One_Q_MS_EXPORT_CT="(None)","",IFERROR(INDEX(INDIRECT(IFERROR(INDEX(All_Questions_Options_Names,MATCH(Theme_One_Q_MS_EXPORT_CT,All_Questions,0)),"'_Options'!$E$2:$E$2")),4),""))</f>
        <v/>
      </c>
      <c r="L26" s="2" t="n"/>
      <c r="M26" s="2" t="str">
        <f>IF(Theme_One_Q_MS_EXPORT_CT="(None)","",IFERROR(INDEX(INDIRECT(IFERROR(INDEX(All_Questions_Options_Names,MATCH(Theme_One_Q_MS_EXPORT_CT,All_Questions,0)),"'_Options'!$E$2:$E$2")),5),""))</f>
        <v/>
      </c>
      <c r="N26" s="2" t="n"/>
      <c r="O26" s="2" t="str">
        <f>IF(Theme_One_Q_MS_EXPORT_CT="(None)","",IFERROR(INDEX(INDIRECT(IFERROR(INDEX(All_Questions_Options_Names,MATCH(Theme_One_Q_MS_EXPORT_CT,All_Questions,0)),"'_Options'!$E$2:$E$2")),6),""))</f>
        <v/>
      </c>
      <c r="P26" s="2" t="n"/>
      <c r="Q26" s="2" t="str">
        <f>IF(Theme_One_Q_MS_EXPORT_CT="(None)","",IFERROR(INDEX(INDIRECT(IFERROR(INDEX(All_Questions_Options_Names,MATCH(Theme_One_Q_MS_EXPORT_CT,All_Questions,0)),"'_Options'!$E$2:$E$2")),7),""))</f>
        <v/>
      </c>
      <c r="R26" s="2" t="n"/>
      <c r="S26" s="2" t="str">
        <f>IF(Theme_One_Q_MS_EXPORT_CT="(None)","",IFERROR(INDEX(INDIRECT(IFERROR(INDEX(All_Questions_Options_Names,MATCH(Theme_One_Q_MS_EXPORT_CT,All_Questions,0)),"'_Options'!$E$2:$E$2")),8),""))</f>
        <v/>
      </c>
      <c r="T26" s="2" t="n"/>
      <c r="U26" s="2" t="str">
        <f>IF(Theme_One_Q_MS_EXPORT_CT="(None)","",IFERROR(INDEX(INDIRECT(IFERROR(INDEX(All_Questions_Options_Names,MATCH(Theme_One_Q_MS_EXPORT_CT,All_Questions,0)),"'_Options'!$E$2:$E$2")),9),""))</f>
        <v/>
      </c>
      <c r="V26" s="2" t="n"/>
      <c r="W26" s="2" t="str">
        <f>IF(Theme_One_Q_MS_EXPORT_CT="(None)","",IFERROR(INDEX(INDIRECT(IFERROR(INDEX(All_Questions_Options_Names,MATCH(Theme_One_Q_MS_EXPORT_CT,All_Questions,0)),"'_Options'!$E$2:$E$2")),10),""))</f>
        <v/>
      </c>
      <c r="X26" s="2" t="n"/>
      <c r="Y26" s="2" t="str">
        <f>IF(Theme_One_Q_MS_EXPORT_CT="(None)","",IFERROR(INDEX(INDIRECT(IFERROR(INDEX(All_Questions_Options_Names,MATCH(Theme_One_Q_MS_EXPORT_CT,All_Questions,0)),"'_Options'!$E$2:$E$2")),11),""))</f>
        <v/>
      </c>
      <c r="Z26" s="2" t="n"/>
      <c r="AA26" s="2" t="str">
        <f>IF(Theme_One_Q_MS_EXPORT_CT="(None)","",IFERROR(INDEX(INDIRECT(IFERROR(INDEX(All_Questions_Options_Names,MATCH(Theme_One_Q_MS_EXPORT_CT,All_Questions,0)),"'_Options'!$E$2:$E$2")),12),""))</f>
        <v/>
      </c>
      <c r="AB26" s="2" t="n"/>
      <c r="AC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 s="7">
        <f>IFERROR(G28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,0)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 s="7">
        <f>IFERROR(I28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,0)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 s="7">
        <f>IFERROR(K28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,0)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 s="7">
        <f>IFERROR(M28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,0)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 s="7">
        <f>IFERROR(O28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,0)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 s="7">
        <f>IFERROR(Q28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,0)</f>
        <v>0</v>
      </c>
      <c r="S28">
        <f>IF(OR(Theme_One_Q_MS_EXPORT_CT="(None)",S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S$26))</f>
        <v>0</v>
      </c>
      <c r="T28" s="7">
        <f>IFERROR(S28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S$26)),0)</f>
        <v>0</v>
      </c>
      <c r="U28">
        <f>IF(OR(Theme_One_Q_MS_EXPORT_CT="(None)",U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U$26))</f>
        <v>0</v>
      </c>
      <c r="V28" s="7">
        <f>IFERROR(U28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U$26)),0)</f>
        <v>0</v>
      </c>
      <c r="W28">
        <f>IF(OR(Theme_One_Q_MS_EXPORT_CT="(None)",W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W$26))</f>
        <v>0</v>
      </c>
      <c r="X28" s="7">
        <f>IFERROR(W28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W$26)),0)</f>
        <v>0</v>
      </c>
      <c r="Y28">
        <f>IF(OR(Theme_One_Q_MS_EXPORT_CT="(None)",Y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Y$26))</f>
        <v>0</v>
      </c>
      <c r="Z28" s="7">
        <f>IFERROR(Y28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Y$26)),0)</f>
        <v>0</v>
      </c>
      <c r="AA28">
        <f>IF(OR(Theme_One_Q_MS_EXPORT_CT="(None)",AA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AA$26))</f>
        <v>0</v>
      </c>
      <c r="AB28" s="7">
        <f>IFERROR(AA28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AA$26)),0)</f>
        <v>0</v>
      </c>
      <c r="AC28">
        <f>IF(OR(Theme_One_Q_MS_EXPORT_CT="(None)",AC$26=""),"",IF(AC$26="Other",COUNTIFS(Q_MS_EXPORTr1_data,"Selected",passes_workbook_filters_data,1,passes_workbook_custom_filters_data,1,Theme_One_passes_local_filters_data,1,Theme_One_Q_MS_EXPORT_F_passes_per_q_filter_data,1)-SUM(G28,I28,K28,M28,O28,Q28,S28,U28,W28,Y28,AA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AC$26)))</f>
        <v>0</v>
      </c>
      <c r="AD28" s="7">
        <f>IFERROR(AC28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S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U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W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Y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AA$26)),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AC$26))),0)</f>
        <v>0</v>
      </c>
      <c r="AE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 s="7">
        <f>IFERROR(G29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,0)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 s="7">
        <f>IFERROR(I29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,0)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 s="7">
        <f>IFERROR(K29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,0)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 s="7">
        <f>IFERROR(M29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,0)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 s="7">
        <f>IFERROR(O29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,0)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 s="7">
        <f>IFERROR(Q29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,0)</f>
        <v>0</v>
      </c>
      <c r="S29">
        <f>IF(OR(Theme_One_Q_MS_EXPORT_CT="(None)",S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S$26))</f>
        <v>0</v>
      </c>
      <c r="T29" s="7">
        <f>IFERROR(S29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S$26)),0)</f>
        <v>0</v>
      </c>
      <c r="U29">
        <f>IF(OR(Theme_One_Q_MS_EXPORT_CT="(None)",U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U$26))</f>
        <v>0</v>
      </c>
      <c r="V29" s="7">
        <f>IFERROR(U29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U$26)),0)</f>
        <v>0</v>
      </c>
      <c r="W29">
        <f>IF(OR(Theme_One_Q_MS_EXPORT_CT="(None)",W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W$26))</f>
        <v>0</v>
      </c>
      <c r="X29" s="7">
        <f>IFERROR(W29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W$26)),0)</f>
        <v>0</v>
      </c>
      <c r="Y29">
        <f>IF(OR(Theme_One_Q_MS_EXPORT_CT="(None)",Y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Y$26))</f>
        <v>0</v>
      </c>
      <c r="Z29" s="7">
        <f>IFERROR(Y29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Y$26)),0)</f>
        <v>0</v>
      </c>
      <c r="AA29">
        <f>IF(OR(Theme_One_Q_MS_EXPORT_CT="(None)",AA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AA$26))</f>
        <v>0</v>
      </c>
      <c r="AB29" s="7">
        <f>IFERROR(AA29/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AA$26)),0)</f>
        <v>0</v>
      </c>
      <c r="AC29">
        <f>IF(OR(Theme_One_Q_MS_EXPORT_CT="(None)",AC$26=""),"",IF(AC$26="Other",COUNTIFS(Q_MS_EXPORTr2_data,"Selected",passes_workbook_filters_data,1,passes_workbook_custom_filters_data,1,Theme_One_passes_local_filters_data,1,Theme_One_Q_MS_EXPORT_F_passes_per_q_filter_data,1)-SUM(G29,I29,K29,M29,O29,Q29,S29,U29,W29,Y29,AA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AC$26)))</f>
        <v>0</v>
      </c>
      <c r="AD29" s="7">
        <f>IFERROR(AC29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S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U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W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Y$26)+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AA$26)),COUNTIFS(respondent_id_data,"&lt;&gt;",passes_workbook_filters_data,1,passes_workbook_custom_filters_data,1,Theme_One_passes_local_filters_data,1,Theme_One_Q_MS_EXPORT_F_passes_per_q_filter_data,1,INDIRECT(IFERROR(INDEX(All_Questions_Data_Names,MATCH(Theme_One_Q_MS_EXPORT_CT,All_Questions,0)),"'_RawData'!$A:$A")),AC$26))),0)</f>
        <v>0</v>
      </c>
      <c r="AE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n"/>
      <c r="I16" s="2" t="str">
        <f>IF(All_Questions_Q_GRID_EXPORT_CT="(None)","",IFERROR(INDEX(INDIRECT(IFERROR(INDEX(All_Questions_Options_Names,MATCH(All_Questions_Q_GRID_EXPORT_CT,All_Questions,0)),"'_Options'!$E$2:$E$2")),3),""))</f>
        <v/>
      </c>
      <c r="J16" s="2" t="n"/>
      <c r="K16" s="2" t="str">
        <f>IF(All_Questions_Q_GRID_EXPORT_CT="(None)","",IFERROR(INDEX(INDIRECT(IFERROR(INDEX(All_Questions_Options_Names,MATCH(All_Questions_Q_GRID_EXPORT_CT,All_Questions,0)),"'_Options'!$E$2:$E$2")),4),""))</f>
        <v/>
      </c>
      <c r="L16" s="2" t="n"/>
      <c r="M16" s="2" t="str">
        <f>IF(All_Questions_Q_GRID_EXPORT_CT="(None)","",IFERROR(INDEX(INDIRECT(IFERROR(INDEX(All_Questions_Options_Names,MATCH(All_Questions_Q_GRID_EXPORT_CT,All_Questions,0)),"'_Options'!$E$2:$E$2")),5),""))</f>
        <v/>
      </c>
      <c r="N16" s="2" t="n"/>
      <c r="O16" s="2" t="str">
        <f>IF(All_Questions_Q_GRID_EXPORT_CT="(None)","",IFERROR(INDEX(INDIRECT(IFERROR(INDEX(All_Questions_Options_Names,MATCH(All_Questions_Q_GRID_EXPORT_CT,All_Questions,0)),"'_Options'!$E$2:$E$2")),6),""))</f>
        <v/>
      </c>
      <c r="P16" s="2" t="n"/>
      <c r="Q16" s="2" t="str">
        <f>IF(All_Questions_Q_GRID_EXPORT_CT="(None)","",IFERROR(INDEX(INDIRECT(IFERROR(INDEX(All_Questions_Options_Names,MATCH(All_Questions_Q_GRID_EXPORT_CT,All_Questions,0)),"'_Options'!$E$2:$E$2")),7),""))</f>
        <v/>
      </c>
      <c r="R16" s="2" t="n"/>
      <c r="S16" s="2" t="str">
        <f>IF(All_Questions_Q_GRID_EXPORT_CT="(None)","",IFERROR(INDEX(INDIRECT(IFERROR(INDEX(All_Questions_Options_Names,MATCH(All_Questions_Q_GRID_EXPORT_CT,All_Questions,0)),"'_Options'!$E$2:$E$2")),8),""))</f>
        <v/>
      </c>
      <c r="T16" s="2" t="n"/>
      <c r="U16" s="2" t="str">
        <f>IF(All_Questions_Q_GRID_EXPORT_CT="(None)","",IFERROR(INDEX(INDIRECT(IFERROR(INDEX(All_Questions_Options_Names,MATCH(All_Questions_Q_GRID_EXPORT_CT,All_Questions,0)),"'_Options'!$E$2:$E$2")),9),""))</f>
        <v/>
      </c>
      <c r="V16" s="2" t="n"/>
      <c r="W16" s="2" t="str">
        <f>IF(All_Questions_Q_GRID_EXPORT_CT="(None)","",IFERROR(INDEX(INDIRECT(IFERROR(INDEX(All_Questions_Options_Names,MATCH(All_Questions_Q_GRID_EXPORT_CT,All_Questions,0)),"'_Options'!$E$2:$E$2")),10),""))</f>
        <v/>
      </c>
      <c r="X16" s="2" t="n"/>
      <c r="Y16" s="2" t="str">
        <f>IF(All_Questions_Q_GRID_EXPORT_CT="(None)","",IFERROR(INDEX(INDIRECT(IFERROR(INDEX(All_Questions_Options_Names,MATCH(All_Questions_Q_GRID_EXPORT_CT,All_Questions,0)),"'_Options'!$E$2:$E$2")),11),""))</f>
        <v/>
      </c>
      <c r="Z16" s="2" t="n"/>
      <c r="AA16" s="2" t="str">
        <f>IF(All_Questions_Q_GRID_EXPORT_CT="(None)","",IFERROR(INDEX(INDIRECT(IFERROR(INDEX(All_Questions_Options_Names,MATCH(All_Questions_Q_GRID_EXPORT_CT,All_Questions,0)),"'_Options'!$E$2:$E$2")),12),""))</f>
        <v/>
      </c>
      <c r="AB16" s="2" t="n"/>
      <c r="AC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,0)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,0)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,0)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,0)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,0)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,0)</f>
        <v>0</v>
      </c>
      <c r="S18">
        <f>IF(OR(All_Questions_Q_GRID_EXPORT_CT="(None)",S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$16)),0)</f>
        <v>0</v>
      </c>
      <c r="U18">
        <f>IF(OR(All_Questions_Q_GRID_EXPORT_CT="(None)",U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$16)),0)</f>
        <v>0</v>
      </c>
      <c r="W18">
        <f>IF(OR(All_Questions_Q_GRID_EXPORT_CT="(None)",W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$16)),0)</f>
        <v>0</v>
      </c>
      <c r="Y18">
        <f>IF(OR(All_Questions_Q_GRID_EXPORT_CT="(None)",Y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$16)),0)</f>
        <v>0</v>
      </c>
      <c r="AA18">
        <f>IF(OR(All_Questions_Q_GRID_EXPORT_CT="(None)",AA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$16)),0)</f>
        <v>0</v>
      </c>
      <c r="AC18">
        <f>IF(OR(All_Questions_Q_GRID_EXPORT_CT="(None)",AC$16=""),"",IF(AC$16="Other",COUNTIFS(Q_GRID_EXPORTr1_data,"Selected",passes_workbook_filters_data,1,passes_workbook_custom_filters_data,1,All_Questions_passes_local_filters_data,1,All_Questions_Q_GRID_EXPORT_F_passes_per_q_filter_data,1)-SUM(G18,I18,K18,M18,O18,Q18,S18,U18,W18,Y18,AA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$16)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$16))),0)</f>
        <v>0</v>
      </c>
      <c r="AE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,0)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,0)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,0)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,0)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,0)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,0)</f>
        <v>0</v>
      </c>
      <c r="S19">
        <f>IF(OR(All_Questions_Q_GRID_EXPORT_CT="(None)",S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$16)),0)</f>
        <v>0</v>
      </c>
      <c r="U19">
        <f>IF(OR(All_Questions_Q_GRID_EXPORT_CT="(None)",U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$16)),0)</f>
        <v>0</v>
      </c>
      <c r="W19">
        <f>IF(OR(All_Questions_Q_GRID_EXPORT_CT="(None)",W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$16)),0)</f>
        <v>0</v>
      </c>
      <c r="Y19">
        <f>IF(OR(All_Questions_Q_GRID_EXPORT_CT="(None)",Y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$16)),0)</f>
        <v>0</v>
      </c>
      <c r="AA19">
        <f>IF(OR(All_Questions_Q_GRID_EXPORT_CT="(None)",AA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$16)),0)</f>
        <v>0</v>
      </c>
      <c r="AC19">
        <f>IF(OR(All_Questions_Q_GRID_EXPORT_CT="(None)",AC$16=""),"",IF(AC$16="Other",COUNTIFS(Q_GRID_EXPORTr2_data,"Selected",passes_workbook_filters_data,1,passes_workbook_custom_filters_data,1,All_Questions_passes_local_filters_data,1,All_Questions_Q_GRID_EXPORT_F_passes_per_q_filter_data,1)-SUM(G19,I19,K19,M19,O19,Q19,S19,U19,W19,Y19,AA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$16)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$16)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$16))),0)</f>
        <v>0</v>
      </c>
      <c r="AE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IFERROR(INDEX(All_Questions_Data_Names,MATCH(All_Questions_Q_VERY_LONG_SINGLE_SELECT_EXPORT_NAME_F_Q,All_Questions,0)),"'_RawData'!$A:$A")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6" s="2" t="n"/>
      <c r="I26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26" s="2" t="n"/>
      <c r="K26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26" s="2" t="n"/>
      <c r="M26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26" s="2" t="n"/>
      <c r="O26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26" s="2" t="n"/>
      <c r="Q26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26" s="2" t="n"/>
      <c r="S26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26" s="2" t="n"/>
      <c r="U26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26" s="2" t="n"/>
      <c r="W26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26" s="2" t="n"/>
      <c r="Y26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26" s="2" t="n"/>
      <c r="AA26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26" s="2" t="n"/>
      <c r="AC26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A</t>
        </is>
      </c>
      <c r="G28">
        <f>IF(OR(All_Questions_Q_VERY_LONG_SINGLE_SELECT_EXPORT_NAME_CT="(None)",G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$26)),0)</f>
        <v>0</v>
      </c>
      <c r="I28">
        <f>IF(OR(All_Questions_Q_VERY_LONG_SINGLE_SELECT_EXPORT_NAME_CT="(None)",I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$26)),0)</f>
        <v>0</v>
      </c>
      <c r="K28">
        <f>IF(OR(All_Questions_Q_VERY_LONG_SINGLE_SELECT_EXPORT_NAME_CT="(None)",K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$26)),0)</f>
        <v>0</v>
      </c>
      <c r="M28">
        <f>IF(OR(All_Questions_Q_VERY_LONG_SINGLE_SELECT_EXPORT_NAME_CT="(None)",M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$26)),0)</f>
        <v>0</v>
      </c>
      <c r="O28">
        <f>IF(OR(All_Questions_Q_VERY_LONG_SINGLE_SELECT_EXPORT_NAME_CT="(None)",O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$26)),0)</f>
        <v>0</v>
      </c>
      <c r="Q28">
        <f>IF(OR(All_Questions_Q_VERY_LONG_SINGLE_SELECT_EXPORT_NAME_CT="(None)",Q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$26)),0)</f>
        <v>0</v>
      </c>
      <c r="S28">
        <f>IF(OR(All_Questions_Q_VERY_LONG_SINGLE_SELECT_EXPORT_NAME_CT="(None)",S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$26)),0)</f>
        <v>0</v>
      </c>
      <c r="U28">
        <f>IF(OR(All_Questions_Q_VERY_LONG_SINGLE_SELECT_EXPORT_NAME_CT="(None)",U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$26)),0)</f>
        <v>0</v>
      </c>
      <c r="W28">
        <f>IF(OR(All_Questions_Q_VERY_LONG_SINGLE_SELECT_EXPORT_NAME_CT="(None)",W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$26)),0)</f>
        <v>0</v>
      </c>
      <c r="Y28">
        <f>IF(OR(All_Questions_Q_VERY_LONG_SINGLE_SELECT_EXPORT_NAME_CT="(None)",Y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$26)),0)</f>
        <v>0</v>
      </c>
      <c r="AA28">
        <f>IF(OR(All_Questions_Q_VERY_LONG_SINGLE_SELECT_EXPORT_NAME_CT="(None)",AA$26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$26)),0)</f>
        <v>0</v>
      </c>
      <c r="AC28">
        <f>IF(OR(All_Questions_Q_VERY_LONG_SINGLE_SELECT_EXPORT_NAME_CT="(None)",AC$26=""),"",IF(AC$26="Other",COUNTIFS(Q_VERY_LONG_SINGLE_SELECT_EXPOR_data,"A",passes_workbook_filters_data,1,passes_workbook_custom_filters_data,1,All_Questions_passes_local_filters_data,1,All_Questions_Q_VERY_LONG_SINGLE_SELECT_EXPORT_NAME_F_passes_per_q_filter_data,1)-SUM(G28,I28,K28,M28,O28,Q28,S28,U28,W28,Y28,AA28)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$26)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$26))),0)</f>
        <v>0</v>
      </c>
      <c r="AE2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B</t>
        </is>
      </c>
      <c r="G29">
        <f>IF(OR(All_Questions_Q_VERY_LONG_SINGLE_SELECT_EXPORT_NAME_CT="(None)",G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$26)),0)</f>
        <v>0</v>
      </c>
      <c r="I29">
        <f>IF(OR(All_Questions_Q_VERY_LONG_SINGLE_SELECT_EXPORT_NAME_CT="(None)",I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$26)),0)</f>
        <v>0</v>
      </c>
      <c r="K29">
        <f>IF(OR(All_Questions_Q_VERY_LONG_SINGLE_SELECT_EXPORT_NAME_CT="(None)",K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$26)),0)</f>
        <v>0</v>
      </c>
      <c r="M29">
        <f>IF(OR(All_Questions_Q_VERY_LONG_SINGLE_SELECT_EXPORT_NAME_CT="(None)",M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$26)),0)</f>
        <v>0</v>
      </c>
      <c r="O29">
        <f>IF(OR(All_Questions_Q_VERY_LONG_SINGLE_SELECT_EXPORT_NAME_CT="(None)",O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$26)),0)</f>
        <v>0</v>
      </c>
      <c r="Q29">
        <f>IF(OR(All_Questions_Q_VERY_LONG_SINGLE_SELECT_EXPORT_NAME_CT="(None)",Q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$26)),0)</f>
        <v>0</v>
      </c>
      <c r="S29">
        <f>IF(OR(All_Questions_Q_VERY_LONG_SINGLE_SELECT_EXPORT_NAME_CT="(None)",S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$26)),0)</f>
        <v>0</v>
      </c>
      <c r="U29">
        <f>IF(OR(All_Questions_Q_VERY_LONG_SINGLE_SELECT_EXPORT_NAME_CT="(None)",U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$26)),0)</f>
        <v>0</v>
      </c>
      <c r="W29">
        <f>IF(OR(All_Questions_Q_VERY_LONG_SINGLE_SELECT_EXPORT_NAME_CT="(None)",W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$26)),0)</f>
        <v>0</v>
      </c>
      <c r="Y29">
        <f>IF(OR(All_Questions_Q_VERY_LONG_SINGLE_SELECT_EXPORT_NAME_CT="(None)",Y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$26)),0)</f>
        <v>0</v>
      </c>
      <c r="AA29">
        <f>IF(OR(All_Questions_Q_VERY_LONG_SINGLE_SELECT_EXPORT_NAME_CT="(None)",AA$26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$26)),0)</f>
        <v>0</v>
      </c>
      <c r="AC29">
        <f>IF(OR(All_Questions_Q_VERY_LONG_SINGLE_SELECT_EXPORT_NAME_CT="(None)",AC$26=""),"",IF(AC$26="Other",COUNTIFS(Q_VERY_LONG_SINGLE_SELECT_EXPOR_data,"B",passes_workbook_filters_data,1,passes_workbook_custom_filters_data,1,All_Questions_passes_local_filters_data,1,All_Questions_Q_VERY_LONG_SINGLE_SELECT_EXPORT_NAME_F_passes_per_q_filter_data,1)-SUM(G29,I29,K29,M29,O29,Q29,S29,U29,W29,Y29,AA29)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$26)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$26)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$26))),0)</f>
        <v>0</v>
      </c>
      <c r="AE2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2026-05-18T12:49:17Z</dcterms:created>
  <dcterms:modified xmlns:dcterms="http://purl.org/dc/terms/" xmlns:xsi="http://www.w3.org/2001/XMLSchema-instance" xsi:type="dcterms:W3CDTF">2026-05-18T12:49:18Z</dcterms:modified>
</cp:coreProperties>
</file>