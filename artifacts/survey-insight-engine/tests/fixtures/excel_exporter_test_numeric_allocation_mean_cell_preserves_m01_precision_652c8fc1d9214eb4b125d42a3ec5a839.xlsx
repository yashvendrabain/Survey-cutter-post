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'_RawData'!$A$2:$A$207</definedName>
    <definedName name="Q6r1_data">'_RawData'!$B$2:$B$207</definedName>
    <definedName name="All_Questions">'_Options'!$A$2:$A$2</definedName>
    <definedName name="All_Questions_Local">'_Options'!$B$2:$B$3</definedName>
    <definedName name="Cross_Tab_Questions">'_Options'!$H$2:$H$2</definedName>
    <definedName name="Cross_Tab_Questions_Data_Names">'_Options'!$I$2:$I$2</definedName>
    <definedName name="None_options">'_Options'!$E$2:$E$2</definedName>
    <definedName name="Q6r1_options">'_Options'!$F$2:$F$3</definedName>
    <definedName name="Q6r1_local_options">'_Options'!$G$2:$G$4</definedName>
    <definedName name="All_Questions_Data_Names">'_Options'!$C$2:$C$2</definedName>
    <definedName name="All_Questions_Options_Names">'_Options'!$D$2:$D$2</definedName>
    <definedName name="Cross_Tab_Questions_Options_Names">'_Options'!$J$2:$J$2</definedName>
    <definedName name="All_Questions_Value_Keys">'_Options'!$L$2:$L$2</definedName>
    <definedName name="All_Questions_Value_Data_Names">'_Options'!$M$2:$M$2</definedName>
    <definedName name="All_Questions_Value_Criteria">'_Options'!$N$2:$N$2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'_RawData'!$C$2:$C$207</definedName>
    <definedName name="F_Custom1_match_data">'_RawData'!$D$2:$D$207</definedName>
    <definedName name="F_Custom2_match_data">'_RawData'!$E$2:$E$207</definedName>
    <definedName name="passes_workbook_custom_filters_data">'_RawData'!$F$2:$F$207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'_RawData'!$G$2:$G$207</definedName>
    <definedName name="All_Questions_Q6_F_Q">'All Questions'!$C$13</definedName>
    <definedName name="All_Questions_Q6_F_V">'All Questions'!$E$13</definedName>
    <definedName name="All_Questions_Q6_F_resolved_column">'All Questions'!$F$13</definedName>
    <definedName name="All_Questions_Q6_F_wrapped">'All Questions'!$G$13</definedName>
    <definedName name="All_Questions_Q6_F_resolved_criteria">'All Questions'!$H$13</definedName>
    <definedName name="All_Questions_Q6_F_passes_per_q_filter_data">'_RawData'!$H$2:$H$207</definedName>
    <definedName name="All_Questions_Q6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C6" i="1"/>
  <c r="D6" i="1"/>
  <c r="E6" i="1"/>
  <c r="F6" i="1"/>
  <c r="G6" i="1"/>
  <c r="H6" i="1"/>
  <c r="C7" i="1"/>
  <c r="D7" i="1"/>
  <c r="E7" i="1"/>
  <c r="F7" i="1"/>
  <c r="G7" i="1"/>
  <c r="H7" i="1"/>
  <c r="C8" i="1"/>
  <c r="D8" i="1"/>
  <c r="E8" i="1"/>
  <c r="F8" i="1"/>
  <c r="G8" i="1"/>
  <c r="H8" i="1"/>
  <c r="C9" i="1"/>
  <c r="D9" i="1"/>
  <c r="E9" i="1"/>
  <c r="F9" i="1"/>
  <c r="G9" i="1"/>
  <c r="H9" i="1"/>
  <c r="C10" i="1"/>
  <c r="D10" i="1"/>
  <c r="E10" i="1"/>
  <c r="F10" i="1"/>
  <c r="G10" i="1"/>
  <c r="H10" i="1"/>
  <c r="C11" i="1"/>
  <c r="D11" i="1"/>
  <c r="E11" i="1"/>
  <c r="F11" i="1"/>
  <c r="G11" i="1"/>
  <c r="H11" i="1"/>
  <c r="C12" i="1"/>
  <c r="D12" i="1"/>
  <c r="E12" i="1"/>
  <c r="F12" i="1"/>
  <c r="G12" i="1"/>
  <c r="H12" i="1"/>
  <c r="C13" i="1"/>
  <c r="D13" i="1"/>
  <c r="E13" i="1"/>
  <c r="F13" i="1"/>
  <c r="G13" i="1"/>
  <c r="H13" i="1"/>
  <c r="C14" i="1"/>
  <c r="D14" i="1"/>
  <c r="E14" i="1"/>
  <c r="F14" i="1"/>
  <c r="G14" i="1"/>
  <c r="H14" i="1"/>
  <c r="C15" i="1"/>
  <c r="D15" i="1"/>
  <c r="E15" i="1"/>
  <c r="F15" i="1"/>
  <c r="G15" i="1"/>
  <c r="H15" i="1"/>
  <c r="C16" i="1"/>
  <c r="D16" i="1"/>
  <c r="E16" i="1"/>
  <c r="F16" i="1"/>
  <c r="G16" i="1"/>
  <c r="H16" i="1"/>
  <c r="C17" i="1"/>
  <c r="D17" i="1"/>
  <c r="E17" i="1"/>
  <c r="F17" i="1"/>
  <c r="G17" i="1"/>
  <c r="H17" i="1"/>
  <c r="C18" i="1"/>
  <c r="D18" i="1"/>
  <c r="E18" i="1"/>
  <c r="F18" i="1"/>
  <c r="G18" i="1"/>
  <c r="H18" i="1"/>
  <c r="C19" i="1"/>
  <c r="D19" i="1"/>
  <c r="E19" i="1"/>
  <c r="F19" i="1"/>
  <c r="G19" i="1"/>
  <c r="H19" i="1"/>
  <c r="C20" i="1"/>
  <c r="D20" i="1"/>
  <c r="E20" i="1"/>
  <c r="F20" i="1"/>
  <c r="G20" i="1"/>
  <c r="H20" i="1"/>
  <c r="C21" i="1"/>
  <c r="D21" i="1"/>
  <c r="E21" i="1"/>
  <c r="F21" i="1"/>
  <c r="G21" i="1"/>
  <c r="H21" i="1"/>
  <c r="C22" i="1"/>
  <c r="D22" i="1"/>
  <c r="E22" i="1"/>
  <c r="F22" i="1"/>
  <c r="G22" i="1"/>
  <c r="H22" i="1"/>
  <c r="C23" i="1"/>
  <c r="D23" i="1"/>
  <c r="E23" i="1"/>
  <c r="F23" i="1"/>
  <c r="G23" i="1"/>
  <c r="H23" i="1"/>
  <c r="C24" i="1"/>
  <c r="D24" i="1"/>
  <c r="E24" i="1"/>
  <c r="F24" i="1"/>
  <c r="G24" i="1"/>
  <c r="H24" i="1"/>
  <c r="C25" i="1"/>
  <c r="D25" i="1"/>
  <c r="E25" i="1"/>
  <c r="F25" i="1"/>
  <c r="G25" i="1"/>
  <c r="H25" i="1"/>
  <c r="C26" i="1"/>
  <c r="D26" i="1"/>
  <c r="E26" i="1"/>
  <c r="F26" i="1"/>
  <c r="G26" i="1"/>
  <c r="H26" i="1"/>
  <c r="C27" i="1"/>
  <c r="D27" i="1"/>
  <c r="E27" i="1"/>
  <c r="F27" i="1"/>
  <c r="G27" i="1"/>
  <c r="H27" i="1"/>
  <c r="C28" i="1"/>
  <c r="D28" i="1"/>
  <c r="E28" i="1"/>
  <c r="F28" i="1"/>
  <c r="G28" i="1"/>
  <c r="H28" i="1"/>
  <c r="C29" i="1"/>
  <c r="D29" i="1"/>
  <c r="E29" i="1"/>
  <c r="F29" i="1"/>
  <c r="G29" i="1"/>
  <c r="H29" i="1"/>
  <c r="C30" i="1"/>
  <c r="D30" i="1"/>
  <c r="E30" i="1"/>
  <c r="F30" i="1"/>
  <c r="G30" i="1"/>
  <c r="H30" i="1"/>
  <c r="C31" i="1"/>
  <c r="D31" i="1"/>
  <c r="E31" i="1"/>
  <c r="F31" i="1"/>
  <c r="G31" i="1"/>
  <c r="H31" i="1"/>
  <c r="C32" i="1"/>
  <c r="D32" i="1"/>
  <c r="E32" i="1"/>
  <c r="F32" i="1"/>
  <c r="G32" i="1"/>
  <c r="H32" i="1"/>
  <c r="C33" i="1"/>
  <c r="D33" i="1"/>
  <c r="E33" i="1"/>
  <c r="F33" i="1"/>
  <c r="G33" i="1"/>
  <c r="H33" i="1"/>
  <c r="C34" i="1"/>
  <c r="D34" i="1"/>
  <c r="E34" i="1"/>
  <c r="F34" i="1"/>
  <c r="G34" i="1"/>
  <c r="H34" i="1"/>
  <c r="C35" i="1"/>
  <c r="D35" i="1"/>
  <c r="E35" i="1"/>
  <c r="F35" i="1"/>
  <c r="G35" i="1"/>
  <c r="H35" i="1"/>
  <c r="C36" i="1"/>
  <c r="D36" i="1"/>
  <c r="E36" i="1"/>
  <c r="F36" i="1"/>
  <c r="G36" i="1"/>
  <c r="H36" i="1"/>
  <c r="C37" i="1"/>
  <c r="D37" i="1"/>
  <c r="E37" i="1"/>
  <c r="F37" i="1"/>
  <c r="G37" i="1"/>
  <c r="H37" i="1"/>
  <c r="C38" i="1"/>
  <c r="D38" i="1"/>
  <c r="E38" i="1"/>
  <c r="F38" i="1"/>
  <c r="G38" i="1"/>
  <c r="H38" i="1"/>
  <c r="C39" i="1"/>
  <c r="D39" i="1"/>
  <c r="E39" i="1"/>
  <c r="F39" i="1"/>
  <c r="G39" i="1"/>
  <c r="H39" i="1"/>
  <c r="C40" i="1"/>
  <c r="D40" i="1"/>
  <c r="E40" i="1"/>
  <c r="F40" i="1"/>
  <c r="G40" i="1"/>
  <c r="H40" i="1"/>
  <c r="C41" i="1"/>
  <c r="D41" i="1"/>
  <c r="E41" i="1"/>
  <c r="F41" i="1"/>
  <c r="G41" i="1"/>
  <c r="H41" i="1"/>
  <c r="C42" i="1"/>
  <c r="D42" i="1"/>
  <c r="E42" i="1"/>
  <c r="F42" i="1"/>
  <c r="G42" i="1"/>
  <c r="H42" i="1"/>
  <c r="C43" i="1"/>
  <c r="D43" i="1"/>
  <c r="E43" i="1"/>
  <c r="F43" i="1"/>
  <c r="G43" i="1"/>
  <c r="H43" i="1"/>
  <c r="C44" i="1"/>
  <c r="D44" i="1"/>
  <c r="E44" i="1"/>
  <c r="F44" i="1"/>
  <c r="G44" i="1"/>
  <c r="H44" i="1"/>
  <c r="C45" i="1"/>
  <c r="D45" i="1"/>
  <c r="E45" i="1"/>
  <c r="F45" i="1"/>
  <c r="G45" i="1"/>
  <c r="H45" i="1"/>
  <c r="C46" i="1"/>
  <c r="D46" i="1"/>
  <c r="E46" i="1"/>
  <c r="F46" i="1"/>
  <c r="G46" i="1"/>
  <c r="H46" i="1"/>
  <c r="C47" i="1"/>
  <c r="D47" i="1"/>
  <c r="E47" i="1"/>
  <c r="F47" i="1"/>
  <c r="G47" i="1"/>
  <c r="H47" i="1"/>
  <c r="C48" i="1"/>
  <c r="D48" i="1"/>
  <c r="E48" i="1"/>
  <c r="F48" i="1"/>
  <c r="G48" i="1"/>
  <c r="H48" i="1"/>
  <c r="C49" i="1"/>
  <c r="D49" i="1"/>
  <c r="E49" i="1"/>
  <c r="F49" i="1"/>
  <c r="G49" i="1"/>
  <c r="H49" i="1"/>
  <c r="C50" i="1"/>
  <c r="D50" i="1"/>
  <c r="E50" i="1"/>
  <c r="F50" i="1"/>
  <c r="G50" i="1"/>
  <c r="H50" i="1"/>
  <c r="C51" i="1"/>
  <c r="D51" i="1"/>
  <c r="E51" i="1"/>
  <c r="F51" i="1"/>
  <c r="G51" i="1"/>
  <c r="H51" i="1"/>
  <c r="C52" i="1"/>
  <c r="D52" i="1"/>
  <c r="E52" i="1"/>
  <c r="F52" i="1"/>
  <c r="G52" i="1"/>
  <c r="H52" i="1"/>
  <c r="C53" i="1"/>
  <c r="D53" i="1"/>
  <c r="E53" i="1"/>
  <c r="F53" i="1"/>
  <c r="G53" i="1"/>
  <c r="H53" i="1"/>
  <c r="C54" i="1"/>
  <c r="D54" i="1"/>
  <c r="E54" i="1"/>
  <c r="F54" i="1"/>
  <c r="G54" i="1"/>
  <c r="H54" i="1"/>
  <c r="C55" i="1"/>
  <c r="D55" i="1"/>
  <c r="E55" i="1"/>
  <c r="F55" i="1"/>
  <c r="G55" i="1"/>
  <c r="H55" i="1"/>
  <c r="C56" i="1"/>
  <c r="D56" i="1"/>
  <c r="E56" i="1"/>
  <c r="F56" i="1"/>
  <c r="G56" i="1"/>
  <c r="H56" i="1"/>
  <c r="C57" i="1"/>
  <c r="D57" i="1"/>
  <c r="E57" i="1"/>
  <c r="F57" i="1"/>
  <c r="G57" i="1"/>
  <c r="H57" i="1"/>
  <c r="C58" i="1"/>
  <c r="D58" i="1"/>
  <c r="E58" i="1"/>
  <c r="F58" i="1"/>
  <c r="G58" i="1"/>
  <c r="H58" i="1"/>
  <c r="C59" i="1"/>
  <c r="D59" i="1"/>
  <c r="E59" i="1"/>
  <c r="F59" i="1"/>
  <c r="G59" i="1"/>
  <c r="H59" i="1"/>
  <c r="C60" i="1"/>
  <c r="D60" i="1"/>
  <c r="E60" i="1"/>
  <c r="F60" i="1"/>
  <c r="G60" i="1"/>
  <c r="H60" i="1"/>
  <c r="C61" i="1"/>
  <c r="D61" i="1"/>
  <c r="E61" i="1"/>
  <c r="F61" i="1"/>
  <c r="G61" i="1"/>
  <c r="H61" i="1"/>
  <c r="C62" i="1"/>
  <c r="D62" i="1"/>
  <c r="E62" i="1"/>
  <c r="F62" i="1"/>
  <c r="G62" i="1"/>
  <c r="H62" i="1"/>
  <c r="C63" i="1"/>
  <c r="D63" i="1"/>
  <c r="E63" i="1"/>
  <c r="F63" i="1"/>
  <c r="G63" i="1"/>
  <c r="H63" i="1"/>
  <c r="C64" i="1"/>
  <c r="D64" i="1"/>
  <c r="E64" i="1"/>
  <c r="F64" i="1"/>
  <c r="G64" i="1"/>
  <c r="H64" i="1"/>
  <c r="C65" i="1"/>
  <c r="D65" i="1"/>
  <c r="E65" i="1"/>
  <c r="F65" i="1"/>
  <c r="G65" i="1"/>
  <c r="H65" i="1"/>
  <c r="C66" i="1"/>
  <c r="D66" i="1"/>
  <c r="E66" i="1"/>
  <c r="F66" i="1"/>
  <c r="G66" i="1"/>
  <c r="H66" i="1"/>
  <c r="C67" i="1"/>
  <c r="D67" i="1"/>
  <c r="E67" i="1"/>
  <c r="F67" i="1"/>
  <c r="G67" i="1"/>
  <c r="H67" i="1"/>
  <c r="C68" i="1"/>
  <c r="D68" i="1"/>
  <c r="E68" i="1"/>
  <c r="F68" i="1"/>
  <c r="G68" i="1"/>
  <c r="H68" i="1"/>
  <c r="C69" i="1"/>
  <c r="D69" i="1"/>
  <c r="E69" i="1"/>
  <c r="F69" i="1"/>
  <c r="G69" i="1"/>
  <c r="H69" i="1"/>
  <c r="C70" i="1"/>
  <c r="D70" i="1"/>
  <c r="E70" i="1"/>
  <c r="F70" i="1"/>
  <c r="G70" i="1"/>
  <c r="H70" i="1"/>
  <c r="C71" i="1"/>
  <c r="D71" i="1"/>
  <c r="E71" i="1"/>
  <c r="F71" i="1"/>
  <c r="G71" i="1"/>
  <c r="H71" i="1"/>
  <c r="C72" i="1"/>
  <c r="D72" i="1"/>
  <c r="E72" i="1"/>
  <c r="F72" i="1"/>
  <c r="G72" i="1"/>
  <c r="H72" i="1"/>
  <c r="C73" i="1"/>
  <c r="D73" i="1"/>
  <c r="E73" i="1"/>
  <c r="F73" i="1"/>
  <c r="G73" i="1"/>
  <c r="H73" i="1"/>
  <c r="C74" i="1"/>
  <c r="D74" i="1"/>
  <c r="E74" i="1"/>
  <c r="F74" i="1"/>
  <c r="G74" i="1"/>
  <c r="H74" i="1"/>
  <c r="C75" i="1"/>
  <c r="D75" i="1"/>
  <c r="E75" i="1"/>
  <c r="F75" i="1"/>
  <c r="G75" i="1"/>
  <c r="H75" i="1"/>
  <c r="C76" i="1"/>
  <c r="D76" i="1"/>
  <c r="E76" i="1"/>
  <c r="F76" i="1"/>
  <c r="G76" i="1"/>
  <c r="H76" i="1"/>
  <c r="C77" i="1"/>
  <c r="D77" i="1"/>
  <c r="E77" i="1"/>
  <c r="F77" i="1"/>
  <c r="G77" i="1"/>
  <c r="H77" i="1"/>
  <c r="C78" i="1"/>
  <c r="D78" i="1"/>
  <c r="E78" i="1"/>
  <c r="F78" i="1"/>
  <c r="G78" i="1"/>
  <c r="H78" i="1"/>
  <c r="C79" i="1"/>
  <c r="D79" i="1"/>
  <c r="E79" i="1"/>
  <c r="F79" i="1"/>
  <c r="G79" i="1"/>
  <c r="H79" i="1"/>
  <c r="C80" i="1"/>
  <c r="D80" i="1"/>
  <c r="E80" i="1"/>
  <c r="F80" i="1"/>
  <c r="G80" i="1"/>
  <c r="H80" i="1"/>
  <c r="C81" i="1"/>
  <c r="D81" i="1"/>
  <c r="E81" i="1"/>
  <c r="F81" i="1"/>
  <c r="G81" i="1"/>
  <c r="H81" i="1"/>
  <c r="C82" i="1"/>
  <c r="D82" i="1"/>
  <c r="E82" i="1"/>
  <c r="F82" i="1"/>
  <c r="G82" i="1"/>
  <c r="H82" i="1"/>
  <c r="C83" i="1"/>
  <c r="D83" i="1"/>
  <c r="E83" i="1"/>
  <c r="F83" i="1"/>
  <c r="G83" i="1"/>
  <c r="H83" i="1"/>
  <c r="C84" i="1"/>
  <c r="D84" i="1"/>
  <c r="E84" i="1"/>
  <c r="F84" i="1"/>
  <c r="G84" i="1"/>
  <c r="H84" i="1"/>
  <c r="C85" i="1"/>
  <c r="D85" i="1"/>
  <c r="E85" i="1"/>
  <c r="F85" i="1"/>
  <c r="G85" i="1"/>
  <c r="H85" i="1"/>
  <c r="C86" i="1"/>
  <c r="D86" i="1"/>
  <c r="E86" i="1"/>
  <c r="F86" i="1"/>
  <c r="G86" i="1"/>
  <c r="H86" i="1"/>
  <c r="C87" i="1"/>
  <c r="D87" i="1"/>
  <c r="E87" i="1"/>
  <c r="F87" i="1"/>
  <c r="G87" i="1"/>
  <c r="H87" i="1"/>
  <c r="C88" i="1"/>
  <c r="D88" i="1"/>
  <c r="E88" i="1"/>
  <c r="F88" i="1"/>
  <c r="G88" i="1"/>
  <c r="H88" i="1"/>
  <c r="C89" i="1"/>
  <c r="D89" i="1"/>
  <c r="E89" i="1"/>
  <c r="F89" i="1"/>
  <c r="G89" i="1"/>
  <c r="H89" i="1"/>
  <c r="C90" i="1"/>
  <c r="D90" i="1"/>
  <c r="E90" i="1"/>
  <c r="F90" i="1"/>
  <c r="G90" i="1"/>
  <c r="H90" i="1"/>
  <c r="C91" i="1"/>
  <c r="D91" i="1"/>
  <c r="E91" i="1"/>
  <c r="F91" i="1"/>
  <c r="G91" i="1"/>
  <c r="H91" i="1"/>
  <c r="C92" i="1"/>
  <c r="D92" i="1"/>
  <c r="E92" i="1"/>
  <c r="F92" i="1"/>
  <c r="G92" i="1"/>
  <c r="H92" i="1"/>
  <c r="C93" i="1"/>
  <c r="D93" i="1"/>
  <c r="E93" i="1"/>
  <c r="F93" i="1"/>
  <c r="G93" i="1"/>
  <c r="H93" i="1"/>
  <c r="C94" i="1"/>
  <c r="D94" i="1"/>
  <c r="E94" i="1"/>
  <c r="F94" i="1"/>
  <c r="G94" i="1"/>
  <c r="H94" i="1"/>
  <c r="C95" i="1"/>
  <c r="D95" i="1"/>
  <c r="E95" i="1"/>
  <c r="F95" i="1"/>
  <c r="G95" i="1"/>
  <c r="H95" i="1"/>
  <c r="C96" i="1"/>
  <c r="D96" i="1"/>
  <c r="E96" i="1"/>
  <c r="F96" i="1"/>
  <c r="G96" i="1"/>
  <c r="H96" i="1"/>
  <c r="C97" i="1"/>
  <c r="D97" i="1"/>
  <c r="E97" i="1"/>
  <c r="F97" i="1"/>
  <c r="G97" i="1"/>
  <c r="H97" i="1"/>
  <c r="C98" i="1"/>
  <c r="D98" i="1"/>
  <c r="E98" i="1"/>
  <c r="F98" i="1"/>
  <c r="G98" i="1"/>
  <c r="H98" i="1"/>
  <c r="C99" i="1"/>
  <c r="D99" i="1"/>
  <c r="E99" i="1"/>
  <c r="F99" i="1"/>
  <c r="G99" i="1"/>
  <c r="H99" i="1"/>
  <c r="C100" i="1"/>
  <c r="D100" i="1"/>
  <c r="E100" i="1"/>
  <c r="F100" i="1"/>
  <c r="G100" i="1"/>
  <c r="H100" i="1"/>
  <c r="C101" i="1"/>
  <c r="D101" i="1"/>
  <c r="E101" i="1"/>
  <c r="F101" i="1"/>
  <c r="G101" i="1"/>
  <c r="H101" i="1"/>
  <c r="C102" i="1"/>
  <c r="D102" i="1"/>
  <c r="E102" i="1"/>
  <c r="F102" i="1"/>
  <c r="G102" i="1"/>
  <c r="H102" i="1"/>
  <c r="C103" i="1"/>
  <c r="D103" i="1"/>
  <c r="E103" i="1"/>
  <c r="F103" i="1"/>
  <c r="G103" i="1"/>
  <c r="H103" i="1"/>
  <c r="C104" i="1"/>
  <c r="D104" i="1"/>
  <c r="E104" i="1"/>
  <c r="F104" i="1"/>
  <c r="G104" i="1"/>
  <c r="H104" i="1"/>
  <c r="C105" i="1"/>
  <c r="D105" i="1"/>
  <c r="E105" i="1"/>
  <c r="F105" i="1"/>
  <c r="G105" i="1"/>
  <c r="H105" i="1"/>
  <c r="C106" i="1"/>
  <c r="D106" i="1"/>
  <c r="E106" i="1"/>
  <c r="F106" i="1"/>
  <c r="G106" i="1"/>
  <c r="H106" i="1"/>
  <c r="C107" i="1"/>
  <c r="D107" i="1"/>
  <c r="E107" i="1"/>
  <c r="F107" i="1"/>
  <c r="G107" i="1"/>
  <c r="H107" i="1"/>
  <c r="C108" i="1"/>
  <c r="D108" i="1"/>
  <c r="E108" i="1"/>
  <c r="F108" i="1"/>
  <c r="G108" i="1"/>
  <c r="H108" i="1"/>
  <c r="C109" i="1"/>
  <c r="D109" i="1"/>
  <c r="E109" i="1"/>
  <c r="F109" i="1"/>
  <c r="G109" i="1"/>
  <c r="H109" i="1"/>
  <c r="C110" i="1"/>
  <c r="D110" i="1"/>
  <c r="E110" i="1"/>
  <c r="F110" i="1"/>
  <c r="G110" i="1"/>
  <c r="H110" i="1"/>
  <c r="C111" i="1"/>
  <c r="D111" i="1"/>
  <c r="E111" i="1"/>
  <c r="F111" i="1"/>
  <c r="G111" i="1"/>
  <c r="H111" i="1"/>
  <c r="C112" i="1"/>
  <c r="D112" i="1"/>
  <c r="E112" i="1"/>
  <c r="F112" i="1"/>
  <c r="G112" i="1"/>
  <c r="H112" i="1"/>
  <c r="C113" i="1"/>
  <c r="D113" i="1"/>
  <c r="E113" i="1"/>
  <c r="F113" i="1"/>
  <c r="G113" i="1"/>
  <c r="H113" i="1"/>
  <c r="C114" i="1"/>
  <c r="D114" i="1"/>
  <c r="E114" i="1"/>
  <c r="F114" i="1"/>
  <c r="G114" i="1"/>
  <c r="H114" i="1"/>
  <c r="C115" i="1"/>
  <c r="D115" i="1"/>
  <c r="E115" i="1"/>
  <c r="F115" i="1"/>
  <c r="G115" i="1"/>
  <c r="H115" i="1"/>
  <c r="C116" i="1"/>
  <c r="D116" i="1"/>
  <c r="E116" i="1"/>
  <c r="F116" i="1"/>
  <c r="G116" i="1"/>
  <c r="H116" i="1"/>
  <c r="C117" i="1"/>
  <c r="D117" i="1"/>
  <c r="E117" i="1"/>
  <c r="F117" i="1"/>
  <c r="G117" i="1"/>
  <c r="H117" i="1"/>
  <c r="C118" i="1"/>
  <c r="D118" i="1"/>
  <c r="E118" i="1"/>
  <c r="F118" i="1"/>
  <c r="G118" i="1"/>
  <c r="H118" i="1"/>
  <c r="C119" i="1"/>
  <c r="D119" i="1"/>
  <c r="E119" i="1"/>
  <c r="F119" i="1"/>
  <c r="G119" i="1"/>
  <c r="H119" i="1"/>
  <c r="C120" i="1"/>
  <c r="D120" i="1"/>
  <c r="E120" i="1"/>
  <c r="F120" i="1"/>
  <c r="G120" i="1"/>
  <c r="H120" i="1"/>
  <c r="C121" i="1"/>
  <c r="D121" i="1"/>
  <c r="E121" i="1"/>
  <c r="F121" i="1"/>
  <c r="G121" i="1"/>
  <c r="H121" i="1"/>
  <c r="C122" i="1"/>
  <c r="D122" i="1"/>
  <c r="E122" i="1"/>
  <c r="F122" i="1"/>
  <c r="G122" i="1"/>
  <c r="H122" i="1"/>
  <c r="C123" i="1"/>
  <c r="D123" i="1"/>
  <c r="E123" i="1"/>
  <c r="F123" i="1"/>
  <c r="G123" i="1"/>
  <c r="H123" i="1"/>
  <c r="C124" i="1"/>
  <c r="D124" i="1"/>
  <c r="E124" i="1"/>
  <c r="F124" i="1"/>
  <c r="G124" i="1"/>
  <c r="H124" i="1"/>
  <c r="C125" i="1"/>
  <c r="D125" i="1"/>
  <c r="E125" i="1"/>
  <c r="F125" i="1"/>
  <c r="G125" i="1"/>
  <c r="H125" i="1"/>
  <c r="C126" i="1"/>
  <c r="D126" i="1"/>
  <c r="E126" i="1"/>
  <c r="F126" i="1"/>
  <c r="G126" i="1"/>
  <c r="H126" i="1"/>
  <c r="C127" i="1"/>
  <c r="D127" i="1"/>
  <c r="E127" i="1"/>
  <c r="F127" i="1"/>
  <c r="G127" i="1"/>
  <c r="H127" i="1"/>
  <c r="C128" i="1"/>
  <c r="D128" i="1"/>
  <c r="E128" i="1"/>
  <c r="F128" i="1"/>
  <c r="G128" i="1"/>
  <c r="H128" i="1"/>
  <c r="C129" i="1"/>
  <c r="D129" i="1"/>
  <c r="E129" i="1"/>
  <c r="F129" i="1"/>
  <c r="G129" i="1"/>
  <c r="H129" i="1"/>
  <c r="C130" i="1"/>
  <c r="D130" i="1"/>
  <c r="E130" i="1"/>
  <c r="F130" i="1"/>
  <c r="G130" i="1"/>
  <c r="H130" i="1"/>
  <c r="C131" i="1"/>
  <c r="D131" i="1"/>
  <c r="E131" i="1"/>
  <c r="F131" i="1"/>
  <c r="G131" i="1"/>
  <c r="H131" i="1"/>
  <c r="C132" i="1"/>
  <c r="D132" i="1"/>
  <c r="E132" i="1"/>
  <c r="F132" i="1"/>
  <c r="G132" i="1"/>
  <c r="H132" i="1"/>
  <c r="C133" i="1"/>
  <c r="D133" i="1"/>
  <c r="E133" i="1"/>
  <c r="F133" i="1"/>
  <c r="G133" i="1"/>
  <c r="H133" i="1"/>
  <c r="C134" i="1"/>
  <c r="D134" i="1"/>
  <c r="E134" i="1"/>
  <c r="F134" i="1"/>
  <c r="G134" i="1"/>
  <c r="H134" i="1"/>
  <c r="C135" i="1"/>
  <c r="D135" i="1"/>
  <c r="E135" i="1"/>
  <c r="F135" i="1"/>
  <c r="G135" i="1"/>
  <c r="H135" i="1"/>
  <c r="C136" i="1"/>
  <c r="D136" i="1"/>
  <c r="E136" i="1"/>
  <c r="F136" i="1"/>
  <c r="G136" i="1"/>
  <c r="H136" i="1"/>
  <c r="C137" i="1"/>
  <c r="D137" i="1"/>
  <c r="E137" i="1"/>
  <c r="F137" i="1"/>
  <c r="G137" i="1"/>
  <c r="H137" i="1"/>
  <c r="C138" i="1"/>
  <c r="D138" i="1"/>
  <c r="E138" i="1"/>
  <c r="F138" i="1"/>
  <c r="G138" i="1"/>
  <c r="H138" i="1"/>
  <c r="C139" i="1"/>
  <c r="D139" i="1"/>
  <c r="E139" i="1"/>
  <c r="F139" i="1"/>
  <c r="G139" i="1"/>
  <c r="H139" i="1"/>
  <c r="C140" i="1"/>
  <c r="D140" i="1"/>
  <c r="E140" i="1"/>
  <c r="F140" i="1"/>
  <c r="G140" i="1"/>
  <c r="H140" i="1"/>
  <c r="C141" i="1"/>
  <c r="D141" i="1"/>
  <c r="E141" i="1"/>
  <c r="F141" i="1"/>
  <c r="G141" i="1"/>
  <c r="H141" i="1"/>
  <c r="C142" i="1"/>
  <c r="D142" i="1"/>
  <c r="E142" i="1"/>
  <c r="F142" i="1"/>
  <c r="G142" i="1"/>
  <c r="H142" i="1"/>
  <c r="C143" i="1"/>
  <c r="D143" i="1"/>
  <c r="E143" i="1"/>
  <c r="F143" i="1"/>
  <c r="G143" i="1"/>
  <c r="H143" i="1"/>
  <c r="C144" i="1"/>
  <c r="D144" i="1"/>
  <c r="E144" i="1"/>
  <c r="F144" i="1"/>
  <c r="G144" i="1"/>
  <c r="H144" i="1"/>
  <c r="C145" i="1"/>
  <c r="D145" i="1"/>
  <c r="E145" i="1"/>
  <c r="F145" i="1"/>
  <c r="G145" i="1"/>
  <c r="H145" i="1"/>
  <c r="C146" i="1"/>
  <c r="D146" i="1"/>
  <c r="E146" i="1"/>
  <c r="F146" i="1"/>
  <c r="G146" i="1"/>
  <c r="H146" i="1"/>
  <c r="C147" i="1"/>
  <c r="D147" i="1"/>
  <c r="E147" i="1"/>
  <c r="F147" i="1"/>
  <c r="G147" i="1"/>
  <c r="H147" i="1"/>
  <c r="C148" i="1"/>
  <c r="D148" i="1"/>
  <c r="E148" i="1"/>
  <c r="F148" i="1"/>
  <c r="G148" i="1"/>
  <c r="H148" i="1"/>
  <c r="C149" i="1"/>
  <c r="D149" i="1"/>
  <c r="E149" i="1"/>
  <c r="F149" i="1"/>
  <c r="G149" i="1"/>
  <c r="H149" i="1"/>
  <c r="C150" i="1"/>
  <c r="D150" i="1"/>
  <c r="E150" i="1"/>
  <c r="F150" i="1"/>
  <c r="G150" i="1"/>
  <c r="H150" i="1"/>
  <c r="C151" i="1"/>
  <c r="D151" i="1"/>
  <c r="E151" i="1"/>
  <c r="F151" i="1"/>
  <c r="G151" i="1"/>
  <c r="H151" i="1"/>
  <c r="C152" i="1"/>
  <c r="D152" i="1"/>
  <c r="E152" i="1"/>
  <c r="F152" i="1"/>
  <c r="G152" i="1"/>
  <c r="H152" i="1"/>
  <c r="C153" i="1"/>
  <c r="D153" i="1"/>
  <c r="E153" i="1"/>
  <c r="F153" i="1"/>
  <c r="G153" i="1"/>
  <c r="H153" i="1"/>
  <c r="C154" i="1"/>
  <c r="D154" i="1"/>
  <c r="E154" i="1"/>
  <c r="F154" i="1"/>
  <c r="G154" i="1"/>
  <c r="H154" i="1"/>
  <c r="C155" i="1"/>
  <c r="D155" i="1"/>
  <c r="E155" i="1"/>
  <c r="F155" i="1"/>
  <c r="G155" i="1"/>
  <c r="H155" i="1"/>
  <c r="C156" i="1"/>
  <c r="D156" i="1"/>
  <c r="E156" i="1"/>
  <c r="F156" i="1"/>
  <c r="G156" i="1"/>
  <c r="H156" i="1"/>
  <c r="C157" i="1"/>
  <c r="D157" i="1"/>
  <c r="E157" i="1"/>
  <c r="F157" i="1"/>
  <c r="G157" i="1"/>
  <c r="H157" i="1"/>
  <c r="C158" i="1"/>
  <c r="D158" i="1"/>
  <c r="E158" i="1"/>
  <c r="F158" i="1"/>
  <c r="G158" i="1"/>
  <c r="H158" i="1"/>
  <c r="C159" i="1"/>
  <c r="D159" i="1"/>
  <c r="E159" i="1"/>
  <c r="F159" i="1"/>
  <c r="G159" i="1"/>
  <c r="H159" i="1"/>
  <c r="C160" i="1"/>
  <c r="D160" i="1"/>
  <c r="E160" i="1"/>
  <c r="F160" i="1"/>
  <c r="G160" i="1"/>
  <c r="H160" i="1"/>
  <c r="C161" i="1"/>
  <c r="D161" i="1"/>
  <c r="E161" i="1"/>
  <c r="F161" i="1"/>
  <c r="G161" i="1"/>
  <c r="H161" i="1"/>
  <c r="C162" i="1"/>
  <c r="D162" i="1"/>
  <c r="E162" i="1"/>
  <c r="F162" i="1"/>
  <c r="G162" i="1"/>
  <c r="H162" i="1"/>
  <c r="C163" i="1"/>
  <c r="D163" i="1"/>
  <c r="E163" i="1"/>
  <c r="F163" i="1"/>
  <c r="G163" i="1"/>
  <c r="H163" i="1"/>
  <c r="C164" i="1"/>
  <c r="D164" i="1"/>
  <c r="E164" i="1"/>
  <c r="F164" i="1"/>
  <c r="G164" i="1"/>
  <c r="H164" i="1"/>
  <c r="C165" i="1"/>
  <c r="D165" i="1"/>
  <c r="E165" i="1"/>
  <c r="F165" i="1"/>
  <c r="G165" i="1"/>
  <c r="H165" i="1"/>
  <c r="C166" i="1"/>
  <c r="D166" i="1"/>
  <c r="E166" i="1"/>
  <c r="F166" i="1"/>
  <c r="G166" i="1"/>
  <c r="H166" i="1"/>
  <c r="C167" i="1"/>
  <c r="D167" i="1"/>
  <c r="E167" i="1"/>
  <c r="F167" i="1"/>
  <c r="G167" i="1"/>
  <c r="H167" i="1"/>
  <c r="C168" i="1"/>
  <c r="D168" i="1"/>
  <c r="E168" i="1"/>
  <c r="F168" i="1"/>
  <c r="G168" i="1"/>
  <c r="H168" i="1"/>
  <c r="C169" i="1"/>
  <c r="D169" i="1"/>
  <c r="E169" i="1"/>
  <c r="F169" i="1"/>
  <c r="G169" i="1"/>
  <c r="H169" i="1"/>
  <c r="C170" i="1"/>
  <c r="D170" i="1"/>
  <c r="E170" i="1"/>
  <c r="F170" i="1"/>
  <c r="G170" i="1"/>
  <c r="H170" i="1"/>
  <c r="C171" i="1"/>
  <c r="D171" i="1"/>
  <c r="E171" i="1"/>
  <c r="F171" i="1"/>
  <c r="G171" i="1"/>
  <c r="H171" i="1"/>
  <c r="C172" i="1"/>
  <c r="D172" i="1"/>
  <c r="E172" i="1"/>
  <c r="F172" i="1"/>
  <c r="G172" i="1"/>
  <c r="H172" i="1"/>
  <c r="C173" i="1"/>
  <c r="D173" i="1"/>
  <c r="E173" i="1"/>
  <c r="F173" i="1"/>
  <c r="G173" i="1"/>
  <c r="H173" i="1"/>
  <c r="C174" i="1"/>
  <c r="D174" i="1"/>
  <c r="E174" i="1"/>
  <c r="F174" i="1"/>
  <c r="G174" i="1"/>
  <c r="H174" i="1"/>
  <c r="C175" i="1"/>
  <c r="D175" i="1"/>
  <c r="E175" i="1"/>
  <c r="F175" i="1"/>
  <c r="G175" i="1"/>
  <c r="H175" i="1"/>
  <c r="C176" i="1"/>
  <c r="D176" i="1"/>
  <c r="E176" i="1"/>
  <c r="F176" i="1"/>
  <c r="G176" i="1"/>
  <c r="H176" i="1"/>
  <c r="C177" i="1"/>
  <c r="D177" i="1"/>
  <c r="E177" i="1"/>
  <c r="F177" i="1"/>
  <c r="G177" i="1"/>
  <c r="H177" i="1"/>
  <c r="C178" i="1"/>
  <c r="D178" i="1"/>
  <c r="E178" i="1"/>
  <c r="F178" i="1"/>
  <c r="G178" i="1"/>
  <c r="H178" i="1"/>
  <c r="C179" i="1"/>
  <c r="D179" i="1"/>
  <c r="E179" i="1"/>
  <c r="F179" i="1"/>
  <c r="G179" i="1"/>
  <c r="H179" i="1"/>
  <c r="C180" i="1"/>
  <c r="D180" i="1"/>
  <c r="E180" i="1"/>
  <c r="F180" i="1"/>
  <c r="G180" i="1"/>
  <c r="H180" i="1"/>
  <c r="C181" i="1"/>
  <c r="D181" i="1"/>
  <c r="E181" i="1"/>
  <c r="F181" i="1"/>
  <c r="G181" i="1"/>
  <c r="H181" i="1"/>
  <c r="C182" i="1"/>
  <c r="D182" i="1"/>
  <c r="E182" i="1"/>
  <c r="F182" i="1"/>
  <c r="G182" i="1"/>
  <c r="H182" i="1"/>
  <c r="C183" i="1"/>
  <c r="D183" i="1"/>
  <c r="E183" i="1"/>
  <c r="F183" i="1"/>
  <c r="G183" i="1"/>
  <c r="H183" i="1"/>
  <c r="C184" i="1"/>
  <c r="D184" i="1"/>
  <c r="E184" i="1"/>
  <c r="F184" i="1"/>
  <c r="G184" i="1"/>
  <c r="H184" i="1"/>
  <c r="C185" i="1"/>
  <c r="D185" i="1"/>
  <c r="E185" i="1"/>
  <c r="F185" i="1"/>
  <c r="G185" i="1"/>
  <c r="H185" i="1"/>
  <c r="C186" i="1"/>
  <c r="D186" i="1"/>
  <c r="E186" i="1"/>
  <c r="F186" i="1"/>
  <c r="G186" i="1"/>
  <c r="H186" i="1"/>
  <c r="C187" i="1"/>
  <c r="D187" i="1"/>
  <c r="E187" i="1"/>
  <c r="F187" i="1"/>
  <c r="G187" i="1"/>
  <c r="H187" i="1"/>
  <c r="C188" i="1"/>
  <c r="D188" i="1"/>
  <c r="E188" i="1"/>
  <c r="F188" i="1"/>
  <c r="G188" i="1"/>
  <c r="H188" i="1"/>
  <c r="C189" i="1"/>
  <c r="D189" i="1"/>
  <c r="E189" i="1"/>
  <c r="F189" i="1"/>
  <c r="G189" i="1"/>
  <c r="H189" i="1"/>
  <c r="C190" i="1"/>
  <c r="D190" i="1"/>
  <c r="E190" i="1"/>
  <c r="F190" i="1"/>
  <c r="G190" i="1"/>
  <c r="H190" i="1"/>
  <c r="C191" i="1"/>
  <c r="D191" i="1"/>
  <c r="E191" i="1"/>
  <c r="F191" i="1"/>
  <c r="G191" i="1"/>
  <c r="H191" i="1"/>
  <c r="C192" i="1"/>
  <c r="D192" i="1"/>
  <c r="E192" i="1"/>
  <c r="F192" i="1"/>
  <c r="G192" i="1"/>
  <c r="H192" i="1"/>
  <c r="C193" i="1"/>
  <c r="D193" i="1"/>
  <c r="E193" i="1"/>
  <c r="F193" i="1"/>
  <c r="G193" i="1"/>
  <c r="H193" i="1"/>
  <c r="C194" i="1"/>
  <c r="D194" i="1"/>
  <c r="E194" i="1"/>
  <c r="F194" i="1"/>
  <c r="G194" i="1"/>
  <c r="H194" i="1"/>
  <c r="C195" i="1"/>
  <c r="D195" i="1"/>
  <c r="E195" i="1"/>
  <c r="F195" i="1"/>
  <c r="G195" i="1"/>
  <c r="H195" i="1"/>
  <c r="C196" i="1"/>
  <c r="D196" i="1"/>
  <c r="E196" i="1"/>
  <c r="F196" i="1"/>
  <c r="G196" i="1"/>
  <c r="H196" i="1"/>
  <c r="C197" i="1"/>
  <c r="D197" i="1"/>
  <c r="E197" i="1"/>
  <c r="F197" i="1"/>
  <c r="G197" i="1"/>
  <c r="H197" i="1"/>
  <c r="C198" i="1"/>
  <c r="D198" i="1"/>
  <c r="E198" i="1"/>
  <c r="F198" i="1"/>
  <c r="G198" i="1"/>
  <c r="H198" i="1"/>
  <c r="C199" i="1"/>
  <c r="D199" i="1"/>
  <c r="E199" i="1"/>
  <c r="F199" i="1"/>
  <c r="G199" i="1"/>
  <c r="H199" i="1"/>
  <c r="C200" i="1"/>
  <c r="D200" i="1"/>
  <c r="E200" i="1"/>
  <c r="F200" i="1"/>
  <c r="G200" i="1"/>
  <c r="H200" i="1"/>
  <c r="C201" i="1"/>
  <c r="D201" i="1"/>
  <c r="E201" i="1"/>
  <c r="F201" i="1"/>
  <c r="G201" i="1"/>
  <c r="H201" i="1"/>
  <c r="C202" i="1"/>
  <c r="D202" i="1"/>
  <c r="E202" i="1"/>
  <c r="F202" i="1"/>
  <c r="G202" i="1"/>
  <c r="H202" i="1"/>
  <c r="C203" i="1"/>
  <c r="D203" i="1"/>
  <c r="E203" i="1"/>
  <c r="F203" i="1"/>
  <c r="G203" i="1"/>
  <c r="H203" i="1"/>
  <c r="C204" i="1"/>
  <c r="D204" i="1"/>
  <c r="E204" i="1"/>
  <c r="F204" i="1"/>
  <c r="G204" i="1"/>
  <c r="H204" i="1"/>
  <c r="C205" i="1"/>
  <c r="D205" i="1"/>
  <c r="E205" i="1"/>
  <c r="F205" i="1"/>
  <c r="G205" i="1"/>
  <c r="H205" i="1"/>
  <c r="C206" i="1"/>
  <c r="D206" i="1"/>
  <c r="E206" i="1"/>
  <c r="F206" i="1"/>
  <c r="G206" i="1"/>
  <c r="H206" i="1"/>
  <c r="C207" i="1"/>
  <c r="D207" i="1"/>
  <c r="E207" i="1"/>
  <c r="F207" i="1"/>
  <c r="G207" i="1"/>
  <c r="H207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B17" i="7"/>
  <c r="D17" i="7"/>
  <c r="B20" i="7"/>
  <c r="C20" i="7"/>
  <c r="D20" i="7"/>
  <c r="E20" i="7"/>
  <c r="F20" i="7"/>
  <c r="G20" i="7"/>
  <c r="H20" i="7"/>
  <c r="I20" i="7"/>
  <c r="J20" i="7"/>
  <c r="K20" i="7"/>
  <c r="L20" i="7"/>
  <c r="M20" i="7"/>
  <c r="B22" i="7"/>
  <c r="C22" i="7"/>
  <c r="D22" i="7"/>
  <c r="E22" i="7"/>
  <c r="F22" i="7"/>
  <c r="G22" i="7"/>
  <c r="H22" i="7"/>
  <c r="I22" i="7"/>
  <c r="J22" i="7"/>
  <c r="K22" i="7"/>
  <c r="L22" i="7"/>
  <c r="M22" i="7"/>
  <c r="N22" i="7"/>
  <c r="N23" i="7"/>
  <c r="H2" i="8"/>
  <c r="H3" i="8"/>
  <c r="H4" i="8"/>
  <c r="H5" i="8"/>
  <c r="H6" i="8"/>
  <c r="H7" i="8"/>
  <c r="H8" i="8"/>
  <c r="H9" i="8"/>
  <c r="H10" i="8"/>
  <c r="H11" i="8"/>
  <c r="H12" i="8"/>
  <c r="H13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2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Mean"/>
    <tableColumn id="3" name="Median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Q6r1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All_Questions_Q6_F_passes_per_q_filter</t>
        </is>
      </c>
    </row>
    <row r="2">
      <c r="A2" t="n">
        <v>1</v>
      </c>
      <c r="B2" t="n">
        <v>26.3695</v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F2">
        <f>D2*E2*1</f>
        <v>1</v>
      </c>
      <c r="G2">
        <f>1</f>
        <v>1</v>
      </c>
      <c r="H2">
        <f>IF(OR(All_Questions_Q6_F_Q="(None)",All_Questions_Q6_F_Q="",ISBLANK(All_Questions_Q6_F_Q),All_Questions_Q6_F_V="(All)",All_Questions_Q6_F_V="",ISBLANK(All_Questions_Q6_F_V)),1,IFERROR(IF(ISNUMBER(SEARCH("|"&amp;INDEX(INDIRECT(All_Questions_Q6_F_resolved_column),1)&amp;"|",("|" &amp; SUBSTITUTE(All_Questions_Q6_F_resolved_criteria, ", ", "|") &amp; "|"))),1,0),0))*1</f>
        <v>1</v>
      </c>
    </row>
    <row r="3">
      <c r="A3" t="n">
        <v>2</v>
      </c>
      <c r="B3" t="n">
        <v>26.3695</v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F3">
        <f>D3*E3*1</f>
        <v>1</v>
      </c>
      <c r="G3">
        <f>1</f>
        <v>1</v>
      </c>
      <c r="H3">
        <f>IF(OR(All_Questions_Q6_F_Q="(None)",All_Questions_Q6_F_Q="",ISBLANK(All_Questions_Q6_F_Q),All_Questions_Q6_F_V="(All)",All_Questions_Q6_F_V="",ISBLANK(All_Questions_Q6_F_V)),1,IFERROR(IF(ISNUMBER(SEARCH("|"&amp;INDEX(INDIRECT(All_Questions_Q6_F_resolved_column),2)&amp;"|",("|" &amp; SUBSTITUTE(All_Questions_Q6_F_resolved_criteria, ", ", "|") &amp; "|"))),1,0),0))*1</f>
        <v>1</v>
      </c>
    </row>
    <row r="4">
      <c r="A4" t="n">
        <v>3</v>
      </c>
      <c r="B4" t="n">
        <v>26.3695</v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F4">
        <f>D4*E4*1</f>
        <v>1</v>
      </c>
      <c r="G4">
        <f>1</f>
        <v>1</v>
      </c>
      <c r="H4">
        <f>IF(OR(All_Questions_Q6_F_Q="(None)",All_Questions_Q6_F_Q="",ISBLANK(All_Questions_Q6_F_Q),All_Questions_Q6_F_V="(All)",All_Questions_Q6_F_V="",ISBLANK(All_Questions_Q6_F_V)),1,IFERROR(IF(ISNUMBER(SEARCH("|"&amp;INDEX(INDIRECT(All_Questions_Q6_F_resolved_column),3)&amp;"|",("|" &amp; SUBSTITUTE(All_Questions_Q6_F_resolved_criteria, ", ", "|") &amp; "|"))),1,0),0))*1</f>
        <v>1</v>
      </c>
    </row>
    <row r="5">
      <c r="A5" t="n">
        <v>4</v>
      </c>
      <c r="B5" t="n">
        <v>26.3695</v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F5">
        <f>D5*E5*1</f>
        <v>1</v>
      </c>
      <c r="G5">
        <f>1</f>
        <v>1</v>
      </c>
      <c r="H5">
        <f>IF(OR(All_Questions_Q6_F_Q="(None)",All_Questions_Q6_F_Q="",ISBLANK(All_Questions_Q6_F_Q),All_Questions_Q6_F_V="(All)",All_Questions_Q6_F_V="",ISBLANK(All_Questions_Q6_F_V)),1,IFERROR(IF(ISNUMBER(SEARCH("|"&amp;INDEX(INDIRECT(All_Questions_Q6_F_resolved_column),4)&amp;"|",("|" &amp; SUBSTITUTE(All_Questions_Q6_F_resolved_criteria, ", ", "|") &amp; "|"))),1,0),0))*1</f>
        <v>1</v>
      </c>
    </row>
    <row r="6">
      <c r="A6" t="n">
        <v>5</v>
      </c>
      <c r="B6" t="n">
        <v>26.3695</v>
      </c>
      <c r="C6">
        <f>1</f>
        <v>1</v>
      </c>
      <c r="D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E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F6">
        <f>D6*E6*1</f>
        <v>1</v>
      </c>
      <c r="G6">
        <f>1</f>
        <v>1</v>
      </c>
      <c r="H6">
        <f>IF(OR(All_Questions_Q6_F_Q="(None)",All_Questions_Q6_F_Q="",ISBLANK(All_Questions_Q6_F_Q),All_Questions_Q6_F_V="(All)",All_Questions_Q6_F_V="",ISBLANK(All_Questions_Q6_F_V)),1,IFERROR(IF(ISNUMBER(SEARCH("|"&amp;INDEX(INDIRECT(All_Questions_Q6_F_resolved_column),5)&amp;"|",("|" &amp; SUBSTITUTE(All_Questions_Q6_F_resolved_criteria, ", ", "|") &amp; "|"))),1,0),0))*1</f>
        <v>1</v>
      </c>
    </row>
    <row r="7">
      <c r="A7" t="n">
        <v>6</v>
      </c>
      <c r="B7" t="n">
        <v>26.3695</v>
      </c>
      <c r="C7">
        <f>1</f>
        <v>1</v>
      </c>
      <c r="D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E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F7">
        <f>D7*E7*1</f>
        <v>1</v>
      </c>
      <c r="G7">
        <f>1</f>
        <v>1</v>
      </c>
      <c r="H7">
        <f>IF(OR(All_Questions_Q6_F_Q="(None)",All_Questions_Q6_F_Q="",ISBLANK(All_Questions_Q6_F_Q),All_Questions_Q6_F_V="(All)",All_Questions_Q6_F_V="",ISBLANK(All_Questions_Q6_F_V)),1,IFERROR(IF(ISNUMBER(SEARCH("|"&amp;INDEX(INDIRECT(All_Questions_Q6_F_resolved_column),6)&amp;"|",("|" &amp; SUBSTITUTE(All_Questions_Q6_F_resolved_criteria, ", ", "|") &amp; "|"))),1,0),0))*1</f>
        <v>1</v>
      </c>
    </row>
    <row r="8">
      <c r="A8" t="n">
        <v>7</v>
      </c>
      <c r="B8" t="n">
        <v>26.3695</v>
      </c>
      <c r="C8">
        <f>1</f>
        <v>1</v>
      </c>
      <c r="D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E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F8">
        <f>D8*E8*1</f>
        <v>1</v>
      </c>
      <c r="G8">
        <f>1</f>
        <v>1</v>
      </c>
      <c r="H8">
        <f>IF(OR(All_Questions_Q6_F_Q="(None)",All_Questions_Q6_F_Q="",ISBLANK(All_Questions_Q6_F_Q),All_Questions_Q6_F_V="(All)",All_Questions_Q6_F_V="",ISBLANK(All_Questions_Q6_F_V)),1,IFERROR(IF(ISNUMBER(SEARCH("|"&amp;INDEX(INDIRECT(All_Questions_Q6_F_resolved_column),7)&amp;"|",("|" &amp; SUBSTITUTE(All_Questions_Q6_F_resolved_criteria, ", ", "|") &amp; "|"))),1,0),0))*1</f>
        <v>1</v>
      </c>
    </row>
    <row r="9">
      <c r="A9" t="n">
        <v>8</v>
      </c>
      <c r="B9" t="n">
        <v>26.3695</v>
      </c>
      <c r="C9">
        <f>1</f>
        <v>1</v>
      </c>
      <c r="D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E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F9">
        <f>D9*E9*1</f>
        <v>1</v>
      </c>
      <c r="G9">
        <f>1</f>
        <v>1</v>
      </c>
      <c r="H9">
        <f>IF(OR(All_Questions_Q6_F_Q="(None)",All_Questions_Q6_F_Q="",ISBLANK(All_Questions_Q6_F_Q),All_Questions_Q6_F_V="(All)",All_Questions_Q6_F_V="",ISBLANK(All_Questions_Q6_F_V)),1,IFERROR(IF(ISNUMBER(SEARCH("|"&amp;INDEX(INDIRECT(All_Questions_Q6_F_resolved_column),8)&amp;"|",("|" &amp; SUBSTITUTE(All_Questions_Q6_F_resolved_criteria, ", ", "|") &amp; "|"))),1,0),0))*1</f>
        <v>1</v>
      </c>
    </row>
    <row r="10">
      <c r="A10" t="n">
        <v>9</v>
      </c>
      <c r="B10" t="n">
        <v>26.3695</v>
      </c>
      <c r="C10">
        <f>1</f>
        <v>1</v>
      </c>
      <c r="D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E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F10">
        <f>D10*E10*1</f>
        <v>1</v>
      </c>
      <c r="G10">
        <f>1</f>
        <v>1</v>
      </c>
      <c r="H10">
        <f>IF(OR(All_Questions_Q6_F_Q="(None)",All_Questions_Q6_F_Q="",ISBLANK(All_Questions_Q6_F_Q),All_Questions_Q6_F_V="(All)",All_Questions_Q6_F_V="",ISBLANK(All_Questions_Q6_F_V)),1,IFERROR(IF(ISNUMBER(SEARCH("|"&amp;INDEX(INDIRECT(All_Questions_Q6_F_resolved_column),9)&amp;"|",("|" &amp; SUBSTITUTE(All_Questions_Q6_F_resolved_criteria, ", ", "|") &amp; "|"))),1,0),0))*1</f>
        <v>1</v>
      </c>
    </row>
    <row r="11">
      <c r="A11" t="n">
        <v>10</v>
      </c>
      <c r="B11" t="n">
        <v>26.3695</v>
      </c>
      <c r="C11">
        <f>1</f>
        <v>1</v>
      </c>
      <c r="D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E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F11">
        <f>D11*E11*1</f>
        <v>1</v>
      </c>
      <c r="G11">
        <f>1</f>
        <v>1</v>
      </c>
      <c r="H11">
        <f>IF(OR(All_Questions_Q6_F_Q="(None)",All_Questions_Q6_F_Q="",ISBLANK(All_Questions_Q6_F_Q),All_Questions_Q6_F_V="(All)",All_Questions_Q6_F_V="",ISBLANK(All_Questions_Q6_F_V)),1,IFERROR(IF(ISNUMBER(SEARCH("|"&amp;INDEX(INDIRECT(All_Questions_Q6_F_resolved_column),10)&amp;"|",("|" &amp; SUBSTITUTE(All_Questions_Q6_F_resolved_criteria, ", ", "|") &amp; "|"))),1,0),0))*1</f>
        <v>1</v>
      </c>
    </row>
    <row r="12">
      <c r="A12" t="n">
        <v>11</v>
      </c>
      <c r="B12" t="n">
        <v>26.3695</v>
      </c>
      <c r="C12">
        <f>1</f>
        <v>1</v>
      </c>
      <c r="D12">
        <f>IF(OR(F_Custom1_Q="(None)",F_Custom1_Q="",ISBLANK(F_Custom1_Q),F_Custom1_V="(All)",F_Custom1_V="",ISBLANK(F_Custom1_V)),1,IFERROR(IF(ISNUMBER(SEARCH("|"&amp;INDEX(INDIRECT(F_Custom1_resolved_column),11)&amp;"|",("|" &amp; SUBSTITUTE(F_Custom1_resolved_criteria, ", ", "|") &amp; "|"))),1,0),0))</f>
        <v>1</v>
      </c>
      <c r="E12">
        <f>IF(OR(F_Custom2_Q="(None)",F_Custom2_Q="",ISBLANK(F_Custom2_Q),F_Custom2_V="(All)",F_Custom2_V="",ISBLANK(F_Custom2_V)),1,IFERROR(IF(ISNUMBER(SEARCH("|"&amp;INDEX(INDIRECT(F_Custom2_resolved_column),11)&amp;"|",("|" &amp; SUBSTITUTE(F_Custom2_resolved_criteria, ", ", "|") &amp; "|"))),1,0),0))</f>
        <v>1</v>
      </c>
      <c r="F12">
        <f>D12*E12*1</f>
        <v>1</v>
      </c>
      <c r="G12">
        <f>1</f>
        <v>1</v>
      </c>
      <c r="H12">
        <f>IF(OR(All_Questions_Q6_F_Q="(None)",All_Questions_Q6_F_Q="",ISBLANK(All_Questions_Q6_F_Q),All_Questions_Q6_F_V="(All)",All_Questions_Q6_F_V="",ISBLANK(All_Questions_Q6_F_V)),1,IFERROR(IF(ISNUMBER(SEARCH("|"&amp;INDEX(INDIRECT(All_Questions_Q6_F_resolved_column),11)&amp;"|",("|" &amp; SUBSTITUTE(All_Questions_Q6_F_resolved_criteria, ", ", "|") &amp; "|"))),1,0),0))*1</f>
        <v>1</v>
      </c>
    </row>
    <row r="13">
      <c r="A13" t="n">
        <v>12</v>
      </c>
      <c r="B13" t="n">
        <v>26.3695</v>
      </c>
      <c r="C13">
        <f>1</f>
        <v>1</v>
      </c>
      <c r="D13">
        <f>IF(OR(F_Custom1_Q="(None)",F_Custom1_Q="",ISBLANK(F_Custom1_Q),F_Custom1_V="(All)",F_Custom1_V="",ISBLANK(F_Custom1_V)),1,IFERROR(IF(ISNUMBER(SEARCH("|"&amp;INDEX(INDIRECT(F_Custom1_resolved_column),12)&amp;"|",("|" &amp; SUBSTITUTE(F_Custom1_resolved_criteria, ", ", "|") &amp; "|"))),1,0),0))</f>
        <v>1</v>
      </c>
      <c r="E13">
        <f>IF(OR(F_Custom2_Q="(None)",F_Custom2_Q="",ISBLANK(F_Custom2_Q),F_Custom2_V="(All)",F_Custom2_V="",ISBLANK(F_Custom2_V)),1,IFERROR(IF(ISNUMBER(SEARCH("|"&amp;INDEX(INDIRECT(F_Custom2_resolved_column),12)&amp;"|",("|" &amp; SUBSTITUTE(F_Custom2_resolved_criteria, ", ", "|") &amp; "|"))),1,0),0))</f>
        <v>1</v>
      </c>
      <c r="F13">
        <f>D13*E13*1</f>
        <v>1</v>
      </c>
      <c r="G13">
        <f>1</f>
        <v>1</v>
      </c>
      <c r="H13">
        <f>IF(OR(All_Questions_Q6_F_Q="(None)",All_Questions_Q6_F_Q="",ISBLANK(All_Questions_Q6_F_Q),All_Questions_Q6_F_V="(All)",All_Questions_Q6_F_V="",ISBLANK(All_Questions_Q6_F_V)),1,IFERROR(IF(ISNUMBER(SEARCH("|"&amp;INDEX(INDIRECT(All_Questions_Q6_F_resolved_column),12)&amp;"|",("|" &amp; SUBSTITUTE(All_Questions_Q6_F_resolved_criteria, ", ", "|") &amp; "|"))),1,0),0))*1</f>
        <v>1</v>
      </c>
    </row>
    <row r="14">
      <c r="A14" t="n">
        <v>13</v>
      </c>
      <c r="B14" t="n">
        <v>26.3695</v>
      </c>
      <c r="C14">
        <f>1</f>
        <v>1</v>
      </c>
      <c r="D14">
        <f>IF(OR(F_Custom1_Q="(None)",F_Custom1_Q="",ISBLANK(F_Custom1_Q),F_Custom1_V="(All)",F_Custom1_V="",ISBLANK(F_Custom1_V)),1,IFERROR(IF(ISNUMBER(SEARCH("|"&amp;INDEX(INDIRECT(F_Custom1_resolved_column),13)&amp;"|",("|" &amp; SUBSTITUTE(F_Custom1_resolved_criteria, ", ", "|") &amp; "|"))),1,0),0))</f>
        <v>1</v>
      </c>
      <c r="E14">
        <f>IF(OR(F_Custom2_Q="(None)",F_Custom2_Q="",ISBLANK(F_Custom2_Q),F_Custom2_V="(All)",F_Custom2_V="",ISBLANK(F_Custom2_V)),1,IFERROR(IF(ISNUMBER(SEARCH("|"&amp;INDEX(INDIRECT(F_Custom2_resolved_column),13)&amp;"|",("|" &amp; SUBSTITUTE(F_Custom2_resolved_criteria, ", ", "|") &amp; "|"))),1,0),0))</f>
        <v>1</v>
      </c>
      <c r="F14">
        <f>D14*E14*1</f>
        <v>1</v>
      </c>
      <c r="G14">
        <f>1</f>
        <v>1</v>
      </c>
      <c r="H14">
        <f>IF(OR(All_Questions_Q6_F_Q="(None)",All_Questions_Q6_F_Q="",ISBLANK(All_Questions_Q6_F_Q),All_Questions_Q6_F_V="(All)",All_Questions_Q6_F_V="",ISBLANK(All_Questions_Q6_F_V)),1,IFERROR(IF(ISNUMBER(SEARCH("|"&amp;INDEX(INDIRECT(All_Questions_Q6_F_resolved_column),13)&amp;"|",("|" &amp; SUBSTITUTE(All_Questions_Q6_F_resolved_criteria, ", ", "|") &amp; "|"))),1,0),0))*1</f>
        <v>1</v>
      </c>
    </row>
    <row r="15">
      <c r="A15" t="n">
        <v>14</v>
      </c>
      <c r="B15" t="n">
        <v>26.3695</v>
      </c>
      <c r="C15">
        <f>1</f>
        <v>1</v>
      </c>
      <c r="D15">
        <f>IF(OR(F_Custom1_Q="(None)",F_Custom1_Q="",ISBLANK(F_Custom1_Q),F_Custom1_V="(All)",F_Custom1_V="",ISBLANK(F_Custom1_V)),1,IFERROR(IF(ISNUMBER(SEARCH("|"&amp;INDEX(INDIRECT(F_Custom1_resolved_column),14)&amp;"|",("|" &amp; SUBSTITUTE(F_Custom1_resolved_criteria, ", ", "|") &amp; "|"))),1,0),0))</f>
        <v>1</v>
      </c>
      <c r="E15">
        <f>IF(OR(F_Custom2_Q="(None)",F_Custom2_Q="",ISBLANK(F_Custom2_Q),F_Custom2_V="(All)",F_Custom2_V="",ISBLANK(F_Custom2_V)),1,IFERROR(IF(ISNUMBER(SEARCH("|"&amp;INDEX(INDIRECT(F_Custom2_resolved_column),14)&amp;"|",("|" &amp; SUBSTITUTE(F_Custom2_resolved_criteria, ", ", "|") &amp; "|"))),1,0),0))</f>
        <v>1</v>
      </c>
      <c r="F15">
        <f>D15*E15*1</f>
        <v>1</v>
      </c>
      <c r="G15">
        <f>1</f>
        <v>1</v>
      </c>
      <c r="H15">
        <f>IF(OR(All_Questions_Q6_F_Q="(None)",All_Questions_Q6_F_Q="",ISBLANK(All_Questions_Q6_F_Q),All_Questions_Q6_F_V="(All)",All_Questions_Q6_F_V="",ISBLANK(All_Questions_Q6_F_V)),1,IFERROR(IF(ISNUMBER(SEARCH("|"&amp;INDEX(INDIRECT(All_Questions_Q6_F_resolved_column),14)&amp;"|",("|" &amp; SUBSTITUTE(All_Questions_Q6_F_resolved_criteria, ", ", "|") &amp; "|"))),1,0),0))*1</f>
        <v>1</v>
      </c>
    </row>
    <row r="16">
      <c r="A16" t="n">
        <v>15</v>
      </c>
      <c r="B16" t="n">
        <v>26.3695</v>
      </c>
      <c r="C16">
        <f>1</f>
        <v>1</v>
      </c>
      <c r="D16">
        <f>IF(OR(F_Custom1_Q="(None)",F_Custom1_Q="",ISBLANK(F_Custom1_Q),F_Custom1_V="(All)",F_Custom1_V="",ISBLANK(F_Custom1_V)),1,IFERROR(IF(ISNUMBER(SEARCH("|"&amp;INDEX(INDIRECT(F_Custom1_resolved_column),15)&amp;"|",("|" &amp; SUBSTITUTE(F_Custom1_resolved_criteria, ", ", "|") &amp; "|"))),1,0),0))</f>
        <v>1</v>
      </c>
      <c r="E16">
        <f>IF(OR(F_Custom2_Q="(None)",F_Custom2_Q="",ISBLANK(F_Custom2_Q),F_Custom2_V="(All)",F_Custom2_V="",ISBLANK(F_Custom2_V)),1,IFERROR(IF(ISNUMBER(SEARCH("|"&amp;INDEX(INDIRECT(F_Custom2_resolved_column),15)&amp;"|",("|" &amp; SUBSTITUTE(F_Custom2_resolved_criteria, ", ", "|") &amp; "|"))),1,0),0))</f>
        <v>1</v>
      </c>
      <c r="F16">
        <f>D16*E16*1</f>
        <v>1</v>
      </c>
      <c r="G16">
        <f>1</f>
        <v>1</v>
      </c>
      <c r="H16">
        <f>IF(OR(All_Questions_Q6_F_Q="(None)",All_Questions_Q6_F_Q="",ISBLANK(All_Questions_Q6_F_Q),All_Questions_Q6_F_V="(All)",All_Questions_Q6_F_V="",ISBLANK(All_Questions_Q6_F_V)),1,IFERROR(IF(ISNUMBER(SEARCH("|"&amp;INDEX(INDIRECT(All_Questions_Q6_F_resolved_column),15)&amp;"|",("|" &amp; SUBSTITUTE(All_Questions_Q6_F_resolved_criteria, ", ", "|") &amp; "|"))),1,0),0))*1</f>
        <v>1</v>
      </c>
    </row>
    <row r="17">
      <c r="A17" t="n">
        <v>16</v>
      </c>
      <c r="B17" t="n">
        <v>26.3695</v>
      </c>
      <c r="C17">
        <f>1</f>
        <v>1</v>
      </c>
      <c r="D17">
        <f>IF(OR(F_Custom1_Q="(None)",F_Custom1_Q="",ISBLANK(F_Custom1_Q),F_Custom1_V="(All)",F_Custom1_V="",ISBLANK(F_Custom1_V)),1,IFERROR(IF(ISNUMBER(SEARCH("|"&amp;INDEX(INDIRECT(F_Custom1_resolved_column),16)&amp;"|",("|" &amp; SUBSTITUTE(F_Custom1_resolved_criteria, ", ", "|") &amp; "|"))),1,0),0))</f>
        <v>1</v>
      </c>
      <c r="E17">
        <f>IF(OR(F_Custom2_Q="(None)",F_Custom2_Q="",ISBLANK(F_Custom2_Q),F_Custom2_V="(All)",F_Custom2_V="",ISBLANK(F_Custom2_V)),1,IFERROR(IF(ISNUMBER(SEARCH("|"&amp;INDEX(INDIRECT(F_Custom2_resolved_column),16)&amp;"|",("|" &amp; SUBSTITUTE(F_Custom2_resolved_criteria, ", ", "|") &amp; "|"))),1,0),0))</f>
        <v>1</v>
      </c>
      <c r="F17">
        <f>D17*E17*1</f>
        <v>1</v>
      </c>
      <c r="G17">
        <f>1</f>
        <v>1</v>
      </c>
      <c r="H17">
        <f>IF(OR(All_Questions_Q6_F_Q="(None)",All_Questions_Q6_F_Q="",ISBLANK(All_Questions_Q6_F_Q),All_Questions_Q6_F_V="(All)",All_Questions_Q6_F_V="",ISBLANK(All_Questions_Q6_F_V)),1,IFERROR(IF(ISNUMBER(SEARCH("|"&amp;INDEX(INDIRECT(All_Questions_Q6_F_resolved_column),16)&amp;"|",("|" &amp; SUBSTITUTE(All_Questions_Q6_F_resolved_criteria, ", ", "|") &amp; "|"))),1,0),0))*1</f>
        <v>1</v>
      </c>
    </row>
    <row r="18">
      <c r="A18" t="n">
        <v>17</v>
      </c>
      <c r="B18" t="n">
        <v>26.3695</v>
      </c>
      <c r="C18">
        <f>1</f>
        <v>1</v>
      </c>
      <c r="D18">
        <f>IF(OR(F_Custom1_Q="(None)",F_Custom1_Q="",ISBLANK(F_Custom1_Q),F_Custom1_V="(All)",F_Custom1_V="",ISBLANK(F_Custom1_V)),1,IFERROR(IF(ISNUMBER(SEARCH("|"&amp;INDEX(INDIRECT(F_Custom1_resolved_column),17)&amp;"|",("|" &amp; SUBSTITUTE(F_Custom1_resolved_criteria, ", ", "|") &amp; "|"))),1,0),0))</f>
        <v>1</v>
      </c>
      <c r="E18">
        <f>IF(OR(F_Custom2_Q="(None)",F_Custom2_Q="",ISBLANK(F_Custom2_Q),F_Custom2_V="(All)",F_Custom2_V="",ISBLANK(F_Custom2_V)),1,IFERROR(IF(ISNUMBER(SEARCH("|"&amp;INDEX(INDIRECT(F_Custom2_resolved_column),17)&amp;"|",("|" &amp; SUBSTITUTE(F_Custom2_resolved_criteria, ", ", "|") &amp; "|"))),1,0),0))</f>
        <v>1</v>
      </c>
      <c r="F18">
        <f>D18*E18*1</f>
        <v>1</v>
      </c>
      <c r="G18">
        <f>1</f>
        <v>1</v>
      </c>
      <c r="H18">
        <f>IF(OR(All_Questions_Q6_F_Q="(None)",All_Questions_Q6_F_Q="",ISBLANK(All_Questions_Q6_F_Q),All_Questions_Q6_F_V="(All)",All_Questions_Q6_F_V="",ISBLANK(All_Questions_Q6_F_V)),1,IFERROR(IF(ISNUMBER(SEARCH("|"&amp;INDEX(INDIRECT(All_Questions_Q6_F_resolved_column),17)&amp;"|",("|" &amp; SUBSTITUTE(All_Questions_Q6_F_resolved_criteria, ", ", "|") &amp; "|"))),1,0),0))*1</f>
        <v>1</v>
      </c>
    </row>
    <row r="19">
      <c r="A19" t="n">
        <v>18</v>
      </c>
      <c r="B19" t="n">
        <v>26.3695</v>
      </c>
      <c r="C19">
        <f>1</f>
        <v>1</v>
      </c>
      <c r="D19">
        <f>IF(OR(F_Custom1_Q="(None)",F_Custom1_Q="",ISBLANK(F_Custom1_Q),F_Custom1_V="(All)",F_Custom1_V="",ISBLANK(F_Custom1_V)),1,IFERROR(IF(ISNUMBER(SEARCH("|"&amp;INDEX(INDIRECT(F_Custom1_resolved_column),18)&amp;"|",("|" &amp; SUBSTITUTE(F_Custom1_resolved_criteria, ", ", "|") &amp; "|"))),1,0),0))</f>
        <v>1</v>
      </c>
      <c r="E19">
        <f>IF(OR(F_Custom2_Q="(None)",F_Custom2_Q="",ISBLANK(F_Custom2_Q),F_Custom2_V="(All)",F_Custom2_V="",ISBLANK(F_Custom2_V)),1,IFERROR(IF(ISNUMBER(SEARCH("|"&amp;INDEX(INDIRECT(F_Custom2_resolved_column),18)&amp;"|",("|" &amp; SUBSTITUTE(F_Custom2_resolved_criteria, ", ", "|") &amp; "|"))),1,0),0))</f>
        <v>1</v>
      </c>
      <c r="F19">
        <f>D19*E19*1</f>
        <v>1</v>
      </c>
      <c r="G19">
        <f>1</f>
        <v>1</v>
      </c>
      <c r="H19">
        <f>IF(OR(All_Questions_Q6_F_Q="(None)",All_Questions_Q6_F_Q="",ISBLANK(All_Questions_Q6_F_Q),All_Questions_Q6_F_V="(All)",All_Questions_Q6_F_V="",ISBLANK(All_Questions_Q6_F_V)),1,IFERROR(IF(ISNUMBER(SEARCH("|"&amp;INDEX(INDIRECT(All_Questions_Q6_F_resolved_column),18)&amp;"|",("|" &amp; SUBSTITUTE(All_Questions_Q6_F_resolved_criteria, ", ", "|") &amp; "|"))),1,0),0))*1</f>
        <v>1</v>
      </c>
    </row>
    <row r="20">
      <c r="A20" t="n">
        <v>19</v>
      </c>
      <c r="B20" t="n">
        <v>26.3695</v>
      </c>
      <c r="C20">
        <f>1</f>
        <v>1</v>
      </c>
      <c r="D20">
        <f>IF(OR(F_Custom1_Q="(None)",F_Custom1_Q="",ISBLANK(F_Custom1_Q),F_Custom1_V="(All)",F_Custom1_V="",ISBLANK(F_Custom1_V)),1,IFERROR(IF(ISNUMBER(SEARCH("|"&amp;INDEX(INDIRECT(F_Custom1_resolved_column),19)&amp;"|",("|" &amp; SUBSTITUTE(F_Custom1_resolved_criteria, ", ", "|") &amp; "|"))),1,0),0))</f>
        <v>1</v>
      </c>
      <c r="E20">
        <f>IF(OR(F_Custom2_Q="(None)",F_Custom2_Q="",ISBLANK(F_Custom2_Q),F_Custom2_V="(All)",F_Custom2_V="",ISBLANK(F_Custom2_V)),1,IFERROR(IF(ISNUMBER(SEARCH("|"&amp;INDEX(INDIRECT(F_Custom2_resolved_column),19)&amp;"|",("|" &amp; SUBSTITUTE(F_Custom2_resolved_criteria, ", ", "|") &amp; "|"))),1,0),0))</f>
        <v>1</v>
      </c>
      <c r="F20">
        <f>D20*E20*1</f>
        <v>1</v>
      </c>
      <c r="G20">
        <f>1</f>
        <v>1</v>
      </c>
      <c r="H20">
        <f>IF(OR(All_Questions_Q6_F_Q="(None)",All_Questions_Q6_F_Q="",ISBLANK(All_Questions_Q6_F_Q),All_Questions_Q6_F_V="(All)",All_Questions_Q6_F_V="",ISBLANK(All_Questions_Q6_F_V)),1,IFERROR(IF(ISNUMBER(SEARCH("|"&amp;INDEX(INDIRECT(All_Questions_Q6_F_resolved_column),19)&amp;"|",("|" &amp; SUBSTITUTE(All_Questions_Q6_F_resolved_criteria, ", ", "|") &amp; "|"))),1,0),0))*1</f>
        <v>1</v>
      </c>
    </row>
    <row r="21">
      <c r="A21" t="n">
        <v>20</v>
      </c>
      <c r="B21" t="n">
        <v>26.3695</v>
      </c>
      <c r="C21">
        <f>1</f>
        <v>1</v>
      </c>
      <c r="D21">
        <f>IF(OR(F_Custom1_Q="(None)",F_Custom1_Q="",ISBLANK(F_Custom1_Q),F_Custom1_V="(All)",F_Custom1_V="",ISBLANK(F_Custom1_V)),1,IFERROR(IF(ISNUMBER(SEARCH("|"&amp;INDEX(INDIRECT(F_Custom1_resolved_column),20)&amp;"|",("|" &amp; SUBSTITUTE(F_Custom1_resolved_criteria, ", ", "|") &amp; "|"))),1,0),0))</f>
        <v>1</v>
      </c>
      <c r="E21">
        <f>IF(OR(F_Custom2_Q="(None)",F_Custom2_Q="",ISBLANK(F_Custom2_Q),F_Custom2_V="(All)",F_Custom2_V="",ISBLANK(F_Custom2_V)),1,IFERROR(IF(ISNUMBER(SEARCH("|"&amp;INDEX(INDIRECT(F_Custom2_resolved_column),20)&amp;"|",("|" &amp; SUBSTITUTE(F_Custom2_resolved_criteria, ", ", "|") &amp; "|"))),1,0),0))</f>
        <v>1</v>
      </c>
      <c r="F21">
        <f>D21*E21*1</f>
        <v>1</v>
      </c>
      <c r="G21">
        <f>1</f>
        <v>1</v>
      </c>
      <c r="H21">
        <f>IF(OR(All_Questions_Q6_F_Q="(None)",All_Questions_Q6_F_Q="",ISBLANK(All_Questions_Q6_F_Q),All_Questions_Q6_F_V="(All)",All_Questions_Q6_F_V="",ISBLANK(All_Questions_Q6_F_V)),1,IFERROR(IF(ISNUMBER(SEARCH("|"&amp;INDEX(INDIRECT(All_Questions_Q6_F_resolved_column),20)&amp;"|",("|" &amp; SUBSTITUTE(All_Questions_Q6_F_resolved_criteria, ", ", "|") &amp; "|"))),1,0),0))*1</f>
        <v>1</v>
      </c>
    </row>
    <row r="22">
      <c r="A22" t="n">
        <v>21</v>
      </c>
      <c r="B22" t="n">
        <v>26.3695</v>
      </c>
      <c r="C22">
        <f>1</f>
        <v>1</v>
      </c>
      <c r="D22">
        <f>IF(OR(F_Custom1_Q="(None)",F_Custom1_Q="",ISBLANK(F_Custom1_Q),F_Custom1_V="(All)",F_Custom1_V="",ISBLANK(F_Custom1_V)),1,IFERROR(IF(ISNUMBER(SEARCH("|"&amp;INDEX(INDIRECT(F_Custom1_resolved_column),21)&amp;"|",("|" &amp; SUBSTITUTE(F_Custom1_resolved_criteria, ", ", "|") &amp; "|"))),1,0),0))</f>
        <v>1</v>
      </c>
      <c r="E22">
        <f>IF(OR(F_Custom2_Q="(None)",F_Custom2_Q="",ISBLANK(F_Custom2_Q),F_Custom2_V="(All)",F_Custom2_V="",ISBLANK(F_Custom2_V)),1,IFERROR(IF(ISNUMBER(SEARCH("|"&amp;INDEX(INDIRECT(F_Custom2_resolved_column),21)&amp;"|",("|" &amp; SUBSTITUTE(F_Custom2_resolved_criteria, ", ", "|") &amp; "|"))),1,0),0))</f>
        <v>1</v>
      </c>
      <c r="F22">
        <f>D22*E22*1</f>
        <v>1</v>
      </c>
      <c r="G22">
        <f>1</f>
        <v>1</v>
      </c>
      <c r="H22">
        <f>IF(OR(All_Questions_Q6_F_Q="(None)",All_Questions_Q6_F_Q="",ISBLANK(All_Questions_Q6_F_Q),All_Questions_Q6_F_V="(All)",All_Questions_Q6_F_V="",ISBLANK(All_Questions_Q6_F_V)),1,IFERROR(IF(ISNUMBER(SEARCH("|"&amp;INDEX(INDIRECT(All_Questions_Q6_F_resolved_column),21)&amp;"|",("|" &amp; SUBSTITUTE(All_Questions_Q6_F_resolved_criteria, ", ", "|") &amp; "|"))),1,0),0))*1</f>
        <v>1</v>
      </c>
    </row>
    <row r="23">
      <c r="A23" t="n">
        <v>22</v>
      </c>
      <c r="B23" t="n">
        <v>26.3695</v>
      </c>
      <c r="C23">
        <f>1</f>
        <v>1</v>
      </c>
      <c r="D23">
        <f>IF(OR(F_Custom1_Q="(None)",F_Custom1_Q="",ISBLANK(F_Custom1_Q),F_Custom1_V="(All)",F_Custom1_V="",ISBLANK(F_Custom1_V)),1,IFERROR(IF(ISNUMBER(SEARCH("|"&amp;INDEX(INDIRECT(F_Custom1_resolved_column),22)&amp;"|",("|" &amp; SUBSTITUTE(F_Custom1_resolved_criteria, ", ", "|") &amp; "|"))),1,0),0))</f>
        <v>1</v>
      </c>
      <c r="E23">
        <f>IF(OR(F_Custom2_Q="(None)",F_Custom2_Q="",ISBLANK(F_Custom2_Q),F_Custom2_V="(All)",F_Custom2_V="",ISBLANK(F_Custom2_V)),1,IFERROR(IF(ISNUMBER(SEARCH("|"&amp;INDEX(INDIRECT(F_Custom2_resolved_column),22)&amp;"|",("|" &amp; SUBSTITUTE(F_Custom2_resolved_criteria, ", ", "|") &amp; "|"))),1,0),0))</f>
        <v>1</v>
      </c>
      <c r="F23">
        <f>D23*E23*1</f>
        <v>1</v>
      </c>
      <c r="G23">
        <f>1</f>
        <v>1</v>
      </c>
      <c r="H23">
        <f>IF(OR(All_Questions_Q6_F_Q="(None)",All_Questions_Q6_F_Q="",ISBLANK(All_Questions_Q6_F_Q),All_Questions_Q6_F_V="(All)",All_Questions_Q6_F_V="",ISBLANK(All_Questions_Q6_F_V)),1,IFERROR(IF(ISNUMBER(SEARCH("|"&amp;INDEX(INDIRECT(All_Questions_Q6_F_resolved_column),22)&amp;"|",("|" &amp; SUBSTITUTE(All_Questions_Q6_F_resolved_criteria, ", ", "|") &amp; "|"))),1,0),0))*1</f>
        <v>1</v>
      </c>
    </row>
    <row r="24">
      <c r="A24" t="n">
        <v>23</v>
      </c>
      <c r="B24" t="n">
        <v>26.3695</v>
      </c>
      <c r="C24">
        <f>1</f>
        <v>1</v>
      </c>
      <c r="D24">
        <f>IF(OR(F_Custom1_Q="(None)",F_Custom1_Q="",ISBLANK(F_Custom1_Q),F_Custom1_V="(All)",F_Custom1_V="",ISBLANK(F_Custom1_V)),1,IFERROR(IF(ISNUMBER(SEARCH("|"&amp;INDEX(INDIRECT(F_Custom1_resolved_column),23)&amp;"|",("|" &amp; SUBSTITUTE(F_Custom1_resolved_criteria, ", ", "|") &amp; "|"))),1,0),0))</f>
        <v>1</v>
      </c>
      <c r="E24">
        <f>IF(OR(F_Custom2_Q="(None)",F_Custom2_Q="",ISBLANK(F_Custom2_Q),F_Custom2_V="(All)",F_Custom2_V="",ISBLANK(F_Custom2_V)),1,IFERROR(IF(ISNUMBER(SEARCH("|"&amp;INDEX(INDIRECT(F_Custom2_resolved_column),23)&amp;"|",("|" &amp; SUBSTITUTE(F_Custom2_resolved_criteria, ", ", "|") &amp; "|"))),1,0),0))</f>
        <v>1</v>
      </c>
      <c r="F24">
        <f>D24*E24*1</f>
        <v>1</v>
      </c>
      <c r="G24">
        <f>1</f>
        <v>1</v>
      </c>
      <c r="H24">
        <f>IF(OR(All_Questions_Q6_F_Q="(None)",All_Questions_Q6_F_Q="",ISBLANK(All_Questions_Q6_F_Q),All_Questions_Q6_F_V="(All)",All_Questions_Q6_F_V="",ISBLANK(All_Questions_Q6_F_V)),1,IFERROR(IF(ISNUMBER(SEARCH("|"&amp;INDEX(INDIRECT(All_Questions_Q6_F_resolved_column),23)&amp;"|",("|" &amp; SUBSTITUTE(All_Questions_Q6_F_resolved_criteria, ", ", "|") &amp; "|"))),1,0),0))*1</f>
        <v>1</v>
      </c>
    </row>
    <row r="25">
      <c r="A25" t="n">
        <v>24</v>
      </c>
      <c r="B25" t="n">
        <v>26.3695</v>
      </c>
      <c r="C25">
        <f>1</f>
        <v>1</v>
      </c>
      <c r="D25">
        <f>IF(OR(F_Custom1_Q="(None)",F_Custom1_Q="",ISBLANK(F_Custom1_Q),F_Custom1_V="(All)",F_Custom1_V="",ISBLANK(F_Custom1_V)),1,IFERROR(IF(ISNUMBER(SEARCH("|"&amp;INDEX(INDIRECT(F_Custom1_resolved_column),24)&amp;"|",("|" &amp; SUBSTITUTE(F_Custom1_resolved_criteria, ", ", "|") &amp; "|"))),1,0),0))</f>
        <v>1</v>
      </c>
      <c r="E25">
        <f>IF(OR(F_Custom2_Q="(None)",F_Custom2_Q="",ISBLANK(F_Custom2_Q),F_Custom2_V="(All)",F_Custom2_V="",ISBLANK(F_Custom2_V)),1,IFERROR(IF(ISNUMBER(SEARCH("|"&amp;INDEX(INDIRECT(F_Custom2_resolved_column),24)&amp;"|",("|" &amp; SUBSTITUTE(F_Custom2_resolved_criteria, ", ", "|") &amp; "|"))),1,0),0))</f>
        <v>1</v>
      </c>
      <c r="F25">
        <f>D25*E25*1</f>
        <v>1</v>
      </c>
      <c r="G25">
        <f>1</f>
        <v>1</v>
      </c>
      <c r="H25">
        <f>IF(OR(All_Questions_Q6_F_Q="(None)",All_Questions_Q6_F_Q="",ISBLANK(All_Questions_Q6_F_Q),All_Questions_Q6_F_V="(All)",All_Questions_Q6_F_V="",ISBLANK(All_Questions_Q6_F_V)),1,IFERROR(IF(ISNUMBER(SEARCH("|"&amp;INDEX(INDIRECT(All_Questions_Q6_F_resolved_column),24)&amp;"|",("|" &amp; SUBSTITUTE(All_Questions_Q6_F_resolved_criteria, ", ", "|") &amp; "|"))),1,0),0))*1</f>
        <v>1</v>
      </c>
    </row>
    <row r="26">
      <c r="A26" t="n">
        <v>25</v>
      </c>
      <c r="B26" t="n">
        <v>26.3695</v>
      </c>
      <c r="C26">
        <f>1</f>
        <v>1</v>
      </c>
      <c r="D26">
        <f>IF(OR(F_Custom1_Q="(None)",F_Custom1_Q="",ISBLANK(F_Custom1_Q),F_Custom1_V="(All)",F_Custom1_V="",ISBLANK(F_Custom1_V)),1,IFERROR(IF(ISNUMBER(SEARCH("|"&amp;INDEX(INDIRECT(F_Custom1_resolved_column),25)&amp;"|",("|" &amp; SUBSTITUTE(F_Custom1_resolved_criteria, ", ", "|") &amp; "|"))),1,0),0))</f>
        <v>1</v>
      </c>
      <c r="E26">
        <f>IF(OR(F_Custom2_Q="(None)",F_Custom2_Q="",ISBLANK(F_Custom2_Q),F_Custom2_V="(All)",F_Custom2_V="",ISBLANK(F_Custom2_V)),1,IFERROR(IF(ISNUMBER(SEARCH("|"&amp;INDEX(INDIRECT(F_Custom2_resolved_column),25)&amp;"|",("|" &amp; SUBSTITUTE(F_Custom2_resolved_criteria, ", ", "|") &amp; "|"))),1,0),0))</f>
        <v>1</v>
      </c>
      <c r="F26">
        <f>D26*E26*1</f>
        <v>1</v>
      </c>
      <c r="G26">
        <f>1</f>
        <v>1</v>
      </c>
      <c r="H26">
        <f>IF(OR(All_Questions_Q6_F_Q="(None)",All_Questions_Q6_F_Q="",ISBLANK(All_Questions_Q6_F_Q),All_Questions_Q6_F_V="(All)",All_Questions_Q6_F_V="",ISBLANK(All_Questions_Q6_F_V)),1,IFERROR(IF(ISNUMBER(SEARCH("|"&amp;INDEX(INDIRECT(All_Questions_Q6_F_resolved_column),25)&amp;"|",("|" &amp; SUBSTITUTE(All_Questions_Q6_F_resolved_criteria, ", ", "|") &amp; "|"))),1,0),0))*1</f>
        <v>1</v>
      </c>
    </row>
    <row r="27">
      <c r="A27" t="n">
        <v>26</v>
      </c>
      <c r="B27" t="n">
        <v>26.3695</v>
      </c>
      <c r="C27">
        <f>1</f>
        <v>1</v>
      </c>
      <c r="D27">
        <f>IF(OR(F_Custom1_Q="(None)",F_Custom1_Q="",ISBLANK(F_Custom1_Q),F_Custom1_V="(All)",F_Custom1_V="",ISBLANK(F_Custom1_V)),1,IFERROR(IF(ISNUMBER(SEARCH("|"&amp;INDEX(INDIRECT(F_Custom1_resolved_column),26)&amp;"|",("|" &amp; SUBSTITUTE(F_Custom1_resolved_criteria, ", ", "|") &amp; "|"))),1,0),0))</f>
        <v>1</v>
      </c>
      <c r="E27">
        <f>IF(OR(F_Custom2_Q="(None)",F_Custom2_Q="",ISBLANK(F_Custom2_Q),F_Custom2_V="(All)",F_Custom2_V="",ISBLANK(F_Custom2_V)),1,IFERROR(IF(ISNUMBER(SEARCH("|"&amp;INDEX(INDIRECT(F_Custom2_resolved_column),26)&amp;"|",("|" &amp; SUBSTITUTE(F_Custom2_resolved_criteria, ", ", "|") &amp; "|"))),1,0),0))</f>
        <v>1</v>
      </c>
      <c r="F27">
        <f>D27*E27*1</f>
        <v>1</v>
      </c>
      <c r="G27">
        <f>1</f>
        <v>1</v>
      </c>
      <c r="H27">
        <f>IF(OR(All_Questions_Q6_F_Q="(None)",All_Questions_Q6_F_Q="",ISBLANK(All_Questions_Q6_F_Q),All_Questions_Q6_F_V="(All)",All_Questions_Q6_F_V="",ISBLANK(All_Questions_Q6_F_V)),1,IFERROR(IF(ISNUMBER(SEARCH("|"&amp;INDEX(INDIRECT(All_Questions_Q6_F_resolved_column),26)&amp;"|",("|" &amp; SUBSTITUTE(All_Questions_Q6_F_resolved_criteria, ", ", "|") &amp; "|"))),1,0),0))*1</f>
        <v>1</v>
      </c>
    </row>
    <row r="28">
      <c r="A28" t="n">
        <v>27</v>
      </c>
      <c r="B28" t="n">
        <v>26.3695</v>
      </c>
      <c r="C28">
        <f>1</f>
        <v>1</v>
      </c>
      <c r="D28">
        <f>IF(OR(F_Custom1_Q="(None)",F_Custom1_Q="",ISBLANK(F_Custom1_Q),F_Custom1_V="(All)",F_Custom1_V="",ISBLANK(F_Custom1_V)),1,IFERROR(IF(ISNUMBER(SEARCH("|"&amp;INDEX(INDIRECT(F_Custom1_resolved_column),27)&amp;"|",("|" &amp; SUBSTITUTE(F_Custom1_resolved_criteria, ", ", "|") &amp; "|"))),1,0),0))</f>
        <v>1</v>
      </c>
      <c r="E28">
        <f>IF(OR(F_Custom2_Q="(None)",F_Custom2_Q="",ISBLANK(F_Custom2_Q),F_Custom2_V="(All)",F_Custom2_V="",ISBLANK(F_Custom2_V)),1,IFERROR(IF(ISNUMBER(SEARCH("|"&amp;INDEX(INDIRECT(F_Custom2_resolved_column),27)&amp;"|",("|" &amp; SUBSTITUTE(F_Custom2_resolved_criteria, ", ", "|") &amp; "|"))),1,0),0))</f>
        <v>1</v>
      </c>
      <c r="F28">
        <f>D28*E28*1</f>
        <v>1</v>
      </c>
      <c r="G28">
        <f>1</f>
        <v>1</v>
      </c>
      <c r="H28">
        <f>IF(OR(All_Questions_Q6_F_Q="(None)",All_Questions_Q6_F_Q="",ISBLANK(All_Questions_Q6_F_Q),All_Questions_Q6_F_V="(All)",All_Questions_Q6_F_V="",ISBLANK(All_Questions_Q6_F_V)),1,IFERROR(IF(ISNUMBER(SEARCH("|"&amp;INDEX(INDIRECT(All_Questions_Q6_F_resolved_column),27)&amp;"|",("|" &amp; SUBSTITUTE(All_Questions_Q6_F_resolved_criteria, ", ", "|") &amp; "|"))),1,0),0))*1</f>
        <v>1</v>
      </c>
    </row>
    <row r="29">
      <c r="A29" t="n">
        <v>28</v>
      </c>
      <c r="B29" t="n">
        <v>26.3695</v>
      </c>
      <c r="C29">
        <f>1</f>
        <v>1</v>
      </c>
      <c r="D29">
        <f>IF(OR(F_Custom1_Q="(None)",F_Custom1_Q="",ISBLANK(F_Custom1_Q),F_Custom1_V="(All)",F_Custom1_V="",ISBLANK(F_Custom1_V)),1,IFERROR(IF(ISNUMBER(SEARCH("|"&amp;INDEX(INDIRECT(F_Custom1_resolved_column),28)&amp;"|",("|" &amp; SUBSTITUTE(F_Custom1_resolved_criteria, ", ", "|") &amp; "|"))),1,0),0))</f>
        <v>1</v>
      </c>
      <c r="E29">
        <f>IF(OR(F_Custom2_Q="(None)",F_Custom2_Q="",ISBLANK(F_Custom2_Q),F_Custom2_V="(All)",F_Custom2_V="",ISBLANK(F_Custom2_V)),1,IFERROR(IF(ISNUMBER(SEARCH("|"&amp;INDEX(INDIRECT(F_Custom2_resolved_column),28)&amp;"|",("|" &amp; SUBSTITUTE(F_Custom2_resolved_criteria, ", ", "|") &amp; "|"))),1,0),0))</f>
        <v>1</v>
      </c>
      <c r="F29">
        <f>D29*E29*1</f>
        <v>1</v>
      </c>
      <c r="G29">
        <f>1</f>
        <v>1</v>
      </c>
      <c r="H29">
        <f>IF(OR(All_Questions_Q6_F_Q="(None)",All_Questions_Q6_F_Q="",ISBLANK(All_Questions_Q6_F_Q),All_Questions_Q6_F_V="(All)",All_Questions_Q6_F_V="",ISBLANK(All_Questions_Q6_F_V)),1,IFERROR(IF(ISNUMBER(SEARCH("|"&amp;INDEX(INDIRECT(All_Questions_Q6_F_resolved_column),28)&amp;"|",("|" &amp; SUBSTITUTE(All_Questions_Q6_F_resolved_criteria, ", ", "|") &amp; "|"))),1,0),0))*1</f>
        <v>1</v>
      </c>
    </row>
    <row r="30">
      <c r="A30" t="n">
        <v>29</v>
      </c>
      <c r="B30" t="n">
        <v>26.3695</v>
      </c>
      <c r="C30">
        <f>1</f>
        <v>1</v>
      </c>
      <c r="D30">
        <f>IF(OR(F_Custom1_Q="(None)",F_Custom1_Q="",ISBLANK(F_Custom1_Q),F_Custom1_V="(All)",F_Custom1_V="",ISBLANK(F_Custom1_V)),1,IFERROR(IF(ISNUMBER(SEARCH("|"&amp;INDEX(INDIRECT(F_Custom1_resolved_column),29)&amp;"|",("|" &amp; SUBSTITUTE(F_Custom1_resolved_criteria, ", ", "|") &amp; "|"))),1,0),0))</f>
        <v>1</v>
      </c>
      <c r="E30">
        <f>IF(OR(F_Custom2_Q="(None)",F_Custom2_Q="",ISBLANK(F_Custom2_Q),F_Custom2_V="(All)",F_Custom2_V="",ISBLANK(F_Custom2_V)),1,IFERROR(IF(ISNUMBER(SEARCH("|"&amp;INDEX(INDIRECT(F_Custom2_resolved_column),29)&amp;"|",("|" &amp; SUBSTITUTE(F_Custom2_resolved_criteria, ", ", "|") &amp; "|"))),1,0),0))</f>
        <v>1</v>
      </c>
      <c r="F30">
        <f>D30*E30*1</f>
        <v>1</v>
      </c>
      <c r="G30">
        <f>1</f>
        <v>1</v>
      </c>
      <c r="H30">
        <f>IF(OR(All_Questions_Q6_F_Q="(None)",All_Questions_Q6_F_Q="",ISBLANK(All_Questions_Q6_F_Q),All_Questions_Q6_F_V="(All)",All_Questions_Q6_F_V="",ISBLANK(All_Questions_Q6_F_V)),1,IFERROR(IF(ISNUMBER(SEARCH("|"&amp;INDEX(INDIRECT(All_Questions_Q6_F_resolved_column),29)&amp;"|",("|" &amp; SUBSTITUTE(All_Questions_Q6_F_resolved_criteria, ", ", "|") &amp; "|"))),1,0),0))*1</f>
        <v>1</v>
      </c>
    </row>
    <row r="31">
      <c r="A31" t="n">
        <v>30</v>
      </c>
      <c r="B31" t="n">
        <v>26.3695</v>
      </c>
      <c r="C31">
        <f>1</f>
        <v>1</v>
      </c>
      <c r="D31">
        <f>IF(OR(F_Custom1_Q="(None)",F_Custom1_Q="",ISBLANK(F_Custom1_Q),F_Custom1_V="(All)",F_Custom1_V="",ISBLANK(F_Custom1_V)),1,IFERROR(IF(ISNUMBER(SEARCH("|"&amp;INDEX(INDIRECT(F_Custom1_resolved_column),30)&amp;"|",("|" &amp; SUBSTITUTE(F_Custom1_resolved_criteria, ", ", "|") &amp; "|"))),1,0),0))</f>
        <v>1</v>
      </c>
      <c r="E31">
        <f>IF(OR(F_Custom2_Q="(None)",F_Custom2_Q="",ISBLANK(F_Custom2_Q),F_Custom2_V="(All)",F_Custom2_V="",ISBLANK(F_Custom2_V)),1,IFERROR(IF(ISNUMBER(SEARCH("|"&amp;INDEX(INDIRECT(F_Custom2_resolved_column),30)&amp;"|",("|" &amp; SUBSTITUTE(F_Custom2_resolved_criteria, ", ", "|") &amp; "|"))),1,0),0))</f>
        <v>1</v>
      </c>
      <c r="F31">
        <f>D31*E31*1</f>
        <v>1</v>
      </c>
      <c r="G31">
        <f>1</f>
        <v>1</v>
      </c>
      <c r="H31">
        <f>IF(OR(All_Questions_Q6_F_Q="(None)",All_Questions_Q6_F_Q="",ISBLANK(All_Questions_Q6_F_Q),All_Questions_Q6_F_V="(All)",All_Questions_Q6_F_V="",ISBLANK(All_Questions_Q6_F_V)),1,IFERROR(IF(ISNUMBER(SEARCH("|"&amp;INDEX(INDIRECT(All_Questions_Q6_F_resolved_column),30)&amp;"|",("|" &amp; SUBSTITUTE(All_Questions_Q6_F_resolved_criteria, ", ", "|") &amp; "|"))),1,0),0))*1</f>
        <v>1</v>
      </c>
    </row>
    <row r="32">
      <c r="A32" t="n">
        <v>31</v>
      </c>
      <c r="B32" t="n">
        <v>26.3695</v>
      </c>
      <c r="C32">
        <f>1</f>
        <v>1</v>
      </c>
      <c r="D32">
        <f>IF(OR(F_Custom1_Q="(None)",F_Custom1_Q="",ISBLANK(F_Custom1_Q),F_Custom1_V="(All)",F_Custom1_V="",ISBLANK(F_Custom1_V)),1,IFERROR(IF(ISNUMBER(SEARCH("|"&amp;INDEX(INDIRECT(F_Custom1_resolved_column),31)&amp;"|",("|" &amp; SUBSTITUTE(F_Custom1_resolved_criteria, ", ", "|") &amp; "|"))),1,0),0))</f>
        <v>1</v>
      </c>
      <c r="E32">
        <f>IF(OR(F_Custom2_Q="(None)",F_Custom2_Q="",ISBLANK(F_Custom2_Q),F_Custom2_V="(All)",F_Custom2_V="",ISBLANK(F_Custom2_V)),1,IFERROR(IF(ISNUMBER(SEARCH("|"&amp;INDEX(INDIRECT(F_Custom2_resolved_column),31)&amp;"|",("|" &amp; SUBSTITUTE(F_Custom2_resolved_criteria, ", ", "|") &amp; "|"))),1,0),0))</f>
        <v>1</v>
      </c>
      <c r="F32">
        <f>D32*E32*1</f>
        <v>1</v>
      </c>
      <c r="G32">
        <f>1</f>
        <v>1</v>
      </c>
      <c r="H32">
        <f>IF(OR(All_Questions_Q6_F_Q="(None)",All_Questions_Q6_F_Q="",ISBLANK(All_Questions_Q6_F_Q),All_Questions_Q6_F_V="(All)",All_Questions_Q6_F_V="",ISBLANK(All_Questions_Q6_F_V)),1,IFERROR(IF(ISNUMBER(SEARCH("|"&amp;INDEX(INDIRECT(All_Questions_Q6_F_resolved_column),31)&amp;"|",("|" &amp; SUBSTITUTE(All_Questions_Q6_F_resolved_criteria, ", ", "|") &amp; "|"))),1,0),0))*1</f>
        <v>1</v>
      </c>
    </row>
    <row r="33">
      <c r="A33" t="n">
        <v>32</v>
      </c>
      <c r="B33" t="n">
        <v>26.3695</v>
      </c>
      <c r="C33">
        <f>1</f>
        <v>1</v>
      </c>
      <c r="D33">
        <f>IF(OR(F_Custom1_Q="(None)",F_Custom1_Q="",ISBLANK(F_Custom1_Q),F_Custom1_V="(All)",F_Custom1_V="",ISBLANK(F_Custom1_V)),1,IFERROR(IF(ISNUMBER(SEARCH("|"&amp;INDEX(INDIRECT(F_Custom1_resolved_column),32)&amp;"|",("|" &amp; SUBSTITUTE(F_Custom1_resolved_criteria, ", ", "|") &amp; "|"))),1,0),0))</f>
        <v>1</v>
      </c>
      <c r="E33">
        <f>IF(OR(F_Custom2_Q="(None)",F_Custom2_Q="",ISBLANK(F_Custom2_Q),F_Custom2_V="(All)",F_Custom2_V="",ISBLANK(F_Custom2_V)),1,IFERROR(IF(ISNUMBER(SEARCH("|"&amp;INDEX(INDIRECT(F_Custom2_resolved_column),32)&amp;"|",("|" &amp; SUBSTITUTE(F_Custom2_resolved_criteria, ", ", "|") &amp; "|"))),1,0),0))</f>
        <v>1</v>
      </c>
      <c r="F33">
        <f>D33*E33*1</f>
        <v>1</v>
      </c>
      <c r="G33">
        <f>1</f>
        <v>1</v>
      </c>
      <c r="H33">
        <f>IF(OR(All_Questions_Q6_F_Q="(None)",All_Questions_Q6_F_Q="",ISBLANK(All_Questions_Q6_F_Q),All_Questions_Q6_F_V="(All)",All_Questions_Q6_F_V="",ISBLANK(All_Questions_Q6_F_V)),1,IFERROR(IF(ISNUMBER(SEARCH("|"&amp;INDEX(INDIRECT(All_Questions_Q6_F_resolved_column),32)&amp;"|",("|" &amp; SUBSTITUTE(All_Questions_Q6_F_resolved_criteria, ", ", "|") &amp; "|"))),1,0),0))*1</f>
        <v>1</v>
      </c>
    </row>
    <row r="34">
      <c r="A34" t="n">
        <v>33</v>
      </c>
      <c r="B34" t="n">
        <v>26.3695</v>
      </c>
      <c r="C34">
        <f>1</f>
        <v>1</v>
      </c>
      <c r="D34">
        <f>IF(OR(F_Custom1_Q="(None)",F_Custom1_Q="",ISBLANK(F_Custom1_Q),F_Custom1_V="(All)",F_Custom1_V="",ISBLANK(F_Custom1_V)),1,IFERROR(IF(ISNUMBER(SEARCH("|"&amp;INDEX(INDIRECT(F_Custom1_resolved_column),33)&amp;"|",("|" &amp; SUBSTITUTE(F_Custom1_resolved_criteria, ", ", "|") &amp; "|"))),1,0),0))</f>
        <v>1</v>
      </c>
      <c r="E34">
        <f>IF(OR(F_Custom2_Q="(None)",F_Custom2_Q="",ISBLANK(F_Custom2_Q),F_Custom2_V="(All)",F_Custom2_V="",ISBLANK(F_Custom2_V)),1,IFERROR(IF(ISNUMBER(SEARCH("|"&amp;INDEX(INDIRECT(F_Custom2_resolved_column),33)&amp;"|",("|" &amp; SUBSTITUTE(F_Custom2_resolved_criteria, ", ", "|") &amp; "|"))),1,0),0))</f>
        <v>1</v>
      </c>
      <c r="F34">
        <f>D34*E34*1</f>
        <v>1</v>
      </c>
      <c r="G34">
        <f>1</f>
        <v>1</v>
      </c>
      <c r="H34">
        <f>IF(OR(All_Questions_Q6_F_Q="(None)",All_Questions_Q6_F_Q="",ISBLANK(All_Questions_Q6_F_Q),All_Questions_Q6_F_V="(All)",All_Questions_Q6_F_V="",ISBLANK(All_Questions_Q6_F_V)),1,IFERROR(IF(ISNUMBER(SEARCH("|"&amp;INDEX(INDIRECT(All_Questions_Q6_F_resolved_column),33)&amp;"|",("|" &amp; SUBSTITUTE(All_Questions_Q6_F_resolved_criteria, ", ", "|") &amp; "|"))),1,0),0))*1</f>
        <v>1</v>
      </c>
    </row>
    <row r="35">
      <c r="A35" t="n">
        <v>34</v>
      </c>
      <c r="B35" t="n">
        <v>26.3695</v>
      </c>
      <c r="C35">
        <f>1</f>
        <v>1</v>
      </c>
      <c r="D35">
        <f>IF(OR(F_Custom1_Q="(None)",F_Custom1_Q="",ISBLANK(F_Custom1_Q),F_Custom1_V="(All)",F_Custom1_V="",ISBLANK(F_Custom1_V)),1,IFERROR(IF(ISNUMBER(SEARCH("|"&amp;INDEX(INDIRECT(F_Custom1_resolved_column),34)&amp;"|",("|" &amp; SUBSTITUTE(F_Custom1_resolved_criteria, ", ", "|") &amp; "|"))),1,0),0))</f>
        <v>1</v>
      </c>
      <c r="E35">
        <f>IF(OR(F_Custom2_Q="(None)",F_Custom2_Q="",ISBLANK(F_Custom2_Q),F_Custom2_V="(All)",F_Custom2_V="",ISBLANK(F_Custom2_V)),1,IFERROR(IF(ISNUMBER(SEARCH("|"&amp;INDEX(INDIRECT(F_Custom2_resolved_column),34)&amp;"|",("|" &amp; SUBSTITUTE(F_Custom2_resolved_criteria, ", ", "|") &amp; "|"))),1,0),0))</f>
        <v>1</v>
      </c>
      <c r="F35">
        <f>D35*E35*1</f>
        <v>1</v>
      </c>
      <c r="G35">
        <f>1</f>
        <v>1</v>
      </c>
      <c r="H35">
        <f>IF(OR(All_Questions_Q6_F_Q="(None)",All_Questions_Q6_F_Q="",ISBLANK(All_Questions_Q6_F_Q),All_Questions_Q6_F_V="(All)",All_Questions_Q6_F_V="",ISBLANK(All_Questions_Q6_F_V)),1,IFERROR(IF(ISNUMBER(SEARCH("|"&amp;INDEX(INDIRECT(All_Questions_Q6_F_resolved_column),34)&amp;"|",("|" &amp; SUBSTITUTE(All_Questions_Q6_F_resolved_criteria, ", ", "|") &amp; "|"))),1,0),0))*1</f>
        <v>1</v>
      </c>
    </row>
    <row r="36">
      <c r="A36" t="n">
        <v>35</v>
      </c>
      <c r="B36" t="n">
        <v>26.3695</v>
      </c>
      <c r="C36">
        <f>1</f>
        <v>1</v>
      </c>
      <c r="D36">
        <f>IF(OR(F_Custom1_Q="(None)",F_Custom1_Q="",ISBLANK(F_Custom1_Q),F_Custom1_V="(All)",F_Custom1_V="",ISBLANK(F_Custom1_V)),1,IFERROR(IF(ISNUMBER(SEARCH("|"&amp;INDEX(INDIRECT(F_Custom1_resolved_column),35)&amp;"|",("|" &amp; SUBSTITUTE(F_Custom1_resolved_criteria, ", ", "|") &amp; "|"))),1,0),0))</f>
        <v>1</v>
      </c>
      <c r="E36">
        <f>IF(OR(F_Custom2_Q="(None)",F_Custom2_Q="",ISBLANK(F_Custom2_Q),F_Custom2_V="(All)",F_Custom2_V="",ISBLANK(F_Custom2_V)),1,IFERROR(IF(ISNUMBER(SEARCH("|"&amp;INDEX(INDIRECT(F_Custom2_resolved_column),35)&amp;"|",("|" &amp; SUBSTITUTE(F_Custom2_resolved_criteria, ", ", "|") &amp; "|"))),1,0),0))</f>
        <v>1</v>
      </c>
      <c r="F36">
        <f>D36*E36*1</f>
        <v>1</v>
      </c>
      <c r="G36">
        <f>1</f>
        <v>1</v>
      </c>
      <c r="H36">
        <f>IF(OR(All_Questions_Q6_F_Q="(None)",All_Questions_Q6_F_Q="",ISBLANK(All_Questions_Q6_F_Q),All_Questions_Q6_F_V="(All)",All_Questions_Q6_F_V="",ISBLANK(All_Questions_Q6_F_V)),1,IFERROR(IF(ISNUMBER(SEARCH("|"&amp;INDEX(INDIRECT(All_Questions_Q6_F_resolved_column),35)&amp;"|",("|" &amp; SUBSTITUTE(All_Questions_Q6_F_resolved_criteria, ", ", "|") &amp; "|"))),1,0),0))*1</f>
        <v>1</v>
      </c>
    </row>
    <row r="37">
      <c r="A37" t="n">
        <v>36</v>
      </c>
      <c r="B37" t="n">
        <v>26.3695</v>
      </c>
      <c r="C37">
        <f>1</f>
        <v>1</v>
      </c>
      <c r="D37">
        <f>IF(OR(F_Custom1_Q="(None)",F_Custom1_Q="",ISBLANK(F_Custom1_Q),F_Custom1_V="(All)",F_Custom1_V="",ISBLANK(F_Custom1_V)),1,IFERROR(IF(ISNUMBER(SEARCH("|"&amp;INDEX(INDIRECT(F_Custom1_resolved_column),36)&amp;"|",("|" &amp; SUBSTITUTE(F_Custom1_resolved_criteria, ", ", "|") &amp; "|"))),1,0),0))</f>
        <v>1</v>
      </c>
      <c r="E37">
        <f>IF(OR(F_Custom2_Q="(None)",F_Custom2_Q="",ISBLANK(F_Custom2_Q),F_Custom2_V="(All)",F_Custom2_V="",ISBLANK(F_Custom2_V)),1,IFERROR(IF(ISNUMBER(SEARCH("|"&amp;INDEX(INDIRECT(F_Custom2_resolved_column),36)&amp;"|",("|" &amp; SUBSTITUTE(F_Custom2_resolved_criteria, ", ", "|") &amp; "|"))),1,0),0))</f>
        <v>1</v>
      </c>
      <c r="F37">
        <f>D37*E37*1</f>
        <v>1</v>
      </c>
      <c r="G37">
        <f>1</f>
        <v>1</v>
      </c>
      <c r="H37">
        <f>IF(OR(All_Questions_Q6_F_Q="(None)",All_Questions_Q6_F_Q="",ISBLANK(All_Questions_Q6_F_Q),All_Questions_Q6_F_V="(All)",All_Questions_Q6_F_V="",ISBLANK(All_Questions_Q6_F_V)),1,IFERROR(IF(ISNUMBER(SEARCH("|"&amp;INDEX(INDIRECT(All_Questions_Q6_F_resolved_column),36)&amp;"|",("|" &amp; SUBSTITUTE(All_Questions_Q6_F_resolved_criteria, ", ", "|") &amp; "|"))),1,0),0))*1</f>
        <v>1</v>
      </c>
    </row>
    <row r="38">
      <c r="A38" t="n">
        <v>37</v>
      </c>
      <c r="B38" t="n">
        <v>26.3695</v>
      </c>
      <c r="C38">
        <f>1</f>
        <v>1</v>
      </c>
      <c r="D38">
        <f>IF(OR(F_Custom1_Q="(None)",F_Custom1_Q="",ISBLANK(F_Custom1_Q),F_Custom1_V="(All)",F_Custom1_V="",ISBLANK(F_Custom1_V)),1,IFERROR(IF(ISNUMBER(SEARCH("|"&amp;INDEX(INDIRECT(F_Custom1_resolved_column),37)&amp;"|",("|" &amp; SUBSTITUTE(F_Custom1_resolved_criteria, ", ", "|") &amp; "|"))),1,0),0))</f>
        <v>1</v>
      </c>
      <c r="E38">
        <f>IF(OR(F_Custom2_Q="(None)",F_Custom2_Q="",ISBLANK(F_Custom2_Q),F_Custom2_V="(All)",F_Custom2_V="",ISBLANK(F_Custom2_V)),1,IFERROR(IF(ISNUMBER(SEARCH("|"&amp;INDEX(INDIRECT(F_Custom2_resolved_column),37)&amp;"|",("|" &amp; SUBSTITUTE(F_Custom2_resolved_criteria, ", ", "|") &amp; "|"))),1,0),0))</f>
        <v>1</v>
      </c>
      <c r="F38">
        <f>D38*E38*1</f>
        <v>1</v>
      </c>
      <c r="G38">
        <f>1</f>
        <v>1</v>
      </c>
      <c r="H38">
        <f>IF(OR(All_Questions_Q6_F_Q="(None)",All_Questions_Q6_F_Q="",ISBLANK(All_Questions_Q6_F_Q),All_Questions_Q6_F_V="(All)",All_Questions_Q6_F_V="",ISBLANK(All_Questions_Q6_F_V)),1,IFERROR(IF(ISNUMBER(SEARCH("|"&amp;INDEX(INDIRECT(All_Questions_Q6_F_resolved_column),37)&amp;"|",("|" &amp; SUBSTITUTE(All_Questions_Q6_F_resolved_criteria, ", ", "|") &amp; "|"))),1,0),0))*1</f>
        <v>1</v>
      </c>
    </row>
    <row r="39">
      <c r="A39" t="n">
        <v>38</v>
      </c>
      <c r="B39" t="n">
        <v>26.3695</v>
      </c>
      <c r="C39">
        <f>1</f>
        <v>1</v>
      </c>
      <c r="D39">
        <f>IF(OR(F_Custom1_Q="(None)",F_Custom1_Q="",ISBLANK(F_Custom1_Q),F_Custom1_V="(All)",F_Custom1_V="",ISBLANK(F_Custom1_V)),1,IFERROR(IF(ISNUMBER(SEARCH("|"&amp;INDEX(INDIRECT(F_Custom1_resolved_column),38)&amp;"|",("|" &amp; SUBSTITUTE(F_Custom1_resolved_criteria, ", ", "|") &amp; "|"))),1,0),0))</f>
        <v>1</v>
      </c>
      <c r="E39">
        <f>IF(OR(F_Custom2_Q="(None)",F_Custom2_Q="",ISBLANK(F_Custom2_Q),F_Custom2_V="(All)",F_Custom2_V="",ISBLANK(F_Custom2_V)),1,IFERROR(IF(ISNUMBER(SEARCH("|"&amp;INDEX(INDIRECT(F_Custom2_resolved_column),38)&amp;"|",("|" &amp; SUBSTITUTE(F_Custom2_resolved_criteria, ", ", "|") &amp; "|"))),1,0),0))</f>
        <v>1</v>
      </c>
      <c r="F39">
        <f>D39*E39*1</f>
        <v>1</v>
      </c>
      <c r="G39">
        <f>1</f>
        <v>1</v>
      </c>
      <c r="H39">
        <f>IF(OR(All_Questions_Q6_F_Q="(None)",All_Questions_Q6_F_Q="",ISBLANK(All_Questions_Q6_F_Q),All_Questions_Q6_F_V="(All)",All_Questions_Q6_F_V="",ISBLANK(All_Questions_Q6_F_V)),1,IFERROR(IF(ISNUMBER(SEARCH("|"&amp;INDEX(INDIRECT(All_Questions_Q6_F_resolved_column),38)&amp;"|",("|" &amp; SUBSTITUTE(All_Questions_Q6_F_resolved_criteria, ", ", "|") &amp; "|"))),1,0),0))*1</f>
        <v>1</v>
      </c>
    </row>
    <row r="40">
      <c r="A40" t="n">
        <v>39</v>
      </c>
      <c r="B40" t="n">
        <v>26.3695</v>
      </c>
      <c r="C40">
        <f>1</f>
        <v>1</v>
      </c>
      <c r="D40">
        <f>IF(OR(F_Custom1_Q="(None)",F_Custom1_Q="",ISBLANK(F_Custom1_Q),F_Custom1_V="(All)",F_Custom1_V="",ISBLANK(F_Custom1_V)),1,IFERROR(IF(ISNUMBER(SEARCH("|"&amp;INDEX(INDIRECT(F_Custom1_resolved_column),39)&amp;"|",("|" &amp; SUBSTITUTE(F_Custom1_resolved_criteria, ", ", "|") &amp; "|"))),1,0),0))</f>
        <v>1</v>
      </c>
      <c r="E40">
        <f>IF(OR(F_Custom2_Q="(None)",F_Custom2_Q="",ISBLANK(F_Custom2_Q),F_Custom2_V="(All)",F_Custom2_V="",ISBLANK(F_Custom2_V)),1,IFERROR(IF(ISNUMBER(SEARCH("|"&amp;INDEX(INDIRECT(F_Custom2_resolved_column),39)&amp;"|",("|" &amp; SUBSTITUTE(F_Custom2_resolved_criteria, ", ", "|") &amp; "|"))),1,0),0))</f>
        <v>1</v>
      </c>
      <c r="F40">
        <f>D40*E40*1</f>
        <v>1</v>
      </c>
      <c r="G40">
        <f>1</f>
        <v>1</v>
      </c>
      <c r="H40">
        <f>IF(OR(All_Questions_Q6_F_Q="(None)",All_Questions_Q6_F_Q="",ISBLANK(All_Questions_Q6_F_Q),All_Questions_Q6_F_V="(All)",All_Questions_Q6_F_V="",ISBLANK(All_Questions_Q6_F_V)),1,IFERROR(IF(ISNUMBER(SEARCH("|"&amp;INDEX(INDIRECT(All_Questions_Q6_F_resolved_column),39)&amp;"|",("|" &amp; SUBSTITUTE(All_Questions_Q6_F_resolved_criteria, ", ", "|") &amp; "|"))),1,0),0))*1</f>
        <v>1</v>
      </c>
    </row>
    <row r="41">
      <c r="A41" t="n">
        <v>40</v>
      </c>
      <c r="B41" t="n">
        <v>26.3695</v>
      </c>
      <c r="C41">
        <f>1</f>
        <v>1</v>
      </c>
      <c r="D41">
        <f>IF(OR(F_Custom1_Q="(None)",F_Custom1_Q="",ISBLANK(F_Custom1_Q),F_Custom1_V="(All)",F_Custom1_V="",ISBLANK(F_Custom1_V)),1,IFERROR(IF(ISNUMBER(SEARCH("|"&amp;INDEX(INDIRECT(F_Custom1_resolved_column),40)&amp;"|",("|" &amp; SUBSTITUTE(F_Custom1_resolved_criteria, ", ", "|") &amp; "|"))),1,0),0))</f>
        <v>1</v>
      </c>
      <c r="E41">
        <f>IF(OR(F_Custom2_Q="(None)",F_Custom2_Q="",ISBLANK(F_Custom2_Q),F_Custom2_V="(All)",F_Custom2_V="",ISBLANK(F_Custom2_V)),1,IFERROR(IF(ISNUMBER(SEARCH("|"&amp;INDEX(INDIRECT(F_Custom2_resolved_column),40)&amp;"|",("|" &amp; SUBSTITUTE(F_Custom2_resolved_criteria, ", ", "|") &amp; "|"))),1,0),0))</f>
        <v>1</v>
      </c>
      <c r="F41">
        <f>D41*E41*1</f>
        <v>1</v>
      </c>
      <c r="G41">
        <f>1</f>
        <v>1</v>
      </c>
      <c r="H41">
        <f>IF(OR(All_Questions_Q6_F_Q="(None)",All_Questions_Q6_F_Q="",ISBLANK(All_Questions_Q6_F_Q),All_Questions_Q6_F_V="(All)",All_Questions_Q6_F_V="",ISBLANK(All_Questions_Q6_F_V)),1,IFERROR(IF(ISNUMBER(SEARCH("|"&amp;INDEX(INDIRECT(All_Questions_Q6_F_resolved_column),40)&amp;"|",("|" &amp; SUBSTITUTE(All_Questions_Q6_F_resolved_criteria, ", ", "|") &amp; "|"))),1,0),0))*1</f>
        <v>1</v>
      </c>
    </row>
    <row r="42">
      <c r="A42" t="n">
        <v>41</v>
      </c>
      <c r="B42" t="n">
        <v>26.3695</v>
      </c>
      <c r="C42">
        <f>1</f>
        <v>1</v>
      </c>
      <c r="D42">
        <f>IF(OR(F_Custom1_Q="(None)",F_Custom1_Q="",ISBLANK(F_Custom1_Q),F_Custom1_V="(All)",F_Custom1_V="",ISBLANK(F_Custom1_V)),1,IFERROR(IF(ISNUMBER(SEARCH("|"&amp;INDEX(INDIRECT(F_Custom1_resolved_column),41)&amp;"|",("|" &amp; SUBSTITUTE(F_Custom1_resolved_criteria, ", ", "|") &amp; "|"))),1,0),0))</f>
        <v>1</v>
      </c>
      <c r="E42">
        <f>IF(OR(F_Custom2_Q="(None)",F_Custom2_Q="",ISBLANK(F_Custom2_Q),F_Custom2_V="(All)",F_Custom2_V="",ISBLANK(F_Custom2_V)),1,IFERROR(IF(ISNUMBER(SEARCH("|"&amp;INDEX(INDIRECT(F_Custom2_resolved_column),41)&amp;"|",("|" &amp; SUBSTITUTE(F_Custom2_resolved_criteria, ", ", "|") &amp; "|"))),1,0),0))</f>
        <v>1</v>
      </c>
      <c r="F42">
        <f>D42*E42*1</f>
        <v>1</v>
      </c>
      <c r="G42">
        <f>1</f>
        <v>1</v>
      </c>
      <c r="H42">
        <f>IF(OR(All_Questions_Q6_F_Q="(None)",All_Questions_Q6_F_Q="",ISBLANK(All_Questions_Q6_F_Q),All_Questions_Q6_F_V="(All)",All_Questions_Q6_F_V="",ISBLANK(All_Questions_Q6_F_V)),1,IFERROR(IF(ISNUMBER(SEARCH("|"&amp;INDEX(INDIRECT(All_Questions_Q6_F_resolved_column),41)&amp;"|",("|" &amp; SUBSTITUTE(All_Questions_Q6_F_resolved_criteria, ", ", "|") &amp; "|"))),1,0),0))*1</f>
        <v>1</v>
      </c>
    </row>
    <row r="43">
      <c r="A43" t="n">
        <v>42</v>
      </c>
      <c r="B43" t="n">
        <v>26.3695</v>
      </c>
      <c r="C43">
        <f>1</f>
        <v>1</v>
      </c>
      <c r="D43">
        <f>IF(OR(F_Custom1_Q="(None)",F_Custom1_Q="",ISBLANK(F_Custom1_Q),F_Custom1_V="(All)",F_Custom1_V="",ISBLANK(F_Custom1_V)),1,IFERROR(IF(ISNUMBER(SEARCH("|"&amp;INDEX(INDIRECT(F_Custom1_resolved_column),42)&amp;"|",("|" &amp; SUBSTITUTE(F_Custom1_resolved_criteria, ", ", "|") &amp; "|"))),1,0),0))</f>
        <v>1</v>
      </c>
      <c r="E43">
        <f>IF(OR(F_Custom2_Q="(None)",F_Custom2_Q="",ISBLANK(F_Custom2_Q),F_Custom2_V="(All)",F_Custom2_V="",ISBLANK(F_Custom2_V)),1,IFERROR(IF(ISNUMBER(SEARCH("|"&amp;INDEX(INDIRECT(F_Custom2_resolved_column),42)&amp;"|",("|" &amp; SUBSTITUTE(F_Custom2_resolved_criteria, ", ", "|") &amp; "|"))),1,0),0))</f>
        <v>1</v>
      </c>
      <c r="F43">
        <f>D43*E43*1</f>
        <v>1</v>
      </c>
      <c r="G43">
        <f>1</f>
        <v>1</v>
      </c>
      <c r="H43">
        <f>IF(OR(All_Questions_Q6_F_Q="(None)",All_Questions_Q6_F_Q="",ISBLANK(All_Questions_Q6_F_Q),All_Questions_Q6_F_V="(All)",All_Questions_Q6_F_V="",ISBLANK(All_Questions_Q6_F_V)),1,IFERROR(IF(ISNUMBER(SEARCH("|"&amp;INDEX(INDIRECT(All_Questions_Q6_F_resolved_column),42)&amp;"|",("|" &amp; SUBSTITUTE(All_Questions_Q6_F_resolved_criteria, ", ", "|") &amp; "|"))),1,0),0))*1</f>
        <v>1</v>
      </c>
    </row>
    <row r="44">
      <c r="A44" t="n">
        <v>43</v>
      </c>
      <c r="B44" t="n">
        <v>26.3695</v>
      </c>
      <c r="C44">
        <f>1</f>
        <v>1</v>
      </c>
      <c r="D44">
        <f>IF(OR(F_Custom1_Q="(None)",F_Custom1_Q="",ISBLANK(F_Custom1_Q),F_Custom1_V="(All)",F_Custom1_V="",ISBLANK(F_Custom1_V)),1,IFERROR(IF(ISNUMBER(SEARCH("|"&amp;INDEX(INDIRECT(F_Custom1_resolved_column),43)&amp;"|",("|" &amp; SUBSTITUTE(F_Custom1_resolved_criteria, ", ", "|") &amp; "|"))),1,0),0))</f>
        <v>1</v>
      </c>
      <c r="E44">
        <f>IF(OR(F_Custom2_Q="(None)",F_Custom2_Q="",ISBLANK(F_Custom2_Q),F_Custom2_V="(All)",F_Custom2_V="",ISBLANK(F_Custom2_V)),1,IFERROR(IF(ISNUMBER(SEARCH("|"&amp;INDEX(INDIRECT(F_Custom2_resolved_column),43)&amp;"|",("|" &amp; SUBSTITUTE(F_Custom2_resolved_criteria, ", ", "|") &amp; "|"))),1,0),0))</f>
        <v>1</v>
      </c>
      <c r="F44">
        <f>D44*E44*1</f>
        <v>1</v>
      </c>
      <c r="G44">
        <f>1</f>
        <v>1</v>
      </c>
      <c r="H44">
        <f>IF(OR(All_Questions_Q6_F_Q="(None)",All_Questions_Q6_F_Q="",ISBLANK(All_Questions_Q6_F_Q),All_Questions_Q6_F_V="(All)",All_Questions_Q6_F_V="",ISBLANK(All_Questions_Q6_F_V)),1,IFERROR(IF(ISNUMBER(SEARCH("|"&amp;INDEX(INDIRECT(All_Questions_Q6_F_resolved_column),43)&amp;"|",("|" &amp; SUBSTITUTE(All_Questions_Q6_F_resolved_criteria, ", ", "|") &amp; "|"))),1,0),0))*1</f>
        <v>1</v>
      </c>
    </row>
    <row r="45">
      <c r="A45" t="n">
        <v>44</v>
      </c>
      <c r="B45" t="n">
        <v>26.3695</v>
      </c>
      <c r="C45">
        <f>1</f>
        <v>1</v>
      </c>
      <c r="D45">
        <f>IF(OR(F_Custom1_Q="(None)",F_Custom1_Q="",ISBLANK(F_Custom1_Q),F_Custom1_V="(All)",F_Custom1_V="",ISBLANK(F_Custom1_V)),1,IFERROR(IF(ISNUMBER(SEARCH("|"&amp;INDEX(INDIRECT(F_Custom1_resolved_column),44)&amp;"|",("|" &amp; SUBSTITUTE(F_Custom1_resolved_criteria, ", ", "|") &amp; "|"))),1,0),0))</f>
        <v>1</v>
      </c>
      <c r="E45">
        <f>IF(OR(F_Custom2_Q="(None)",F_Custom2_Q="",ISBLANK(F_Custom2_Q),F_Custom2_V="(All)",F_Custom2_V="",ISBLANK(F_Custom2_V)),1,IFERROR(IF(ISNUMBER(SEARCH("|"&amp;INDEX(INDIRECT(F_Custom2_resolved_column),44)&amp;"|",("|" &amp; SUBSTITUTE(F_Custom2_resolved_criteria, ", ", "|") &amp; "|"))),1,0),0))</f>
        <v>1</v>
      </c>
      <c r="F45">
        <f>D45*E45*1</f>
        <v>1</v>
      </c>
      <c r="G45">
        <f>1</f>
        <v>1</v>
      </c>
      <c r="H45">
        <f>IF(OR(All_Questions_Q6_F_Q="(None)",All_Questions_Q6_F_Q="",ISBLANK(All_Questions_Q6_F_Q),All_Questions_Q6_F_V="(All)",All_Questions_Q6_F_V="",ISBLANK(All_Questions_Q6_F_V)),1,IFERROR(IF(ISNUMBER(SEARCH("|"&amp;INDEX(INDIRECT(All_Questions_Q6_F_resolved_column),44)&amp;"|",("|" &amp; SUBSTITUTE(All_Questions_Q6_F_resolved_criteria, ", ", "|") &amp; "|"))),1,0),0))*1</f>
        <v>1</v>
      </c>
    </row>
    <row r="46">
      <c r="A46" t="n">
        <v>45</v>
      </c>
      <c r="B46" t="n">
        <v>26.3695</v>
      </c>
      <c r="C46">
        <f>1</f>
        <v>1</v>
      </c>
      <c r="D46">
        <f>IF(OR(F_Custom1_Q="(None)",F_Custom1_Q="",ISBLANK(F_Custom1_Q),F_Custom1_V="(All)",F_Custom1_V="",ISBLANK(F_Custom1_V)),1,IFERROR(IF(ISNUMBER(SEARCH("|"&amp;INDEX(INDIRECT(F_Custom1_resolved_column),45)&amp;"|",("|" &amp; SUBSTITUTE(F_Custom1_resolved_criteria, ", ", "|") &amp; "|"))),1,0),0))</f>
        <v>1</v>
      </c>
      <c r="E46">
        <f>IF(OR(F_Custom2_Q="(None)",F_Custom2_Q="",ISBLANK(F_Custom2_Q),F_Custom2_V="(All)",F_Custom2_V="",ISBLANK(F_Custom2_V)),1,IFERROR(IF(ISNUMBER(SEARCH("|"&amp;INDEX(INDIRECT(F_Custom2_resolved_column),45)&amp;"|",("|" &amp; SUBSTITUTE(F_Custom2_resolved_criteria, ", ", "|") &amp; "|"))),1,0),0))</f>
        <v>1</v>
      </c>
      <c r="F46">
        <f>D46*E46*1</f>
        <v>1</v>
      </c>
      <c r="G46">
        <f>1</f>
        <v>1</v>
      </c>
      <c r="H46">
        <f>IF(OR(All_Questions_Q6_F_Q="(None)",All_Questions_Q6_F_Q="",ISBLANK(All_Questions_Q6_F_Q),All_Questions_Q6_F_V="(All)",All_Questions_Q6_F_V="",ISBLANK(All_Questions_Q6_F_V)),1,IFERROR(IF(ISNUMBER(SEARCH("|"&amp;INDEX(INDIRECT(All_Questions_Q6_F_resolved_column),45)&amp;"|",("|" &amp; SUBSTITUTE(All_Questions_Q6_F_resolved_criteria, ", ", "|") &amp; "|"))),1,0),0))*1</f>
        <v>1</v>
      </c>
    </row>
    <row r="47">
      <c r="A47" t="n">
        <v>46</v>
      </c>
      <c r="B47" t="n">
        <v>26.3695</v>
      </c>
      <c r="C47">
        <f>1</f>
        <v>1</v>
      </c>
      <c r="D47">
        <f>IF(OR(F_Custom1_Q="(None)",F_Custom1_Q="",ISBLANK(F_Custom1_Q),F_Custom1_V="(All)",F_Custom1_V="",ISBLANK(F_Custom1_V)),1,IFERROR(IF(ISNUMBER(SEARCH("|"&amp;INDEX(INDIRECT(F_Custom1_resolved_column),46)&amp;"|",("|" &amp; SUBSTITUTE(F_Custom1_resolved_criteria, ", ", "|") &amp; "|"))),1,0),0))</f>
        <v>1</v>
      </c>
      <c r="E47">
        <f>IF(OR(F_Custom2_Q="(None)",F_Custom2_Q="",ISBLANK(F_Custom2_Q),F_Custom2_V="(All)",F_Custom2_V="",ISBLANK(F_Custom2_V)),1,IFERROR(IF(ISNUMBER(SEARCH("|"&amp;INDEX(INDIRECT(F_Custom2_resolved_column),46)&amp;"|",("|" &amp; SUBSTITUTE(F_Custom2_resolved_criteria, ", ", "|") &amp; "|"))),1,0),0))</f>
        <v>1</v>
      </c>
      <c r="F47">
        <f>D47*E47*1</f>
        <v>1</v>
      </c>
      <c r="G47">
        <f>1</f>
        <v>1</v>
      </c>
      <c r="H47">
        <f>IF(OR(All_Questions_Q6_F_Q="(None)",All_Questions_Q6_F_Q="",ISBLANK(All_Questions_Q6_F_Q),All_Questions_Q6_F_V="(All)",All_Questions_Q6_F_V="",ISBLANK(All_Questions_Q6_F_V)),1,IFERROR(IF(ISNUMBER(SEARCH("|"&amp;INDEX(INDIRECT(All_Questions_Q6_F_resolved_column),46)&amp;"|",("|" &amp; SUBSTITUTE(All_Questions_Q6_F_resolved_criteria, ", ", "|") &amp; "|"))),1,0),0))*1</f>
        <v>1</v>
      </c>
    </row>
    <row r="48">
      <c r="A48" t="n">
        <v>47</v>
      </c>
      <c r="B48" t="n">
        <v>26.3695</v>
      </c>
      <c r="C48">
        <f>1</f>
        <v>1</v>
      </c>
      <c r="D48">
        <f>IF(OR(F_Custom1_Q="(None)",F_Custom1_Q="",ISBLANK(F_Custom1_Q),F_Custom1_V="(All)",F_Custom1_V="",ISBLANK(F_Custom1_V)),1,IFERROR(IF(ISNUMBER(SEARCH("|"&amp;INDEX(INDIRECT(F_Custom1_resolved_column),47)&amp;"|",("|" &amp; SUBSTITUTE(F_Custom1_resolved_criteria, ", ", "|") &amp; "|"))),1,0),0))</f>
        <v>1</v>
      </c>
      <c r="E48">
        <f>IF(OR(F_Custom2_Q="(None)",F_Custom2_Q="",ISBLANK(F_Custom2_Q),F_Custom2_V="(All)",F_Custom2_V="",ISBLANK(F_Custom2_V)),1,IFERROR(IF(ISNUMBER(SEARCH("|"&amp;INDEX(INDIRECT(F_Custom2_resolved_column),47)&amp;"|",("|" &amp; SUBSTITUTE(F_Custom2_resolved_criteria, ", ", "|") &amp; "|"))),1,0),0))</f>
        <v>1</v>
      </c>
      <c r="F48">
        <f>D48*E48*1</f>
        <v>1</v>
      </c>
      <c r="G48">
        <f>1</f>
        <v>1</v>
      </c>
      <c r="H48">
        <f>IF(OR(All_Questions_Q6_F_Q="(None)",All_Questions_Q6_F_Q="",ISBLANK(All_Questions_Q6_F_Q),All_Questions_Q6_F_V="(All)",All_Questions_Q6_F_V="",ISBLANK(All_Questions_Q6_F_V)),1,IFERROR(IF(ISNUMBER(SEARCH("|"&amp;INDEX(INDIRECT(All_Questions_Q6_F_resolved_column),47)&amp;"|",("|" &amp; SUBSTITUTE(All_Questions_Q6_F_resolved_criteria, ", ", "|") &amp; "|"))),1,0),0))*1</f>
        <v>1</v>
      </c>
    </row>
    <row r="49">
      <c r="A49" t="n">
        <v>48</v>
      </c>
      <c r="B49" t="n">
        <v>26.3695</v>
      </c>
      <c r="C49">
        <f>1</f>
        <v>1</v>
      </c>
      <c r="D49">
        <f>IF(OR(F_Custom1_Q="(None)",F_Custom1_Q="",ISBLANK(F_Custom1_Q),F_Custom1_V="(All)",F_Custom1_V="",ISBLANK(F_Custom1_V)),1,IFERROR(IF(ISNUMBER(SEARCH("|"&amp;INDEX(INDIRECT(F_Custom1_resolved_column),48)&amp;"|",("|" &amp; SUBSTITUTE(F_Custom1_resolved_criteria, ", ", "|") &amp; "|"))),1,0),0))</f>
        <v>1</v>
      </c>
      <c r="E49">
        <f>IF(OR(F_Custom2_Q="(None)",F_Custom2_Q="",ISBLANK(F_Custom2_Q),F_Custom2_V="(All)",F_Custom2_V="",ISBLANK(F_Custom2_V)),1,IFERROR(IF(ISNUMBER(SEARCH("|"&amp;INDEX(INDIRECT(F_Custom2_resolved_column),48)&amp;"|",("|" &amp; SUBSTITUTE(F_Custom2_resolved_criteria, ", ", "|") &amp; "|"))),1,0),0))</f>
        <v>1</v>
      </c>
      <c r="F49">
        <f>D49*E49*1</f>
        <v>1</v>
      </c>
      <c r="G49">
        <f>1</f>
        <v>1</v>
      </c>
      <c r="H49">
        <f>IF(OR(All_Questions_Q6_F_Q="(None)",All_Questions_Q6_F_Q="",ISBLANK(All_Questions_Q6_F_Q),All_Questions_Q6_F_V="(All)",All_Questions_Q6_F_V="",ISBLANK(All_Questions_Q6_F_V)),1,IFERROR(IF(ISNUMBER(SEARCH("|"&amp;INDEX(INDIRECT(All_Questions_Q6_F_resolved_column),48)&amp;"|",("|" &amp; SUBSTITUTE(All_Questions_Q6_F_resolved_criteria, ", ", "|") &amp; "|"))),1,0),0))*1</f>
        <v>1</v>
      </c>
    </row>
    <row r="50">
      <c r="A50" t="n">
        <v>49</v>
      </c>
      <c r="B50" t="n">
        <v>26.3695</v>
      </c>
      <c r="C50">
        <f>1</f>
        <v>1</v>
      </c>
      <c r="D50">
        <f>IF(OR(F_Custom1_Q="(None)",F_Custom1_Q="",ISBLANK(F_Custom1_Q),F_Custom1_V="(All)",F_Custom1_V="",ISBLANK(F_Custom1_V)),1,IFERROR(IF(ISNUMBER(SEARCH("|"&amp;INDEX(INDIRECT(F_Custom1_resolved_column),49)&amp;"|",("|" &amp; SUBSTITUTE(F_Custom1_resolved_criteria, ", ", "|") &amp; "|"))),1,0),0))</f>
        <v>1</v>
      </c>
      <c r="E50">
        <f>IF(OR(F_Custom2_Q="(None)",F_Custom2_Q="",ISBLANK(F_Custom2_Q),F_Custom2_V="(All)",F_Custom2_V="",ISBLANK(F_Custom2_V)),1,IFERROR(IF(ISNUMBER(SEARCH("|"&amp;INDEX(INDIRECT(F_Custom2_resolved_column),49)&amp;"|",("|" &amp; SUBSTITUTE(F_Custom2_resolved_criteria, ", ", "|") &amp; "|"))),1,0),0))</f>
        <v>1</v>
      </c>
      <c r="F50">
        <f>D50*E50*1</f>
        <v>1</v>
      </c>
      <c r="G50">
        <f>1</f>
        <v>1</v>
      </c>
      <c r="H50">
        <f>IF(OR(All_Questions_Q6_F_Q="(None)",All_Questions_Q6_F_Q="",ISBLANK(All_Questions_Q6_F_Q),All_Questions_Q6_F_V="(All)",All_Questions_Q6_F_V="",ISBLANK(All_Questions_Q6_F_V)),1,IFERROR(IF(ISNUMBER(SEARCH("|"&amp;INDEX(INDIRECT(All_Questions_Q6_F_resolved_column),49)&amp;"|",("|" &amp; SUBSTITUTE(All_Questions_Q6_F_resolved_criteria, ", ", "|") &amp; "|"))),1,0),0))*1</f>
        <v>1</v>
      </c>
    </row>
    <row r="51">
      <c r="A51" t="n">
        <v>50</v>
      </c>
      <c r="B51" t="n">
        <v>26.3695</v>
      </c>
      <c r="C51">
        <f>1</f>
        <v>1</v>
      </c>
      <c r="D51">
        <f>IF(OR(F_Custom1_Q="(None)",F_Custom1_Q="",ISBLANK(F_Custom1_Q),F_Custom1_V="(All)",F_Custom1_V="",ISBLANK(F_Custom1_V)),1,IFERROR(IF(ISNUMBER(SEARCH("|"&amp;INDEX(INDIRECT(F_Custom1_resolved_column),50)&amp;"|",("|" &amp; SUBSTITUTE(F_Custom1_resolved_criteria, ", ", "|") &amp; "|"))),1,0),0))</f>
        <v>1</v>
      </c>
      <c r="E51">
        <f>IF(OR(F_Custom2_Q="(None)",F_Custom2_Q="",ISBLANK(F_Custom2_Q),F_Custom2_V="(All)",F_Custom2_V="",ISBLANK(F_Custom2_V)),1,IFERROR(IF(ISNUMBER(SEARCH("|"&amp;INDEX(INDIRECT(F_Custom2_resolved_column),50)&amp;"|",("|" &amp; SUBSTITUTE(F_Custom2_resolved_criteria, ", ", "|") &amp; "|"))),1,0),0))</f>
        <v>1</v>
      </c>
      <c r="F51">
        <f>D51*E51*1</f>
        <v>1</v>
      </c>
      <c r="G51">
        <f>1</f>
        <v>1</v>
      </c>
      <c r="H51">
        <f>IF(OR(All_Questions_Q6_F_Q="(None)",All_Questions_Q6_F_Q="",ISBLANK(All_Questions_Q6_F_Q),All_Questions_Q6_F_V="(All)",All_Questions_Q6_F_V="",ISBLANK(All_Questions_Q6_F_V)),1,IFERROR(IF(ISNUMBER(SEARCH("|"&amp;INDEX(INDIRECT(All_Questions_Q6_F_resolved_column),50)&amp;"|",("|" &amp; SUBSTITUTE(All_Questions_Q6_F_resolved_criteria, ", ", "|") &amp; "|"))),1,0),0))*1</f>
        <v>1</v>
      </c>
    </row>
    <row r="52">
      <c r="A52" t="n">
        <v>51</v>
      </c>
      <c r="B52" t="n">
        <v>26.3695</v>
      </c>
      <c r="C52">
        <f>1</f>
        <v>1</v>
      </c>
      <c r="D52">
        <f>IF(OR(F_Custom1_Q="(None)",F_Custom1_Q="",ISBLANK(F_Custom1_Q),F_Custom1_V="(All)",F_Custom1_V="",ISBLANK(F_Custom1_V)),1,IFERROR(IF(ISNUMBER(SEARCH("|"&amp;INDEX(INDIRECT(F_Custom1_resolved_column),51)&amp;"|",("|" &amp; SUBSTITUTE(F_Custom1_resolved_criteria, ", ", "|") &amp; "|"))),1,0),0))</f>
        <v>1</v>
      </c>
      <c r="E52">
        <f>IF(OR(F_Custom2_Q="(None)",F_Custom2_Q="",ISBLANK(F_Custom2_Q),F_Custom2_V="(All)",F_Custom2_V="",ISBLANK(F_Custom2_V)),1,IFERROR(IF(ISNUMBER(SEARCH("|"&amp;INDEX(INDIRECT(F_Custom2_resolved_column),51)&amp;"|",("|" &amp; SUBSTITUTE(F_Custom2_resolved_criteria, ", ", "|") &amp; "|"))),1,0),0))</f>
        <v>1</v>
      </c>
      <c r="F52">
        <f>D52*E52*1</f>
        <v>1</v>
      </c>
      <c r="G52">
        <f>1</f>
        <v>1</v>
      </c>
      <c r="H52">
        <f>IF(OR(All_Questions_Q6_F_Q="(None)",All_Questions_Q6_F_Q="",ISBLANK(All_Questions_Q6_F_Q),All_Questions_Q6_F_V="(All)",All_Questions_Q6_F_V="",ISBLANK(All_Questions_Q6_F_V)),1,IFERROR(IF(ISNUMBER(SEARCH("|"&amp;INDEX(INDIRECT(All_Questions_Q6_F_resolved_column),51)&amp;"|",("|" &amp; SUBSTITUTE(All_Questions_Q6_F_resolved_criteria, ", ", "|") &amp; "|"))),1,0),0))*1</f>
        <v>1</v>
      </c>
    </row>
    <row r="53">
      <c r="A53" t="n">
        <v>52</v>
      </c>
      <c r="B53" t="n">
        <v>26.3695</v>
      </c>
      <c r="C53">
        <f>1</f>
        <v>1</v>
      </c>
      <c r="D53">
        <f>IF(OR(F_Custom1_Q="(None)",F_Custom1_Q="",ISBLANK(F_Custom1_Q),F_Custom1_V="(All)",F_Custom1_V="",ISBLANK(F_Custom1_V)),1,IFERROR(IF(ISNUMBER(SEARCH("|"&amp;INDEX(INDIRECT(F_Custom1_resolved_column),52)&amp;"|",("|" &amp; SUBSTITUTE(F_Custom1_resolved_criteria, ", ", "|") &amp; "|"))),1,0),0))</f>
        <v>1</v>
      </c>
      <c r="E53">
        <f>IF(OR(F_Custom2_Q="(None)",F_Custom2_Q="",ISBLANK(F_Custom2_Q),F_Custom2_V="(All)",F_Custom2_V="",ISBLANK(F_Custom2_V)),1,IFERROR(IF(ISNUMBER(SEARCH("|"&amp;INDEX(INDIRECT(F_Custom2_resolved_column),52)&amp;"|",("|" &amp; SUBSTITUTE(F_Custom2_resolved_criteria, ", ", "|") &amp; "|"))),1,0),0))</f>
        <v>1</v>
      </c>
      <c r="F53">
        <f>D53*E53*1</f>
        <v>1</v>
      </c>
      <c r="G53">
        <f>1</f>
        <v>1</v>
      </c>
      <c r="H53">
        <f>IF(OR(All_Questions_Q6_F_Q="(None)",All_Questions_Q6_F_Q="",ISBLANK(All_Questions_Q6_F_Q),All_Questions_Q6_F_V="(All)",All_Questions_Q6_F_V="",ISBLANK(All_Questions_Q6_F_V)),1,IFERROR(IF(ISNUMBER(SEARCH("|"&amp;INDEX(INDIRECT(All_Questions_Q6_F_resolved_column),52)&amp;"|",("|" &amp; SUBSTITUTE(All_Questions_Q6_F_resolved_criteria, ", ", "|") &amp; "|"))),1,0),0))*1</f>
        <v>1</v>
      </c>
    </row>
    <row r="54">
      <c r="A54" t="n">
        <v>53</v>
      </c>
      <c r="B54" t="n">
        <v>26.3695</v>
      </c>
      <c r="C54">
        <f>1</f>
        <v>1</v>
      </c>
      <c r="D54">
        <f>IF(OR(F_Custom1_Q="(None)",F_Custom1_Q="",ISBLANK(F_Custom1_Q),F_Custom1_V="(All)",F_Custom1_V="",ISBLANK(F_Custom1_V)),1,IFERROR(IF(ISNUMBER(SEARCH("|"&amp;INDEX(INDIRECT(F_Custom1_resolved_column),53)&amp;"|",("|" &amp; SUBSTITUTE(F_Custom1_resolved_criteria, ", ", "|") &amp; "|"))),1,0),0))</f>
        <v>1</v>
      </c>
      <c r="E54">
        <f>IF(OR(F_Custom2_Q="(None)",F_Custom2_Q="",ISBLANK(F_Custom2_Q),F_Custom2_V="(All)",F_Custom2_V="",ISBLANK(F_Custom2_V)),1,IFERROR(IF(ISNUMBER(SEARCH("|"&amp;INDEX(INDIRECT(F_Custom2_resolved_column),53)&amp;"|",("|" &amp; SUBSTITUTE(F_Custom2_resolved_criteria, ", ", "|") &amp; "|"))),1,0),0))</f>
        <v>1</v>
      </c>
      <c r="F54">
        <f>D54*E54*1</f>
        <v>1</v>
      </c>
      <c r="G54">
        <f>1</f>
        <v>1</v>
      </c>
      <c r="H54">
        <f>IF(OR(All_Questions_Q6_F_Q="(None)",All_Questions_Q6_F_Q="",ISBLANK(All_Questions_Q6_F_Q),All_Questions_Q6_F_V="(All)",All_Questions_Q6_F_V="",ISBLANK(All_Questions_Q6_F_V)),1,IFERROR(IF(ISNUMBER(SEARCH("|"&amp;INDEX(INDIRECT(All_Questions_Q6_F_resolved_column),53)&amp;"|",("|" &amp; SUBSTITUTE(All_Questions_Q6_F_resolved_criteria, ", ", "|") &amp; "|"))),1,0),0))*1</f>
        <v>1</v>
      </c>
    </row>
    <row r="55">
      <c r="A55" t="n">
        <v>54</v>
      </c>
      <c r="B55" t="n">
        <v>26.3695</v>
      </c>
      <c r="C55">
        <f>1</f>
        <v>1</v>
      </c>
      <c r="D55">
        <f>IF(OR(F_Custom1_Q="(None)",F_Custom1_Q="",ISBLANK(F_Custom1_Q),F_Custom1_V="(All)",F_Custom1_V="",ISBLANK(F_Custom1_V)),1,IFERROR(IF(ISNUMBER(SEARCH("|"&amp;INDEX(INDIRECT(F_Custom1_resolved_column),54)&amp;"|",("|" &amp; SUBSTITUTE(F_Custom1_resolved_criteria, ", ", "|") &amp; "|"))),1,0),0))</f>
        <v>1</v>
      </c>
      <c r="E55">
        <f>IF(OR(F_Custom2_Q="(None)",F_Custom2_Q="",ISBLANK(F_Custom2_Q),F_Custom2_V="(All)",F_Custom2_V="",ISBLANK(F_Custom2_V)),1,IFERROR(IF(ISNUMBER(SEARCH("|"&amp;INDEX(INDIRECT(F_Custom2_resolved_column),54)&amp;"|",("|" &amp; SUBSTITUTE(F_Custom2_resolved_criteria, ", ", "|") &amp; "|"))),1,0),0))</f>
        <v>1</v>
      </c>
      <c r="F55">
        <f>D55*E55*1</f>
        <v>1</v>
      </c>
      <c r="G55">
        <f>1</f>
        <v>1</v>
      </c>
      <c r="H55">
        <f>IF(OR(All_Questions_Q6_F_Q="(None)",All_Questions_Q6_F_Q="",ISBLANK(All_Questions_Q6_F_Q),All_Questions_Q6_F_V="(All)",All_Questions_Q6_F_V="",ISBLANK(All_Questions_Q6_F_V)),1,IFERROR(IF(ISNUMBER(SEARCH("|"&amp;INDEX(INDIRECT(All_Questions_Q6_F_resolved_column),54)&amp;"|",("|" &amp; SUBSTITUTE(All_Questions_Q6_F_resolved_criteria, ", ", "|") &amp; "|"))),1,0),0))*1</f>
        <v>1</v>
      </c>
    </row>
    <row r="56">
      <c r="A56" t="n">
        <v>55</v>
      </c>
      <c r="B56" t="n">
        <v>26.3695</v>
      </c>
      <c r="C56">
        <f>1</f>
        <v>1</v>
      </c>
      <c r="D56">
        <f>IF(OR(F_Custom1_Q="(None)",F_Custom1_Q="",ISBLANK(F_Custom1_Q),F_Custom1_V="(All)",F_Custom1_V="",ISBLANK(F_Custom1_V)),1,IFERROR(IF(ISNUMBER(SEARCH("|"&amp;INDEX(INDIRECT(F_Custom1_resolved_column),55)&amp;"|",("|" &amp; SUBSTITUTE(F_Custom1_resolved_criteria, ", ", "|") &amp; "|"))),1,0),0))</f>
        <v>1</v>
      </c>
      <c r="E56">
        <f>IF(OR(F_Custom2_Q="(None)",F_Custom2_Q="",ISBLANK(F_Custom2_Q),F_Custom2_V="(All)",F_Custom2_V="",ISBLANK(F_Custom2_V)),1,IFERROR(IF(ISNUMBER(SEARCH("|"&amp;INDEX(INDIRECT(F_Custom2_resolved_column),55)&amp;"|",("|" &amp; SUBSTITUTE(F_Custom2_resolved_criteria, ", ", "|") &amp; "|"))),1,0),0))</f>
        <v>1</v>
      </c>
      <c r="F56">
        <f>D56*E56*1</f>
        <v>1</v>
      </c>
      <c r="G56">
        <f>1</f>
        <v>1</v>
      </c>
      <c r="H56">
        <f>IF(OR(All_Questions_Q6_F_Q="(None)",All_Questions_Q6_F_Q="",ISBLANK(All_Questions_Q6_F_Q),All_Questions_Q6_F_V="(All)",All_Questions_Q6_F_V="",ISBLANK(All_Questions_Q6_F_V)),1,IFERROR(IF(ISNUMBER(SEARCH("|"&amp;INDEX(INDIRECT(All_Questions_Q6_F_resolved_column),55)&amp;"|",("|" &amp; SUBSTITUTE(All_Questions_Q6_F_resolved_criteria, ", ", "|") &amp; "|"))),1,0),0))*1</f>
        <v>1</v>
      </c>
    </row>
    <row r="57">
      <c r="A57" t="n">
        <v>56</v>
      </c>
      <c r="B57" t="n">
        <v>26.3695</v>
      </c>
      <c r="C57">
        <f>1</f>
        <v>1</v>
      </c>
      <c r="D57">
        <f>IF(OR(F_Custom1_Q="(None)",F_Custom1_Q="",ISBLANK(F_Custom1_Q),F_Custom1_V="(All)",F_Custom1_V="",ISBLANK(F_Custom1_V)),1,IFERROR(IF(ISNUMBER(SEARCH("|"&amp;INDEX(INDIRECT(F_Custom1_resolved_column),56)&amp;"|",("|" &amp; SUBSTITUTE(F_Custom1_resolved_criteria, ", ", "|") &amp; "|"))),1,0),0))</f>
        <v>1</v>
      </c>
      <c r="E57">
        <f>IF(OR(F_Custom2_Q="(None)",F_Custom2_Q="",ISBLANK(F_Custom2_Q),F_Custom2_V="(All)",F_Custom2_V="",ISBLANK(F_Custom2_V)),1,IFERROR(IF(ISNUMBER(SEARCH("|"&amp;INDEX(INDIRECT(F_Custom2_resolved_column),56)&amp;"|",("|" &amp; SUBSTITUTE(F_Custom2_resolved_criteria, ", ", "|") &amp; "|"))),1,0),0))</f>
        <v>1</v>
      </c>
      <c r="F57">
        <f>D57*E57*1</f>
        <v>1</v>
      </c>
      <c r="G57">
        <f>1</f>
        <v>1</v>
      </c>
      <c r="H57">
        <f>IF(OR(All_Questions_Q6_F_Q="(None)",All_Questions_Q6_F_Q="",ISBLANK(All_Questions_Q6_F_Q),All_Questions_Q6_F_V="(All)",All_Questions_Q6_F_V="",ISBLANK(All_Questions_Q6_F_V)),1,IFERROR(IF(ISNUMBER(SEARCH("|"&amp;INDEX(INDIRECT(All_Questions_Q6_F_resolved_column),56)&amp;"|",("|" &amp; SUBSTITUTE(All_Questions_Q6_F_resolved_criteria, ", ", "|") &amp; "|"))),1,0),0))*1</f>
        <v>1</v>
      </c>
    </row>
    <row r="58">
      <c r="A58" t="n">
        <v>57</v>
      </c>
      <c r="B58" t="n">
        <v>26.3695</v>
      </c>
      <c r="C58">
        <f>1</f>
        <v>1</v>
      </c>
      <c r="D58">
        <f>IF(OR(F_Custom1_Q="(None)",F_Custom1_Q="",ISBLANK(F_Custom1_Q),F_Custom1_V="(All)",F_Custom1_V="",ISBLANK(F_Custom1_V)),1,IFERROR(IF(ISNUMBER(SEARCH("|"&amp;INDEX(INDIRECT(F_Custom1_resolved_column),57)&amp;"|",("|" &amp; SUBSTITUTE(F_Custom1_resolved_criteria, ", ", "|") &amp; "|"))),1,0),0))</f>
        <v>1</v>
      </c>
      <c r="E58">
        <f>IF(OR(F_Custom2_Q="(None)",F_Custom2_Q="",ISBLANK(F_Custom2_Q),F_Custom2_V="(All)",F_Custom2_V="",ISBLANK(F_Custom2_V)),1,IFERROR(IF(ISNUMBER(SEARCH("|"&amp;INDEX(INDIRECT(F_Custom2_resolved_column),57)&amp;"|",("|" &amp; SUBSTITUTE(F_Custom2_resolved_criteria, ", ", "|") &amp; "|"))),1,0),0))</f>
        <v>1</v>
      </c>
      <c r="F58">
        <f>D58*E58*1</f>
        <v>1</v>
      </c>
      <c r="G58">
        <f>1</f>
        <v>1</v>
      </c>
      <c r="H58">
        <f>IF(OR(All_Questions_Q6_F_Q="(None)",All_Questions_Q6_F_Q="",ISBLANK(All_Questions_Q6_F_Q),All_Questions_Q6_F_V="(All)",All_Questions_Q6_F_V="",ISBLANK(All_Questions_Q6_F_V)),1,IFERROR(IF(ISNUMBER(SEARCH("|"&amp;INDEX(INDIRECT(All_Questions_Q6_F_resolved_column),57)&amp;"|",("|" &amp; SUBSTITUTE(All_Questions_Q6_F_resolved_criteria, ", ", "|") &amp; "|"))),1,0),0))*1</f>
        <v>1</v>
      </c>
    </row>
    <row r="59">
      <c r="A59" t="n">
        <v>58</v>
      </c>
      <c r="B59" t="n">
        <v>26.3695</v>
      </c>
      <c r="C59">
        <f>1</f>
        <v>1</v>
      </c>
      <c r="D59">
        <f>IF(OR(F_Custom1_Q="(None)",F_Custom1_Q="",ISBLANK(F_Custom1_Q),F_Custom1_V="(All)",F_Custom1_V="",ISBLANK(F_Custom1_V)),1,IFERROR(IF(ISNUMBER(SEARCH("|"&amp;INDEX(INDIRECT(F_Custom1_resolved_column),58)&amp;"|",("|" &amp; SUBSTITUTE(F_Custom1_resolved_criteria, ", ", "|") &amp; "|"))),1,0),0))</f>
        <v>1</v>
      </c>
      <c r="E59">
        <f>IF(OR(F_Custom2_Q="(None)",F_Custom2_Q="",ISBLANK(F_Custom2_Q),F_Custom2_V="(All)",F_Custom2_V="",ISBLANK(F_Custom2_V)),1,IFERROR(IF(ISNUMBER(SEARCH("|"&amp;INDEX(INDIRECT(F_Custom2_resolved_column),58)&amp;"|",("|" &amp; SUBSTITUTE(F_Custom2_resolved_criteria, ", ", "|") &amp; "|"))),1,0),0))</f>
        <v>1</v>
      </c>
      <c r="F59">
        <f>D59*E59*1</f>
        <v>1</v>
      </c>
      <c r="G59">
        <f>1</f>
        <v>1</v>
      </c>
      <c r="H59">
        <f>IF(OR(All_Questions_Q6_F_Q="(None)",All_Questions_Q6_F_Q="",ISBLANK(All_Questions_Q6_F_Q),All_Questions_Q6_F_V="(All)",All_Questions_Q6_F_V="",ISBLANK(All_Questions_Q6_F_V)),1,IFERROR(IF(ISNUMBER(SEARCH("|"&amp;INDEX(INDIRECT(All_Questions_Q6_F_resolved_column),58)&amp;"|",("|" &amp; SUBSTITUTE(All_Questions_Q6_F_resolved_criteria, ", ", "|") &amp; "|"))),1,0),0))*1</f>
        <v>1</v>
      </c>
    </row>
    <row r="60">
      <c r="A60" t="n">
        <v>59</v>
      </c>
      <c r="B60" t="n">
        <v>26.3695</v>
      </c>
      <c r="C60">
        <f>1</f>
        <v>1</v>
      </c>
      <c r="D60">
        <f>IF(OR(F_Custom1_Q="(None)",F_Custom1_Q="",ISBLANK(F_Custom1_Q),F_Custom1_V="(All)",F_Custom1_V="",ISBLANK(F_Custom1_V)),1,IFERROR(IF(ISNUMBER(SEARCH("|"&amp;INDEX(INDIRECT(F_Custom1_resolved_column),59)&amp;"|",("|" &amp; SUBSTITUTE(F_Custom1_resolved_criteria, ", ", "|") &amp; "|"))),1,0),0))</f>
        <v>1</v>
      </c>
      <c r="E60">
        <f>IF(OR(F_Custom2_Q="(None)",F_Custom2_Q="",ISBLANK(F_Custom2_Q),F_Custom2_V="(All)",F_Custom2_V="",ISBLANK(F_Custom2_V)),1,IFERROR(IF(ISNUMBER(SEARCH("|"&amp;INDEX(INDIRECT(F_Custom2_resolved_column),59)&amp;"|",("|" &amp; SUBSTITUTE(F_Custom2_resolved_criteria, ", ", "|") &amp; "|"))),1,0),0))</f>
        <v>1</v>
      </c>
      <c r="F60">
        <f>D60*E60*1</f>
        <v>1</v>
      </c>
      <c r="G60">
        <f>1</f>
        <v>1</v>
      </c>
      <c r="H60">
        <f>IF(OR(All_Questions_Q6_F_Q="(None)",All_Questions_Q6_F_Q="",ISBLANK(All_Questions_Q6_F_Q),All_Questions_Q6_F_V="(All)",All_Questions_Q6_F_V="",ISBLANK(All_Questions_Q6_F_V)),1,IFERROR(IF(ISNUMBER(SEARCH("|"&amp;INDEX(INDIRECT(All_Questions_Q6_F_resolved_column),59)&amp;"|",("|" &amp; SUBSTITUTE(All_Questions_Q6_F_resolved_criteria, ", ", "|") &amp; "|"))),1,0),0))*1</f>
        <v>1</v>
      </c>
    </row>
    <row r="61">
      <c r="A61" t="n">
        <v>60</v>
      </c>
      <c r="B61" t="n">
        <v>26.3695</v>
      </c>
      <c r="C61">
        <f>1</f>
        <v>1</v>
      </c>
      <c r="D61">
        <f>IF(OR(F_Custom1_Q="(None)",F_Custom1_Q="",ISBLANK(F_Custom1_Q),F_Custom1_V="(All)",F_Custom1_V="",ISBLANK(F_Custom1_V)),1,IFERROR(IF(ISNUMBER(SEARCH("|"&amp;INDEX(INDIRECT(F_Custom1_resolved_column),60)&amp;"|",("|" &amp; SUBSTITUTE(F_Custom1_resolved_criteria, ", ", "|") &amp; "|"))),1,0),0))</f>
        <v>1</v>
      </c>
      <c r="E61">
        <f>IF(OR(F_Custom2_Q="(None)",F_Custom2_Q="",ISBLANK(F_Custom2_Q),F_Custom2_V="(All)",F_Custom2_V="",ISBLANK(F_Custom2_V)),1,IFERROR(IF(ISNUMBER(SEARCH("|"&amp;INDEX(INDIRECT(F_Custom2_resolved_column),60)&amp;"|",("|" &amp; SUBSTITUTE(F_Custom2_resolved_criteria, ", ", "|") &amp; "|"))),1,0),0))</f>
        <v>1</v>
      </c>
      <c r="F61">
        <f>D61*E61*1</f>
        <v>1</v>
      </c>
      <c r="G61">
        <f>1</f>
        <v>1</v>
      </c>
      <c r="H61">
        <f>IF(OR(All_Questions_Q6_F_Q="(None)",All_Questions_Q6_F_Q="",ISBLANK(All_Questions_Q6_F_Q),All_Questions_Q6_F_V="(All)",All_Questions_Q6_F_V="",ISBLANK(All_Questions_Q6_F_V)),1,IFERROR(IF(ISNUMBER(SEARCH("|"&amp;INDEX(INDIRECT(All_Questions_Q6_F_resolved_column),60)&amp;"|",("|" &amp; SUBSTITUTE(All_Questions_Q6_F_resolved_criteria, ", ", "|") &amp; "|"))),1,0),0))*1</f>
        <v>1</v>
      </c>
    </row>
    <row r="62">
      <c r="A62" t="n">
        <v>61</v>
      </c>
      <c r="B62" t="n">
        <v>26.3695</v>
      </c>
      <c r="C62">
        <f>1</f>
        <v>1</v>
      </c>
      <c r="D62">
        <f>IF(OR(F_Custom1_Q="(None)",F_Custom1_Q="",ISBLANK(F_Custom1_Q),F_Custom1_V="(All)",F_Custom1_V="",ISBLANK(F_Custom1_V)),1,IFERROR(IF(ISNUMBER(SEARCH("|"&amp;INDEX(INDIRECT(F_Custom1_resolved_column),61)&amp;"|",("|" &amp; SUBSTITUTE(F_Custom1_resolved_criteria, ", ", "|") &amp; "|"))),1,0),0))</f>
        <v>1</v>
      </c>
      <c r="E62">
        <f>IF(OR(F_Custom2_Q="(None)",F_Custom2_Q="",ISBLANK(F_Custom2_Q),F_Custom2_V="(All)",F_Custom2_V="",ISBLANK(F_Custom2_V)),1,IFERROR(IF(ISNUMBER(SEARCH("|"&amp;INDEX(INDIRECT(F_Custom2_resolved_column),61)&amp;"|",("|" &amp; SUBSTITUTE(F_Custom2_resolved_criteria, ", ", "|") &amp; "|"))),1,0),0))</f>
        <v>1</v>
      </c>
      <c r="F62">
        <f>D62*E62*1</f>
        <v>1</v>
      </c>
      <c r="G62">
        <f>1</f>
        <v>1</v>
      </c>
      <c r="H62">
        <f>IF(OR(All_Questions_Q6_F_Q="(None)",All_Questions_Q6_F_Q="",ISBLANK(All_Questions_Q6_F_Q),All_Questions_Q6_F_V="(All)",All_Questions_Q6_F_V="",ISBLANK(All_Questions_Q6_F_V)),1,IFERROR(IF(ISNUMBER(SEARCH("|"&amp;INDEX(INDIRECT(All_Questions_Q6_F_resolved_column),61)&amp;"|",("|" &amp; SUBSTITUTE(All_Questions_Q6_F_resolved_criteria, ", ", "|") &amp; "|"))),1,0),0))*1</f>
        <v>1</v>
      </c>
    </row>
    <row r="63">
      <c r="A63" t="n">
        <v>62</v>
      </c>
      <c r="B63" t="n">
        <v>26.3695</v>
      </c>
      <c r="C63">
        <f>1</f>
        <v>1</v>
      </c>
      <c r="D63">
        <f>IF(OR(F_Custom1_Q="(None)",F_Custom1_Q="",ISBLANK(F_Custom1_Q),F_Custom1_V="(All)",F_Custom1_V="",ISBLANK(F_Custom1_V)),1,IFERROR(IF(ISNUMBER(SEARCH("|"&amp;INDEX(INDIRECT(F_Custom1_resolved_column),62)&amp;"|",("|" &amp; SUBSTITUTE(F_Custom1_resolved_criteria, ", ", "|") &amp; "|"))),1,0),0))</f>
        <v>1</v>
      </c>
      <c r="E63">
        <f>IF(OR(F_Custom2_Q="(None)",F_Custom2_Q="",ISBLANK(F_Custom2_Q),F_Custom2_V="(All)",F_Custom2_V="",ISBLANK(F_Custom2_V)),1,IFERROR(IF(ISNUMBER(SEARCH("|"&amp;INDEX(INDIRECT(F_Custom2_resolved_column),62)&amp;"|",("|" &amp; SUBSTITUTE(F_Custom2_resolved_criteria, ", ", "|") &amp; "|"))),1,0),0))</f>
        <v>1</v>
      </c>
      <c r="F63">
        <f>D63*E63*1</f>
        <v>1</v>
      </c>
      <c r="G63">
        <f>1</f>
        <v>1</v>
      </c>
      <c r="H63">
        <f>IF(OR(All_Questions_Q6_F_Q="(None)",All_Questions_Q6_F_Q="",ISBLANK(All_Questions_Q6_F_Q),All_Questions_Q6_F_V="(All)",All_Questions_Q6_F_V="",ISBLANK(All_Questions_Q6_F_V)),1,IFERROR(IF(ISNUMBER(SEARCH("|"&amp;INDEX(INDIRECT(All_Questions_Q6_F_resolved_column),62)&amp;"|",("|" &amp; SUBSTITUTE(All_Questions_Q6_F_resolved_criteria, ", ", "|") &amp; "|"))),1,0),0))*1</f>
        <v>1</v>
      </c>
    </row>
    <row r="64">
      <c r="A64" t="n">
        <v>63</v>
      </c>
      <c r="B64" t="n">
        <v>26.3695</v>
      </c>
      <c r="C64">
        <f>1</f>
        <v>1</v>
      </c>
      <c r="D64">
        <f>IF(OR(F_Custom1_Q="(None)",F_Custom1_Q="",ISBLANK(F_Custom1_Q),F_Custom1_V="(All)",F_Custom1_V="",ISBLANK(F_Custom1_V)),1,IFERROR(IF(ISNUMBER(SEARCH("|"&amp;INDEX(INDIRECT(F_Custom1_resolved_column),63)&amp;"|",("|" &amp; SUBSTITUTE(F_Custom1_resolved_criteria, ", ", "|") &amp; "|"))),1,0),0))</f>
        <v>1</v>
      </c>
      <c r="E64">
        <f>IF(OR(F_Custom2_Q="(None)",F_Custom2_Q="",ISBLANK(F_Custom2_Q),F_Custom2_V="(All)",F_Custom2_V="",ISBLANK(F_Custom2_V)),1,IFERROR(IF(ISNUMBER(SEARCH("|"&amp;INDEX(INDIRECT(F_Custom2_resolved_column),63)&amp;"|",("|" &amp; SUBSTITUTE(F_Custom2_resolved_criteria, ", ", "|") &amp; "|"))),1,0),0))</f>
        <v>1</v>
      </c>
      <c r="F64">
        <f>D64*E64*1</f>
        <v>1</v>
      </c>
      <c r="G64">
        <f>1</f>
        <v>1</v>
      </c>
      <c r="H64">
        <f>IF(OR(All_Questions_Q6_F_Q="(None)",All_Questions_Q6_F_Q="",ISBLANK(All_Questions_Q6_F_Q),All_Questions_Q6_F_V="(All)",All_Questions_Q6_F_V="",ISBLANK(All_Questions_Q6_F_V)),1,IFERROR(IF(ISNUMBER(SEARCH("|"&amp;INDEX(INDIRECT(All_Questions_Q6_F_resolved_column),63)&amp;"|",("|" &amp; SUBSTITUTE(All_Questions_Q6_F_resolved_criteria, ", ", "|") &amp; "|"))),1,0),0))*1</f>
        <v>1</v>
      </c>
    </row>
    <row r="65">
      <c r="A65" t="n">
        <v>64</v>
      </c>
      <c r="B65" t="n">
        <v>26.3695</v>
      </c>
      <c r="C65">
        <f>1</f>
        <v>1</v>
      </c>
      <c r="D65">
        <f>IF(OR(F_Custom1_Q="(None)",F_Custom1_Q="",ISBLANK(F_Custom1_Q),F_Custom1_V="(All)",F_Custom1_V="",ISBLANK(F_Custom1_V)),1,IFERROR(IF(ISNUMBER(SEARCH("|"&amp;INDEX(INDIRECT(F_Custom1_resolved_column),64)&amp;"|",("|" &amp; SUBSTITUTE(F_Custom1_resolved_criteria, ", ", "|") &amp; "|"))),1,0),0))</f>
        <v>1</v>
      </c>
      <c r="E65">
        <f>IF(OR(F_Custom2_Q="(None)",F_Custom2_Q="",ISBLANK(F_Custom2_Q),F_Custom2_V="(All)",F_Custom2_V="",ISBLANK(F_Custom2_V)),1,IFERROR(IF(ISNUMBER(SEARCH("|"&amp;INDEX(INDIRECT(F_Custom2_resolved_column),64)&amp;"|",("|" &amp; SUBSTITUTE(F_Custom2_resolved_criteria, ", ", "|") &amp; "|"))),1,0),0))</f>
        <v>1</v>
      </c>
      <c r="F65">
        <f>D65*E65*1</f>
        <v>1</v>
      </c>
      <c r="G65">
        <f>1</f>
        <v>1</v>
      </c>
      <c r="H65">
        <f>IF(OR(All_Questions_Q6_F_Q="(None)",All_Questions_Q6_F_Q="",ISBLANK(All_Questions_Q6_F_Q),All_Questions_Q6_F_V="(All)",All_Questions_Q6_F_V="",ISBLANK(All_Questions_Q6_F_V)),1,IFERROR(IF(ISNUMBER(SEARCH("|"&amp;INDEX(INDIRECT(All_Questions_Q6_F_resolved_column),64)&amp;"|",("|" &amp; SUBSTITUTE(All_Questions_Q6_F_resolved_criteria, ", ", "|") &amp; "|"))),1,0),0))*1</f>
        <v>1</v>
      </c>
    </row>
    <row r="66">
      <c r="A66" t="n">
        <v>65</v>
      </c>
      <c r="B66" t="n">
        <v>26.3695</v>
      </c>
      <c r="C66">
        <f>1</f>
        <v>1</v>
      </c>
      <c r="D66">
        <f>IF(OR(F_Custom1_Q="(None)",F_Custom1_Q="",ISBLANK(F_Custom1_Q),F_Custom1_V="(All)",F_Custom1_V="",ISBLANK(F_Custom1_V)),1,IFERROR(IF(ISNUMBER(SEARCH("|"&amp;INDEX(INDIRECT(F_Custom1_resolved_column),65)&amp;"|",("|" &amp; SUBSTITUTE(F_Custom1_resolved_criteria, ", ", "|") &amp; "|"))),1,0),0))</f>
        <v>1</v>
      </c>
      <c r="E66">
        <f>IF(OR(F_Custom2_Q="(None)",F_Custom2_Q="",ISBLANK(F_Custom2_Q),F_Custom2_V="(All)",F_Custom2_V="",ISBLANK(F_Custom2_V)),1,IFERROR(IF(ISNUMBER(SEARCH("|"&amp;INDEX(INDIRECT(F_Custom2_resolved_column),65)&amp;"|",("|" &amp; SUBSTITUTE(F_Custom2_resolved_criteria, ", ", "|") &amp; "|"))),1,0),0))</f>
        <v>1</v>
      </c>
      <c r="F66">
        <f>D66*E66*1</f>
        <v>1</v>
      </c>
      <c r="G66">
        <f>1</f>
        <v>1</v>
      </c>
      <c r="H66">
        <f>IF(OR(All_Questions_Q6_F_Q="(None)",All_Questions_Q6_F_Q="",ISBLANK(All_Questions_Q6_F_Q),All_Questions_Q6_F_V="(All)",All_Questions_Q6_F_V="",ISBLANK(All_Questions_Q6_F_V)),1,IFERROR(IF(ISNUMBER(SEARCH("|"&amp;INDEX(INDIRECT(All_Questions_Q6_F_resolved_column),65)&amp;"|",("|" &amp; SUBSTITUTE(All_Questions_Q6_F_resolved_criteria, ", ", "|") &amp; "|"))),1,0),0))*1</f>
        <v>1</v>
      </c>
    </row>
    <row r="67">
      <c r="A67" t="n">
        <v>66</v>
      </c>
      <c r="B67" t="n">
        <v>26.3695</v>
      </c>
      <c r="C67">
        <f>1</f>
        <v>1</v>
      </c>
      <c r="D67">
        <f>IF(OR(F_Custom1_Q="(None)",F_Custom1_Q="",ISBLANK(F_Custom1_Q),F_Custom1_V="(All)",F_Custom1_V="",ISBLANK(F_Custom1_V)),1,IFERROR(IF(ISNUMBER(SEARCH("|"&amp;INDEX(INDIRECT(F_Custom1_resolved_column),66)&amp;"|",("|" &amp; SUBSTITUTE(F_Custom1_resolved_criteria, ", ", "|") &amp; "|"))),1,0),0))</f>
        <v>1</v>
      </c>
      <c r="E67">
        <f>IF(OR(F_Custom2_Q="(None)",F_Custom2_Q="",ISBLANK(F_Custom2_Q),F_Custom2_V="(All)",F_Custom2_V="",ISBLANK(F_Custom2_V)),1,IFERROR(IF(ISNUMBER(SEARCH("|"&amp;INDEX(INDIRECT(F_Custom2_resolved_column),66)&amp;"|",("|" &amp; SUBSTITUTE(F_Custom2_resolved_criteria, ", ", "|") &amp; "|"))),1,0),0))</f>
        <v>1</v>
      </c>
      <c r="F67">
        <f>D67*E67*1</f>
        <v>1</v>
      </c>
      <c r="G67">
        <f>1</f>
        <v>1</v>
      </c>
      <c r="H67">
        <f>IF(OR(All_Questions_Q6_F_Q="(None)",All_Questions_Q6_F_Q="",ISBLANK(All_Questions_Q6_F_Q),All_Questions_Q6_F_V="(All)",All_Questions_Q6_F_V="",ISBLANK(All_Questions_Q6_F_V)),1,IFERROR(IF(ISNUMBER(SEARCH("|"&amp;INDEX(INDIRECT(All_Questions_Q6_F_resolved_column),66)&amp;"|",("|" &amp; SUBSTITUTE(All_Questions_Q6_F_resolved_criteria, ", ", "|") &amp; "|"))),1,0),0))*1</f>
        <v>1</v>
      </c>
    </row>
    <row r="68">
      <c r="A68" t="n">
        <v>67</v>
      </c>
      <c r="B68" t="n">
        <v>26.3695</v>
      </c>
      <c r="C68">
        <f>1</f>
        <v>1</v>
      </c>
      <c r="D68">
        <f>IF(OR(F_Custom1_Q="(None)",F_Custom1_Q="",ISBLANK(F_Custom1_Q),F_Custom1_V="(All)",F_Custom1_V="",ISBLANK(F_Custom1_V)),1,IFERROR(IF(ISNUMBER(SEARCH("|"&amp;INDEX(INDIRECT(F_Custom1_resolved_column),67)&amp;"|",("|" &amp; SUBSTITUTE(F_Custom1_resolved_criteria, ", ", "|") &amp; "|"))),1,0),0))</f>
        <v>1</v>
      </c>
      <c r="E68">
        <f>IF(OR(F_Custom2_Q="(None)",F_Custom2_Q="",ISBLANK(F_Custom2_Q),F_Custom2_V="(All)",F_Custom2_V="",ISBLANK(F_Custom2_V)),1,IFERROR(IF(ISNUMBER(SEARCH("|"&amp;INDEX(INDIRECT(F_Custom2_resolved_column),67)&amp;"|",("|" &amp; SUBSTITUTE(F_Custom2_resolved_criteria, ", ", "|") &amp; "|"))),1,0),0))</f>
        <v>1</v>
      </c>
      <c r="F68">
        <f>D68*E68*1</f>
        <v>1</v>
      </c>
      <c r="G68">
        <f>1</f>
        <v>1</v>
      </c>
      <c r="H68">
        <f>IF(OR(All_Questions_Q6_F_Q="(None)",All_Questions_Q6_F_Q="",ISBLANK(All_Questions_Q6_F_Q),All_Questions_Q6_F_V="(All)",All_Questions_Q6_F_V="",ISBLANK(All_Questions_Q6_F_V)),1,IFERROR(IF(ISNUMBER(SEARCH("|"&amp;INDEX(INDIRECT(All_Questions_Q6_F_resolved_column),67)&amp;"|",("|" &amp; SUBSTITUTE(All_Questions_Q6_F_resolved_criteria, ", ", "|") &amp; "|"))),1,0),0))*1</f>
        <v>1</v>
      </c>
    </row>
    <row r="69">
      <c r="A69" t="n">
        <v>68</v>
      </c>
      <c r="B69" t="n">
        <v>26.3695</v>
      </c>
      <c r="C69">
        <f>1</f>
        <v>1</v>
      </c>
      <c r="D69">
        <f>IF(OR(F_Custom1_Q="(None)",F_Custom1_Q="",ISBLANK(F_Custom1_Q),F_Custom1_V="(All)",F_Custom1_V="",ISBLANK(F_Custom1_V)),1,IFERROR(IF(ISNUMBER(SEARCH("|"&amp;INDEX(INDIRECT(F_Custom1_resolved_column),68)&amp;"|",("|" &amp; SUBSTITUTE(F_Custom1_resolved_criteria, ", ", "|") &amp; "|"))),1,0),0))</f>
        <v>1</v>
      </c>
      <c r="E69">
        <f>IF(OR(F_Custom2_Q="(None)",F_Custom2_Q="",ISBLANK(F_Custom2_Q),F_Custom2_V="(All)",F_Custom2_V="",ISBLANK(F_Custom2_V)),1,IFERROR(IF(ISNUMBER(SEARCH("|"&amp;INDEX(INDIRECT(F_Custom2_resolved_column),68)&amp;"|",("|" &amp; SUBSTITUTE(F_Custom2_resolved_criteria, ", ", "|") &amp; "|"))),1,0),0))</f>
        <v>1</v>
      </c>
      <c r="F69">
        <f>D69*E69*1</f>
        <v>1</v>
      </c>
      <c r="G69">
        <f>1</f>
        <v>1</v>
      </c>
      <c r="H69">
        <f>IF(OR(All_Questions_Q6_F_Q="(None)",All_Questions_Q6_F_Q="",ISBLANK(All_Questions_Q6_F_Q),All_Questions_Q6_F_V="(All)",All_Questions_Q6_F_V="",ISBLANK(All_Questions_Q6_F_V)),1,IFERROR(IF(ISNUMBER(SEARCH("|"&amp;INDEX(INDIRECT(All_Questions_Q6_F_resolved_column),68)&amp;"|",("|" &amp; SUBSTITUTE(All_Questions_Q6_F_resolved_criteria, ", ", "|") &amp; "|"))),1,0),0))*1</f>
        <v>1</v>
      </c>
    </row>
    <row r="70">
      <c r="A70" t="n">
        <v>69</v>
      </c>
      <c r="B70" t="n">
        <v>26.3695</v>
      </c>
      <c r="C70">
        <f>1</f>
        <v>1</v>
      </c>
      <c r="D70">
        <f>IF(OR(F_Custom1_Q="(None)",F_Custom1_Q="",ISBLANK(F_Custom1_Q),F_Custom1_V="(All)",F_Custom1_V="",ISBLANK(F_Custom1_V)),1,IFERROR(IF(ISNUMBER(SEARCH("|"&amp;INDEX(INDIRECT(F_Custom1_resolved_column),69)&amp;"|",("|" &amp; SUBSTITUTE(F_Custom1_resolved_criteria, ", ", "|") &amp; "|"))),1,0),0))</f>
        <v>1</v>
      </c>
      <c r="E70">
        <f>IF(OR(F_Custom2_Q="(None)",F_Custom2_Q="",ISBLANK(F_Custom2_Q),F_Custom2_V="(All)",F_Custom2_V="",ISBLANK(F_Custom2_V)),1,IFERROR(IF(ISNUMBER(SEARCH("|"&amp;INDEX(INDIRECT(F_Custom2_resolved_column),69)&amp;"|",("|" &amp; SUBSTITUTE(F_Custom2_resolved_criteria, ", ", "|") &amp; "|"))),1,0),0))</f>
        <v>1</v>
      </c>
      <c r="F70">
        <f>D70*E70*1</f>
        <v>1</v>
      </c>
      <c r="G70">
        <f>1</f>
        <v>1</v>
      </c>
      <c r="H70">
        <f>IF(OR(All_Questions_Q6_F_Q="(None)",All_Questions_Q6_F_Q="",ISBLANK(All_Questions_Q6_F_Q),All_Questions_Q6_F_V="(All)",All_Questions_Q6_F_V="",ISBLANK(All_Questions_Q6_F_V)),1,IFERROR(IF(ISNUMBER(SEARCH("|"&amp;INDEX(INDIRECT(All_Questions_Q6_F_resolved_column),69)&amp;"|",("|" &amp; SUBSTITUTE(All_Questions_Q6_F_resolved_criteria, ", ", "|") &amp; "|"))),1,0),0))*1</f>
        <v>1</v>
      </c>
    </row>
    <row r="71">
      <c r="A71" t="n">
        <v>70</v>
      </c>
      <c r="B71" t="n">
        <v>26.3695</v>
      </c>
      <c r="C71">
        <f>1</f>
        <v>1</v>
      </c>
      <c r="D71">
        <f>IF(OR(F_Custom1_Q="(None)",F_Custom1_Q="",ISBLANK(F_Custom1_Q),F_Custom1_V="(All)",F_Custom1_V="",ISBLANK(F_Custom1_V)),1,IFERROR(IF(ISNUMBER(SEARCH("|"&amp;INDEX(INDIRECT(F_Custom1_resolved_column),70)&amp;"|",("|" &amp; SUBSTITUTE(F_Custom1_resolved_criteria, ", ", "|") &amp; "|"))),1,0),0))</f>
        <v>1</v>
      </c>
      <c r="E71">
        <f>IF(OR(F_Custom2_Q="(None)",F_Custom2_Q="",ISBLANK(F_Custom2_Q),F_Custom2_V="(All)",F_Custom2_V="",ISBLANK(F_Custom2_V)),1,IFERROR(IF(ISNUMBER(SEARCH("|"&amp;INDEX(INDIRECT(F_Custom2_resolved_column),70)&amp;"|",("|" &amp; SUBSTITUTE(F_Custom2_resolved_criteria, ", ", "|") &amp; "|"))),1,0),0))</f>
        <v>1</v>
      </c>
      <c r="F71">
        <f>D71*E71*1</f>
        <v>1</v>
      </c>
      <c r="G71">
        <f>1</f>
        <v>1</v>
      </c>
      <c r="H71">
        <f>IF(OR(All_Questions_Q6_F_Q="(None)",All_Questions_Q6_F_Q="",ISBLANK(All_Questions_Q6_F_Q),All_Questions_Q6_F_V="(All)",All_Questions_Q6_F_V="",ISBLANK(All_Questions_Q6_F_V)),1,IFERROR(IF(ISNUMBER(SEARCH("|"&amp;INDEX(INDIRECT(All_Questions_Q6_F_resolved_column),70)&amp;"|",("|" &amp; SUBSTITUTE(All_Questions_Q6_F_resolved_criteria, ", ", "|") &amp; "|"))),1,0),0))*1</f>
        <v>1</v>
      </c>
    </row>
    <row r="72">
      <c r="A72" t="n">
        <v>71</v>
      </c>
      <c r="B72" t="n">
        <v>26.3695</v>
      </c>
      <c r="C72">
        <f>1</f>
        <v>1</v>
      </c>
      <c r="D72">
        <f>IF(OR(F_Custom1_Q="(None)",F_Custom1_Q="",ISBLANK(F_Custom1_Q),F_Custom1_V="(All)",F_Custom1_V="",ISBLANK(F_Custom1_V)),1,IFERROR(IF(ISNUMBER(SEARCH("|"&amp;INDEX(INDIRECT(F_Custom1_resolved_column),71)&amp;"|",("|" &amp; SUBSTITUTE(F_Custom1_resolved_criteria, ", ", "|") &amp; "|"))),1,0),0))</f>
        <v>1</v>
      </c>
      <c r="E72">
        <f>IF(OR(F_Custom2_Q="(None)",F_Custom2_Q="",ISBLANK(F_Custom2_Q),F_Custom2_V="(All)",F_Custom2_V="",ISBLANK(F_Custom2_V)),1,IFERROR(IF(ISNUMBER(SEARCH("|"&amp;INDEX(INDIRECT(F_Custom2_resolved_column),71)&amp;"|",("|" &amp; SUBSTITUTE(F_Custom2_resolved_criteria, ", ", "|") &amp; "|"))),1,0),0))</f>
        <v>1</v>
      </c>
      <c r="F72">
        <f>D72*E72*1</f>
        <v>1</v>
      </c>
      <c r="G72">
        <f>1</f>
        <v>1</v>
      </c>
      <c r="H72">
        <f>IF(OR(All_Questions_Q6_F_Q="(None)",All_Questions_Q6_F_Q="",ISBLANK(All_Questions_Q6_F_Q),All_Questions_Q6_F_V="(All)",All_Questions_Q6_F_V="",ISBLANK(All_Questions_Q6_F_V)),1,IFERROR(IF(ISNUMBER(SEARCH("|"&amp;INDEX(INDIRECT(All_Questions_Q6_F_resolved_column),71)&amp;"|",("|" &amp; SUBSTITUTE(All_Questions_Q6_F_resolved_criteria, ", ", "|") &amp; "|"))),1,0),0))*1</f>
        <v>1</v>
      </c>
    </row>
    <row r="73">
      <c r="A73" t="n">
        <v>72</v>
      </c>
      <c r="B73" t="n">
        <v>26.3695</v>
      </c>
      <c r="C73">
        <f>1</f>
        <v>1</v>
      </c>
      <c r="D73">
        <f>IF(OR(F_Custom1_Q="(None)",F_Custom1_Q="",ISBLANK(F_Custom1_Q),F_Custom1_V="(All)",F_Custom1_V="",ISBLANK(F_Custom1_V)),1,IFERROR(IF(ISNUMBER(SEARCH("|"&amp;INDEX(INDIRECT(F_Custom1_resolved_column),72)&amp;"|",("|" &amp; SUBSTITUTE(F_Custom1_resolved_criteria, ", ", "|") &amp; "|"))),1,0),0))</f>
        <v>1</v>
      </c>
      <c r="E73">
        <f>IF(OR(F_Custom2_Q="(None)",F_Custom2_Q="",ISBLANK(F_Custom2_Q),F_Custom2_V="(All)",F_Custom2_V="",ISBLANK(F_Custom2_V)),1,IFERROR(IF(ISNUMBER(SEARCH("|"&amp;INDEX(INDIRECT(F_Custom2_resolved_column),72)&amp;"|",("|" &amp; SUBSTITUTE(F_Custom2_resolved_criteria, ", ", "|") &amp; "|"))),1,0),0))</f>
        <v>1</v>
      </c>
      <c r="F73">
        <f>D73*E73*1</f>
        <v>1</v>
      </c>
      <c r="G73">
        <f>1</f>
        <v>1</v>
      </c>
      <c r="H73">
        <f>IF(OR(All_Questions_Q6_F_Q="(None)",All_Questions_Q6_F_Q="",ISBLANK(All_Questions_Q6_F_Q),All_Questions_Q6_F_V="(All)",All_Questions_Q6_F_V="",ISBLANK(All_Questions_Q6_F_V)),1,IFERROR(IF(ISNUMBER(SEARCH("|"&amp;INDEX(INDIRECT(All_Questions_Q6_F_resolved_column),72)&amp;"|",("|" &amp; SUBSTITUTE(All_Questions_Q6_F_resolved_criteria, ", ", "|") &amp; "|"))),1,0),0))*1</f>
        <v>1</v>
      </c>
    </row>
    <row r="74">
      <c r="A74" t="n">
        <v>73</v>
      </c>
      <c r="B74" t="n">
        <v>26.3695</v>
      </c>
      <c r="C74">
        <f>1</f>
        <v>1</v>
      </c>
      <c r="D74">
        <f>IF(OR(F_Custom1_Q="(None)",F_Custom1_Q="",ISBLANK(F_Custom1_Q),F_Custom1_V="(All)",F_Custom1_V="",ISBLANK(F_Custom1_V)),1,IFERROR(IF(ISNUMBER(SEARCH("|"&amp;INDEX(INDIRECT(F_Custom1_resolved_column),73)&amp;"|",("|" &amp; SUBSTITUTE(F_Custom1_resolved_criteria, ", ", "|") &amp; "|"))),1,0),0))</f>
        <v>1</v>
      </c>
      <c r="E74">
        <f>IF(OR(F_Custom2_Q="(None)",F_Custom2_Q="",ISBLANK(F_Custom2_Q),F_Custom2_V="(All)",F_Custom2_V="",ISBLANK(F_Custom2_V)),1,IFERROR(IF(ISNUMBER(SEARCH("|"&amp;INDEX(INDIRECT(F_Custom2_resolved_column),73)&amp;"|",("|" &amp; SUBSTITUTE(F_Custom2_resolved_criteria, ", ", "|") &amp; "|"))),1,0),0))</f>
        <v>1</v>
      </c>
      <c r="F74">
        <f>D74*E74*1</f>
        <v>1</v>
      </c>
      <c r="G74">
        <f>1</f>
        <v>1</v>
      </c>
      <c r="H74">
        <f>IF(OR(All_Questions_Q6_F_Q="(None)",All_Questions_Q6_F_Q="",ISBLANK(All_Questions_Q6_F_Q),All_Questions_Q6_F_V="(All)",All_Questions_Q6_F_V="",ISBLANK(All_Questions_Q6_F_V)),1,IFERROR(IF(ISNUMBER(SEARCH("|"&amp;INDEX(INDIRECT(All_Questions_Q6_F_resolved_column),73)&amp;"|",("|" &amp; SUBSTITUTE(All_Questions_Q6_F_resolved_criteria, ", ", "|") &amp; "|"))),1,0),0))*1</f>
        <v>1</v>
      </c>
    </row>
    <row r="75">
      <c r="A75" t="n">
        <v>74</v>
      </c>
      <c r="B75" t="n">
        <v>26.3695</v>
      </c>
      <c r="C75">
        <f>1</f>
        <v>1</v>
      </c>
      <c r="D75">
        <f>IF(OR(F_Custom1_Q="(None)",F_Custom1_Q="",ISBLANK(F_Custom1_Q),F_Custom1_V="(All)",F_Custom1_V="",ISBLANK(F_Custom1_V)),1,IFERROR(IF(ISNUMBER(SEARCH("|"&amp;INDEX(INDIRECT(F_Custom1_resolved_column),74)&amp;"|",("|" &amp; SUBSTITUTE(F_Custom1_resolved_criteria, ", ", "|") &amp; "|"))),1,0),0))</f>
        <v>1</v>
      </c>
      <c r="E75">
        <f>IF(OR(F_Custom2_Q="(None)",F_Custom2_Q="",ISBLANK(F_Custom2_Q),F_Custom2_V="(All)",F_Custom2_V="",ISBLANK(F_Custom2_V)),1,IFERROR(IF(ISNUMBER(SEARCH("|"&amp;INDEX(INDIRECT(F_Custom2_resolved_column),74)&amp;"|",("|" &amp; SUBSTITUTE(F_Custom2_resolved_criteria, ", ", "|") &amp; "|"))),1,0),0))</f>
        <v>1</v>
      </c>
      <c r="F75">
        <f>D75*E75*1</f>
        <v>1</v>
      </c>
      <c r="G75">
        <f>1</f>
        <v>1</v>
      </c>
      <c r="H75">
        <f>IF(OR(All_Questions_Q6_F_Q="(None)",All_Questions_Q6_F_Q="",ISBLANK(All_Questions_Q6_F_Q),All_Questions_Q6_F_V="(All)",All_Questions_Q6_F_V="",ISBLANK(All_Questions_Q6_F_V)),1,IFERROR(IF(ISNUMBER(SEARCH("|"&amp;INDEX(INDIRECT(All_Questions_Q6_F_resolved_column),74)&amp;"|",("|" &amp; SUBSTITUTE(All_Questions_Q6_F_resolved_criteria, ", ", "|") &amp; "|"))),1,0),0))*1</f>
        <v>1</v>
      </c>
    </row>
    <row r="76">
      <c r="A76" t="n">
        <v>75</v>
      </c>
      <c r="B76" t="n">
        <v>26.3695</v>
      </c>
      <c r="C76">
        <f>1</f>
        <v>1</v>
      </c>
      <c r="D76">
        <f>IF(OR(F_Custom1_Q="(None)",F_Custom1_Q="",ISBLANK(F_Custom1_Q),F_Custom1_V="(All)",F_Custom1_V="",ISBLANK(F_Custom1_V)),1,IFERROR(IF(ISNUMBER(SEARCH("|"&amp;INDEX(INDIRECT(F_Custom1_resolved_column),75)&amp;"|",("|" &amp; SUBSTITUTE(F_Custom1_resolved_criteria, ", ", "|") &amp; "|"))),1,0),0))</f>
        <v>1</v>
      </c>
      <c r="E76">
        <f>IF(OR(F_Custom2_Q="(None)",F_Custom2_Q="",ISBLANK(F_Custom2_Q),F_Custom2_V="(All)",F_Custom2_V="",ISBLANK(F_Custom2_V)),1,IFERROR(IF(ISNUMBER(SEARCH("|"&amp;INDEX(INDIRECT(F_Custom2_resolved_column),75)&amp;"|",("|" &amp; SUBSTITUTE(F_Custom2_resolved_criteria, ", ", "|") &amp; "|"))),1,0),0))</f>
        <v>1</v>
      </c>
      <c r="F76">
        <f>D76*E76*1</f>
        <v>1</v>
      </c>
      <c r="G76">
        <f>1</f>
        <v>1</v>
      </c>
      <c r="H76">
        <f>IF(OR(All_Questions_Q6_F_Q="(None)",All_Questions_Q6_F_Q="",ISBLANK(All_Questions_Q6_F_Q),All_Questions_Q6_F_V="(All)",All_Questions_Q6_F_V="",ISBLANK(All_Questions_Q6_F_V)),1,IFERROR(IF(ISNUMBER(SEARCH("|"&amp;INDEX(INDIRECT(All_Questions_Q6_F_resolved_column),75)&amp;"|",("|" &amp; SUBSTITUTE(All_Questions_Q6_F_resolved_criteria, ", ", "|") &amp; "|"))),1,0),0))*1</f>
        <v>1</v>
      </c>
    </row>
    <row r="77">
      <c r="A77" t="n">
        <v>76</v>
      </c>
      <c r="B77" t="n">
        <v>26.3695</v>
      </c>
      <c r="C77">
        <f>1</f>
        <v>1</v>
      </c>
      <c r="D77">
        <f>IF(OR(F_Custom1_Q="(None)",F_Custom1_Q="",ISBLANK(F_Custom1_Q),F_Custom1_V="(All)",F_Custom1_V="",ISBLANK(F_Custom1_V)),1,IFERROR(IF(ISNUMBER(SEARCH("|"&amp;INDEX(INDIRECT(F_Custom1_resolved_column),76)&amp;"|",("|" &amp; SUBSTITUTE(F_Custom1_resolved_criteria, ", ", "|") &amp; "|"))),1,0),0))</f>
        <v>1</v>
      </c>
      <c r="E77">
        <f>IF(OR(F_Custom2_Q="(None)",F_Custom2_Q="",ISBLANK(F_Custom2_Q),F_Custom2_V="(All)",F_Custom2_V="",ISBLANK(F_Custom2_V)),1,IFERROR(IF(ISNUMBER(SEARCH("|"&amp;INDEX(INDIRECT(F_Custom2_resolved_column),76)&amp;"|",("|" &amp; SUBSTITUTE(F_Custom2_resolved_criteria, ", ", "|") &amp; "|"))),1,0),0))</f>
        <v>1</v>
      </c>
      <c r="F77">
        <f>D77*E77*1</f>
        <v>1</v>
      </c>
      <c r="G77">
        <f>1</f>
        <v>1</v>
      </c>
      <c r="H77">
        <f>IF(OR(All_Questions_Q6_F_Q="(None)",All_Questions_Q6_F_Q="",ISBLANK(All_Questions_Q6_F_Q),All_Questions_Q6_F_V="(All)",All_Questions_Q6_F_V="",ISBLANK(All_Questions_Q6_F_V)),1,IFERROR(IF(ISNUMBER(SEARCH("|"&amp;INDEX(INDIRECT(All_Questions_Q6_F_resolved_column),76)&amp;"|",("|" &amp; SUBSTITUTE(All_Questions_Q6_F_resolved_criteria, ", ", "|") &amp; "|"))),1,0),0))*1</f>
        <v>1</v>
      </c>
    </row>
    <row r="78">
      <c r="A78" t="n">
        <v>77</v>
      </c>
      <c r="B78" t="n">
        <v>26.3695</v>
      </c>
      <c r="C78">
        <f>1</f>
        <v>1</v>
      </c>
      <c r="D78">
        <f>IF(OR(F_Custom1_Q="(None)",F_Custom1_Q="",ISBLANK(F_Custom1_Q),F_Custom1_V="(All)",F_Custom1_V="",ISBLANK(F_Custom1_V)),1,IFERROR(IF(ISNUMBER(SEARCH("|"&amp;INDEX(INDIRECT(F_Custom1_resolved_column),77)&amp;"|",("|" &amp; SUBSTITUTE(F_Custom1_resolved_criteria, ", ", "|") &amp; "|"))),1,0),0))</f>
        <v>1</v>
      </c>
      <c r="E78">
        <f>IF(OR(F_Custom2_Q="(None)",F_Custom2_Q="",ISBLANK(F_Custom2_Q),F_Custom2_V="(All)",F_Custom2_V="",ISBLANK(F_Custom2_V)),1,IFERROR(IF(ISNUMBER(SEARCH("|"&amp;INDEX(INDIRECT(F_Custom2_resolved_column),77)&amp;"|",("|" &amp; SUBSTITUTE(F_Custom2_resolved_criteria, ", ", "|") &amp; "|"))),1,0),0))</f>
        <v>1</v>
      </c>
      <c r="F78">
        <f>D78*E78*1</f>
        <v>1</v>
      </c>
      <c r="G78">
        <f>1</f>
        <v>1</v>
      </c>
      <c r="H78">
        <f>IF(OR(All_Questions_Q6_F_Q="(None)",All_Questions_Q6_F_Q="",ISBLANK(All_Questions_Q6_F_Q),All_Questions_Q6_F_V="(All)",All_Questions_Q6_F_V="",ISBLANK(All_Questions_Q6_F_V)),1,IFERROR(IF(ISNUMBER(SEARCH("|"&amp;INDEX(INDIRECT(All_Questions_Q6_F_resolved_column),77)&amp;"|",("|" &amp; SUBSTITUTE(All_Questions_Q6_F_resolved_criteria, ", ", "|") &amp; "|"))),1,0),0))*1</f>
        <v>1</v>
      </c>
    </row>
    <row r="79">
      <c r="A79" t="n">
        <v>78</v>
      </c>
      <c r="B79" t="n">
        <v>26.3695</v>
      </c>
      <c r="C79">
        <f>1</f>
        <v>1</v>
      </c>
      <c r="D79">
        <f>IF(OR(F_Custom1_Q="(None)",F_Custom1_Q="",ISBLANK(F_Custom1_Q),F_Custom1_V="(All)",F_Custom1_V="",ISBLANK(F_Custom1_V)),1,IFERROR(IF(ISNUMBER(SEARCH("|"&amp;INDEX(INDIRECT(F_Custom1_resolved_column),78)&amp;"|",("|" &amp; SUBSTITUTE(F_Custom1_resolved_criteria, ", ", "|") &amp; "|"))),1,0),0))</f>
        <v>1</v>
      </c>
      <c r="E79">
        <f>IF(OR(F_Custom2_Q="(None)",F_Custom2_Q="",ISBLANK(F_Custom2_Q),F_Custom2_V="(All)",F_Custom2_V="",ISBLANK(F_Custom2_V)),1,IFERROR(IF(ISNUMBER(SEARCH("|"&amp;INDEX(INDIRECT(F_Custom2_resolved_column),78)&amp;"|",("|" &amp; SUBSTITUTE(F_Custom2_resolved_criteria, ", ", "|") &amp; "|"))),1,0),0))</f>
        <v>1</v>
      </c>
      <c r="F79">
        <f>D79*E79*1</f>
        <v>1</v>
      </c>
      <c r="G79">
        <f>1</f>
        <v>1</v>
      </c>
      <c r="H79">
        <f>IF(OR(All_Questions_Q6_F_Q="(None)",All_Questions_Q6_F_Q="",ISBLANK(All_Questions_Q6_F_Q),All_Questions_Q6_F_V="(All)",All_Questions_Q6_F_V="",ISBLANK(All_Questions_Q6_F_V)),1,IFERROR(IF(ISNUMBER(SEARCH("|"&amp;INDEX(INDIRECT(All_Questions_Q6_F_resolved_column),78)&amp;"|",("|" &amp; SUBSTITUTE(All_Questions_Q6_F_resolved_criteria, ", ", "|") &amp; "|"))),1,0),0))*1</f>
        <v>1</v>
      </c>
    </row>
    <row r="80">
      <c r="A80" t="n">
        <v>79</v>
      </c>
      <c r="B80" t="n">
        <v>26.3695</v>
      </c>
      <c r="C80">
        <f>1</f>
        <v>1</v>
      </c>
      <c r="D80">
        <f>IF(OR(F_Custom1_Q="(None)",F_Custom1_Q="",ISBLANK(F_Custom1_Q),F_Custom1_V="(All)",F_Custom1_V="",ISBLANK(F_Custom1_V)),1,IFERROR(IF(ISNUMBER(SEARCH("|"&amp;INDEX(INDIRECT(F_Custom1_resolved_column),79)&amp;"|",("|" &amp; SUBSTITUTE(F_Custom1_resolved_criteria, ", ", "|") &amp; "|"))),1,0),0))</f>
        <v>1</v>
      </c>
      <c r="E80">
        <f>IF(OR(F_Custom2_Q="(None)",F_Custom2_Q="",ISBLANK(F_Custom2_Q),F_Custom2_V="(All)",F_Custom2_V="",ISBLANK(F_Custom2_V)),1,IFERROR(IF(ISNUMBER(SEARCH("|"&amp;INDEX(INDIRECT(F_Custom2_resolved_column),79)&amp;"|",("|" &amp; SUBSTITUTE(F_Custom2_resolved_criteria, ", ", "|") &amp; "|"))),1,0),0))</f>
        <v>1</v>
      </c>
      <c r="F80">
        <f>D80*E80*1</f>
        <v>1</v>
      </c>
      <c r="G80">
        <f>1</f>
        <v>1</v>
      </c>
      <c r="H80">
        <f>IF(OR(All_Questions_Q6_F_Q="(None)",All_Questions_Q6_F_Q="",ISBLANK(All_Questions_Q6_F_Q),All_Questions_Q6_F_V="(All)",All_Questions_Q6_F_V="",ISBLANK(All_Questions_Q6_F_V)),1,IFERROR(IF(ISNUMBER(SEARCH("|"&amp;INDEX(INDIRECT(All_Questions_Q6_F_resolved_column),79)&amp;"|",("|" &amp; SUBSTITUTE(All_Questions_Q6_F_resolved_criteria, ", ", "|") &amp; "|"))),1,0),0))*1</f>
        <v>1</v>
      </c>
    </row>
    <row r="81">
      <c r="A81" t="n">
        <v>80</v>
      </c>
      <c r="B81" t="n">
        <v>26.3695</v>
      </c>
      <c r="C81">
        <f>1</f>
        <v>1</v>
      </c>
      <c r="D81">
        <f>IF(OR(F_Custom1_Q="(None)",F_Custom1_Q="",ISBLANK(F_Custom1_Q),F_Custom1_V="(All)",F_Custom1_V="",ISBLANK(F_Custom1_V)),1,IFERROR(IF(ISNUMBER(SEARCH("|"&amp;INDEX(INDIRECT(F_Custom1_resolved_column),80)&amp;"|",("|" &amp; SUBSTITUTE(F_Custom1_resolved_criteria, ", ", "|") &amp; "|"))),1,0),0))</f>
        <v>1</v>
      </c>
      <c r="E81">
        <f>IF(OR(F_Custom2_Q="(None)",F_Custom2_Q="",ISBLANK(F_Custom2_Q),F_Custom2_V="(All)",F_Custom2_V="",ISBLANK(F_Custom2_V)),1,IFERROR(IF(ISNUMBER(SEARCH("|"&amp;INDEX(INDIRECT(F_Custom2_resolved_column),80)&amp;"|",("|" &amp; SUBSTITUTE(F_Custom2_resolved_criteria, ", ", "|") &amp; "|"))),1,0),0))</f>
        <v>1</v>
      </c>
      <c r="F81">
        <f>D81*E81*1</f>
        <v>1</v>
      </c>
      <c r="G81">
        <f>1</f>
        <v>1</v>
      </c>
      <c r="H81">
        <f>IF(OR(All_Questions_Q6_F_Q="(None)",All_Questions_Q6_F_Q="",ISBLANK(All_Questions_Q6_F_Q),All_Questions_Q6_F_V="(All)",All_Questions_Q6_F_V="",ISBLANK(All_Questions_Q6_F_V)),1,IFERROR(IF(ISNUMBER(SEARCH("|"&amp;INDEX(INDIRECT(All_Questions_Q6_F_resolved_column),80)&amp;"|",("|" &amp; SUBSTITUTE(All_Questions_Q6_F_resolved_criteria, ", ", "|") &amp; "|"))),1,0),0))*1</f>
        <v>1</v>
      </c>
    </row>
    <row r="82">
      <c r="A82" t="n">
        <v>81</v>
      </c>
      <c r="B82" t="n">
        <v>26.3695</v>
      </c>
      <c r="C82">
        <f>1</f>
        <v>1</v>
      </c>
      <c r="D82">
        <f>IF(OR(F_Custom1_Q="(None)",F_Custom1_Q="",ISBLANK(F_Custom1_Q),F_Custom1_V="(All)",F_Custom1_V="",ISBLANK(F_Custom1_V)),1,IFERROR(IF(ISNUMBER(SEARCH("|"&amp;INDEX(INDIRECT(F_Custom1_resolved_column),81)&amp;"|",("|" &amp; SUBSTITUTE(F_Custom1_resolved_criteria, ", ", "|") &amp; "|"))),1,0),0))</f>
        <v>1</v>
      </c>
      <c r="E82">
        <f>IF(OR(F_Custom2_Q="(None)",F_Custom2_Q="",ISBLANK(F_Custom2_Q),F_Custom2_V="(All)",F_Custom2_V="",ISBLANK(F_Custom2_V)),1,IFERROR(IF(ISNUMBER(SEARCH("|"&amp;INDEX(INDIRECT(F_Custom2_resolved_column),81)&amp;"|",("|" &amp; SUBSTITUTE(F_Custom2_resolved_criteria, ", ", "|") &amp; "|"))),1,0),0))</f>
        <v>1</v>
      </c>
      <c r="F82">
        <f>D82*E82*1</f>
        <v>1</v>
      </c>
      <c r="G82">
        <f>1</f>
        <v>1</v>
      </c>
      <c r="H82">
        <f>IF(OR(All_Questions_Q6_F_Q="(None)",All_Questions_Q6_F_Q="",ISBLANK(All_Questions_Q6_F_Q),All_Questions_Q6_F_V="(All)",All_Questions_Q6_F_V="",ISBLANK(All_Questions_Q6_F_V)),1,IFERROR(IF(ISNUMBER(SEARCH("|"&amp;INDEX(INDIRECT(All_Questions_Q6_F_resolved_column),81)&amp;"|",("|" &amp; SUBSTITUTE(All_Questions_Q6_F_resolved_criteria, ", ", "|") &amp; "|"))),1,0),0))*1</f>
        <v>1</v>
      </c>
    </row>
    <row r="83">
      <c r="A83" t="n">
        <v>82</v>
      </c>
      <c r="B83" t="n">
        <v>26.3695</v>
      </c>
      <c r="C83">
        <f>1</f>
        <v>1</v>
      </c>
      <c r="D83">
        <f>IF(OR(F_Custom1_Q="(None)",F_Custom1_Q="",ISBLANK(F_Custom1_Q),F_Custom1_V="(All)",F_Custom1_V="",ISBLANK(F_Custom1_V)),1,IFERROR(IF(ISNUMBER(SEARCH("|"&amp;INDEX(INDIRECT(F_Custom1_resolved_column),82)&amp;"|",("|" &amp; SUBSTITUTE(F_Custom1_resolved_criteria, ", ", "|") &amp; "|"))),1,0),0))</f>
        <v>1</v>
      </c>
      <c r="E83">
        <f>IF(OR(F_Custom2_Q="(None)",F_Custom2_Q="",ISBLANK(F_Custom2_Q),F_Custom2_V="(All)",F_Custom2_V="",ISBLANK(F_Custom2_V)),1,IFERROR(IF(ISNUMBER(SEARCH("|"&amp;INDEX(INDIRECT(F_Custom2_resolved_column),82)&amp;"|",("|" &amp; SUBSTITUTE(F_Custom2_resolved_criteria, ", ", "|") &amp; "|"))),1,0),0))</f>
        <v>1</v>
      </c>
      <c r="F83">
        <f>D83*E83*1</f>
        <v>1</v>
      </c>
      <c r="G83">
        <f>1</f>
        <v>1</v>
      </c>
      <c r="H83">
        <f>IF(OR(All_Questions_Q6_F_Q="(None)",All_Questions_Q6_F_Q="",ISBLANK(All_Questions_Q6_F_Q),All_Questions_Q6_F_V="(All)",All_Questions_Q6_F_V="",ISBLANK(All_Questions_Q6_F_V)),1,IFERROR(IF(ISNUMBER(SEARCH("|"&amp;INDEX(INDIRECT(All_Questions_Q6_F_resolved_column),82)&amp;"|",("|" &amp; SUBSTITUTE(All_Questions_Q6_F_resolved_criteria, ", ", "|") &amp; "|"))),1,0),0))*1</f>
        <v>1</v>
      </c>
    </row>
    <row r="84">
      <c r="A84" t="n">
        <v>83</v>
      </c>
      <c r="B84" t="n">
        <v>26.3695</v>
      </c>
      <c r="C84">
        <f>1</f>
        <v>1</v>
      </c>
      <c r="D84">
        <f>IF(OR(F_Custom1_Q="(None)",F_Custom1_Q="",ISBLANK(F_Custom1_Q),F_Custom1_V="(All)",F_Custom1_V="",ISBLANK(F_Custom1_V)),1,IFERROR(IF(ISNUMBER(SEARCH("|"&amp;INDEX(INDIRECT(F_Custom1_resolved_column),83)&amp;"|",("|" &amp; SUBSTITUTE(F_Custom1_resolved_criteria, ", ", "|") &amp; "|"))),1,0),0))</f>
        <v>1</v>
      </c>
      <c r="E84">
        <f>IF(OR(F_Custom2_Q="(None)",F_Custom2_Q="",ISBLANK(F_Custom2_Q),F_Custom2_V="(All)",F_Custom2_V="",ISBLANK(F_Custom2_V)),1,IFERROR(IF(ISNUMBER(SEARCH("|"&amp;INDEX(INDIRECT(F_Custom2_resolved_column),83)&amp;"|",("|" &amp; SUBSTITUTE(F_Custom2_resolved_criteria, ", ", "|") &amp; "|"))),1,0),0))</f>
        <v>1</v>
      </c>
      <c r="F84">
        <f>D84*E84*1</f>
        <v>1</v>
      </c>
      <c r="G84">
        <f>1</f>
        <v>1</v>
      </c>
      <c r="H84">
        <f>IF(OR(All_Questions_Q6_F_Q="(None)",All_Questions_Q6_F_Q="",ISBLANK(All_Questions_Q6_F_Q),All_Questions_Q6_F_V="(All)",All_Questions_Q6_F_V="",ISBLANK(All_Questions_Q6_F_V)),1,IFERROR(IF(ISNUMBER(SEARCH("|"&amp;INDEX(INDIRECT(All_Questions_Q6_F_resolved_column),83)&amp;"|",("|" &amp; SUBSTITUTE(All_Questions_Q6_F_resolved_criteria, ", ", "|") &amp; "|"))),1,0),0))*1</f>
        <v>1</v>
      </c>
    </row>
    <row r="85">
      <c r="A85" t="n">
        <v>84</v>
      </c>
      <c r="B85" t="n">
        <v>26.3695</v>
      </c>
      <c r="C85">
        <f>1</f>
        <v>1</v>
      </c>
      <c r="D85">
        <f>IF(OR(F_Custom1_Q="(None)",F_Custom1_Q="",ISBLANK(F_Custom1_Q),F_Custom1_V="(All)",F_Custom1_V="",ISBLANK(F_Custom1_V)),1,IFERROR(IF(ISNUMBER(SEARCH("|"&amp;INDEX(INDIRECT(F_Custom1_resolved_column),84)&amp;"|",("|" &amp; SUBSTITUTE(F_Custom1_resolved_criteria, ", ", "|") &amp; "|"))),1,0),0))</f>
        <v>1</v>
      </c>
      <c r="E85">
        <f>IF(OR(F_Custom2_Q="(None)",F_Custom2_Q="",ISBLANK(F_Custom2_Q),F_Custom2_V="(All)",F_Custom2_V="",ISBLANK(F_Custom2_V)),1,IFERROR(IF(ISNUMBER(SEARCH("|"&amp;INDEX(INDIRECT(F_Custom2_resolved_column),84)&amp;"|",("|" &amp; SUBSTITUTE(F_Custom2_resolved_criteria, ", ", "|") &amp; "|"))),1,0),0))</f>
        <v>1</v>
      </c>
      <c r="F85">
        <f>D85*E85*1</f>
        <v>1</v>
      </c>
      <c r="G85">
        <f>1</f>
        <v>1</v>
      </c>
      <c r="H85">
        <f>IF(OR(All_Questions_Q6_F_Q="(None)",All_Questions_Q6_F_Q="",ISBLANK(All_Questions_Q6_F_Q),All_Questions_Q6_F_V="(All)",All_Questions_Q6_F_V="",ISBLANK(All_Questions_Q6_F_V)),1,IFERROR(IF(ISNUMBER(SEARCH("|"&amp;INDEX(INDIRECT(All_Questions_Q6_F_resolved_column),84)&amp;"|",("|" &amp; SUBSTITUTE(All_Questions_Q6_F_resolved_criteria, ", ", "|") &amp; "|"))),1,0),0))*1</f>
        <v>1</v>
      </c>
    </row>
    <row r="86">
      <c r="A86" t="n">
        <v>85</v>
      </c>
      <c r="B86" t="n">
        <v>26.3695</v>
      </c>
      <c r="C86">
        <f>1</f>
        <v>1</v>
      </c>
      <c r="D86">
        <f>IF(OR(F_Custom1_Q="(None)",F_Custom1_Q="",ISBLANK(F_Custom1_Q),F_Custom1_V="(All)",F_Custom1_V="",ISBLANK(F_Custom1_V)),1,IFERROR(IF(ISNUMBER(SEARCH("|"&amp;INDEX(INDIRECT(F_Custom1_resolved_column),85)&amp;"|",("|" &amp; SUBSTITUTE(F_Custom1_resolved_criteria, ", ", "|") &amp; "|"))),1,0),0))</f>
        <v>1</v>
      </c>
      <c r="E86">
        <f>IF(OR(F_Custom2_Q="(None)",F_Custom2_Q="",ISBLANK(F_Custom2_Q),F_Custom2_V="(All)",F_Custom2_V="",ISBLANK(F_Custom2_V)),1,IFERROR(IF(ISNUMBER(SEARCH("|"&amp;INDEX(INDIRECT(F_Custom2_resolved_column),85)&amp;"|",("|" &amp; SUBSTITUTE(F_Custom2_resolved_criteria, ", ", "|") &amp; "|"))),1,0),0))</f>
        <v>1</v>
      </c>
      <c r="F86">
        <f>D86*E86*1</f>
        <v>1</v>
      </c>
      <c r="G86">
        <f>1</f>
        <v>1</v>
      </c>
      <c r="H86">
        <f>IF(OR(All_Questions_Q6_F_Q="(None)",All_Questions_Q6_F_Q="",ISBLANK(All_Questions_Q6_F_Q),All_Questions_Q6_F_V="(All)",All_Questions_Q6_F_V="",ISBLANK(All_Questions_Q6_F_V)),1,IFERROR(IF(ISNUMBER(SEARCH("|"&amp;INDEX(INDIRECT(All_Questions_Q6_F_resolved_column),85)&amp;"|",("|" &amp; SUBSTITUTE(All_Questions_Q6_F_resolved_criteria, ", ", "|") &amp; "|"))),1,0),0))*1</f>
        <v>1</v>
      </c>
    </row>
    <row r="87">
      <c r="A87" t="n">
        <v>86</v>
      </c>
      <c r="B87" t="n">
        <v>26.3695</v>
      </c>
      <c r="C87">
        <f>1</f>
        <v>1</v>
      </c>
      <c r="D87">
        <f>IF(OR(F_Custom1_Q="(None)",F_Custom1_Q="",ISBLANK(F_Custom1_Q),F_Custom1_V="(All)",F_Custom1_V="",ISBLANK(F_Custom1_V)),1,IFERROR(IF(ISNUMBER(SEARCH("|"&amp;INDEX(INDIRECT(F_Custom1_resolved_column),86)&amp;"|",("|" &amp; SUBSTITUTE(F_Custom1_resolved_criteria, ", ", "|") &amp; "|"))),1,0),0))</f>
        <v>1</v>
      </c>
      <c r="E87">
        <f>IF(OR(F_Custom2_Q="(None)",F_Custom2_Q="",ISBLANK(F_Custom2_Q),F_Custom2_V="(All)",F_Custom2_V="",ISBLANK(F_Custom2_V)),1,IFERROR(IF(ISNUMBER(SEARCH("|"&amp;INDEX(INDIRECT(F_Custom2_resolved_column),86)&amp;"|",("|" &amp; SUBSTITUTE(F_Custom2_resolved_criteria, ", ", "|") &amp; "|"))),1,0),0))</f>
        <v>1</v>
      </c>
      <c r="F87">
        <f>D87*E87*1</f>
        <v>1</v>
      </c>
      <c r="G87">
        <f>1</f>
        <v>1</v>
      </c>
      <c r="H87">
        <f>IF(OR(All_Questions_Q6_F_Q="(None)",All_Questions_Q6_F_Q="",ISBLANK(All_Questions_Q6_F_Q),All_Questions_Q6_F_V="(All)",All_Questions_Q6_F_V="",ISBLANK(All_Questions_Q6_F_V)),1,IFERROR(IF(ISNUMBER(SEARCH("|"&amp;INDEX(INDIRECT(All_Questions_Q6_F_resolved_column),86)&amp;"|",("|" &amp; SUBSTITUTE(All_Questions_Q6_F_resolved_criteria, ", ", "|") &amp; "|"))),1,0),0))*1</f>
        <v>1</v>
      </c>
    </row>
    <row r="88">
      <c r="A88" t="n">
        <v>87</v>
      </c>
      <c r="B88" t="n">
        <v>26.3695</v>
      </c>
      <c r="C88">
        <f>1</f>
        <v>1</v>
      </c>
      <c r="D88">
        <f>IF(OR(F_Custom1_Q="(None)",F_Custom1_Q="",ISBLANK(F_Custom1_Q),F_Custom1_V="(All)",F_Custom1_V="",ISBLANK(F_Custom1_V)),1,IFERROR(IF(ISNUMBER(SEARCH("|"&amp;INDEX(INDIRECT(F_Custom1_resolved_column),87)&amp;"|",("|" &amp; SUBSTITUTE(F_Custom1_resolved_criteria, ", ", "|") &amp; "|"))),1,0),0))</f>
        <v>1</v>
      </c>
      <c r="E88">
        <f>IF(OR(F_Custom2_Q="(None)",F_Custom2_Q="",ISBLANK(F_Custom2_Q),F_Custom2_V="(All)",F_Custom2_V="",ISBLANK(F_Custom2_V)),1,IFERROR(IF(ISNUMBER(SEARCH("|"&amp;INDEX(INDIRECT(F_Custom2_resolved_column),87)&amp;"|",("|" &amp; SUBSTITUTE(F_Custom2_resolved_criteria, ", ", "|") &amp; "|"))),1,0),0))</f>
        <v>1</v>
      </c>
      <c r="F88">
        <f>D88*E88*1</f>
        <v>1</v>
      </c>
      <c r="G88">
        <f>1</f>
        <v>1</v>
      </c>
      <c r="H88">
        <f>IF(OR(All_Questions_Q6_F_Q="(None)",All_Questions_Q6_F_Q="",ISBLANK(All_Questions_Q6_F_Q),All_Questions_Q6_F_V="(All)",All_Questions_Q6_F_V="",ISBLANK(All_Questions_Q6_F_V)),1,IFERROR(IF(ISNUMBER(SEARCH("|"&amp;INDEX(INDIRECT(All_Questions_Q6_F_resolved_column),87)&amp;"|",("|" &amp; SUBSTITUTE(All_Questions_Q6_F_resolved_criteria, ", ", "|") &amp; "|"))),1,0),0))*1</f>
        <v>1</v>
      </c>
    </row>
    <row r="89">
      <c r="A89" t="n">
        <v>88</v>
      </c>
      <c r="B89" t="n">
        <v>26.3695</v>
      </c>
      <c r="C89">
        <f>1</f>
        <v>1</v>
      </c>
      <c r="D89">
        <f>IF(OR(F_Custom1_Q="(None)",F_Custom1_Q="",ISBLANK(F_Custom1_Q),F_Custom1_V="(All)",F_Custom1_V="",ISBLANK(F_Custom1_V)),1,IFERROR(IF(ISNUMBER(SEARCH("|"&amp;INDEX(INDIRECT(F_Custom1_resolved_column),88)&amp;"|",("|" &amp; SUBSTITUTE(F_Custom1_resolved_criteria, ", ", "|") &amp; "|"))),1,0),0))</f>
        <v>1</v>
      </c>
      <c r="E89">
        <f>IF(OR(F_Custom2_Q="(None)",F_Custom2_Q="",ISBLANK(F_Custom2_Q),F_Custom2_V="(All)",F_Custom2_V="",ISBLANK(F_Custom2_V)),1,IFERROR(IF(ISNUMBER(SEARCH("|"&amp;INDEX(INDIRECT(F_Custom2_resolved_column),88)&amp;"|",("|" &amp; SUBSTITUTE(F_Custom2_resolved_criteria, ", ", "|") &amp; "|"))),1,0),0))</f>
        <v>1</v>
      </c>
      <c r="F89">
        <f>D89*E89*1</f>
        <v>1</v>
      </c>
      <c r="G89">
        <f>1</f>
        <v>1</v>
      </c>
      <c r="H89">
        <f>IF(OR(All_Questions_Q6_F_Q="(None)",All_Questions_Q6_F_Q="",ISBLANK(All_Questions_Q6_F_Q),All_Questions_Q6_F_V="(All)",All_Questions_Q6_F_V="",ISBLANK(All_Questions_Q6_F_V)),1,IFERROR(IF(ISNUMBER(SEARCH("|"&amp;INDEX(INDIRECT(All_Questions_Q6_F_resolved_column),88)&amp;"|",("|" &amp; SUBSTITUTE(All_Questions_Q6_F_resolved_criteria, ", ", "|") &amp; "|"))),1,0),0))*1</f>
        <v>1</v>
      </c>
    </row>
    <row r="90">
      <c r="A90" t="n">
        <v>89</v>
      </c>
      <c r="B90" t="n">
        <v>26.3695</v>
      </c>
      <c r="C90">
        <f>1</f>
        <v>1</v>
      </c>
      <c r="D90">
        <f>IF(OR(F_Custom1_Q="(None)",F_Custom1_Q="",ISBLANK(F_Custom1_Q),F_Custom1_V="(All)",F_Custom1_V="",ISBLANK(F_Custom1_V)),1,IFERROR(IF(ISNUMBER(SEARCH("|"&amp;INDEX(INDIRECT(F_Custom1_resolved_column),89)&amp;"|",("|" &amp; SUBSTITUTE(F_Custom1_resolved_criteria, ", ", "|") &amp; "|"))),1,0),0))</f>
        <v>1</v>
      </c>
      <c r="E90">
        <f>IF(OR(F_Custom2_Q="(None)",F_Custom2_Q="",ISBLANK(F_Custom2_Q),F_Custom2_V="(All)",F_Custom2_V="",ISBLANK(F_Custom2_V)),1,IFERROR(IF(ISNUMBER(SEARCH("|"&amp;INDEX(INDIRECT(F_Custom2_resolved_column),89)&amp;"|",("|" &amp; SUBSTITUTE(F_Custom2_resolved_criteria, ", ", "|") &amp; "|"))),1,0),0))</f>
        <v>1</v>
      </c>
      <c r="F90">
        <f>D90*E90*1</f>
        <v>1</v>
      </c>
      <c r="G90">
        <f>1</f>
        <v>1</v>
      </c>
      <c r="H90">
        <f>IF(OR(All_Questions_Q6_F_Q="(None)",All_Questions_Q6_F_Q="",ISBLANK(All_Questions_Q6_F_Q),All_Questions_Q6_F_V="(All)",All_Questions_Q6_F_V="",ISBLANK(All_Questions_Q6_F_V)),1,IFERROR(IF(ISNUMBER(SEARCH("|"&amp;INDEX(INDIRECT(All_Questions_Q6_F_resolved_column),89)&amp;"|",("|" &amp; SUBSTITUTE(All_Questions_Q6_F_resolved_criteria, ", ", "|") &amp; "|"))),1,0),0))*1</f>
        <v>1</v>
      </c>
    </row>
    <row r="91">
      <c r="A91" t="n">
        <v>90</v>
      </c>
      <c r="B91" t="n">
        <v>26.3695</v>
      </c>
      <c r="C91">
        <f>1</f>
        <v>1</v>
      </c>
      <c r="D91">
        <f>IF(OR(F_Custom1_Q="(None)",F_Custom1_Q="",ISBLANK(F_Custom1_Q),F_Custom1_V="(All)",F_Custom1_V="",ISBLANK(F_Custom1_V)),1,IFERROR(IF(ISNUMBER(SEARCH("|"&amp;INDEX(INDIRECT(F_Custom1_resolved_column),90)&amp;"|",("|" &amp; SUBSTITUTE(F_Custom1_resolved_criteria, ", ", "|") &amp; "|"))),1,0),0))</f>
        <v>1</v>
      </c>
      <c r="E91">
        <f>IF(OR(F_Custom2_Q="(None)",F_Custom2_Q="",ISBLANK(F_Custom2_Q),F_Custom2_V="(All)",F_Custom2_V="",ISBLANK(F_Custom2_V)),1,IFERROR(IF(ISNUMBER(SEARCH("|"&amp;INDEX(INDIRECT(F_Custom2_resolved_column),90)&amp;"|",("|" &amp; SUBSTITUTE(F_Custom2_resolved_criteria, ", ", "|") &amp; "|"))),1,0),0))</f>
        <v>1</v>
      </c>
      <c r="F91">
        <f>D91*E91*1</f>
        <v>1</v>
      </c>
      <c r="G91">
        <f>1</f>
        <v>1</v>
      </c>
      <c r="H91">
        <f>IF(OR(All_Questions_Q6_F_Q="(None)",All_Questions_Q6_F_Q="",ISBLANK(All_Questions_Q6_F_Q),All_Questions_Q6_F_V="(All)",All_Questions_Q6_F_V="",ISBLANK(All_Questions_Q6_F_V)),1,IFERROR(IF(ISNUMBER(SEARCH("|"&amp;INDEX(INDIRECT(All_Questions_Q6_F_resolved_column),90)&amp;"|",("|" &amp; SUBSTITUTE(All_Questions_Q6_F_resolved_criteria, ", ", "|") &amp; "|"))),1,0),0))*1</f>
        <v>1</v>
      </c>
    </row>
    <row r="92">
      <c r="A92" t="n">
        <v>91</v>
      </c>
      <c r="B92" t="n">
        <v>26.3695</v>
      </c>
      <c r="C92">
        <f>1</f>
        <v>1</v>
      </c>
      <c r="D92">
        <f>IF(OR(F_Custom1_Q="(None)",F_Custom1_Q="",ISBLANK(F_Custom1_Q),F_Custom1_V="(All)",F_Custom1_V="",ISBLANK(F_Custom1_V)),1,IFERROR(IF(ISNUMBER(SEARCH("|"&amp;INDEX(INDIRECT(F_Custom1_resolved_column),91)&amp;"|",("|" &amp; SUBSTITUTE(F_Custom1_resolved_criteria, ", ", "|") &amp; "|"))),1,0),0))</f>
        <v>1</v>
      </c>
      <c r="E92">
        <f>IF(OR(F_Custom2_Q="(None)",F_Custom2_Q="",ISBLANK(F_Custom2_Q),F_Custom2_V="(All)",F_Custom2_V="",ISBLANK(F_Custom2_V)),1,IFERROR(IF(ISNUMBER(SEARCH("|"&amp;INDEX(INDIRECT(F_Custom2_resolved_column),91)&amp;"|",("|" &amp; SUBSTITUTE(F_Custom2_resolved_criteria, ", ", "|") &amp; "|"))),1,0),0))</f>
        <v>1</v>
      </c>
      <c r="F92">
        <f>D92*E92*1</f>
        <v>1</v>
      </c>
      <c r="G92">
        <f>1</f>
        <v>1</v>
      </c>
      <c r="H92">
        <f>IF(OR(All_Questions_Q6_F_Q="(None)",All_Questions_Q6_F_Q="",ISBLANK(All_Questions_Q6_F_Q),All_Questions_Q6_F_V="(All)",All_Questions_Q6_F_V="",ISBLANK(All_Questions_Q6_F_V)),1,IFERROR(IF(ISNUMBER(SEARCH("|"&amp;INDEX(INDIRECT(All_Questions_Q6_F_resolved_column),91)&amp;"|",("|" &amp; SUBSTITUTE(All_Questions_Q6_F_resolved_criteria, ", ", "|") &amp; "|"))),1,0),0))*1</f>
        <v>1</v>
      </c>
    </row>
    <row r="93">
      <c r="A93" t="n">
        <v>92</v>
      </c>
      <c r="B93" t="n">
        <v>26.3695</v>
      </c>
      <c r="C93">
        <f>1</f>
        <v>1</v>
      </c>
      <c r="D93">
        <f>IF(OR(F_Custom1_Q="(None)",F_Custom1_Q="",ISBLANK(F_Custom1_Q),F_Custom1_V="(All)",F_Custom1_V="",ISBLANK(F_Custom1_V)),1,IFERROR(IF(ISNUMBER(SEARCH("|"&amp;INDEX(INDIRECT(F_Custom1_resolved_column),92)&amp;"|",("|" &amp; SUBSTITUTE(F_Custom1_resolved_criteria, ", ", "|") &amp; "|"))),1,0),0))</f>
        <v>1</v>
      </c>
      <c r="E93">
        <f>IF(OR(F_Custom2_Q="(None)",F_Custom2_Q="",ISBLANK(F_Custom2_Q),F_Custom2_V="(All)",F_Custom2_V="",ISBLANK(F_Custom2_V)),1,IFERROR(IF(ISNUMBER(SEARCH("|"&amp;INDEX(INDIRECT(F_Custom2_resolved_column),92)&amp;"|",("|" &amp; SUBSTITUTE(F_Custom2_resolved_criteria, ", ", "|") &amp; "|"))),1,0),0))</f>
        <v>1</v>
      </c>
      <c r="F93">
        <f>D93*E93*1</f>
        <v>1</v>
      </c>
      <c r="G93">
        <f>1</f>
        <v>1</v>
      </c>
      <c r="H93">
        <f>IF(OR(All_Questions_Q6_F_Q="(None)",All_Questions_Q6_F_Q="",ISBLANK(All_Questions_Q6_F_Q),All_Questions_Q6_F_V="(All)",All_Questions_Q6_F_V="",ISBLANK(All_Questions_Q6_F_V)),1,IFERROR(IF(ISNUMBER(SEARCH("|"&amp;INDEX(INDIRECT(All_Questions_Q6_F_resolved_column),92)&amp;"|",("|" &amp; SUBSTITUTE(All_Questions_Q6_F_resolved_criteria, ", ", "|") &amp; "|"))),1,0),0))*1</f>
        <v>1</v>
      </c>
    </row>
    <row r="94">
      <c r="A94" t="n">
        <v>93</v>
      </c>
      <c r="B94" t="n">
        <v>26.3695</v>
      </c>
      <c r="C94">
        <f>1</f>
        <v>1</v>
      </c>
      <c r="D94">
        <f>IF(OR(F_Custom1_Q="(None)",F_Custom1_Q="",ISBLANK(F_Custom1_Q),F_Custom1_V="(All)",F_Custom1_V="",ISBLANK(F_Custom1_V)),1,IFERROR(IF(ISNUMBER(SEARCH("|"&amp;INDEX(INDIRECT(F_Custom1_resolved_column),93)&amp;"|",("|" &amp; SUBSTITUTE(F_Custom1_resolved_criteria, ", ", "|") &amp; "|"))),1,0),0))</f>
        <v>1</v>
      </c>
      <c r="E94">
        <f>IF(OR(F_Custom2_Q="(None)",F_Custom2_Q="",ISBLANK(F_Custom2_Q),F_Custom2_V="(All)",F_Custom2_V="",ISBLANK(F_Custom2_V)),1,IFERROR(IF(ISNUMBER(SEARCH("|"&amp;INDEX(INDIRECT(F_Custom2_resolved_column),93)&amp;"|",("|" &amp; SUBSTITUTE(F_Custom2_resolved_criteria, ", ", "|") &amp; "|"))),1,0),0))</f>
        <v>1</v>
      </c>
      <c r="F94">
        <f>D94*E94*1</f>
        <v>1</v>
      </c>
      <c r="G94">
        <f>1</f>
        <v>1</v>
      </c>
      <c r="H94">
        <f>IF(OR(All_Questions_Q6_F_Q="(None)",All_Questions_Q6_F_Q="",ISBLANK(All_Questions_Q6_F_Q),All_Questions_Q6_F_V="(All)",All_Questions_Q6_F_V="",ISBLANK(All_Questions_Q6_F_V)),1,IFERROR(IF(ISNUMBER(SEARCH("|"&amp;INDEX(INDIRECT(All_Questions_Q6_F_resolved_column),93)&amp;"|",("|" &amp; SUBSTITUTE(All_Questions_Q6_F_resolved_criteria, ", ", "|") &amp; "|"))),1,0),0))*1</f>
        <v>1</v>
      </c>
    </row>
    <row r="95">
      <c r="A95" t="n">
        <v>94</v>
      </c>
      <c r="B95" t="n">
        <v>26.3695</v>
      </c>
      <c r="C95">
        <f>1</f>
        <v>1</v>
      </c>
      <c r="D95">
        <f>IF(OR(F_Custom1_Q="(None)",F_Custom1_Q="",ISBLANK(F_Custom1_Q),F_Custom1_V="(All)",F_Custom1_V="",ISBLANK(F_Custom1_V)),1,IFERROR(IF(ISNUMBER(SEARCH("|"&amp;INDEX(INDIRECT(F_Custom1_resolved_column),94)&amp;"|",("|" &amp; SUBSTITUTE(F_Custom1_resolved_criteria, ", ", "|") &amp; "|"))),1,0),0))</f>
        <v>1</v>
      </c>
      <c r="E95">
        <f>IF(OR(F_Custom2_Q="(None)",F_Custom2_Q="",ISBLANK(F_Custom2_Q),F_Custom2_V="(All)",F_Custom2_V="",ISBLANK(F_Custom2_V)),1,IFERROR(IF(ISNUMBER(SEARCH("|"&amp;INDEX(INDIRECT(F_Custom2_resolved_column),94)&amp;"|",("|" &amp; SUBSTITUTE(F_Custom2_resolved_criteria, ", ", "|") &amp; "|"))),1,0),0))</f>
        <v>1</v>
      </c>
      <c r="F95">
        <f>D95*E95*1</f>
        <v>1</v>
      </c>
      <c r="G95">
        <f>1</f>
        <v>1</v>
      </c>
      <c r="H95">
        <f>IF(OR(All_Questions_Q6_F_Q="(None)",All_Questions_Q6_F_Q="",ISBLANK(All_Questions_Q6_F_Q),All_Questions_Q6_F_V="(All)",All_Questions_Q6_F_V="",ISBLANK(All_Questions_Q6_F_V)),1,IFERROR(IF(ISNUMBER(SEARCH("|"&amp;INDEX(INDIRECT(All_Questions_Q6_F_resolved_column),94)&amp;"|",("|" &amp; SUBSTITUTE(All_Questions_Q6_F_resolved_criteria, ", ", "|") &amp; "|"))),1,0),0))*1</f>
        <v>1</v>
      </c>
    </row>
    <row r="96">
      <c r="A96" t="n">
        <v>95</v>
      </c>
      <c r="B96" t="n">
        <v>26.3695</v>
      </c>
      <c r="C96">
        <f>1</f>
        <v>1</v>
      </c>
      <c r="D96">
        <f>IF(OR(F_Custom1_Q="(None)",F_Custom1_Q="",ISBLANK(F_Custom1_Q),F_Custom1_V="(All)",F_Custom1_V="",ISBLANK(F_Custom1_V)),1,IFERROR(IF(ISNUMBER(SEARCH("|"&amp;INDEX(INDIRECT(F_Custom1_resolved_column),95)&amp;"|",("|" &amp; SUBSTITUTE(F_Custom1_resolved_criteria, ", ", "|") &amp; "|"))),1,0),0))</f>
        <v>1</v>
      </c>
      <c r="E96">
        <f>IF(OR(F_Custom2_Q="(None)",F_Custom2_Q="",ISBLANK(F_Custom2_Q),F_Custom2_V="(All)",F_Custom2_V="",ISBLANK(F_Custom2_V)),1,IFERROR(IF(ISNUMBER(SEARCH("|"&amp;INDEX(INDIRECT(F_Custom2_resolved_column),95)&amp;"|",("|" &amp; SUBSTITUTE(F_Custom2_resolved_criteria, ", ", "|") &amp; "|"))),1,0),0))</f>
        <v>1</v>
      </c>
      <c r="F96">
        <f>D96*E96*1</f>
        <v>1</v>
      </c>
      <c r="G96">
        <f>1</f>
        <v>1</v>
      </c>
      <c r="H96">
        <f>IF(OR(All_Questions_Q6_F_Q="(None)",All_Questions_Q6_F_Q="",ISBLANK(All_Questions_Q6_F_Q),All_Questions_Q6_F_V="(All)",All_Questions_Q6_F_V="",ISBLANK(All_Questions_Q6_F_V)),1,IFERROR(IF(ISNUMBER(SEARCH("|"&amp;INDEX(INDIRECT(All_Questions_Q6_F_resolved_column),95)&amp;"|",("|" &amp; SUBSTITUTE(All_Questions_Q6_F_resolved_criteria, ", ", "|") &amp; "|"))),1,0),0))*1</f>
        <v>1</v>
      </c>
    </row>
    <row r="97">
      <c r="A97" t="n">
        <v>96</v>
      </c>
      <c r="B97" t="n">
        <v>26.3695</v>
      </c>
      <c r="C97">
        <f>1</f>
        <v>1</v>
      </c>
      <c r="D97">
        <f>IF(OR(F_Custom1_Q="(None)",F_Custom1_Q="",ISBLANK(F_Custom1_Q),F_Custom1_V="(All)",F_Custom1_V="",ISBLANK(F_Custom1_V)),1,IFERROR(IF(ISNUMBER(SEARCH("|"&amp;INDEX(INDIRECT(F_Custom1_resolved_column),96)&amp;"|",("|" &amp; SUBSTITUTE(F_Custom1_resolved_criteria, ", ", "|") &amp; "|"))),1,0),0))</f>
        <v>1</v>
      </c>
      <c r="E97">
        <f>IF(OR(F_Custom2_Q="(None)",F_Custom2_Q="",ISBLANK(F_Custom2_Q),F_Custom2_V="(All)",F_Custom2_V="",ISBLANK(F_Custom2_V)),1,IFERROR(IF(ISNUMBER(SEARCH("|"&amp;INDEX(INDIRECT(F_Custom2_resolved_column),96)&amp;"|",("|" &amp; SUBSTITUTE(F_Custom2_resolved_criteria, ", ", "|") &amp; "|"))),1,0),0))</f>
        <v>1</v>
      </c>
      <c r="F97">
        <f>D97*E97*1</f>
        <v>1</v>
      </c>
      <c r="G97">
        <f>1</f>
        <v>1</v>
      </c>
      <c r="H97">
        <f>IF(OR(All_Questions_Q6_F_Q="(None)",All_Questions_Q6_F_Q="",ISBLANK(All_Questions_Q6_F_Q),All_Questions_Q6_F_V="(All)",All_Questions_Q6_F_V="",ISBLANK(All_Questions_Q6_F_V)),1,IFERROR(IF(ISNUMBER(SEARCH("|"&amp;INDEX(INDIRECT(All_Questions_Q6_F_resolved_column),96)&amp;"|",("|" &amp; SUBSTITUTE(All_Questions_Q6_F_resolved_criteria, ", ", "|") &amp; "|"))),1,0),0))*1</f>
        <v>1</v>
      </c>
    </row>
    <row r="98">
      <c r="A98" t="n">
        <v>97</v>
      </c>
      <c r="B98" t="n">
        <v>26.3695</v>
      </c>
      <c r="C98">
        <f>1</f>
        <v>1</v>
      </c>
      <c r="D98">
        <f>IF(OR(F_Custom1_Q="(None)",F_Custom1_Q="",ISBLANK(F_Custom1_Q),F_Custom1_V="(All)",F_Custom1_V="",ISBLANK(F_Custom1_V)),1,IFERROR(IF(ISNUMBER(SEARCH("|"&amp;INDEX(INDIRECT(F_Custom1_resolved_column),97)&amp;"|",("|" &amp; SUBSTITUTE(F_Custom1_resolved_criteria, ", ", "|") &amp; "|"))),1,0),0))</f>
        <v>1</v>
      </c>
      <c r="E98">
        <f>IF(OR(F_Custom2_Q="(None)",F_Custom2_Q="",ISBLANK(F_Custom2_Q),F_Custom2_V="(All)",F_Custom2_V="",ISBLANK(F_Custom2_V)),1,IFERROR(IF(ISNUMBER(SEARCH("|"&amp;INDEX(INDIRECT(F_Custom2_resolved_column),97)&amp;"|",("|" &amp; SUBSTITUTE(F_Custom2_resolved_criteria, ", ", "|") &amp; "|"))),1,0),0))</f>
        <v>1</v>
      </c>
      <c r="F98">
        <f>D98*E98*1</f>
        <v>1</v>
      </c>
      <c r="G98">
        <f>1</f>
        <v>1</v>
      </c>
      <c r="H98">
        <f>IF(OR(All_Questions_Q6_F_Q="(None)",All_Questions_Q6_F_Q="",ISBLANK(All_Questions_Q6_F_Q),All_Questions_Q6_F_V="(All)",All_Questions_Q6_F_V="",ISBLANK(All_Questions_Q6_F_V)),1,IFERROR(IF(ISNUMBER(SEARCH("|"&amp;INDEX(INDIRECT(All_Questions_Q6_F_resolved_column),97)&amp;"|",("|" &amp; SUBSTITUTE(All_Questions_Q6_F_resolved_criteria, ", ", "|") &amp; "|"))),1,0),0))*1</f>
        <v>1</v>
      </c>
    </row>
    <row r="99">
      <c r="A99" t="n">
        <v>98</v>
      </c>
      <c r="B99" t="n">
        <v>26.3695</v>
      </c>
      <c r="C99">
        <f>1</f>
        <v>1</v>
      </c>
      <c r="D99">
        <f>IF(OR(F_Custom1_Q="(None)",F_Custom1_Q="",ISBLANK(F_Custom1_Q),F_Custom1_V="(All)",F_Custom1_V="",ISBLANK(F_Custom1_V)),1,IFERROR(IF(ISNUMBER(SEARCH("|"&amp;INDEX(INDIRECT(F_Custom1_resolved_column),98)&amp;"|",("|" &amp; SUBSTITUTE(F_Custom1_resolved_criteria, ", ", "|") &amp; "|"))),1,0),0))</f>
        <v>1</v>
      </c>
      <c r="E99">
        <f>IF(OR(F_Custom2_Q="(None)",F_Custom2_Q="",ISBLANK(F_Custom2_Q),F_Custom2_V="(All)",F_Custom2_V="",ISBLANK(F_Custom2_V)),1,IFERROR(IF(ISNUMBER(SEARCH("|"&amp;INDEX(INDIRECT(F_Custom2_resolved_column),98)&amp;"|",("|" &amp; SUBSTITUTE(F_Custom2_resolved_criteria, ", ", "|") &amp; "|"))),1,0),0))</f>
        <v>1</v>
      </c>
      <c r="F99">
        <f>D99*E99*1</f>
        <v>1</v>
      </c>
      <c r="G99">
        <f>1</f>
        <v>1</v>
      </c>
      <c r="H99">
        <f>IF(OR(All_Questions_Q6_F_Q="(None)",All_Questions_Q6_F_Q="",ISBLANK(All_Questions_Q6_F_Q),All_Questions_Q6_F_V="(All)",All_Questions_Q6_F_V="",ISBLANK(All_Questions_Q6_F_V)),1,IFERROR(IF(ISNUMBER(SEARCH("|"&amp;INDEX(INDIRECT(All_Questions_Q6_F_resolved_column),98)&amp;"|",("|" &amp; SUBSTITUTE(All_Questions_Q6_F_resolved_criteria, ", ", "|") &amp; "|"))),1,0),0))*1</f>
        <v>1</v>
      </c>
    </row>
    <row r="100">
      <c r="A100" t="n">
        <v>99</v>
      </c>
      <c r="B100" t="n">
        <v>26.3695</v>
      </c>
      <c r="C100">
        <f>1</f>
        <v>1</v>
      </c>
      <c r="D100">
        <f>IF(OR(F_Custom1_Q="(None)",F_Custom1_Q="",ISBLANK(F_Custom1_Q),F_Custom1_V="(All)",F_Custom1_V="",ISBLANK(F_Custom1_V)),1,IFERROR(IF(ISNUMBER(SEARCH("|"&amp;INDEX(INDIRECT(F_Custom1_resolved_column),99)&amp;"|",("|" &amp; SUBSTITUTE(F_Custom1_resolved_criteria, ", ", "|") &amp; "|"))),1,0),0))</f>
        <v>1</v>
      </c>
      <c r="E100">
        <f>IF(OR(F_Custom2_Q="(None)",F_Custom2_Q="",ISBLANK(F_Custom2_Q),F_Custom2_V="(All)",F_Custom2_V="",ISBLANK(F_Custom2_V)),1,IFERROR(IF(ISNUMBER(SEARCH("|"&amp;INDEX(INDIRECT(F_Custom2_resolved_column),99)&amp;"|",("|" &amp; SUBSTITUTE(F_Custom2_resolved_criteria, ", ", "|") &amp; "|"))),1,0),0))</f>
        <v>1</v>
      </c>
      <c r="F100">
        <f>D100*E100*1</f>
        <v>1</v>
      </c>
      <c r="G100">
        <f>1</f>
        <v>1</v>
      </c>
      <c r="H100">
        <f>IF(OR(All_Questions_Q6_F_Q="(None)",All_Questions_Q6_F_Q="",ISBLANK(All_Questions_Q6_F_Q),All_Questions_Q6_F_V="(All)",All_Questions_Q6_F_V="",ISBLANK(All_Questions_Q6_F_V)),1,IFERROR(IF(ISNUMBER(SEARCH("|"&amp;INDEX(INDIRECT(All_Questions_Q6_F_resolved_column),99)&amp;"|",("|" &amp; SUBSTITUTE(All_Questions_Q6_F_resolved_criteria, ", ", "|") &amp; "|"))),1,0),0))*1</f>
        <v>1</v>
      </c>
    </row>
    <row r="101">
      <c r="A101" t="n">
        <v>100</v>
      </c>
      <c r="B101" t="n">
        <v>26.3695</v>
      </c>
      <c r="C101">
        <f>1</f>
        <v>1</v>
      </c>
      <c r="D101">
        <f>IF(OR(F_Custom1_Q="(None)",F_Custom1_Q="",ISBLANK(F_Custom1_Q),F_Custom1_V="(All)",F_Custom1_V="",ISBLANK(F_Custom1_V)),1,IFERROR(IF(ISNUMBER(SEARCH("|"&amp;INDEX(INDIRECT(F_Custom1_resolved_column),100)&amp;"|",("|" &amp; SUBSTITUTE(F_Custom1_resolved_criteria, ", ", "|") &amp; "|"))),1,0),0))</f>
        <v>1</v>
      </c>
      <c r="E101">
        <f>IF(OR(F_Custom2_Q="(None)",F_Custom2_Q="",ISBLANK(F_Custom2_Q),F_Custom2_V="(All)",F_Custom2_V="",ISBLANK(F_Custom2_V)),1,IFERROR(IF(ISNUMBER(SEARCH("|"&amp;INDEX(INDIRECT(F_Custom2_resolved_column),100)&amp;"|",("|" &amp; SUBSTITUTE(F_Custom2_resolved_criteria, ", ", "|") &amp; "|"))),1,0),0))</f>
        <v>1</v>
      </c>
      <c r="F101">
        <f>D101*E101*1</f>
        <v>1</v>
      </c>
      <c r="G101">
        <f>1</f>
        <v>1</v>
      </c>
      <c r="H101">
        <f>IF(OR(All_Questions_Q6_F_Q="(None)",All_Questions_Q6_F_Q="",ISBLANK(All_Questions_Q6_F_Q),All_Questions_Q6_F_V="(All)",All_Questions_Q6_F_V="",ISBLANK(All_Questions_Q6_F_V)),1,IFERROR(IF(ISNUMBER(SEARCH("|"&amp;INDEX(INDIRECT(All_Questions_Q6_F_resolved_column),100)&amp;"|",("|" &amp; SUBSTITUTE(All_Questions_Q6_F_resolved_criteria, ", ", "|") &amp; "|"))),1,0),0))*1</f>
        <v>1</v>
      </c>
    </row>
    <row r="102">
      <c r="A102" t="n">
        <v>101</v>
      </c>
      <c r="B102" t="n">
        <v>26.3695</v>
      </c>
      <c r="C102">
        <f>1</f>
        <v>1</v>
      </c>
      <c r="D102">
        <f>IF(OR(F_Custom1_Q="(None)",F_Custom1_Q="",ISBLANK(F_Custom1_Q),F_Custom1_V="(All)",F_Custom1_V="",ISBLANK(F_Custom1_V)),1,IFERROR(IF(ISNUMBER(SEARCH("|"&amp;INDEX(INDIRECT(F_Custom1_resolved_column),101)&amp;"|",("|" &amp; SUBSTITUTE(F_Custom1_resolved_criteria, ", ", "|") &amp; "|"))),1,0),0))</f>
        <v>1</v>
      </c>
      <c r="E102">
        <f>IF(OR(F_Custom2_Q="(None)",F_Custom2_Q="",ISBLANK(F_Custom2_Q),F_Custom2_V="(All)",F_Custom2_V="",ISBLANK(F_Custom2_V)),1,IFERROR(IF(ISNUMBER(SEARCH("|"&amp;INDEX(INDIRECT(F_Custom2_resolved_column),101)&amp;"|",("|" &amp; SUBSTITUTE(F_Custom2_resolved_criteria, ", ", "|") &amp; "|"))),1,0),0))</f>
        <v>1</v>
      </c>
      <c r="F102">
        <f>D102*E102*1</f>
        <v>1</v>
      </c>
      <c r="G102">
        <f>1</f>
        <v>1</v>
      </c>
      <c r="H102">
        <f>IF(OR(All_Questions_Q6_F_Q="(None)",All_Questions_Q6_F_Q="",ISBLANK(All_Questions_Q6_F_Q),All_Questions_Q6_F_V="(All)",All_Questions_Q6_F_V="",ISBLANK(All_Questions_Q6_F_V)),1,IFERROR(IF(ISNUMBER(SEARCH("|"&amp;INDEX(INDIRECT(All_Questions_Q6_F_resolved_column),101)&amp;"|",("|" &amp; SUBSTITUTE(All_Questions_Q6_F_resolved_criteria, ", ", "|") &amp; "|"))),1,0),0))*1</f>
        <v>1</v>
      </c>
    </row>
    <row r="103">
      <c r="A103" t="n">
        <v>102</v>
      </c>
      <c r="B103" t="n">
        <v>26.3695</v>
      </c>
      <c r="C103">
        <f>1</f>
        <v>1</v>
      </c>
      <c r="D103">
        <f>IF(OR(F_Custom1_Q="(None)",F_Custom1_Q="",ISBLANK(F_Custom1_Q),F_Custom1_V="(All)",F_Custom1_V="",ISBLANK(F_Custom1_V)),1,IFERROR(IF(ISNUMBER(SEARCH("|"&amp;INDEX(INDIRECT(F_Custom1_resolved_column),102)&amp;"|",("|" &amp; SUBSTITUTE(F_Custom1_resolved_criteria, ", ", "|") &amp; "|"))),1,0),0))</f>
        <v>1</v>
      </c>
      <c r="E103">
        <f>IF(OR(F_Custom2_Q="(None)",F_Custom2_Q="",ISBLANK(F_Custom2_Q),F_Custom2_V="(All)",F_Custom2_V="",ISBLANK(F_Custom2_V)),1,IFERROR(IF(ISNUMBER(SEARCH("|"&amp;INDEX(INDIRECT(F_Custom2_resolved_column),102)&amp;"|",("|" &amp; SUBSTITUTE(F_Custom2_resolved_criteria, ", ", "|") &amp; "|"))),1,0),0))</f>
        <v>1</v>
      </c>
      <c r="F103">
        <f>D103*E103*1</f>
        <v>1</v>
      </c>
      <c r="G103">
        <f>1</f>
        <v>1</v>
      </c>
      <c r="H103">
        <f>IF(OR(All_Questions_Q6_F_Q="(None)",All_Questions_Q6_F_Q="",ISBLANK(All_Questions_Q6_F_Q),All_Questions_Q6_F_V="(All)",All_Questions_Q6_F_V="",ISBLANK(All_Questions_Q6_F_V)),1,IFERROR(IF(ISNUMBER(SEARCH("|"&amp;INDEX(INDIRECT(All_Questions_Q6_F_resolved_column),102)&amp;"|",("|" &amp; SUBSTITUTE(All_Questions_Q6_F_resolved_criteria, ", ", "|") &amp; "|"))),1,0),0))*1</f>
        <v>1</v>
      </c>
    </row>
    <row r="104">
      <c r="A104" t="n">
        <v>103</v>
      </c>
      <c r="B104" t="n">
        <v>26.3695</v>
      </c>
      <c r="C104">
        <f>1</f>
        <v>1</v>
      </c>
      <c r="D104">
        <f>IF(OR(F_Custom1_Q="(None)",F_Custom1_Q="",ISBLANK(F_Custom1_Q),F_Custom1_V="(All)",F_Custom1_V="",ISBLANK(F_Custom1_V)),1,IFERROR(IF(ISNUMBER(SEARCH("|"&amp;INDEX(INDIRECT(F_Custom1_resolved_column),103)&amp;"|",("|" &amp; SUBSTITUTE(F_Custom1_resolved_criteria, ", ", "|") &amp; "|"))),1,0),0))</f>
        <v>1</v>
      </c>
      <c r="E104">
        <f>IF(OR(F_Custom2_Q="(None)",F_Custom2_Q="",ISBLANK(F_Custom2_Q),F_Custom2_V="(All)",F_Custom2_V="",ISBLANK(F_Custom2_V)),1,IFERROR(IF(ISNUMBER(SEARCH("|"&amp;INDEX(INDIRECT(F_Custom2_resolved_column),103)&amp;"|",("|" &amp; SUBSTITUTE(F_Custom2_resolved_criteria, ", ", "|") &amp; "|"))),1,0),0))</f>
        <v>1</v>
      </c>
      <c r="F104">
        <f>D104*E104*1</f>
        <v>1</v>
      </c>
      <c r="G104">
        <f>1</f>
        <v>1</v>
      </c>
      <c r="H104">
        <f>IF(OR(All_Questions_Q6_F_Q="(None)",All_Questions_Q6_F_Q="",ISBLANK(All_Questions_Q6_F_Q),All_Questions_Q6_F_V="(All)",All_Questions_Q6_F_V="",ISBLANK(All_Questions_Q6_F_V)),1,IFERROR(IF(ISNUMBER(SEARCH("|"&amp;INDEX(INDIRECT(All_Questions_Q6_F_resolved_column),103)&amp;"|",("|" &amp; SUBSTITUTE(All_Questions_Q6_F_resolved_criteria, ", ", "|") &amp; "|"))),1,0),0))*1</f>
        <v>1</v>
      </c>
    </row>
    <row r="105">
      <c r="A105" t="n">
        <v>104</v>
      </c>
      <c r="B105" t="n">
        <v>26.3695</v>
      </c>
      <c r="C105">
        <f>1</f>
        <v>1</v>
      </c>
      <c r="D105">
        <f>IF(OR(F_Custom1_Q="(None)",F_Custom1_Q="",ISBLANK(F_Custom1_Q),F_Custom1_V="(All)",F_Custom1_V="",ISBLANK(F_Custom1_V)),1,IFERROR(IF(ISNUMBER(SEARCH("|"&amp;INDEX(INDIRECT(F_Custom1_resolved_column),104)&amp;"|",("|" &amp; SUBSTITUTE(F_Custom1_resolved_criteria, ", ", "|") &amp; "|"))),1,0),0))</f>
        <v>1</v>
      </c>
      <c r="E105">
        <f>IF(OR(F_Custom2_Q="(None)",F_Custom2_Q="",ISBLANK(F_Custom2_Q),F_Custom2_V="(All)",F_Custom2_V="",ISBLANK(F_Custom2_V)),1,IFERROR(IF(ISNUMBER(SEARCH("|"&amp;INDEX(INDIRECT(F_Custom2_resolved_column),104)&amp;"|",("|" &amp; SUBSTITUTE(F_Custom2_resolved_criteria, ", ", "|") &amp; "|"))),1,0),0))</f>
        <v>1</v>
      </c>
      <c r="F105">
        <f>D105*E105*1</f>
        <v>1</v>
      </c>
      <c r="G105">
        <f>1</f>
        <v>1</v>
      </c>
      <c r="H105">
        <f>IF(OR(All_Questions_Q6_F_Q="(None)",All_Questions_Q6_F_Q="",ISBLANK(All_Questions_Q6_F_Q),All_Questions_Q6_F_V="(All)",All_Questions_Q6_F_V="",ISBLANK(All_Questions_Q6_F_V)),1,IFERROR(IF(ISNUMBER(SEARCH("|"&amp;INDEX(INDIRECT(All_Questions_Q6_F_resolved_column),104)&amp;"|",("|" &amp; SUBSTITUTE(All_Questions_Q6_F_resolved_criteria, ", ", "|") &amp; "|"))),1,0),0))*1</f>
        <v>1</v>
      </c>
    </row>
    <row r="106">
      <c r="A106" t="n">
        <v>105</v>
      </c>
      <c r="B106" t="n">
        <v>26.3695</v>
      </c>
      <c r="C106">
        <f>1</f>
        <v>1</v>
      </c>
      <c r="D106">
        <f>IF(OR(F_Custom1_Q="(None)",F_Custom1_Q="",ISBLANK(F_Custom1_Q),F_Custom1_V="(All)",F_Custom1_V="",ISBLANK(F_Custom1_V)),1,IFERROR(IF(ISNUMBER(SEARCH("|"&amp;INDEX(INDIRECT(F_Custom1_resolved_column),105)&amp;"|",("|" &amp; SUBSTITUTE(F_Custom1_resolved_criteria, ", ", "|") &amp; "|"))),1,0),0))</f>
        <v>1</v>
      </c>
      <c r="E106">
        <f>IF(OR(F_Custom2_Q="(None)",F_Custom2_Q="",ISBLANK(F_Custom2_Q),F_Custom2_V="(All)",F_Custom2_V="",ISBLANK(F_Custom2_V)),1,IFERROR(IF(ISNUMBER(SEARCH("|"&amp;INDEX(INDIRECT(F_Custom2_resolved_column),105)&amp;"|",("|" &amp; SUBSTITUTE(F_Custom2_resolved_criteria, ", ", "|") &amp; "|"))),1,0),0))</f>
        <v>1</v>
      </c>
      <c r="F106">
        <f>D106*E106*1</f>
        <v>1</v>
      </c>
      <c r="G106">
        <f>1</f>
        <v>1</v>
      </c>
      <c r="H106">
        <f>IF(OR(All_Questions_Q6_F_Q="(None)",All_Questions_Q6_F_Q="",ISBLANK(All_Questions_Q6_F_Q),All_Questions_Q6_F_V="(All)",All_Questions_Q6_F_V="",ISBLANK(All_Questions_Q6_F_V)),1,IFERROR(IF(ISNUMBER(SEARCH("|"&amp;INDEX(INDIRECT(All_Questions_Q6_F_resolved_column),105)&amp;"|",("|" &amp; SUBSTITUTE(All_Questions_Q6_F_resolved_criteria, ", ", "|") &amp; "|"))),1,0),0))*1</f>
        <v>1</v>
      </c>
    </row>
    <row r="107">
      <c r="A107" t="n">
        <v>106</v>
      </c>
      <c r="B107" t="n">
        <v>26.3695</v>
      </c>
      <c r="C107">
        <f>1</f>
        <v>1</v>
      </c>
      <c r="D107">
        <f>IF(OR(F_Custom1_Q="(None)",F_Custom1_Q="",ISBLANK(F_Custom1_Q),F_Custom1_V="(All)",F_Custom1_V="",ISBLANK(F_Custom1_V)),1,IFERROR(IF(ISNUMBER(SEARCH("|"&amp;INDEX(INDIRECT(F_Custom1_resolved_column),106)&amp;"|",("|" &amp; SUBSTITUTE(F_Custom1_resolved_criteria, ", ", "|") &amp; "|"))),1,0),0))</f>
        <v>1</v>
      </c>
      <c r="E107">
        <f>IF(OR(F_Custom2_Q="(None)",F_Custom2_Q="",ISBLANK(F_Custom2_Q),F_Custom2_V="(All)",F_Custom2_V="",ISBLANK(F_Custom2_V)),1,IFERROR(IF(ISNUMBER(SEARCH("|"&amp;INDEX(INDIRECT(F_Custom2_resolved_column),106)&amp;"|",("|" &amp; SUBSTITUTE(F_Custom2_resolved_criteria, ", ", "|") &amp; "|"))),1,0),0))</f>
        <v>1</v>
      </c>
      <c r="F107">
        <f>D107*E107*1</f>
        <v>1</v>
      </c>
      <c r="G107">
        <f>1</f>
        <v>1</v>
      </c>
      <c r="H107">
        <f>IF(OR(All_Questions_Q6_F_Q="(None)",All_Questions_Q6_F_Q="",ISBLANK(All_Questions_Q6_F_Q),All_Questions_Q6_F_V="(All)",All_Questions_Q6_F_V="",ISBLANK(All_Questions_Q6_F_V)),1,IFERROR(IF(ISNUMBER(SEARCH("|"&amp;INDEX(INDIRECT(All_Questions_Q6_F_resolved_column),106)&amp;"|",("|" &amp; SUBSTITUTE(All_Questions_Q6_F_resolved_criteria, ", ", "|") &amp; "|"))),1,0),0))*1</f>
        <v>1</v>
      </c>
    </row>
    <row r="108">
      <c r="A108" t="n">
        <v>107</v>
      </c>
      <c r="B108" t="n">
        <v>26.3695</v>
      </c>
      <c r="C108">
        <f>1</f>
        <v>1</v>
      </c>
      <c r="D108">
        <f>IF(OR(F_Custom1_Q="(None)",F_Custom1_Q="",ISBLANK(F_Custom1_Q),F_Custom1_V="(All)",F_Custom1_V="",ISBLANK(F_Custom1_V)),1,IFERROR(IF(ISNUMBER(SEARCH("|"&amp;INDEX(INDIRECT(F_Custom1_resolved_column),107)&amp;"|",("|" &amp; SUBSTITUTE(F_Custom1_resolved_criteria, ", ", "|") &amp; "|"))),1,0),0))</f>
        <v>1</v>
      </c>
      <c r="E108">
        <f>IF(OR(F_Custom2_Q="(None)",F_Custom2_Q="",ISBLANK(F_Custom2_Q),F_Custom2_V="(All)",F_Custom2_V="",ISBLANK(F_Custom2_V)),1,IFERROR(IF(ISNUMBER(SEARCH("|"&amp;INDEX(INDIRECT(F_Custom2_resolved_column),107)&amp;"|",("|" &amp; SUBSTITUTE(F_Custom2_resolved_criteria, ", ", "|") &amp; "|"))),1,0),0))</f>
        <v>1</v>
      </c>
      <c r="F108">
        <f>D108*E108*1</f>
        <v>1</v>
      </c>
      <c r="G108">
        <f>1</f>
        <v>1</v>
      </c>
      <c r="H108">
        <f>IF(OR(All_Questions_Q6_F_Q="(None)",All_Questions_Q6_F_Q="",ISBLANK(All_Questions_Q6_F_Q),All_Questions_Q6_F_V="(All)",All_Questions_Q6_F_V="",ISBLANK(All_Questions_Q6_F_V)),1,IFERROR(IF(ISNUMBER(SEARCH("|"&amp;INDEX(INDIRECT(All_Questions_Q6_F_resolved_column),107)&amp;"|",("|" &amp; SUBSTITUTE(All_Questions_Q6_F_resolved_criteria, ", ", "|") &amp; "|"))),1,0),0))*1</f>
        <v>1</v>
      </c>
    </row>
    <row r="109">
      <c r="A109" t="n">
        <v>108</v>
      </c>
      <c r="B109" t="n">
        <v>26.3695</v>
      </c>
      <c r="C109">
        <f>1</f>
        <v>1</v>
      </c>
      <c r="D109">
        <f>IF(OR(F_Custom1_Q="(None)",F_Custom1_Q="",ISBLANK(F_Custom1_Q),F_Custom1_V="(All)",F_Custom1_V="",ISBLANK(F_Custom1_V)),1,IFERROR(IF(ISNUMBER(SEARCH("|"&amp;INDEX(INDIRECT(F_Custom1_resolved_column),108)&amp;"|",("|" &amp; SUBSTITUTE(F_Custom1_resolved_criteria, ", ", "|") &amp; "|"))),1,0),0))</f>
        <v>1</v>
      </c>
      <c r="E109">
        <f>IF(OR(F_Custom2_Q="(None)",F_Custom2_Q="",ISBLANK(F_Custom2_Q),F_Custom2_V="(All)",F_Custom2_V="",ISBLANK(F_Custom2_V)),1,IFERROR(IF(ISNUMBER(SEARCH("|"&amp;INDEX(INDIRECT(F_Custom2_resolved_column),108)&amp;"|",("|" &amp; SUBSTITUTE(F_Custom2_resolved_criteria, ", ", "|") &amp; "|"))),1,0),0))</f>
        <v>1</v>
      </c>
      <c r="F109">
        <f>D109*E109*1</f>
        <v>1</v>
      </c>
      <c r="G109">
        <f>1</f>
        <v>1</v>
      </c>
      <c r="H109">
        <f>IF(OR(All_Questions_Q6_F_Q="(None)",All_Questions_Q6_F_Q="",ISBLANK(All_Questions_Q6_F_Q),All_Questions_Q6_F_V="(All)",All_Questions_Q6_F_V="",ISBLANK(All_Questions_Q6_F_V)),1,IFERROR(IF(ISNUMBER(SEARCH("|"&amp;INDEX(INDIRECT(All_Questions_Q6_F_resolved_column),108)&amp;"|",("|" &amp; SUBSTITUTE(All_Questions_Q6_F_resolved_criteria, ", ", "|") &amp; "|"))),1,0),0))*1</f>
        <v>1</v>
      </c>
    </row>
    <row r="110">
      <c r="A110" t="n">
        <v>109</v>
      </c>
      <c r="B110" t="n">
        <v>26.3695</v>
      </c>
      <c r="C110">
        <f>1</f>
        <v>1</v>
      </c>
      <c r="D110">
        <f>IF(OR(F_Custom1_Q="(None)",F_Custom1_Q="",ISBLANK(F_Custom1_Q),F_Custom1_V="(All)",F_Custom1_V="",ISBLANK(F_Custom1_V)),1,IFERROR(IF(ISNUMBER(SEARCH("|"&amp;INDEX(INDIRECT(F_Custom1_resolved_column),109)&amp;"|",("|" &amp; SUBSTITUTE(F_Custom1_resolved_criteria, ", ", "|") &amp; "|"))),1,0),0))</f>
        <v>1</v>
      </c>
      <c r="E110">
        <f>IF(OR(F_Custom2_Q="(None)",F_Custom2_Q="",ISBLANK(F_Custom2_Q),F_Custom2_V="(All)",F_Custom2_V="",ISBLANK(F_Custom2_V)),1,IFERROR(IF(ISNUMBER(SEARCH("|"&amp;INDEX(INDIRECT(F_Custom2_resolved_column),109)&amp;"|",("|" &amp; SUBSTITUTE(F_Custom2_resolved_criteria, ", ", "|") &amp; "|"))),1,0),0))</f>
        <v>1</v>
      </c>
      <c r="F110">
        <f>D110*E110*1</f>
        <v>1</v>
      </c>
      <c r="G110">
        <f>1</f>
        <v>1</v>
      </c>
      <c r="H110">
        <f>IF(OR(All_Questions_Q6_F_Q="(None)",All_Questions_Q6_F_Q="",ISBLANK(All_Questions_Q6_F_Q),All_Questions_Q6_F_V="(All)",All_Questions_Q6_F_V="",ISBLANK(All_Questions_Q6_F_V)),1,IFERROR(IF(ISNUMBER(SEARCH("|"&amp;INDEX(INDIRECT(All_Questions_Q6_F_resolved_column),109)&amp;"|",("|" &amp; SUBSTITUTE(All_Questions_Q6_F_resolved_criteria, ", ", "|") &amp; "|"))),1,0),0))*1</f>
        <v>1</v>
      </c>
    </row>
    <row r="111">
      <c r="A111" t="n">
        <v>110</v>
      </c>
      <c r="B111" t="n">
        <v>26.3695</v>
      </c>
      <c r="C111">
        <f>1</f>
        <v>1</v>
      </c>
      <c r="D111">
        <f>IF(OR(F_Custom1_Q="(None)",F_Custom1_Q="",ISBLANK(F_Custom1_Q),F_Custom1_V="(All)",F_Custom1_V="",ISBLANK(F_Custom1_V)),1,IFERROR(IF(ISNUMBER(SEARCH("|"&amp;INDEX(INDIRECT(F_Custom1_resolved_column),110)&amp;"|",("|" &amp; SUBSTITUTE(F_Custom1_resolved_criteria, ", ", "|") &amp; "|"))),1,0),0))</f>
        <v>1</v>
      </c>
      <c r="E111">
        <f>IF(OR(F_Custom2_Q="(None)",F_Custom2_Q="",ISBLANK(F_Custom2_Q),F_Custom2_V="(All)",F_Custom2_V="",ISBLANK(F_Custom2_V)),1,IFERROR(IF(ISNUMBER(SEARCH("|"&amp;INDEX(INDIRECT(F_Custom2_resolved_column),110)&amp;"|",("|" &amp; SUBSTITUTE(F_Custom2_resolved_criteria, ", ", "|") &amp; "|"))),1,0),0))</f>
        <v>1</v>
      </c>
      <c r="F111">
        <f>D111*E111*1</f>
        <v>1</v>
      </c>
      <c r="G111">
        <f>1</f>
        <v>1</v>
      </c>
      <c r="H111">
        <f>IF(OR(All_Questions_Q6_F_Q="(None)",All_Questions_Q6_F_Q="",ISBLANK(All_Questions_Q6_F_Q),All_Questions_Q6_F_V="(All)",All_Questions_Q6_F_V="",ISBLANK(All_Questions_Q6_F_V)),1,IFERROR(IF(ISNUMBER(SEARCH("|"&amp;INDEX(INDIRECT(All_Questions_Q6_F_resolved_column),110)&amp;"|",("|" &amp; SUBSTITUTE(All_Questions_Q6_F_resolved_criteria, ", ", "|") &amp; "|"))),1,0),0))*1</f>
        <v>1</v>
      </c>
    </row>
    <row r="112">
      <c r="A112" t="n">
        <v>111</v>
      </c>
      <c r="B112" t="n">
        <v>26.3695</v>
      </c>
      <c r="C112">
        <f>1</f>
        <v>1</v>
      </c>
      <c r="D112">
        <f>IF(OR(F_Custom1_Q="(None)",F_Custom1_Q="",ISBLANK(F_Custom1_Q),F_Custom1_V="(All)",F_Custom1_V="",ISBLANK(F_Custom1_V)),1,IFERROR(IF(ISNUMBER(SEARCH("|"&amp;INDEX(INDIRECT(F_Custom1_resolved_column),111)&amp;"|",("|" &amp; SUBSTITUTE(F_Custom1_resolved_criteria, ", ", "|") &amp; "|"))),1,0),0))</f>
        <v>1</v>
      </c>
      <c r="E112">
        <f>IF(OR(F_Custom2_Q="(None)",F_Custom2_Q="",ISBLANK(F_Custom2_Q),F_Custom2_V="(All)",F_Custom2_V="",ISBLANK(F_Custom2_V)),1,IFERROR(IF(ISNUMBER(SEARCH("|"&amp;INDEX(INDIRECT(F_Custom2_resolved_column),111)&amp;"|",("|" &amp; SUBSTITUTE(F_Custom2_resolved_criteria, ", ", "|") &amp; "|"))),1,0),0))</f>
        <v>1</v>
      </c>
      <c r="F112">
        <f>D112*E112*1</f>
        <v>1</v>
      </c>
      <c r="G112">
        <f>1</f>
        <v>1</v>
      </c>
      <c r="H112">
        <f>IF(OR(All_Questions_Q6_F_Q="(None)",All_Questions_Q6_F_Q="",ISBLANK(All_Questions_Q6_F_Q),All_Questions_Q6_F_V="(All)",All_Questions_Q6_F_V="",ISBLANK(All_Questions_Q6_F_V)),1,IFERROR(IF(ISNUMBER(SEARCH("|"&amp;INDEX(INDIRECT(All_Questions_Q6_F_resolved_column),111)&amp;"|",("|" &amp; SUBSTITUTE(All_Questions_Q6_F_resolved_criteria, ", ", "|") &amp; "|"))),1,0),0))*1</f>
        <v>1</v>
      </c>
    </row>
    <row r="113">
      <c r="A113" t="n">
        <v>112</v>
      </c>
      <c r="B113" t="n">
        <v>26.3695</v>
      </c>
      <c r="C113">
        <f>1</f>
        <v>1</v>
      </c>
      <c r="D113">
        <f>IF(OR(F_Custom1_Q="(None)",F_Custom1_Q="",ISBLANK(F_Custom1_Q),F_Custom1_V="(All)",F_Custom1_V="",ISBLANK(F_Custom1_V)),1,IFERROR(IF(ISNUMBER(SEARCH("|"&amp;INDEX(INDIRECT(F_Custom1_resolved_column),112)&amp;"|",("|" &amp; SUBSTITUTE(F_Custom1_resolved_criteria, ", ", "|") &amp; "|"))),1,0),0))</f>
        <v>1</v>
      </c>
      <c r="E113">
        <f>IF(OR(F_Custom2_Q="(None)",F_Custom2_Q="",ISBLANK(F_Custom2_Q),F_Custom2_V="(All)",F_Custom2_V="",ISBLANK(F_Custom2_V)),1,IFERROR(IF(ISNUMBER(SEARCH("|"&amp;INDEX(INDIRECT(F_Custom2_resolved_column),112)&amp;"|",("|" &amp; SUBSTITUTE(F_Custom2_resolved_criteria, ", ", "|") &amp; "|"))),1,0),0))</f>
        <v>1</v>
      </c>
      <c r="F113">
        <f>D113*E113*1</f>
        <v>1</v>
      </c>
      <c r="G113">
        <f>1</f>
        <v>1</v>
      </c>
      <c r="H113">
        <f>IF(OR(All_Questions_Q6_F_Q="(None)",All_Questions_Q6_F_Q="",ISBLANK(All_Questions_Q6_F_Q),All_Questions_Q6_F_V="(All)",All_Questions_Q6_F_V="",ISBLANK(All_Questions_Q6_F_V)),1,IFERROR(IF(ISNUMBER(SEARCH("|"&amp;INDEX(INDIRECT(All_Questions_Q6_F_resolved_column),112)&amp;"|",("|" &amp; SUBSTITUTE(All_Questions_Q6_F_resolved_criteria, ", ", "|") &amp; "|"))),1,0),0))*1</f>
        <v>1</v>
      </c>
    </row>
    <row r="114">
      <c r="A114" t="n">
        <v>113</v>
      </c>
      <c r="B114" t="n">
        <v>26.3695</v>
      </c>
      <c r="C114">
        <f>1</f>
        <v>1</v>
      </c>
      <c r="D114">
        <f>IF(OR(F_Custom1_Q="(None)",F_Custom1_Q="",ISBLANK(F_Custom1_Q),F_Custom1_V="(All)",F_Custom1_V="",ISBLANK(F_Custom1_V)),1,IFERROR(IF(ISNUMBER(SEARCH("|"&amp;INDEX(INDIRECT(F_Custom1_resolved_column),113)&amp;"|",("|" &amp; SUBSTITUTE(F_Custom1_resolved_criteria, ", ", "|") &amp; "|"))),1,0),0))</f>
        <v>1</v>
      </c>
      <c r="E114">
        <f>IF(OR(F_Custom2_Q="(None)",F_Custom2_Q="",ISBLANK(F_Custom2_Q),F_Custom2_V="(All)",F_Custom2_V="",ISBLANK(F_Custom2_V)),1,IFERROR(IF(ISNUMBER(SEARCH("|"&amp;INDEX(INDIRECT(F_Custom2_resolved_column),113)&amp;"|",("|" &amp; SUBSTITUTE(F_Custom2_resolved_criteria, ", ", "|") &amp; "|"))),1,0),0))</f>
        <v>1</v>
      </c>
      <c r="F114">
        <f>D114*E114*1</f>
        <v>1</v>
      </c>
      <c r="G114">
        <f>1</f>
        <v>1</v>
      </c>
      <c r="H114">
        <f>IF(OR(All_Questions_Q6_F_Q="(None)",All_Questions_Q6_F_Q="",ISBLANK(All_Questions_Q6_F_Q),All_Questions_Q6_F_V="(All)",All_Questions_Q6_F_V="",ISBLANK(All_Questions_Q6_F_V)),1,IFERROR(IF(ISNUMBER(SEARCH("|"&amp;INDEX(INDIRECT(All_Questions_Q6_F_resolved_column),113)&amp;"|",("|" &amp; SUBSTITUTE(All_Questions_Q6_F_resolved_criteria, ", ", "|") &amp; "|"))),1,0),0))*1</f>
        <v>1</v>
      </c>
    </row>
    <row r="115">
      <c r="A115" t="n">
        <v>114</v>
      </c>
      <c r="B115" t="n">
        <v>26.3695</v>
      </c>
      <c r="C115">
        <f>1</f>
        <v>1</v>
      </c>
      <c r="D115">
        <f>IF(OR(F_Custom1_Q="(None)",F_Custom1_Q="",ISBLANK(F_Custom1_Q),F_Custom1_V="(All)",F_Custom1_V="",ISBLANK(F_Custom1_V)),1,IFERROR(IF(ISNUMBER(SEARCH("|"&amp;INDEX(INDIRECT(F_Custom1_resolved_column),114)&amp;"|",("|" &amp; SUBSTITUTE(F_Custom1_resolved_criteria, ", ", "|") &amp; "|"))),1,0),0))</f>
        <v>1</v>
      </c>
      <c r="E115">
        <f>IF(OR(F_Custom2_Q="(None)",F_Custom2_Q="",ISBLANK(F_Custom2_Q),F_Custom2_V="(All)",F_Custom2_V="",ISBLANK(F_Custom2_V)),1,IFERROR(IF(ISNUMBER(SEARCH("|"&amp;INDEX(INDIRECT(F_Custom2_resolved_column),114)&amp;"|",("|" &amp; SUBSTITUTE(F_Custom2_resolved_criteria, ", ", "|") &amp; "|"))),1,0),0))</f>
        <v>1</v>
      </c>
      <c r="F115">
        <f>D115*E115*1</f>
        <v>1</v>
      </c>
      <c r="G115">
        <f>1</f>
        <v>1</v>
      </c>
      <c r="H115">
        <f>IF(OR(All_Questions_Q6_F_Q="(None)",All_Questions_Q6_F_Q="",ISBLANK(All_Questions_Q6_F_Q),All_Questions_Q6_F_V="(All)",All_Questions_Q6_F_V="",ISBLANK(All_Questions_Q6_F_V)),1,IFERROR(IF(ISNUMBER(SEARCH("|"&amp;INDEX(INDIRECT(All_Questions_Q6_F_resolved_column),114)&amp;"|",("|" &amp; SUBSTITUTE(All_Questions_Q6_F_resolved_criteria, ", ", "|") &amp; "|"))),1,0),0))*1</f>
        <v>1</v>
      </c>
    </row>
    <row r="116">
      <c r="A116" t="n">
        <v>115</v>
      </c>
      <c r="B116" t="n">
        <v>26.3695</v>
      </c>
      <c r="C116">
        <f>1</f>
        <v>1</v>
      </c>
      <c r="D116">
        <f>IF(OR(F_Custom1_Q="(None)",F_Custom1_Q="",ISBLANK(F_Custom1_Q),F_Custom1_V="(All)",F_Custom1_V="",ISBLANK(F_Custom1_V)),1,IFERROR(IF(ISNUMBER(SEARCH("|"&amp;INDEX(INDIRECT(F_Custom1_resolved_column),115)&amp;"|",("|" &amp; SUBSTITUTE(F_Custom1_resolved_criteria, ", ", "|") &amp; "|"))),1,0),0))</f>
        <v>1</v>
      </c>
      <c r="E116">
        <f>IF(OR(F_Custom2_Q="(None)",F_Custom2_Q="",ISBLANK(F_Custom2_Q),F_Custom2_V="(All)",F_Custom2_V="",ISBLANK(F_Custom2_V)),1,IFERROR(IF(ISNUMBER(SEARCH("|"&amp;INDEX(INDIRECT(F_Custom2_resolved_column),115)&amp;"|",("|" &amp; SUBSTITUTE(F_Custom2_resolved_criteria, ", ", "|") &amp; "|"))),1,0),0))</f>
        <v>1</v>
      </c>
      <c r="F116">
        <f>D116*E116*1</f>
        <v>1</v>
      </c>
      <c r="G116">
        <f>1</f>
        <v>1</v>
      </c>
      <c r="H116">
        <f>IF(OR(All_Questions_Q6_F_Q="(None)",All_Questions_Q6_F_Q="",ISBLANK(All_Questions_Q6_F_Q),All_Questions_Q6_F_V="(All)",All_Questions_Q6_F_V="",ISBLANK(All_Questions_Q6_F_V)),1,IFERROR(IF(ISNUMBER(SEARCH("|"&amp;INDEX(INDIRECT(All_Questions_Q6_F_resolved_column),115)&amp;"|",("|" &amp; SUBSTITUTE(All_Questions_Q6_F_resolved_criteria, ", ", "|") &amp; "|"))),1,0),0))*1</f>
        <v>1</v>
      </c>
    </row>
    <row r="117">
      <c r="A117" t="n">
        <v>116</v>
      </c>
      <c r="B117" t="n">
        <v>26.3695</v>
      </c>
      <c r="C117">
        <f>1</f>
        <v>1</v>
      </c>
      <c r="D117">
        <f>IF(OR(F_Custom1_Q="(None)",F_Custom1_Q="",ISBLANK(F_Custom1_Q),F_Custom1_V="(All)",F_Custom1_V="",ISBLANK(F_Custom1_V)),1,IFERROR(IF(ISNUMBER(SEARCH("|"&amp;INDEX(INDIRECT(F_Custom1_resolved_column),116)&amp;"|",("|" &amp; SUBSTITUTE(F_Custom1_resolved_criteria, ", ", "|") &amp; "|"))),1,0),0))</f>
        <v>1</v>
      </c>
      <c r="E117">
        <f>IF(OR(F_Custom2_Q="(None)",F_Custom2_Q="",ISBLANK(F_Custom2_Q),F_Custom2_V="(All)",F_Custom2_V="",ISBLANK(F_Custom2_V)),1,IFERROR(IF(ISNUMBER(SEARCH("|"&amp;INDEX(INDIRECT(F_Custom2_resolved_column),116)&amp;"|",("|" &amp; SUBSTITUTE(F_Custom2_resolved_criteria, ", ", "|") &amp; "|"))),1,0),0))</f>
        <v>1</v>
      </c>
      <c r="F117">
        <f>D117*E117*1</f>
        <v>1</v>
      </c>
      <c r="G117">
        <f>1</f>
        <v>1</v>
      </c>
      <c r="H117">
        <f>IF(OR(All_Questions_Q6_F_Q="(None)",All_Questions_Q6_F_Q="",ISBLANK(All_Questions_Q6_F_Q),All_Questions_Q6_F_V="(All)",All_Questions_Q6_F_V="",ISBLANK(All_Questions_Q6_F_V)),1,IFERROR(IF(ISNUMBER(SEARCH("|"&amp;INDEX(INDIRECT(All_Questions_Q6_F_resolved_column),116)&amp;"|",("|" &amp; SUBSTITUTE(All_Questions_Q6_F_resolved_criteria, ", ", "|") &amp; "|"))),1,0),0))*1</f>
        <v>1</v>
      </c>
    </row>
    <row r="118">
      <c r="A118" t="n">
        <v>117</v>
      </c>
      <c r="B118" t="n">
        <v>26.3695</v>
      </c>
      <c r="C118">
        <f>1</f>
        <v>1</v>
      </c>
      <c r="D118">
        <f>IF(OR(F_Custom1_Q="(None)",F_Custom1_Q="",ISBLANK(F_Custom1_Q),F_Custom1_V="(All)",F_Custom1_V="",ISBLANK(F_Custom1_V)),1,IFERROR(IF(ISNUMBER(SEARCH("|"&amp;INDEX(INDIRECT(F_Custom1_resolved_column),117)&amp;"|",("|" &amp; SUBSTITUTE(F_Custom1_resolved_criteria, ", ", "|") &amp; "|"))),1,0),0))</f>
        <v>1</v>
      </c>
      <c r="E118">
        <f>IF(OR(F_Custom2_Q="(None)",F_Custom2_Q="",ISBLANK(F_Custom2_Q),F_Custom2_V="(All)",F_Custom2_V="",ISBLANK(F_Custom2_V)),1,IFERROR(IF(ISNUMBER(SEARCH("|"&amp;INDEX(INDIRECT(F_Custom2_resolved_column),117)&amp;"|",("|" &amp; SUBSTITUTE(F_Custom2_resolved_criteria, ", ", "|") &amp; "|"))),1,0),0))</f>
        <v>1</v>
      </c>
      <c r="F118">
        <f>D118*E118*1</f>
        <v>1</v>
      </c>
      <c r="G118">
        <f>1</f>
        <v>1</v>
      </c>
      <c r="H118">
        <f>IF(OR(All_Questions_Q6_F_Q="(None)",All_Questions_Q6_F_Q="",ISBLANK(All_Questions_Q6_F_Q),All_Questions_Q6_F_V="(All)",All_Questions_Q6_F_V="",ISBLANK(All_Questions_Q6_F_V)),1,IFERROR(IF(ISNUMBER(SEARCH("|"&amp;INDEX(INDIRECT(All_Questions_Q6_F_resolved_column),117)&amp;"|",("|" &amp; SUBSTITUTE(All_Questions_Q6_F_resolved_criteria, ", ", "|") &amp; "|"))),1,0),0))*1</f>
        <v>1</v>
      </c>
    </row>
    <row r="119">
      <c r="A119" t="n">
        <v>118</v>
      </c>
      <c r="B119" t="n">
        <v>26.3695</v>
      </c>
      <c r="C119">
        <f>1</f>
        <v>1</v>
      </c>
      <c r="D119">
        <f>IF(OR(F_Custom1_Q="(None)",F_Custom1_Q="",ISBLANK(F_Custom1_Q),F_Custom1_V="(All)",F_Custom1_V="",ISBLANK(F_Custom1_V)),1,IFERROR(IF(ISNUMBER(SEARCH("|"&amp;INDEX(INDIRECT(F_Custom1_resolved_column),118)&amp;"|",("|" &amp; SUBSTITUTE(F_Custom1_resolved_criteria, ", ", "|") &amp; "|"))),1,0),0))</f>
        <v>1</v>
      </c>
      <c r="E119">
        <f>IF(OR(F_Custom2_Q="(None)",F_Custom2_Q="",ISBLANK(F_Custom2_Q),F_Custom2_V="(All)",F_Custom2_V="",ISBLANK(F_Custom2_V)),1,IFERROR(IF(ISNUMBER(SEARCH("|"&amp;INDEX(INDIRECT(F_Custom2_resolved_column),118)&amp;"|",("|" &amp; SUBSTITUTE(F_Custom2_resolved_criteria, ", ", "|") &amp; "|"))),1,0),0))</f>
        <v>1</v>
      </c>
      <c r="F119">
        <f>D119*E119*1</f>
        <v>1</v>
      </c>
      <c r="G119">
        <f>1</f>
        <v>1</v>
      </c>
      <c r="H119">
        <f>IF(OR(All_Questions_Q6_F_Q="(None)",All_Questions_Q6_F_Q="",ISBLANK(All_Questions_Q6_F_Q),All_Questions_Q6_F_V="(All)",All_Questions_Q6_F_V="",ISBLANK(All_Questions_Q6_F_V)),1,IFERROR(IF(ISNUMBER(SEARCH("|"&amp;INDEX(INDIRECT(All_Questions_Q6_F_resolved_column),118)&amp;"|",("|" &amp; SUBSTITUTE(All_Questions_Q6_F_resolved_criteria, ", ", "|") &amp; "|"))),1,0),0))*1</f>
        <v>1</v>
      </c>
    </row>
    <row r="120">
      <c r="A120" t="n">
        <v>119</v>
      </c>
      <c r="B120" t="n">
        <v>26.3695</v>
      </c>
      <c r="C120">
        <f>1</f>
        <v>1</v>
      </c>
      <c r="D120">
        <f>IF(OR(F_Custom1_Q="(None)",F_Custom1_Q="",ISBLANK(F_Custom1_Q),F_Custom1_V="(All)",F_Custom1_V="",ISBLANK(F_Custom1_V)),1,IFERROR(IF(ISNUMBER(SEARCH("|"&amp;INDEX(INDIRECT(F_Custom1_resolved_column),119)&amp;"|",("|" &amp; SUBSTITUTE(F_Custom1_resolved_criteria, ", ", "|") &amp; "|"))),1,0),0))</f>
        <v>1</v>
      </c>
      <c r="E120">
        <f>IF(OR(F_Custom2_Q="(None)",F_Custom2_Q="",ISBLANK(F_Custom2_Q),F_Custom2_V="(All)",F_Custom2_V="",ISBLANK(F_Custom2_V)),1,IFERROR(IF(ISNUMBER(SEARCH("|"&amp;INDEX(INDIRECT(F_Custom2_resolved_column),119)&amp;"|",("|" &amp; SUBSTITUTE(F_Custom2_resolved_criteria, ", ", "|") &amp; "|"))),1,0),0))</f>
        <v>1</v>
      </c>
      <c r="F120">
        <f>D120*E120*1</f>
        <v>1</v>
      </c>
      <c r="G120">
        <f>1</f>
        <v>1</v>
      </c>
      <c r="H120">
        <f>IF(OR(All_Questions_Q6_F_Q="(None)",All_Questions_Q6_F_Q="",ISBLANK(All_Questions_Q6_F_Q),All_Questions_Q6_F_V="(All)",All_Questions_Q6_F_V="",ISBLANK(All_Questions_Q6_F_V)),1,IFERROR(IF(ISNUMBER(SEARCH("|"&amp;INDEX(INDIRECT(All_Questions_Q6_F_resolved_column),119)&amp;"|",("|" &amp; SUBSTITUTE(All_Questions_Q6_F_resolved_criteria, ", ", "|") &amp; "|"))),1,0),0))*1</f>
        <v>1</v>
      </c>
    </row>
    <row r="121">
      <c r="A121" t="n">
        <v>120</v>
      </c>
      <c r="B121" t="n">
        <v>26.3695</v>
      </c>
      <c r="C121">
        <f>1</f>
        <v>1</v>
      </c>
      <c r="D121">
        <f>IF(OR(F_Custom1_Q="(None)",F_Custom1_Q="",ISBLANK(F_Custom1_Q),F_Custom1_V="(All)",F_Custom1_V="",ISBLANK(F_Custom1_V)),1,IFERROR(IF(ISNUMBER(SEARCH("|"&amp;INDEX(INDIRECT(F_Custom1_resolved_column),120)&amp;"|",("|" &amp; SUBSTITUTE(F_Custom1_resolved_criteria, ", ", "|") &amp; "|"))),1,0),0))</f>
        <v>1</v>
      </c>
      <c r="E121">
        <f>IF(OR(F_Custom2_Q="(None)",F_Custom2_Q="",ISBLANK(F_Custom2_Q),F_Custom2_V="(All)",F_Custom2_V="",ISBLANK(F_Custom2_V)),1,IFERROR(IF(ISNUMBER(SEARCH("|"&amp;INDEX(INDIRECT(F_Custom2_resolved_column),120)&amp;"|",("|" &amp; SUBSTITUTE(F_Custom2_resolved_criteria, ", ", "|") &amp; "|"))),1,0),0))</f>
        <v>1</v>
      </c>
      <c r="F121">
        <f>D121*E121*1</f>
        <v>1</v>
      </c>
      <c r="G121">
        <f>1</f>
        <v>1</v>
      </c>
      <c r="H121">
        <f>IF(OR(All_Questions_Q6_F_Q="(None)",All_Questions_Q6_F_Q="",ISBLANK(All_Questions_Q6_F_Q),All_Questions_Q6_F_V="(All)",All_Questions_Q6_F_V="",ISBLANK(All_Questions_Q6_F_V)),1,IFERROR(IF(ISNUMBER(SEARCH("|"&amp;INDEX(INDIRECT(All_Questions_Q6_F_resolved_column),120)&amp;"|",("|" &amp; SUBSTITUTE(All_Questions_Q6_F_resolved_criteria, ", ", "|") &amp; "|"))),1,0),0))*1</f>
        <v>1</v>
      </c>
    </row>
    <row r="122">
      <c r="A122" t="n">
        <v>121</v>
      </c>
      <c r="B122" t="n">
        <v>26.3695</v>
      </c>
      <c r="C122">
        <f>1</f>
        <v>1</v>
      </c>
      <c r="D122">
        <f>IF(OR(F_Custom1_Q="(None)",F_Custom1_Q="",ISBLANK(F_Custom1_Q),F_Custom1_V="(All)",F_Custom1_V="",ISBLANK(F_Custom1_V)),1,IFERROR(IF(ISNUMBER(SEARCH("|"&amp;INDEX(INDIRECT(F_Custom1_resolved_column),121)&amp;"|",("|" &amp; SUBSTITUTE(F_Custom1_resolved_criteria, ", ", "|") &amp; "|"))),1,0),0))</f>
        <v>1</v>
      </c>
      <c r="E122">
        <f>IF(OR(F_Custom2_Q="(None)",F_Custom2_Q="",ISBLANK(F_Custom2_Q),F_Custom2_V="(All)",F_Custom2_V="",ISBLANK(F_Custom2_V)),1,IFERROR(IF(ISNUMBER(SEARCH("|"&amp;INDEX(INDIRECT(F_Custom2_resolved_column),121)&amp;"|",("|" &amp; SUBSTITUTE(F_Custom2_resolved_criteria, ", ", "|") &amp; "|"))),1,0),0))</f>
        <v>1</v>
      </c>
      <c r="F122">
        <f>D122*E122*1</f>
        <v>1</v>
      </c>
      <c r="G122">
        <f>1</f>
        <v>1</v>
      </c>
      <c r="H122">
        <f>IF(OR(All_Questions_Q6_F_Q="(None)",All_Questions_Q6_F_Q="",ISBLANK(All_Questions_Q6_F_Q),All_Questions_Q6_F_V="(All)",All_Questions_Q6_F_V="",ISBLANK(All_Questions_Q6_F_V)),1,IFERROR(IF(ISNUMBER(SEARCH("|"&amp;INDEX(INDIRECT(All_Questions_Q6_F_resolved_column),121)&amp;"|",("|" &amp; SUBSTITUTE(All_Questions_Q6_F_resolved_criteria, ", ", "|") &amp; "|"))),1,0),0))*1</f>
        <v>1</v>
      </c>
    </row>
    <row r="123">
      <c r="A123" t="n">
        <v>122</v>
      </c>
      <c r="B123" t="n">
        <v>26.3695</v>
      </c>
      <c r="C123">
        <f>1</f>
        <v>1</v>
      </c>
      <c r="D123">
        <f>IF(OR(F_Custom1_Q="(None)",F_Custom1_Q="",ISBLANK(F_Custom1_Q),F_Custom1_V="(All)",F_Custom1_V="",ISBLANK(F_Custom1_V)),1,IFERROR(IF(ISNUMBER(SEARCH("|"&amp;INDEX(INDIRECT(F_Custom1_resolved_column),122)&amp;"|",("|" &amp; SUBSTITUTE(F_Custom1_resolved_criteria, ", ", "|") &amp; "|"))),1,0),0))</f>
        <v>1</v>
      </c>
      <c r="E123">
        <f>IF(OR(F_Custom2_Q="(None)",F_Custom2_Q="",ISBLANK(F_Custom2_Q),F_Custom2_V="(All)",F_Custom2_V="",ISBLANK(F_Custom2_V)),1,IFERROR(IF(ISNUMBER(SEARCH("|"&amp;INDEX(INDIRECT(F_Custom2_resolved_column),122)&amp;"|",("|" &amp; SUBSTITUTE(F_Custom2_resolved_criteria, ", ", "|") &amp; "|"))),1,0),0))</f>
        <v>1</v>
      </c>
      <c r="F123">
        <f>D123*E123*1</f>
        <v>1</v>
      </c>
      <c r="G123">
        <f>1</f>
        <v>1</v>
      </c>
      <c r="H123">
        <f>IF(OR(All_Questions_Q6_F_Q="(None)",All_Questions_Q6_F_Q="",ISBLANK(All_Questions_Q6_F_Q),All_Questions_Q6_F_V="(All)",All_Questions_Q6_F_V="",ISBLANK(All_Questions_Q6_F_V)),1,IFERROR(IF(ISNUMBER(SEARCH("|"&amp;INDEX(INDIRECT(All_Questions_Q6_F_resolved_column),122)&amp;"|",("|" &amp; SUBSTITUTE(All_Questions_Q6_F_resolved_criteria, ", ", "|") &amp; "|"))),1,0),0))*1</f>
        <v>1</v>
      </c>
    </row>
    <row r="124">
      <c r="A124" t="n">
        <v>123</v>
      </c>
      <c r="B124" t="n">
        <v>26.3695</v>
      </c>
      <c r="C124">
        <f>1</f>
        <v>1</v>
      </c>
      <c r="D124">
        <f>IF(OR(F_Custom1_Q="(None)",F_Custom1_Q="",ISBLANK(F_Custom1_Q),F_Custom1_V="(All)",F_Custom1_V="",ISBLANK(F_Custom1_V)),1,IFERROR(IF(ISNUMBER(SEARCH("|"&amp;INDEX(INDIRECT(F_Custom1_resolved_column),123)&amp;"|",("|" &amp; SUBSTITUTE(F_Custom1_resolved_criteria, ", ", "|") &amp; "|"))),1,0),0))</f>
        <v>1</v>
      </c>
      <c r="E124">
        <f>IF(OR(F_Custom2_Q="(None)",F_Custom2_Q="",ISBLANK(F_Custom2_Q),F_Custom2_V="(All)",F_Custom2_V="",ISBLANK(F_Custom2_V)),1,IFERROR(IF(ISNUMBER(SEARCH("|"&amp;INDEX(INDIRECT(F_Custom2_resolved_column),123)&amp;"|",("|" &amp; SUBSTITUTE(F_Custom2_resolved_criteria, ", ", "|") &amp; "|"))),1,0),0))</f>
        <v>1</v>
      </c>
      <c r="F124">
        <f>D124*E124*1</f>
        <v>1</v>
      </c>
      <c r="G124">
        <f>1</f>
        <v>1</v>
      </c>
      <c r="H124">
        <f>IF(OR(All_Questions_Q6_F_Q="(None)",All_Questions_Q6_F_Q="",ISBLANK(All_Questions_Q6_F_Q),All_Questions_Q6_F_V="(All)",All_Questions_Q6_F_V="",ISBLANK(All_Questions_Q6_F_V)),1,IFERROR(IF(ISNUMBER(SEARCH("|"&amp;INDEX(INDIRECT(All_Questions_Q6_F_resolved_column),123)&amp;"|",("|" &amp; SUBSTITUTE(All_Questions_Q6_F_resolved_criteria, ", ", "|") &amp; "|"))),1,0),0))*1</f>
        <v>1</v>
      </c>
    </row>
    <row r="125">
      <c r="A125" t="n">
        <v>124</v>
      </c>
      <c r="B125" t="n">
        <v>26.3695</v>
      </c>
      <c r="C125">
        <f>1</f>
        <v>1</v>
      </c>
      <c r="D125">
        <f>IF(OR(F_Custom1_Q="(None)",F_Custom1_Q="",ISBLANK(F_Custom1_Q),F_Custom1_V="(All)",F_Custom1_V="",ISBLANK(F_Custom1_V)),1,IFERROR(IF(ISNUMBER(SEARCH("|"&amp;INDEX(INDIRECT(F_Custom1_resolved_column),124)&amp;"|",("|" &amp; SUBSTITUTE(F_Custom1_resolved_criteria, ", ", "|") &amp; "|"))),1,0),0))</f>
        <v>1</v>
      </c>
      <c r="E125">
        <f>IF(OR(F_Custom2_Q="(None)",F_Custom2_Q="",ISBLANK(F_Custom2_Q),F_Custom2_V="(All)",F_Custom2_V="",ISBLANK(F_Custom2_V)),1,IFERROR(IF(ISNUMBER(SEARCH("|"&amp;INDEX(INDIRECT(F_Custom2_resolved_column),124)&amp;"|",("|" &amp; SUBSTITUTE(F_Custom2_resolved_criteria, ", ", "|") &amp; "|"))),1,0),0))</f>
        <v>1</v>
      </c>
      <c r="F125">
        <f>D125*E125*1</f>
        <v>1</v>
      </c>
      <c r="G125">
        <f>1</f>
        <v>1</v>
      </c>
      <c r="H125">
        <f>IF(OR(All_Questions_Q6_F_Q="(None)",All_Questions_Q6_F_Q="",ISBLANK(All_Questions_Q6_F_Q),All_Questions_Q6_F_V="(All)",All_Questions_Q6_F_V="",ISBLANK(All_Questions_Q6_F_V)),1,IFERROR(IF(ISNUMBER(SEARCH("|"&amp;INDEX(INDIRECT(All_Questions_Q6_F_resolved_column),124)&amp;"|",("|" &amp; SUBSTITUTE(All_Questions_Q6_F_resolved_criteria, ", ", "|") &amp; "|"))),1,0),0))*1</f>
        <v>1</v>
      </c>
    </row>
    <row r="126">
      <c r="A126" t="n">
        <v>125</v>
      </c>
      <c r="B126" t="n">
        <v>26.3695</v>
      </c>
      <c r="C126">
        <f>1</f>
        <v>1</v>
      </c>
      <c r="D126">
        <f>IF(OR(F_Custom1_Q="(None)",F_Custom1_Q="",ISBLANK(F_Custom1_Q),F_Custom1_V="(All)",F_Custom1_V="",ISBLANK(F_Custom1_V)),1,IFERROR(IF(ISNUMBER(SEARCH("|"&amp;INDEX(INDIRECT(F_Custom1_resolved_column),125)&amp;"|",("|" &amp; SUBSTITUTE(F_Custom1_resolved_criteria, ", ", "|") &amp; "|"))),1,0),0))</f>
        <v>1</v>
      </c>
      <c r="E126">
        <f>IF(OR(F_Custom2_Q="(None)",F_Custom2_Q="",ISBLANK(F_Custom2_Q),F_Custom2_V="(All)",F_Custom2_V="",ISBLANK(F_Custom2_V)),1,IFERROR(IF(ISNUMBER(SEARCH("|"&amp;INDEX(INDIRECT(F_Custom2_resolved_column),125)&amp;"|",("|" &amp; SUBSTITUTE(F_Custom2_resolved_criteria, ", ", "|") &amp; "|"))),1,0),0))</f>
        <v>1</v>
      </c>
      <c r="F126">
        <f>D126*E126*1</f>
        <v>1</v>
      </c>
      <c r="G126">
        <f>1</f>
        <v>1</v>
      </c>
      <c r="H126">
        <f>IF(OR(All_Questions_Q6_F_Q="(None)",All_Questions_Q6_F_Q="",ISBLANK(All_Questions_Q6_F_Q),All_Questions_Q6_F_V="(All)",All_Questions_Q6_F_V="",ISBLANK(All_Questions_Q6_F_V)),1,IFERROR(IF(ISNUMBER(SEARCH("|"&amp;INDEX(INDIRECT(All_Questions_Q6_F_resolved_column),125)&amp;"|",("|" &amp; SUBSTITUTE(All_Questions_Q6_F_resolved_criteria, ", ", "|") &amp; "|"))),1,0),0))*1</f>
        <v>1</v>
      </c>
    </row>
    <row r="127">
      <c r="A127" t="n">
        <v>126</v>
      </c>
      <c r="B127" t="n">
        <v>26.3695</v>
      </c>
      <c r="C127">
        <f>1</f>
        <v>1</v>
      </c>
      <c r="D127">
        <f>IF(OR(F_Custom1_Q="(None)",F_Custom1_Q="",ISBLANK(F_Custom1_Q),F_Custom1_V="(All)",F_Custom1_V="",ISBLANK(F_Custom1_V)),1,IFERROR(IF(ISNUMBER(SEARCH("|"&amp;INDEX(INDIRECT(F_Custom1_resolved_column),126)&amp;"|",("|" &amp; SUBSTITUTE(F_Custom1_resolved_criteria, ", ", "|") &amp; "|"))),1,0),0))</f>
        <v>1</v>
      </c>
      <c r="E127">
        <f>IF(OR(F_Custom2_Q="(None)",F_Custom2_Q="",ISBLANK(F_Custom2_Q),F_Custom2_V="(All)",F_Custom2_V="",ISBLANK(F_Custom2_V)),1,IFERROR(IF(ISNUMBER(SEARCH("|"&amp;INDEX(INDIRECT(F_Custom2_resolved_column),126)&amp;"|",("|" &amp; SUBSTITUTE(F_Custom2_resolved_criteria, ", ", "|") &amp; "|"))),1,0),0))</f>
        <v>1</v>
      </c>
      <c r="F127">
        <f>D127*E127*1</f>
        <v>1</v>
      </c>
      <c r="G127">
        <f>1</f>
        <v>1</v>
      </c>
      <c r="H127">
        <f>IF(OR(All_Questions_Q6_F_Q="(None)",All_Questions_Q6_F_Q="",ISBLANK(All_Questions_Q6_F_Q),All_Questions_Q6_F_V="(All)",All_Questions_Q6_F_V="",ISBLANK(All_Questions_Q6_F_V)),1,IFERROR(IF(ISNUMBER(SEARCH("|"&amp;INDEX(INDIRECT(All_Questions_Q6_F_resolved_column),126)&amp;"|",("|" &amp; SUBSTITUTE(All_Questions_Q6_F_resolved_criteria, ", ", "|") &amp; "|"))),1,0),0))*1</f>
        <v>1</v>
      </c>
    </row>
    <row r="128">
      <c r="A128" t="n">
        <v>127</v>
      </c>
      <c r="B128" t="n">
        <v>26.3695</v>
      </c>
      <c r="C128">
        <f>1</f>
        <v>1</v>
      </c>
      <c r="D128">
        <f>IF(OR(F_Custom1_Q="(None)",F_Custom1_Q="",ISBLANK(F_Custom1_Q),F_Custom1_V="(All)",F_Custom1_V="",ISBLANK(F_Custom1_V)),1,IFERROR(IF(ISNUMBER(SEARCH("|"&amp;INDEX(INDIRECT(F_Custom1_resolved_column),127)&amp;"|",("|" &amp; SUBSTITUTE(F_Custom1_resolved_criteria, ", ", "|") &amp; "|"))),1,0),0))</f>
        <v>1</v>
      </c>
      <c r="E128">
        <f>IF(OR(F_Custom2_Q="(None)",F_Custom2_Q="",ISBLANK(F_Custom2_Q),F_Custom2_V="(All)",F_Custom2_V="",ISBLANK(F_Custom2_V)),1,IFERROR(IF(ISNUMBER(SEARCH("|"&amp;INDEX(INDIRECT(F_Custom2_resolved_column),127)&amp;"|",("|" &amp; SUBSTITUTE(F_Custom2_resolved_criteria, ", ", "|") &amp; "|"))),1,0),0))</f>
        <v>1</v>
      </c>
      <c r="F128">
        <f>D128*E128*1</f>
        <v>1</v>
      </c>
      <c r="G128">
        <f>1</f>
        <v>1</v>
      </c>
      <c r="H128">
        <f>IF(OR(All_Questions_Q6_F_Q="(None)",All_Questions_Q6_F_Q="",ISBLANK(All_Questions_Q6_F_Q),All_Questions_Q6_F_V="(All)",All_Questions_Q6_F_V="",ISBLANK(All_Questions_Q6_F_V)),1,IFERROR(IF(ISNUMBER(SEARCH("|"&amp;INDEX(INDIRECT(All_Questions_Q6_F_resolved_column),127)&amp;"|",("|" &amp; SUBSTITUTE(All_Questions_Q6_F_resolved_criteria, ", ", "|") &amp; "|"))),1,0),0))*1</f>
        <v>1</v>
      </c>
    </row>
    <row r="129">
      <c r="A129" t="n">
        <v>128</v>
      </c>
      <c r="B129" t="n">
        <v>26.3695</v>
      </c>
      <c r="C129">
        <f>1</f>
        <v>1</v>
      </c>
      <c r="D129">
        <f>IF(OR(F_Custom1_Q="(None)",F_Custom1_Q="",ISBLANK(F_Custom1_Q),F_Custom1_V="(All)",F_Custom1_V="",ISBLANK(F_Custom1_V)),1,IFERROR(IF(ISNUMBER(SEARCH("|"&amp;INDEX(INDIRECT(F_Custom1_resolved_column),128)&amp;"|",("|" &amp; SUBSTITUTE(F_Custom1_resolved_criteria, ", ", "|") &amp; "|"))),1,0),0))</f>
        <v>1</v>
      </c>
      <c r="E129">
        <f>IF(OR(F_Custom2_Q="(None)",F_Custom2_Q="",ISBLANK(F_Custom2_Q),F_Custom2_V="(All)",F_Custom2_V="",ISBLANK(F_Custom2_V)),1,IFERROR(IF(ISNUMBER(SEARCH("|"&amp;INDEX(INDIRECT(F_Custom2_resolved_column),128)&amp;"|",("|" &amp; SUBSTITUTE(F_Custom2_resolved_criteria, ", ", "|") &amp; "|"))),1,0),0))</f>
        <v>1</v>
      </c>
      <c r="F129">
        <f>D129*E129*1</f>
        <v>1</v>
      </c>
      <c r="G129">
        <f>1</f>
        <v>1</v>
      </c>
      <c r="H129">
        <f>IF(OR(All_Questions_Q6_F_Q="(None)",All_Questions_Q6_F_Q="",ISBLANK(All_Questions_Q6_F_Q),All_Questions_Q6_F_V="(All)",All_Questions_Q6_F_V="",ISBLANK(All_Questions_Q6_F_V)),1,IFERROR(IF(ISNUMBER(SEARCH("|"&amp;INDEX(INDIRECT(All_Questions_Q6_F_resolved_column),128)&amp;"|",("|" &amp; SUBSTITUTE(All_Questions_Q6_F_resolved_criteria, ", ", "|") &amp; "|"))),1,0),0))*1</f>
        <v>1</v>
      </c>
    </row>
    <row r="130">
      <c r="A130" t="n">
        <v>129</v>
      </c>
      <c r="B130" t="n">
        <v>26.3695</v>
      </c>
      <c r="C130">
        <f>1</f>
        <v>1</v>
      </c>
      <c r="D130">
        <f>IF(OR(F_Custom1_Q="(None)",F_Custom1_Q="",ISBLANK(F_Custom1_Q),F_Custom1_V="(All)",F_Custom1_V="",ISBLANK(F_Custom1_V)),1,IFERROR(IF(ISNUMBER(SEARCH("|"&amp;INDEX(INDIRECT(F_Custom1_resolved_column),129)&amp;"|",("|" &amp; SUBSTITUTE(F_Custom1_resolved_criteria, ", ", "|") &amp; "|"))),1,0),0))</f>
        <v>1</v>
      </c>
      <c r="E130">
        <f>IF(OR(F_Custom2_Q="(None)",F_Custom2_Q="",ISBLANK(F_Custom2_Q),F_Custom2_V="(All)",F_Custom2_V="",ISBLANK(F_Custom2_V)),1,IFERROR(IF(ISNUMBER(SEARCH("|"&amp;INDEX(INDIRECT(F_Custom2_resolved_column),129)&amp;"|",("|" &amp; SUBSTITUTE(F_Custom2_resolved_criteria, ", ", "|") &amp; "|"))),1,0),0))</f>
        <v>1</v>
      </c>
      <c r="F130">
        <f>D130*E130*1</f>
        <v>1</v>
      </c>
      <c r="G130">
        <f>1</f>
        <v>1</v>
      </c>
      <c r="H130">
        <f>IF(OR(All_Questions_Q6_F_Q="(None)",All_Questions_Q6_F_Q="",ISBLANK(All_Questions_Q6_F_Q),All_Questions_Q6_F_V="(All)",All_Questions_Q6_F_V="",ISBLANK(All_Questions_Q6_F_V)),1,IFERROR(IF(ISNUMBER(SEARCH("|"&amp;INDEX(INDIRECT(All_Questions_Q6_F_resolved_column),129)&amp;"|",("|" &amp; SUBSTITUTE(All_Questions_Q6_F_resolved_criteria, ", ", "|") &amp; "|"))),1,0),0))*1</f>
        <v>1</v>
      </c>
    </row>
    <row r="131">
      <c r="A131" t="n">
        <v>130</v>
      </c>
      <c r="B131" t="n">
        <v>26.3695</v>
      </c>
      <c r="C131">
        <f>1</f>
        <v>1</v>
      </c>
      <c r="D131">
        <f>IF(OR(F_Custom1_Q="(None)",F_Custom1_Q="",ISBLANK(F_Custom1_Q),F_Custom1_V="(All)",F_Custom1_V="",ISBLANK(F_Custom1_V)),1,IFERROR(IF(ISNUMBER(SEARCH("|"&amp;INDEX(INDIRECT(F_Custom1_resolved_column),130)&amp;"|",("|" &amp; SUBSTITUTE(F_Custom1_resolved_criteria, ", ", "|") &amp; "|"))),1,0),0))</f>
        <v>1</v>
      </c>
      <c r="E131">
        <f>IF(OR(F_Custom2_Q="(None)",F_Custom2_Q="",ISBLANK(F_Custom2_Q),F_Custom2_V="(All)",F_Custom2_V="",ISBLANK(F_Custom2_V)),1,IFERROR(IF(ISNUMBER(SEARCH("|"&amp;INDEX(INDIRECT(F_Custom2_resolved_column),130)&amp;"|",("|" &amp; SUBSTITUTE(F_Custom2_resolved_criteria, ", ", "|") &amp; "|"))),1,0),0))</f>
        <v>1</v>
      </c>
      <c r="F131">
        <f>D131*E131*1</f>
        <v>1</v>
      </c>
      <c r="G131">
        <f>1</f>
        <v>1</v>
      </c>
      <c r="H131">
        <f>IF(OR(All_Questions_Q6_F_Q="(None)",All_Questions_Q6_F_Q="",ISBLANK(All_Questions_Q6_F_Q),All_Questions_Q6_F_V="(All)",All_Questions_Q6_F_V="",ISBLANK(All_Questions_Q6_F_V)),1,IFERROR(IF(ISNUMBER(SEARCH("|"&amp;INDEX(INDIRECT(All_Questions_Q6_F_resolved_column),130)&amp;"|",("|" &amp; SUBSTITUTE(All_Questions_Q6_F_resolved_criteria, ", ", "|") &amp; "|"))),1,0),0))*1</f>
        <v>1</v>
      </c>
    </row>
    <row r="132">
      <c r="A132" t="n">
        <v>131</v>
      </c>
      <c r="B132" t="n">
        <v>26.3695</v>
      </c>
      <c r="C132">
        <f>1</f>
        <v>1</v>
      </c>
      <c r="D132">
        <f>IF(OR(F_Custom1_Q="(None)",F_Custom1_Q="",ISBLANK(F_Custom1_Q),F_Custom1_V="(All)",F_Custom1_V="",ISBLANK(F_Custom1_V)),1,IFERROR(IF(ISNUMBER(SEARCH("|"&amp;INDEX(INDIRECT(F_Custom1_resolved_column),131)&amp;"|",("|" &amp; SUBSTITUTE(F_Custom1_resolved_criteria, ", ", "|") &amp; "|"))),1,0),0))</f>
        <v>1</v>
      </c>
      <c r="E132">
        <f>IF(OR(F_Custom2_Q="(None)",F_Custom2_Q="",ISBLANK(F_Custom2_Q),F_Custom2_V="(All)",F_Custom2_V="",ISBLANK(F_Custom2_V)),1,IFERROR(IF(ISNUMBER(SEARCH("|"&amp;INDEX(INDIRECT(F_Custom2_resolved_column),131)&amp;"|",("|" &amp; SUBSTITUTE(F_Custom2_resolved_criteria, ", ", "|") &amp; "|"))),1,0),0))</f>
        <v>1</v>
      </c>
      <c r="F132">
        <f>D132*E132*1</f>
        <v>1</v>
      </c>
      <c r="G132">
        <f>1</f>
        <v>1</v>
      </c>
      <c r="H132">
        <f>IF(OR(All_Questions_Q6_F_Q="(None)",All_Questions_Q6_F_Q="",ISBLANK(All_Questions_Q6_F_Q),All_Questions_Q6_F_V="(All)",All_Questions_Q6_F_V="",ISBLANK(All_Questions_Q6_F_V)),1,IFERROR(IF(ISNUMBER(SEARCH("|"&amp;INDEX(INDIRECT(All_Questions_Q6_F_resolved_column),131)&amp;"|",("|" &amp; SUBSTITUTE(All_Questions_Q6_F_resolved_criteria, ", ", "|") &amp; "|"))),1,0),0))*1</f>
        <v>1</v>
      </c>
    </row>
    <row r="133">
      <c r="A133" t="n">
        <v>132</v>
      </c>
      <c r="B133" t="n">
        <v>26.3695</v>
      </c>
      <c r="C133">
        <f>1</f>
        <v>1</v>
      </c>
      <c r="D133">
        <f>IF(OR(F_Custom1_Q="(None)",F_Custom1_Q="",ISBLANK(F_Custom1_Q),F_Custom1_V="(All)",F_Custom1_V="",ISBLANK(F_Custom1_V)),1,IFERROR(IF(ISNUMBER(SEARCH("|"&amp;INDEX(INDIRECT(F_Custom1_resolved_column),132)&amp;"|",("|" &amp; SUBSTITUTE(F_Custom1_resolved_criteria, ", ", "|") &amp; "|"))),1,0),0))</f>
        <v>1</v>
      </c>
      <c r="E133">
        <f>IF(OR(F_Custom2_Q="(None)",F_Custom2_Q="",ISBLANK(F_Custom2_Q),F_Custom2_V="(All)",F_Custom2_V="",ISBLANK(F_Custom2_V)),1,IFERROR(IF(ISNUMBER(SEARCH("|"&amp;INDEX(INDIRECT(F_Custom2_resolved_column),132)&amp;"|",("|" &amp; SUBSTITUTE(F_Custom2_resolved_criteria, ", ", "|") &amp; "|"))),1,0),0))</f>
        <v>1</v>
      </c>
      <c r="F133">
        <f>D133*E133*1</f>
        <v>1</v>
      </c>
      <c r="G133">
        <f>1</f>
        <v>1</v>
      </c>
      <c r="H133">
        <f>IF(OR(All_Questions_Q6_F_Q="(None)",All_Questions_Q6_F_Q="",ISBLANK(All_Questions_Q6_F_Q),All_Questions_Q6_F_V="(All)",All_Questions_Q6_F_V="",ISBLANK(All_Questions_Q6_F_V)),1,IFERROR(IF(ISNUMBER(SEARCH("|"&amp;INDEX(INDIRECT(All_Questions_Q6_F_resolved_column),132)&amp;"|",("|" &amp; SUBSTITUTE(All_Questions_Q6_F_resolved_criteria, ", ", "|") &amp; "|"))),1,0),0))*1</f>
        <v>1</v>
      </c>
    </row>
    <row r="134">
      <c r="A134" t="n">
        <v>133</v>
      </c>
      <c r="B134" t="n">
        <v>26.3695</v>
      </c>
      <c r="C134">
        <f>1</f>
        <v>1</v>
      </c>
      <c r="D134">
        <f>IF(OR(F_Custom1_Q="(None)",F_Custom1_Q="",ISBLANK(F_Custom1_Q),F_Custom1_V="(All)",F_Custom1_V="",ISBLANK(F_Custom1_V)),1,IFERROR(IF(ISNUMBER(SEARCH("|"&amp;INDEX(INDIRECT(F_Custom1_resolved_column),133)&amp;"|",("|" &amp; SUBSTITUTE(F_Custom1_resolved_criteria, ", ", "|") &amp; "|"))),1,0),0))</f>
        <v>1</v>
      </c>
      <c r="E134">
        <f>IF(OR(F_Custom2_Q="(None)",F_Custom2_Q="",ISBLANK(F_Custom2_Q),F_Custom2_V="(All)",F_Custom2_V="",ISBLANK(F_Custom2_V)),1,IFERROR(IF(ISNUMBER(SEARCH("|"&amp;INDEX(INDIRECT(F_Custom2_resolved_column),133)&amp;"|",("|" &amp; SUBSTITUTE(F_Custom2_resolved_criteria, ", ", "|") &amp; "|"))),1,0),0))</f>
        <v>1</v>
      </c>
      <c r="F134">
        <f>D134*E134*1</f>
        <v>1</v>
      </c>
      <c r="G134">
        <f>1</f>
        <v>1</v>
      </c>
      <c r="H134">
        <f>IF(OR(All_Questions_Q6_F_Q="(None)",All_Questions_Q6_F_Q="",ISBLANK(All_Questions_Q6_F_Q),All_Questions_Q6_F_V="(All)",All_Questions_Q6_F_V="",ISBLANK(All_Questions_Q6_F_V)),1,IFERROR(IF(ISNUMBER(SEARCH("|"&amp;INDEX(INDIRECT(All_Questions_Q6_F_resolved_column),133)&amp;"|",("|" &amp; SUBSTITUTE(All_Questions_Q6_F_resolved_criteria, ", ", "|") &amp; "|"))),1,0),0))*1</f>
        <v>1</v>
      </c>
    </row>
    <row r="135">
      <c r="A135" t="n">
        <v>134</v>
      </c>
      <c r="B135" t="n">
        <v>26.3695</v>
      </c>
      <c r="C135">
        <f>1</f>
        <v>1</v>
      </c>
      <c r="D135">
        <f>IF(OR(F_Custom1_Q="(None)",F_Custom1_Q="",ISBLANK(F_Custom1_Q),F_Custom1_V="(All)",F_Custom1_V="",ISBLANK(F_Custom1_V)),1,IFERROR(IF(ISNUMBER(SEARCH("|"&amp;INDEX(INDIRECT(F_Custom1_resolved_column),134)&amp;"|",("|" &amp; SUBSTITUTE(F_Custom1_resolved_criteria, ", ", "|") &amp; "|"))),1,0),0))</f>
        <v>1</v>
      </c>
      <c r="E135">
        <f>IF(OR(F_Custom2_Q="(None)",F_Custom2_Q="",ISBLANK(F_Custom2_Q),F_Custom2_V="(All)",F_Custom2_V="",ISBLANK(F_Custom2_V)),1,IFERROR(IF(ISNUMBER(SEARCH("|"&amp;INDEX(INDIRECT(F_Custom2_resolved_column),134)&amp;"|",("|" &amp; SUBSTITUTE(F_Custom2_resolved_criteria, ", ", "|") &amp; "|"))),1,0),0))</f>
        <v>1</v>
      </c>
      <c r="F135">
        <f>D135*E135*1</f>
        <v>1</v>
      </c>
      <c r="G135">
        <f>1</f>
        <v>1</v>
      </c>
      <c r="H135">
        <f>IF(OR(All_Questions_Q6_F_Q="(None)",All_Questions_Q6_F_Q="",ISBLANK(All_Questions_Q6_F_Q),All_Questions_Q6_F_V="(All)",All_Questions_Q6_F_V="",ISBLANK(All_Questions_Q6_F_V)),1,IFERROR(IF(ISNUMBER(SEARCH("|"&amp;INDEX(INDIRECT(All_Questions_Q6_F_resolved_column),134)&amp;"|",("|" &amp; SUBSTITUTE(All_Questions_Q6_F_resolved_criteria, ", ", "|") &amp; "|"))),1,0),0))*1</f>
        <v>1</v>
      </c>
    </row>
    <row r="136">
      <c r="A136" t="n">
        <v>135</v>
      </c>
      <c r="B136" t="n">
        <v>26.3695</v>
      </c>
      <c r="C136">
        <f>1</f>
        <v>1</v>
      </c>
      <c r="D136">
        <f>IF(OR(F_Custom1_Q="(None)",F_Custom1_Q="",ISBLANK(F_Custom1_Q),F_Custom1_V="(All)",F_Custom1_V="",ISBLANK(F_Custom1_V)),1,IFERROR(IF(ISNUMBER(SEARCH("|"&amp;INDEX(INDIRECT(F_Custom1_resolved_column),135)&amp;"|",("|" &amp; SUBSTITUTE(F_Custom1_resolved_criteria, ", ", "|") &amp; "|"))),1,0),0))</f>
        <v>1</v>
      </c>
      <c r="E136">
        <f>IF(OR(F_Custom2_Q="(None)",F_Custom2_Q="",ISBLANK(F_Custom2_Q),F_Custom2_V="(All)",F_Custom2_V="",ISBLANK(F_Custom2_V)),1,IFERROR(IF(ISNUMBER(SEARCH("|"&amp;INDEX(INDIRECT(F_Custom2_resolved_column),135)&amp;"|",("|" &amp; SUBSTITUTE(F_Custom2_resolved_criteria, ", ", "|") &amp; "|"))),1,0),0))</f>
        <v>1</v>
      </c>
      <c r="F136">
        <f>D136*E136*1</f>
        <v>1</v>
      </c>
      <c r="G136">
        <f>1</f>
        <v>1</v>
      </c>
      <c r="H136">
        <f>IF(OR(All_Questions_Q6_F_Q="(None)",All_Questions_Q6_F_Q="",ISBLANK(All_Questions_Q6_F_Q),All_Questions_Q6_F_V="(All)",All_Questions_Q6_F_V="",ISBLANK(All_Questions_Q6_F_V)),1,IFERROR(IF(ISNUMBER(SEARCH("|"&amp;INDEX(INDIRECT(All_Questions_Q6_F_resolved_column),135)&amp;"|",("|" &amp; SUBSTITUTE(All_Questions_Q6_F_resolved_criteria, ", ", "|") &amp; "|"))),1,0),0))*1</f>
        <v>1</v>
      </c>
    </row>
    <row r="137">
      <c r="A137" t="n">
        <v>136</v>
      </c>
      <c r="B137" t="n">
        <v>26.3695</v>
      </c>
      <c r="C137">
        <f>1</f>
        <v>1</v>
      </c>
      <c r="D137">
        <f>IF(OR(F_Custom1_Q="(None)",F_Custom1_Q="",ISBLANK(F_Custom1_Q),F_Custom1_V="(All)",F_Custom1_V="",ISBLANK(F_Custom1_V)),1,IFERROR(IF(ISNUMBER(SEARCH("|"&amp;INDEX(INDIRECT(F_Custom1_resolved_column),136)&amp;"|",("|" &amp; SUBSTITUTE(F_Custom1_resolved_criteria, ", ", "|") &amp; "|"))),1,0),0))</f>
        <v>1</v>
      </c>
      <c r="E137">
        <f>IF(OR(F_Custom2_Q="(None)",F_Custom2_Q="",ISBLANK(F_Custom2_Q),F_Custom2_V="(All)",F_Custom2_V="",ISBLANK(F_Custom2_V)),1,IFERROR(IF(ISNUMBER(SEARCH("|"&amp;INDEX(INDIRECT(F_Custom2_resolved_column),136)&amp;"|",("|" &amp; SUBSTITUTE(F_Custom2_resolved_criteria, ", ", "|") &amp; "|"))),1,0),0))</f>
        <v>1</v>
      </c>
      <c r="F137">
        <f>D137*E137*1</f>
        <v>1</v>
      </c>
      <c r="G137">
        <f>1</f>
        <v>1</v>
      </c>
      <c r="H137">
        <f>IF(OR(All_Questions_Q6_F_Q="(None)",All_Questions_Q6_F_Q="",ISBLANK(All_Questions_Q6_F_Q),All_Questions_Q6_F_V="(All)",All_Questions_Q6_F_V="",ISBLANK(All_Questions_Q6_F_V)),1,IFERROR(IF(ISNUMBER(SEARCH("|"&amp;INDEX(INDIRECT(All_Questions_Q6_F_resolved_column),136)&amp;"|",("|" &amp; SUBSTITUTE(All_Questions_Q6_F_resolved_criteria, ", ", "|") &amp; "|"))),1,0),0))*1</f>
        <v>1</v>
      </c>
    </row>
    <row r="138">
      <c r="A138" t="n">
        <v>137</v>
      </c>
      <c r="B138" t="n">
        <v>26.3695</v>
      </c>
      <c r="C138">
        <f>1</f>
        <v>1</v>
      </c>
      <c r="D138">
        <f>IF(OR(F_Custom1_Q="(None)",F_Custom1_Q="",ISBLANK(F_Custom1_Q),F_Custom1_V="(All)",F_Custom1_V="",ISBLANK(F_Custom1_V)),1,IFERROR(IF(ISNUMBER(SEARCH("|"&amp;INDEX(INDIRECT(F_Custom1_resolved_column),137)&amp;"|",("|" &amp; SUBSTITUTE(F_Custom1_resolved_criteria, ", ", "|") &amp; "|"))),1,0),0))</f>
        <v>1</v>
      </c>
      <c r="E138">
        <f>IF(OR(F_Custom2_Q="(None)",F_Custom2_Q="",ISBLANK(F_Custom2_Q),F_Custom2_V="(All)",F_Custom2_V="",ISBLANK(F_Custom2_V)),1,IFERROR(IF(ISNUMBER(SEARCH("|"&amp;INDEX(INDIRECT(F_Custom2_resolved_column),137)&amp;"|",("|" &amp; SUBSTITUTE(F_Custom2_resolved_criteria, ", ", "|") &amp; "|"))),1,0),0))</f>
        <v>1</v>
      </c>
      <c r="F138">
        <f>D138*E138*1</f>
        <v>1</v>
      </c>
      <c r="G138">
        <f>1</f>
        <v>1</v>
      </c>
      <c r="H138">
        <f>IF(OR(All_Questions_Q6_F_Q="(None)",All_Questions_Q6_F_Q="",ISBLANK(All_Questions_Q6_F_Q),All_Questions_Q6_F_V="(All)",All_Questions_Q6_F_V="",ISBLANK(All_Questions_Q6_F_V)),1,IFERROR(IF(ISNUMBER(SEARCH("|"&amp;INDEX(INDIRECT(All_Questions_Q6_F_resolved_column),137)&amp;"|",("|" &amp; SUBSTITUTE(All_Questions_Q6_F_resolved_criteria, ", ", "|") &amp; "|"))),1,0),0))*1</f>
        <v>1</v>
      </c>
    </row>
    <row r="139">
      <c r="A139" t="n">
        <v>138</v>
      </c>
      <c r="B139" t="n">
        <v>26.3695</v>
      </c>
      <c r="C139">
        <f>1</f>
        <v>1</v>
      </c>
      <c r="D139">
        <f>IF(OR(F_Custom1_Q="(None)",F_Custom1_Q="",ISBLANK(F_Custom1_Q),F_Custom1_V="(All)",F_Custom1_V="",ISBLANK(F_Custom1_V)),1,IFERROR(IF(ISNUMBER(SEARCH("|"&amp;INDEX(INDIRECT(F_Custom1_resolved_column),138)&amp;"|",("|" &amp; SUBSTITUTE(F_Custom1_resolved_criteria, ", ", "|") &amp; "|"))),1,0),0))</f>
        <v>1</v>
      </c>
      <c r="E139">
        <f>IF(OR(F_Custom2_Q="(None)",F_Custom2_Q="",ISBLANK(F_Custom2_Q),F_Custom2_V="(All)",F_Custom2_V="",ISBLANK(F_Custom2_V)),1,IFERROR(IF(ISNUMBER(SEARCH("|"&amp;INDEX(INDIRECT(F_Custom2_resolved_column),138)&amp;"|",("|" &amp; SUBSTITUTE(F_Custom2_resolved_criteria, ", ", "|") &amp; "|"))),1,0),0))</f>
        <v>1</v>
      </c>
      <c r="F139">
        <f>D139*E139*1</f>
        <v>1</v>
      </c>
      <c r="G139">
        <f>1</f>
        <v>1</v>
      </c>
      <c r="H139">
        <f>IF(OR(All_Questions_Q6_F_Q="(None)",All_Questions_Q6_F_Q="",ISBLANK(All_Questions_Q6_F_Q),All_Questions_Q6_F_V="(All)",All_Questions_Q6_F_V="",ISBLANK(All_Questions_Q6_F_V)),1,IFERROR(IF(ISNUMBER(SEARCH("|"&amp;INDEX(INDIRECT(All_Questions_Q6_F_resolved_column),138)&amp;"|",("|" &amp; SUBSTITUTE(All_Questions_Q6_F_resolved_criteria, ", ", "|") &amp; "|"))),1,0),0))*1</f>
        <v>1</v>
      </c>
    </row>
    <row r="140">
      <c r="A140" t="n">
        <v>139</v>
      </c>
      <c r="B140" t="n">
        <v>26.3695</v>
      </c>
      <c r="C140">
        <f>1</f>
        <v>1</v>
      </c>
      <c r="D140">
        <f>IF(OR(F_Custom1_Q="(None)",F_Custom1_Q="",ISBLANK(F_Custom1_Q),F_Custom1_V="(All)",F_Custom1_V="",ISBLANK(F_Custom1_V)),1,IFERROR(IF(ISNUMBER(SEARCH("|"&amp;INDEX(INDIRECT(F_Custom1_resolved_column),139)&amp;"|",("|" &amp; SUBSTITUTE(F_Custom1_resolved_criteria, ", ", "|") &amp; "|"))),1,0),0))</f>
        <v>1</v>
      </c>
      <c r="E140">
        <f>IF(OR(F_Custom2_Q="(None)",F_Custom2_Q="",ISBLANK(F_Custom2_Q),F_Custom2_V="(All)",F_Custom2_V="",ISBLANK(F_Custom2_V)),1,IFERROR(IF(ISNUMBER(SEARCH("|"&amp;INDEX(INDIRECT(F_Custom2_resolved_column),139)&amp;"|",("|" &amp; SUBSTITUTE(F_Custom2_resolved_criteria, ", ", "|") &amp; "|"))),1,0),0))</f>
        <v>1</v>
      </c>
      <c r="F140">
        <f>D140*E140*1</f>
        <v>1</v>
      </c>
      <c r="G140">
        <f>1</f>
        <v>1</v>
      </c>
      <c r="H140">
        <f>IF(OR(All_Questions_Q6_F_Q="(None)",All_Questions_Q6_F_Q="",ISBLANK(All_Questions_Q6_F_Q),All_Questions_Q6_F_V="(All)",All_Questions_Q6_F_V="",ISBLANK(All_Questions_Q6_F_V)),1,IFERROR(IF(ISNUMBER(SEARCH("|"&amp;INDEX(INDIRECT(All_Questions_Q6_F_resolved_column),139)&amp;"|",("|" &amp; SUBSTITUTE(All_Questions_Q6_F_resolved_criteria, ", ", "|") &amp; "|"))),1,0),0))*1</f>
        <v>1</v>
      </c>
    </row>
    <row r="141">
      <c r="A141" t="n">
        <v>140</v>
      </c>
      <c r="B141" t="n">
        <v>26.3695</v>
      </c>
      <c r="C141">
        <f>1</f>
        <v>1</v>
      </c>
      <c r="D141">
        <f>IF(OR(F_Custom1_Q="(None)",F_Custom1_Q="",ISBLANK(F_Custom1_Q),F_Custom1_V="(All)",F_Custom1_V="",ISBLANK(F_Custom1_V)),1,IFERROR(IF(ISNUMBER(SEARCH("|"&amp;INDEX(INDIRECT(F_Custom1_resolved_column),140)&amp;"|",("|" &amp; SUBSTITUTE(F_Custom1_resolved_criteria, ", ", "|") &amp; "|"))),1,0),0))</f>
        <v>1</v>
      </c>
      <c r="E141">
        <f>IF(OR(F_Custom2_Q="(None)",F_Custom2_Q="",ISBLANK(F_Custom2_Q),F_Custom2_V="(All)",F_Custom2_V="",ISBLANK(F_Custom2_V)),1,IFERROR(IF(ISNUMBER(SEARCH("|"&amp;INDEX(INDIRECT(F_Custom2_resolved_column),140)&amp;"|",("|" &amp; SUBSTITUTE(F_Custom2_resolved_criteria, ", ", "|") &amp; "|"))),1,0),0))</f>
        <v>1</v>
      </c>
      <c r="F141">
        <f>D141*E141*1</f>
        <v>1</v>
      </c>
      <c r="G141">
        <f>1</f>
        <v>1</v>
      </c>
      <c r="H141">
        <f>IF(OR(All_Questions_Q6_F_Q="(None)",All_Questions_Q6_F_Q="",ISBLANK(All_Questions_Q6_F_Q),All_Questions_Q6_F_V="(All)",All_Questions_Q6_F_V="",ISBLANK(All_Questions_Q6_F_V)),1,IFERROR(IF(ISNUMBER(SEARCH("|"&amp;INDEX(INDIRECT(All_Questions_Q6_F_resolved_column),140)&amp;"|",("|" &amp; SUBSTITUTE(All_Questions_Q6_F_resolved_criteria, ", ", "|") &amp; "|"))),1,0),0))*1</f>
        <v>1</v>
      </c>
    </row>
    <row r="142">
      <c r="A142" t="n">
        <v>141</v>
      </c>
      <c r="B142" t="n">
        <v>26.3695</v>
      </c>
      <c r="C142">
        <f>1</f>
        <v>1</v>
      </c>
      <c r="D142">
        <f>IF(OR(F_Custom1_Q="(None)",F_Custom1_Q="",ISBLANK(F_Custom1_Q),F_Custom1_V="(All)",F_Custom1_V="",ISBLANK(F_Custom1_V)),1,IFERROR(IF(ISNUMBER(SEARCH("|"&amp;INDEX(INDIRECT(F_Custom1_resolved_column),141)&amp;"|",("|" &amp; SUBSTITUTE(F_Custom1_resolved_criteria, ", ", "|") &amp; "|"))),1,0),0))</f>
        <v>1</v>
      </c>
      <c r="E142">
        <f>IF(OR(F_Custom2_Q="(None)",F_Custom2_Q="",ISBLANK(F_Custom2_Q),F_Custom2_V="(All)",F_Custom2_V="",ISBLANK(F_Custom2_V)),1,IFERROR(IF(ISNUMBER(SEARCH("|"&amp;INDEX(INDIRECT(F_Custom2_resolved_column),141)&amp;"|",("|" &amp; SUBSTITUTE(F_Custom2_resolved_criteria, ", ", "|") &amp; "|"))),1,0),0))</f>
        <v>1</v>
      </c>
      <c r="F142">
        <f>D142*E142*1</f>
        <v>1</v>
      </c>
      <c r="G142">
        <f>1</f>
        <v>1</v>
      </c>
      <c r="H142">
        <f>IF(OR(All_Questions_Q6_F_Q="(None)",All_Questions_Q6_F_Q="",ISBLANK(All_Questions_Q6_F_Q),All_Questions_Q6_F_V="(All)",All_Questions_Q6_F_V="",ISBLANK(All_Questions_Q6_F_V)),1,IFERROR(IF(ISNUMBER(SEARCH("|"&amp;INDEX(INDIRECT(All_Questions_Q6_F_resolved_column),141)&amp;"|",("|" &amp; SUBSTITUTE(All_Questions_Q6_F_resolved_criteria, ", ", "|") &amp; "|"))),1,0),0))*1</f>
        <v>1</v>
      </c>
    </row>
    <row r="143">
      <c r="A143" t="n">
        <v>142</v>
      </c>
      <c r="B143" t="n">
        <v>26.3695</v>
      </c>
      <c r="C143">
        <f>1</f>
        <v>1</v>
      </c>
      <c r="D143">
        <f>IF(OR(F_Custom1_Q="(None)",F_Custom1_Q="",ISBLANK(F_Custom1_Q),F_Custom1_V="(All)",F_Custom1_V="",ISBLANK(F_Custom1_V)),1,IFERROR(IF(ISNUMBER(SEARCH("|"&amp;INDEX(INDIRECT(F_Custom1_resolved_column),142)&amp;"|",("|" &amp; SUBSTITUTE(F_Custom1_resolved_criteria, ", ", "|") &amp; "|"))),1,0),0))</f>
        <v>1</v>
      </c>
      <c r="E143">
        <f>IF(OR(F_Custom2_Q="(None)",F_Custom2_Q="",ISBLANK(F_Custom2_Q),F_Custom2_V="(All)",F_Custom2_V="",ISBLANK(F_Custom2_V)),1,IFERROR(IF(ISNUMBER(SEARCH("|"&amp;INDEX(INDIRECT(F_Custom2_resolved_column),142)&amp;"|",("|" &amp; SUBSTITUTE(F_Custom2_resolved_criteria, ", ", "|") &amp; "|"))),1,0),0))</f>
        <v>1</v>
      </c>
      <c r="F143">
        <f>D143*E143*1</f>
        <v>1</v>
      </c>
      <c r="G143">
        <f>1</f>
        <v>1</v>
      </c>
      <c r="H143">
        <f>IF(OR(All_Questions_Q6_F_Q="(None)",All_Questions_Q6_F_Q="",ISBLANK(All_Questions_Q6_F_Q),All_Questions_Q6_F_V="(All)",All_Questions_Q6_F_V="",ISBLANK(All_Questions_Q6_F_V)),1,IFERROR(IF(ISNUMBER(SEARCH("|"&amp;INDEX(INDIRECT(All_Questions_Q6_F_resolved_column),142)&amp;"|",("|" &amp; SUBSTITUTE(All_Questions_Q6_F_resolved_criteria, ", ", "|") &amp; "|"))),1,0),0))*1</f>
        <v>1</v>
      </c>
    </row>
    <row r="144">
      <c r="A144" t="n">
        <v>143</v>
      </c>
      <c r="B144" t="n">
        <v>26.3695</v>
      </c>
      <c r="C144">
        <f>1</f>
        <v>1</v>
      </c>
      <c r="D144">
        <f>IF(OR(F_Custom1_Q="(None)",F_Custom1_Q="",ISBLANK(F_Custom1_Q),F_Custom1_V="(All)",F_Custom1_V="",ISBLANK(F_Custom1_V)),1,IFERROR(IF(ISNUMBER(SEARCH("|"&amp;INDEX(INDIRECT(F_Custom1_resolved_column),143)&amp;"|",("|" &amp; SUBSTITUTE(F_Custom1_resolved_criteria, ", ", "|") &amp; "|"))),1,0),0))</f>
        <v>1</v>
      </c>
      <c r="E144">
        <f>IF(OR(F_Custom2_Q="(None)",F_Custom2_Q="",ISBLANK(F_Custom2_Q),F_Custom2_V="(All)",F_Custom2_V="",ISBLANK(F_Custom2_V)),1,IFERROR(IF(ISNUMBER(SEARCH("|"&amp;INDEX(INDIRECT(F_Custom2_resolved_column),143)&amp;"|",("|" &amp; SUBSTITUTE(F_Custom2_resolved_criteria, ", ", "|") &amp; "|"))),1,0),0))</f>
        <v>1</v>
      </c>
      <c r="F144">
        <f>D144*E144*1</f>
        <v>1</v>
      </c>
      <c r="G144">
        <f>1</f>
        <v>1</v>
      </c>
      <c r="H144">
        <f>IF(OR(All_Questions_Q6_F_Q="(None)",All_Questions_Q6_F_Q="",ISBLANK(All_Questions_Q6_F_Q),All_Questions_Q6_F_V="(All)",All_Questions_Q6_F_V="",ISBLANK(All_Questions_Q6_F_V)),1,IFERROR(IF(ISNUMBER(SEARCH("|"&amp;INDEX(INDIRECT(All_Questions_Q6_F_resolved_column),143)&amp;"|",("|" &amp; SUBSTITUTE(All_Questions_Q6_F_resolved_criteria, ", ", "|") &amp; "|"))),1,0),0))*1</f>
        <v>1</v>
      </c>
    </row>
    <row r="145">
      <c r="A145" t="n">
        <v>144</v>
      </c>
      <c r="B145" t="n">
        <v>26.3695</v>
      </c>
      <c r="C145">
        <f>1</f>
        <v>1</v>
      </c>
      <c r="D145">
        <f>IF(OR(F_Custom1_Q="(None)",F_Custom1_Q="",ISBLANK(F_Custom1_Q),F_Custom1_V="(All)",F_Custom1_V="",ISBLANK(F_Custom1_V)),1,IFERROR(IF(ISNUMBER(SEARCH("|"&amp;INDEX(INDIRECT(F_Custom1_resolved_column),144)&amp;"|",("|" &amp; SUBSTITUTE(F_Custom1_resolved_criteria, ", ", "|") &amp; "|"))),1,0),0))</f>
        <v>1</v>
      </c>
      <c r="E145">
        <f>IF(OR(F_Custom2_Q="(None)",F_Custom2_Q="",ISBLANK(F_Custom2_Q),F_Custom2_V="(All)",F_Custom2_V="",ISBLANK(F_Custom2_V)),1,IFERROR(IF(ISNUMBER(SEARCH("|"&amp;INDEX(INDIRECT(F_Custom2_resolved_column),144)&amp;"|",("|" &amp; SUBSTITUTE(F_Custom2_resolved_criteria, ", ", "|") &amp; "|"))),1,0),0))</f>
        <v>1</v>
      </c>
      <c r="F145">
        <f>D145*E145*1</f>
        <v>1</v>
      </c>
      <c r="G145">
        <f>1</f>
        <v>1</v>
      </c>
      <c r="H145">
        <f>IF(OR(All_Questions_Q6_F_Q="(None)",All_Questions_Q6_F_Q="",ISBLANK(All_Questions_Q6_F_Q),All_Questions_Q6_F_V="(All)",All_Questions_Q6_F_V="",ISBLANK(All_Questions_Q6_F_V)),1,IFERROR(IF(ISNUMBER(SEARCH("|"&amp;INDEX(INDIRECT(All_Questions_Q6_F_resolved_column),144)&amp;"|",("|" &amp; SUBSTITUTE(All_Questions_Q6_F_resolved_criteria, ", ", "|") &amp; "|"))),1,0),0))*1</f>
        <v>1</v>
      </c>
    </row>
    <row r="146">
      <c r="A146" t="n">
        <v>145</v>
      </c>
      <c r="B146" t="n">
        <v>26.3695</v>
      </c>
      <c r="C146">
        <f>1</f>
        <v>1</v>
      </c>
      <c r="D146">
        <f>IF(OR(F_Custom1_Q="(None)",F_Custom1_Q="",ISBLANK(F_Custom1_Q),F_Custom1_V="(All)",F_Custom1_V="",ISBLANK(F_Custom1_V)),1,IFERROR(IF(ISNUMBER(SEARCH("|"&amp;INDEX(INDIRECT(F_Custom1_resolved_column),145)&amp;"|",("|" &amp; SUBSTITUTE(F_Custom1_resolved_criteria, ", ", "|") &amp; "|"))),1,0),0))</f>
        <v>1</v>
      </c>
      <c r="E146">
        <f>IF(OR(F_Custom2_Q="(None)",F_Custom2_Q="",ISBLANK(F_Custom2_Q),F_Custom2_V="(All)",F_Custom2_V="",ISBLANK(F_Custom2_V)),1,IFERROR(IF(ISNUMBER(SEARCH("|"&amp;INDEX(INDIRECT(F_Custom2_resolved_column),145)&amp;"|",("|" &amp; SUBSTITUTE(F_Custom2_resolved_criteria, ", ", "|") &amp; "|"))),1,0),0))</f>
        <v>1</v>
      </c>
      <c r="F146">
        <f>D146*E146*1</f>
        <v>1</v>
      </c>
      <c r="G146">
        <f>1</f>
        <v>1</v>
      </c>
      <c r="H146">
        <f>IF(OR(All_Questions_Q6_F_Q="(None)",All_Questions_Q6_F_Q="",ISBLANK(All_Questions_Q6_F_Q),All_Questions_Q6_F_V="(All)",All_Questions_Q6_F_V="",ISBLANK(All_Questions_Q6_F_V)),1,IFERROR(IF(ISNUMBER(SEARCH("|"&amp;INDEX(INDIRECT(All_Questions_Q6_F_resolved_column),145)&amp;"|",("|" &amp; SUBSTITUTE(All_Questions_Q6_F_resolved_criteria, ", ", "|") &amp; "|"))),1,0),0))*1</f>
        <v>1</v>
      </c>
    </row>
    <row r="147">
      <c r="A147" t="n">
        <v>146</v>
      </c>
      <c r="B147" t="n">
        <v>26.3695</v>
      </c>
      <c r="C147">
        <f>1</f>
        <v>1</v>
      </c>
      <c r="D147">
        <f>IF(OR(F_Custom1_Q="(None)",F_Custom1_Q="",ISBLANK(F_Custom1_Q),F_Custom1_V="(All)",F_Custom1_V="",ISBLANK(F_Custom1_V)),1,IFERROR(IF(ISNUMBER(SEARCH("|"&amp;INDEX(INDIRECT(F_Custom1_resolved_column),146)&amp;"|",("|" &amp; SUBSTITUTE(F_Custom1_resolved_criteria, ", ", "|") &amp; "|"))),1,0),0))</f>
        <v>1</v>
      </c>
      <c r="E147">
        <f>IF(OR(F_Custom2_Q="(None)",F_Custom2_Q="",ISBLANK(F_Custom2_Q),F_Custom2_V="(All)",F_Custom2_V="",ISBLANK(F_Custom2_V)),1,IFERROR(IF(ISNUMBER(SEARCH("|"&amp;INDEX(INDIRECT(F_Custom2_resolved_column),146)&amp;"|",("|" &amp; SUBSTITUTE(F_Custom2_resolved_criteria, ", ", "|") &amp; "|"))),1,0),0))</f>
        <v>1</v>
      </c>
      <c r="F147">
        <f>D147*E147*1</f>
        <v>1</v>
      </c>
      <c r="G147">
        <f>1</f>
        <v>1</v>
      </c>
      <c r="H147">
        <f>IF(OR(All_Questions_Q6_F_Q="(None)",All_Questions_Q6_F_Q="",ISBLANK(All_Questions_Q6_F_Q),All_Questions_Q6_F_V="(All)",All_Questions_Q6_F_V="",ISBLANK(All_Questions_Q6_F_V)),1,IFERROR(IF(ISNUMBER(SEARCH("|"&amp;INDEX(INDIRECT(All_Questions_Q6_F_resolved_column),146)&amp;"|",("|" &amp; SUBSTITUTE(All_Questions_Q6_F_resolved_criteria, ", ", "|") &amp; "|"))),1,0),0))*1</f>
        <v>1</v>
      </c>
    </row>
    <row r="148">
      <c r="A148" t="n">
        <v>147</v>
      </c>
      <c r="B148" t="n">
        <v>26.3695</v>
      </c>
      <c r="C148">
        <f>1</f>
        <v>1</v>
      </c>
      <c r="D148">
        <f>IF(OR(F_Custom1_Q="(None)",F_Custom1_Q="",ISBLANK(F_Custom1_Q),F_Custom1_V="(All)",F_Custom1_V="",ISBLANK(F_Custom1_V)),1,IFERROR(IF(ISNUMBER(SEARCH("|"&amp;INDEX(INDIRECT(F_Custom1_resolved_column),147)&amp;"|",("|" &amp; SUBSTITUTE(F_Custom1_resolved_criteria, ", ", "|") &amp; "|"))),1,0),0))</f>
        <v>1</v>
      </c>
      <c r="E148">
        <f>IF(OR(F_Custom2_Q="(None)",F_Custom2_Q="",ISBLANK(F_Custom2_Q),F_Custom2_V="(All)",F_Custom2_V="",ISBLANK(F_Custom2_V)),1,IFERROR(IF(ISNUMBER(SEARCH("|"&amp;INDEX(INDIRECT(F_Custom2_resolved_column),147)&amp;"|",("|" &amp; SUBSTITUTE(F_Custom2_resolved_criteria, ", ", "|") &amp; "|"))),1,0),0))</f>
        <v>1</v>
      </c>
      <c r="F148">
        <f>D148*E148*1</f>
        <v>1</v>
      </c>
      <c r="G148">
        <f>1</f>
        <v>1</v>
      </c>
      <c r="H148">
        <f>IF(OR(All_Questions_Q6_F_Q="(None)",All_Questions_Q6_F_Q="",ISBLANK(All_Questions_Q6_F_Q),All_Questions_Q6_F_V="(All)",All_Questions_Q6_F_V="",ISBLANK(All_Questions_Q6_F_V)),1,IFERROR(IF(ISNUMBER(SEARCH("|"&amp;INDEX(INDIRECT(All_Questions_Q6_F_resolved_column),147)&amp;"|",("|" &amp; SUBSTITUTE(All_Questions_Q6_F_resolved_criteria, ", ", "|") &amp; "|"))),1,0),0))*1</f>
        <v>1</v>
      </c>
    </row>
    <row r="149">
      <c r="A149" t="n">
        <v>148</v>
      </c>
      <c r="B149" t="n">
        <v>26.3695</v>
      </c>
      <c r="C149">
        <f>1</f>
        <v>1</v>
      </c>
      <c r="D149">
        <f>IF(OR(F_Custom1_Q="(None)",F_Custom1_Q="",ISBLANK(F_Custom1_Q),F_Custom1_V="(All)",F_Custom1_V="",ISBLANK(F_Custom1_V)),1,IFERROR(IF(ISNUMBER(SEARCH("|"&amp;INDEX(INDIRECT(F_Custom1_resolved_column),148)&amp;"|",("|" &amp; SUBSTITUTE(F_Custom1_resolved_criteria, ", ", "|") &amp; "|"))),1,0),0))</f>
        <v>1</v>
      </c>
      <c r="E149">
        <f>IF(OR(F_Custom2_Q="(None)",F_Custom2_Q="",ISBLANK(F_Custom2_Q),F_Custom2_V="(All)",F_Custom2_V="",ISBLANK(F_Custom2_V)),1,IFERROR(IF(ISNUMBER(SEARCH("|"&amp;INDEX(INDIRECT(F_Custom2_resolved_column),148)&amp;"|",("|" &amp; SUBSTITUTE(F_Custom2_resolved_criteria, ", ", "|") &amp; "|"))),1,0),0))</f>
        <v>1</v>
      </c>
      <c r="F149">
        <f>D149*E149*1</f>
        <v>1</v>
      </c>
      <c r="G149">
        <f>1</f>
        <v>1</v>
      </c>
      <c r="H149">
        <f>IF(OR(All_Questions_Q6_F_Q="(None)",All_Questions_Q6_F_Q="",ISBLANK(All_Questions_Q6_F_Q),All_Questions_Q6_F_V="(All)",All_Questions_Q6_F_V="",ISBLANK(All_Questions_Q6_F_V)),1,IFERROR(IF(ISNUMBER(SEARCH("|"&amp;INDEX(INDIRECT(All_Questions_Q6_F_resolved_column),148)&amp;"|",("|" &amp; SUBSTITUTE(All_Questions_Q6_F_resolved_criteria, ", ", "|") &amp; "|"))),1,0),0))*1</f>
        <v>1</v>
      </c>
    </row>
    <row r="150">
      <c r="A150" t="n">
        <v>149</v>
      </c>
      <c r="B150" t="n">
        <v>26.3695</v>
      </c>
      <c r="C150">
        <f>1</f>
        <v>1</v>
      </c>
      <c r="D150">
        <f>IF(OR(F_Custom1_Q="(None)",F_Custom1_Q="",ISBLANK(F_Custom1_Q),F_Custom1_V="(All)",F_Custom1_V="",ISBLANK(F_Custom1_V)),1,IFERROR(IF(ISNUMBER(SEARCH("|"&amp;INDEX(INDIRECT(F_Custom1_resolved_column),149)&amp;"|",("|" &amp; SUBSTITUTE(F_Custom1_resolved_criteria, ", ", "|") &amp; "|"))),1,0),0))</f>
        <v>1</v>
      </c>
      <c r="E150">
        <f>IF(OR(F_Custom2_Q="(None)",F_Custom2_Q="",ISBLANK(F_Custom2_Q),F_Custom2_V="(All)",F_Custom2_V="",ISBLANK(F_Custom2_V)),1,IFERROR(IF(ISNUMBER(SEARCH("|"&amp;INDEX(INDIRECT(F_Custom2_resolved_column),149)&amp;"|",("|" &amp; SUBSTITUTE(F_Custom2_resolved_criteria, ", ", "|") &amp; "|"))),1,0),0))</f>
        <v>1</v>
      </c>
      <c r="F150">
        <f>D150*E150*1</f>
        <v>1</v>
      </c>
      <c r="G150">
        <f>1</f>
        <v>1</v>
      </c>
      <c r="H150">
        <f>IF(OR(All_Questions_Q6_F_Q="(None)",All_Questions_Q6_F_Q="",ISBLANK(All_Questions_Q6_F_Q),All_Questions_Q6_F_V="(All)",All_Questions_Q6_F_V="",ISBLANK(All_Questions_Q6_F_V)),1,IFERROR(IF(ISNUMBER(SEARCH("|"&amp;INDEX(INDIRECT(All_Questions_Q6_F_resolved_column),149)&amp;"|",("|" &amp; SUBSTITUTE(All_Questions_Q6_F_resolved_criteria, ", ", "|") &amp; "|"))),1,0),0))*1</f>
        <v>1</v>
      </c>
    </row>
    <row r="151">
      <c r="A151" t="n">
        <v>150</v>
      </c>
      <c r="B151" t="n">
        <v>26.3695</v>
      </c>
      <c r="C151">
        <f>1</f>
        <v>1</v>
      </c>
      <c r="D151">
        <f>IF(OR(F_Custom1_Q="(None)",F_Custom1_Q="",ISBLANK(F_Custom1_Q),F_Custom1_V="(All)",F_Custom1_V="",ISBLANK(F_Custom1_V)),1,IFERROR(IF(ISNUMBER(SEARCH("|"&amp;INDEX(INDIRECT(F_Custom1_resolved_column),150)&amp;"|",("|" &amp; SUBSTITUTE(F_Custom1_resolved_criteria, ", ", "|") &amp; "|"))),1,0),0))</f>
        <v>1</v>
      </c>
      <c r="E151">
        <f>IF(OR(F_Custom2_Q="(None)",F_Custom2_Q="",ISBLANK(F_Custom2_Q),F_Custom2_V="(All)",F_Custom2_V="",ISBLANK(F_Custom2_V)),1,IFERROR(IF(ISNUMBER(SEARCH("|"&amp;INDEX(INDIRECT(F_Custom2_resolved_column),150)&amp;"|",("|" &amp; SUBSTITUTE(F_Custom2_resolved_criteria, ", ", "|") &amp; "|"))),1,0),0))</f>
        <v>1</v>
      </c>
      <c r="F151">
        <f>D151*E151*1</f>
        <v>1</v>
      </c>
      <c r="G151">
        <f>1</f>
        <v>1</v>
      </c>
      <c r="H151">
        <f>IF(OR(All_Questions_Q6_F_Q="(None)",All_Questions_Q6_F_Q="",ISBLANK(All_Questions_Q6_F_Q),All_Questions_Q6_F_V="(All)",All_Questions_Q6_F_V="",ISBLANK(All_Questions_Q6_F_V)),1,IFERROR(IF(ISNUMBER(SEARCH("|"&amp;INDEX(INDIRECT(All_Questions_Q6_F_resolved_column),150)&amp;"|",("|" &amp; SUBSTITUTE(All_Questions_Q6_F_resolved_criteria, ", ", "|") &amp; "|"))),1,0),0))*1</f>
        <v>1</v>
      </c>
    </row>
    <row r="152">
      <c r="A152" t="n">
        <v>151</v>
      </c>
      <c r="B152" t="n">
        <v>26.3695</v>
      </c>
      <c r="C152">
        <f>1</f>
        <v>1</v>
      </c>
      <c r="D152">
        <f>IF(OR(F_Custom1_Q="(None)",F_Custom1_Q="",ISBLANK(F_Custom1_Q),F_Custom1_V="(All)",F_Custom1_V="",ISBLANK(F_Custom1_V)),1,IFERROR(IF(ISNUMBER(SEARCH("|"&amp;INDEX(INDIRECT(F_Custom1_resolved_column),151)&amp;"|",("|" &amp; SUBSTITUTE(F_Custom1_resolved_criteria, ", ", "|") &amp; "|"))),1,0),0))</f>
        <v>1</v>
      </c>
      <c r="E152">
        <f>IF(OR(F_Custom2_Q="(None)",F_Custom2_Q="",ISBLANK(F_Custom2_Q),F_Custom2_V="(All)",F_Custom2_V="",ISBLANK(F_Custom2_V)),1,IFERROR(IF(ISNUMBER(SEARCH("|"&amp;INDEX(INDIRECT(F_Custom2_resolved_column),151)&amp;"|",("|" &amp; SUBSTITUTE(F_Custom2_resolved_criteria, ", ", "|") &amp; "|"))),1,0),0))</f>
        <v>1</v>
      </c>
      <c r="F152">
        <f>D152*E152*1</f>
        <v>1</v>
      </c>
      <c r="G152">
        <f>1</f>
        <v>1</v>
      </c>
      <c r="H152">
        <f>IF(OR(All_Questions_Q6_F_Q="(None)",All_Questions_Q6_F_Q="",ISBLANK(All_Questions_Q6_F_Q),All_Questions_Q6_F_V="(All)",All_Questions_Q6_F_V="",ISBLANK(All_Questions_Q6_F_V)),1,IFERROR(IF(ISNUMBER(SEARCH("|"&amp;INDEX(INDIRECT(All_Questions_Q6_F_resolved_column),151)&amp;"|",("|" &amp; SUBSTITUTE(All_Questions_Q6_F_resolved_criteria, ", ", "|") &amp; "|"))),1,0),0))*1</f>
        <v>1</v>
      </c>
    </row>
    <row r="153">
      <c r="A153" t="n">
        <v>152</v>
      </c>
      <c r="B153" t="n">
        <v>26.3695</v>
      </c>
      <c r="C153">
        <f>1</f>
        <v>1</v>
      </c>
      <c r="D153">
        <f>IF(OR(F_Custom1_Q="(None)",F_Custom1_Q="",ISBLANK(F_Custom1_Q),F_Custom1_V="(All)",F_Custom1_V="",ISBLANK(F_Custom1_V)),1,IFERROR(IF(ISNUMBER(SEARCH("|"&amp;INDEX(INDIRECT(F_Custom1_resolved_column),152)&amp;"|",("|" &amp; SUBSTITUTE(F_Custom1_resolved_criteria, ", ", "|") &amp; "|"))),1,0),0))</f>
        <v>1</v>
      </c>
      <c r="E153">
        <f>IF(OR(F_Custom2_Q="(None)",F_Custom2_Q="",ISBLANK(F_Custom2_Q),F_Custom2_V="(All)",F_Custom2_V="",ISBLANK(F_Custom2_V)),1,IFERROR(IF(ISNUMBER(SEARCH("|"&amp;INDEX(INDIRECT(F_Custom2_resolved_column),152)&amp;"|",("|" &amp; SUBSTITUTE(F_Custom2_resolved_criteria, ", ", "|") &amp; "|"))),1,0),0))</f>
        <v>1</v>
      </c>
      <c r="F153">
        <f>D153*E153*1</f>
        <v>1</v>
      </c>
      <c r="G153">
        <f>1</f>
        <v>1</v>
      </c>
      <c r="H153">
        <f>IF(OR(All_Questions_Q6_F_Q="(None)",All_Questions_Q6_F_Q="",ISBLANK(All_Questions_Q6_F_Q),All_Questions_Q6_F_V="(All)",All_Questions_Q6_F_V="",ISBLANK(All_Questions_Q6_F_V)),1,IFERROR(IF(ISNUMBER(SEARCH("|"&amp;INDEX(INDIRECT(All_Questions_Q6_F_resolved_column),152)&amp;"|",("|" &amp; SUBSTITUTE(All_Questions_Q6_F_resolved_criteria, ", ", "|") &amp; "|"))),1,0),0))*1</f>
        <v>1</v>
      </c>
    </row>
    <row r="154">
      <c r="A154" t="n">
        <v>153</v>
      </c>
      <c r="B154" t="n">
        <v>26.3695</v>
      </c>
      <c r="C154">
        <f>1</f>
        <v>1</v>
      </c>
      <c r="D154">
        <f>IF(OR(F_Custom1_Q="(None)",F_Custom1_Q="",ISBLANK(F_Custom1_Q),F_Custom1_V="(All)",F_Custom1_V="",ISBLANK(F_Custom1_V)),1,IFERROR(IF(ISNUMBER(SEARCH("|"&amp;INDEX(INDIRECT(F_Custom1_resolved_column),153)&amp;"|",("|" &amp; SUBSTITUTE(F_Custom1_resolved_criteria, ", ", "|") &amp; "|"))),1,0),0))</f>
        <v>1</v>
      </c>
      <c r="E154">
        <f>IF(OR(F_Custom2_Q="(None)",F_Custom2_Q="",ISBLANK(F_Custom2_Q),F_Custom2_V="(All)",F_Custom2_V="",ISBLANK(F_Custom2_V)),1,IFERROR(IF(ISNUMBER(SEARCH("|"&amp;INDEX(INDIRECT(F_Custom2_resolved_column),153)&amp;"|",("|" &amp; SUBSTITUTE(F_Custom2_resolved_criteria, ", ", "|") &amp; "|"))),1,0),0))</f>
        <v>1</v>
      </c>
      <c r="F154">
        <f>D154*E154*1</f>
        <v>1</v>
      </c>
      <c r="G154">
        <f>1</f>
        <v>1</v>
      </c>
      <c r="H154">
        <f>IF(OR(All_Questions_Q6_F_Q="(None)",All_Questions_Q6_F_Q="",ISBLANK(All_Questions_Q6_F_Q),All_Questions_Q6_F_V="(All)",All_Questions_Q6_F_V="",ISBLANK(All_Questions_Q6_F_V)),1,IFERROR(IF(ISNUMBER(SEARCH("|"&amp;INDEX(INDIRECT(All_Questions_Q6_F_resolved_column),153)&amp;"|",("|" &amp; SUBSTITUTE(All_Questions_Q6_F_resolved_criteria, ", ", "|") &amp; "|"))),1,0),0))*1</f>
        <v>1</v>
      </c>
    </row>
    <row r="155">
      <c r="A155" t="n">
        <v>154</v>
      </c>
      <c r="B155" t="n">
        <v>26.3695</v>
      </c>
      <c r="C155">
        <f>1</f>
        <v>1</v>
      </c>
      <c r="D155">
        <f>IF(OR(F_Custom1_Q="(None)",F_Custom1_Q="",ISBLANK(F_Custom1_Q),F_Custom1_V="(All)",F_Custom1_V="",ISBLANK(F_Custom1_V)),1,IFERROR(IF(ISNUMBER(SEARCH("|"&amp;INDEX(INDIRECT(F_Custom1_resolved_column),154)&amp;"|",("|" &amp; SUBSTITUTE(F_Custom1_resolved_criteria, ", ", "|") &amp; "|"))),1,0),0))</f>
        <v>1</v>
      </c>
      <c r="E155">
        <f>IF(OR(F_Custom2_Q="(None)",F_Custom2_Q="",ISBLANK(F_Custom2_Q),F_Custom2_V="(All)",F_Custom2_V="",ISBLANK(F_Custom2_V)),1,IFERROR(IF(ISNUMBER(SEARCH("|"&amp;INDEX(INDIRECT(F_Custom2_resolved_column),154)&amp;"|",("|" &amp; SUBSTITUTE(F_Custom2_resolved_criteria, ", ", "|") &amp; "|"))),1,0),0))</f>
        <v>1</v>
      </c>
      <c r="F155">
        <f>D155*E155*1</f>
        <v>1</v>
      </c>
      <c r="G155">
        <f>1</f>
        <v>1</v>
      </c>
      <c r="H155">
        <f>IF(OR(All_Questions_Q6_F_Q="(None)",All_Questions_Q6_F_Q="",ISBLANK(All_Questions_Q6_F_Q),All_Questions_Q6_F_V="(All)",All_Questions_Q6_F_V="",ISBLANK(All_Questions_Q6_F_V)),1,IFERROR(IF(ISNUMBER(SEARCH("|"&amp;INDEX(INDIRECT(All_Questions_Q6_F_resolved_column),154)&amp;"|",("|" &amp; SUBSTITUTE(All_Questions_Q6_F_resolved_criteria, ", ", "|") &amp; "|"))),1,0),0))*1</f>
        <v>1</v>
      </c>
    </row>
    <row r="156">
      <c r="A156" t="n">
        <v>155</v>
      </c>
      <c r="B156" t="n">
        <v>26.3695</v>
      </c>
      <c r="C156">
        <f>1</f>
        <v>1</v>
      </c>
      <c r="D156">
        <f>IF(OR(F_Custom1_Q="(None)",F_Custom1_Q="",ISBLANK(F_Custom1_Q),F_Custom1_V="(All)",F_Custom1_V="",ISBLANK(F_Custom1_V)),1,IFERROR(IF(ISNUMBER(SEARCH("|"&amp;INDEX(INDIRECT(F_Custom1_resolved_column),155)&amp;"|",("|" &amp; SUBSTITUTE(F_Custom1_resolved_criteria, ", ", "|") &amp; "|"))),1,0),0))</f>
        <v>1</v>
      </c>
      <c r="E156">
        <f>IF(OR(F_Custom2_Q="(None)",F_Custom2_Q="",ISBLANK(F_Custom2_Q),F_Custom2_V="(All)",F_Custom2_V="",ISBLANK(F_Custom2_V)),1,IFERROR(IF(ISNUMBER(SEARCH("|"&amp;INDEX(INDIRECT(F_Custom2_resolved_column),155)&amp;"|",("|" &amp; SUBSTITUTE(F_Custom2_resolved_criteria, ", ", "|") &amp; "|"))),1,0),0))</f>
        <v>1</v>
      </c>
      <c r="F156">
        <f>D156*E156*1</f>
        <v>1</v>
      </c>
      <c r="G156">
        <f>1</f>
        <v>1</v>
      </c>
      <c r="H156">
        <f>IF(OR(All_Questions_Q6_F_Q="(None)",All_Questions_Q6_F_Q="",ISBLANK(All_Questions_Q6_F_Q),All_Questions_Q6_F_V="(All)",All_Questions_Q6_F_V="",ISBLANK(All_Questions_Q6_F_V)),1,IFERROR(IF(ISNUMBER(SEARCH("|"&amp;INDEX(INDIRECT(All_Questions_Q6_F_resolved_column),155)&amp;"|",("|" &amp; SUBSTITUTE(All_Questions_Q6_F_resolved_criteria, ", ", "|") &amp; "|"))),1,0),0))*1</f>
        <v>1</v>
      </c>
    </row>
    <row r="157">
      <c r="A157" t="n">
        <v>156</v>
      </c>
      <c r="B157" t="n">
        <v>26.3695</v>
      </c>
      <c r="C157">
        <f>1</f>
        <v>1</v>
      </c>
      <c r="D157">
        <f>IF(OR(F_Custom1_Q="(None)",F_Custom1_Q="",ISBLANK(F_Custom1_Q),F_Custom1_V="(All)",F_Custom1_V="",ISBLANK(F_Custom1_V)),1,IFERROR(IF(ISNUMBER(SEARCH("|"&amp;INDEX(INDIRECT(F_Custom1_resolved_column),156)&amp;"|",("|" &amp; SUBSTITUTE(F_Custom1_resolved_criteria, ", ", "|") &amp; "|"))),1,0),0))</f>
        <v>1</v>
      </c>
      <c r="E157">
        <f>IF(OR(F_Custom2_Q="(None)",F_Custom2_Q="",ISBLANK(F_Custom2_Q),F_Custom2_V="(All)",F_Custom2_V="",ISBLANK(F_Custom2_V)),1,IFERROR(IF(ISNUMBER(SEARCH("|"&amp;INDEX(INDIRECT(F_Custom2_resolved_column),156)&amp;"|",("|" &amp; SUBSTITUTE(F_Custom2_resolved_criteria, ", ", "|") &amp; "|"))),1,0),0))</f>
        <v>1</v>
      </c>
      <c r="F157">
        <f>D157*E157*1</f>
        <v>1</v>
      </c>
      <c r="G157">
        <f>1</f>
        <v>1</v>
      </c>
      <c r="H157">
        <f>IF(OR(All_Questions_Q6_F_Q="(None)",All_Questions_Q6_F_Q="",ISBLANK(All_Questions_Q6_F_Q),All_Questions_Q6_F_V="(All)",All_Questions_Q6_F_V="",ISBLANK(All_Questions_Q6_F_V)),1,IFERROR(IF(ISNUMBER(SEARCH("|"&amp;INDEX(INDIRECT(All_Questions_Q6_F_resolved_column),156)&amp;"|",("|" &amp; SUBSTITUTE(All_Questions_Q6_F_resolved_criteria, ", ", "|") &amp; "|"))),1,0),0))*1</f>
        <v>1</v>
      </c>
    </row>
    <row r="158">
      <c r="A158" t="n">
        <v>157</v>
      </c>
      <c r="B158" t="n">
        <v>26.3695</v>
      </c>
      <c r="C158">
        <f>1</f>
        <v>1</v>
      </c>
      <c r="D158">
        <f>IF(OR(F_Custom1_Q="(None)",F_Custom1_Q="",ISBLANK(F_Custom1_Q),F_Custom1_V="(All)",F_Custom1_V="",ISBLANK(F_Custom1_V)),1,IFERROR(IF(ISNUMBER(SEARCH("|"&amp;INDEX(INDIRECT(F_Custom1_resolved_column),157)&amp;"|",("|" &amp; SUBSTITUTE(F_Custom1_resolved_criteria, ", ", "|") &amp; "|"))),1,0),0))</f>
        <v>1</v>
      </c>
      <c r="E158">
        <f>IF(OR(F_Custom2_Q="(None)",F_Custom2_Q="",ISBLANK(F_Custom2_Q),F_Custom2_V="(All)",F_Custom2_V="",ISBLANK(F_Custom2_V)),1,IFERROR(IF(ISNUMBER(SEARCH("|"&amp;INDEX(INDIRECT(F_Custom2_resolved_column),157)&amp;"|",("|" &amp; SUBSTITUTE(F_Custom2_resolved_criteria, ", ", "|") &amp; "|"))),1,0),0))</f>
        <v>1</v>
      </c>
      <c r="F158">
        <f>D158*E158*1</f>
        <v>1</v>
      </c>
      <c r="G158">
        <f>1</f>
        <v>1</v>
      </c>
      <c r="H158">
        <f>IF(OR(All_Questions_Q6_F_Q="(None)",All_Questions_Q6_F_Q="",ISBLANK(All_Questions_Q6_F_Q),All_Questions_Q6_F_V="(All)",All_Questions_Q6_F_V="",ISBLANK(All_Questions_Q6_F_V)),1,IFERROR(IF(ISNUMBER(SEARCH("|"&amp;INDEX(INDIRECT(All_Questions_Q6_F_resolved_column),157)&amp;"|",("|" &amp; SUBSTITUTE(All_Questions_Q6_F_resolved_criteria, ", ", "|") &amp; "|"))),1,0),0))*1</f>
        <v>1</v>
      </c>
    </row>
    <row r="159">
      <c r="A159" t="n">
        <v>158</v>
      </c>
      <c r="B159" t="n">
        <v>26.3695</v>
      </c>
      <c r="C159">
        <f>1</f>
        <v>1</v>
      </c>
      <c r="D159">
        <f>IF(OR(F_Custom1_Q="(None)",F_Custom1_Q="",ISBLANK(F_Custom1_Q),F_Custom1_V="(All)",F_Custom1_V="",ISBLANK(F_Custom1_V)),1,IFERROR(IF(ISNUMBER(SEARCH("|"&amp;INDEX(INDIRECT(F_Custom1_resolved_column),158)&amp;"|",("|" &amp; SUBSTITUTE(F_Custom1_resolved_criteria, ", ", "|") &amp; "|"))),1,0),0))</f>
        <v>1</v>
      </c>
      <c r="E159">
        <f>IF(OR(F_Custom2_Q="(None)",F_Custom2_Q="",ISBLANK(F_Custom2_Q),F_Custom2_V="(All)",F_Custom2_V="",ISBLANK(F_Custom2_V)),1,IFERROR(IF(ISNUMBER(SEARCH("|"&amp;INDEX(INDIRECT(F_Custom2_resolved_column),158)&amp;"|",("|" &amp; SUBSTITUTE(F_Custom2_resolved_criteria, ", ", "|") &amp; "|"))),1,0),0))</f>
        <v>1</v>
      </c>
      <c r="F159">
        <f>D159*E159*1</f>
        <v>1</v>
      </c>
      <c r="G159">
        <f>1</f>
        <v>1</v>
      </c>
      <c r="H159">
        <f>IF(OR(All_Questions_Q6_F_Q="(None)",All_Questions_Q6_F_Q="",ISBLANK(All_Questions_Q6_F_Q),All_Questions_Q6_F_V="(All)",All_Questions_Q6_F_V="",ISBLANK(All_Questions_Q6_F_V)),1,IFERROR(IF(ISNUMBER(SEARCH("|"&amp;INDEX(INDIRECT(All_Questions_Q6_F_resolved_column),158)&amp;"|",("|" &amp; SUBSTITUTE(All_Questions_Q6_F_resolved_criteria, ", ", "|") &amp; "|"))),1,0),0))*1</f>
        <v>1</v>
      </c>
    </row>
    <row r="160">
      <c r="A160" t="n">
        <v>159</v>
      </c>
      <c r="B160" t="n">
        <v>26.3695</v>
      </c>
      <c r="C160">
        <f>1</f>
        <v>1</v>
      </c>
      <c r="D160">
        <f>IF(OR(F_Custom1_Q="(None)",F_Custom1_Q="",ISBLANK(F_Custom1_Q),F_Custom1_V="(All)",F_Custom1_V="",ISBLANK(F_Custom1_V)),1,IFERROR(IF(ISNUMBER(SEARCH("|"&amp;INDEX(INDIRECT(F_Custom1_resolved_column),159)&amp;"|",("|" &amp; SUBSTITUTE(F_Custom1_resolved_criteria, ", ", "|") &amp; "|"))),1,0),0))</f>
        <v>1</v>
      </c>
      <c r="E160">
        <f>IF(OR(F_Custom2_Q="(None)",F_Custom2_Q="",ISBLANK(F_Custom2_Q),F_Custom2_V="(All)",F_Custom2_V="",ISBLANK(F_Custom2_V)),1,IFERROR(IF(ISNUMBER(SEARCH("|"&amp;INDEX(INDIRECT(F_Custom2_resolved_column),159)&amp;"|",("|" &amp; SUBSTITUTE(F_Custom2_resolved_criteria, ", ", "|") &amp; "|"))),1,0),0))</f>
        <v>1</v>
      </c>
      <c r="F160">
        <f>D160*E160*1</f>
        <v>1</v>
      </c>
      <c r="G160">
        <f>1</f>
        <v>1</v>
      </c>
      <c r="H160">
        <f>IF(OR(All_Questions_Q6_F_Q="(None)",All_Questions_Q6_F_Q="",ISBLANK(All_Questions_Q6_F_Q),All_Questions_Q6_F_V="(All)",All_Questions_Q6_F_V="",ISBLANK(All_Questions_Q6_F_V)),1,IFERROR(IF(ISNUMBER(SEARCH("|"&amp;INDEX(INDIRECT(All_Questions_Q6_F_resolved_column),159)&amp;"|",("|" &amp; SUBSTITUTE(All_Questions_Q6_F_resolved_criteria, ", ", "|") &amp; "|"))),1,0),0))*1</f>
        <v>1</v>
      </c>
    </row>
    <row r="161">
      <c r="A161" t="n">
        <v>160</v>
      </c>
      <c r="B161" t="n">
        <v>26.3695</v>
      </c>
      <c r="C161">
        <f>1</f>
        <v>1</v>
      </c>
      <c r="D161">
        <f>IF(OR(F_Custom1_Q="(None)",F_Custom1_Q="",ISBLANK(F_Custom1_Q),F_Custom1_V="(All)",F_Custom1_V="",ISBLANK(F_Custom1_V)),1,IFERROR(IF(ISNUMBER(SEARCH("|"&amp;INDEX(INDIRECT(F_Custom1_resolved_column),160)&amp;"|",("|" &amp; SUBSTITUTE(F_Custom1_resolved_criteria, ", ", "|") &amp; "|"))),1,0),0))</f>
        <v>1</v>
      </c>
      <c r="E161">
        <f>IF(OR(F_Custom2_Q="(None)",F_Custom2_Q="",ISBLANK(F_Custom2_Q),F_Custom2_V="(All)",F_Custom2_V="",ISBLANK(F_Custom2_V)),1,IFERROR(IF(ISNUMBER(SEARCH("|"&amp;INDEX(INDIRECT(F_Custom2_resolved_column),160)&amp;"|",("|" &amp; SUBSTITUTE(F_Custom2_resolved_criteria, ", ", "|") &amp; "|"))),1,0),0))</f>
        <v>1</v>
      </c>
      <c r="F161">
        <f>D161*E161*1</f>
        <v>1</v>
      </c>
      <c r="G161">
        <f>1</f>
        <v>1</v>
      </c>
      <c r="H161">
        <f>IF(OR(All_Questions_Q6_F_Q="(None)",All_Questions_Q6_F_Q="",ISBLANK(All_Questions_Q6_F_Q),All_Questions_Q6_F_V="(All)",All_Questions_Q6_F_V="",ISBLANK(All_Questions_Q6_F_V)),1,IFERROR(IF(ISNUMBER(SEARCH("|"&amp;INDEX(INDIRECT(All_Questions_Q6_F_resolved_column),160)&amp;"|",("|" &amp; SUBSTITUTE(All_Questions_Q6_F_resolved_criteria, ", ", "|") &amp; "|"))),1,0),0))*1</f>
        <v>1</v>
      </c>
    </row>
    <row r="162">
      <c r="A162" t="n">
        <v>161</v>
      </c>
      <c r="B162" t="n">
        <v>26.3695</v>
      </c>
      <c r="C162">
        <f>1</f>
        <v>1</v>
      </c>
      <c r="D162">
        <f>IF(OR(F_Custom1_Q="(None)",F_Custom1_Q="",ISBLANK(F_Custom1_Q),F_Custom1_V="(All)",F_Custom1_V="",ISBLANK(F_Custom1_V)),1,IFERROR(IF(ISNUMBER(SEARCH("|"&amp;INDEX(INDIRECT(F_Custom1_resolved_column),161)&amp;"|",("|" &amp; SUBSTITUTE(F_Custom1_resolved_criteria, ", ", "|") &amp; "|"))),1,0),0))</f>
        <v>1</v>
      </c>
      <c r="E162">
        <f>IF(OR(F_Custom2_Q="(None)",F_Custom2_Q="",ISBLANK(F_Custom2_Q),F_Custom2_V="(All)",F_Custom2_V="",ISBLANK(F_Custom2_V)),1,IFERROR(IF(ISNUMBER(SEARCH("|"&amp;INDEX(INDIRECT(F_Custom2_resolved_column),161)&amp;"|",("|" &amp; SUBSTITUTE(F_Custom2_resolved_criteria, ", ", "|") &amp; "|"))),1,0),0))</f>
        <v>1</v>
      </c>
      <c r="F162">
        <f>D162*E162*1</f>
        <v>1</v>
      </c>
      <c r="G162">
        <f>1</f>
        <v>1</v>
      </c>
      <c r="H162">
        <f>IF(OR(All_Questions_Q6_F_Q="(None)",All_Questions_Q6_F_Q="",ISBLANK(All_Questions_Q6_F_Q),All_Questions_Q6_F_V="(All)",All_Questions_Q6_F_V="",ISBLANK(All_Questions_Q6_F_V)),1,IFERROR(IF(ISNUMBER(SEARCH("|"&amp;INDEX(INDIRECT(All_Questions_Q6_F_resolved_column),161)&amp;"|",("|" &amp; SUBSTITUTE(All_Questions_Q6_F_resolved_criteria, ", ", "|") &amp; "|"))),1,0),0))*1</f>
        <v>1</v>
      </c>
    </row>
    <row r="163">
      <c r="A163" t="n">
        <v>162</v>
      </c>
      <c r="B163" t="n">
        <v>26.3695</v>
      </c>
      <c r="C163">
        <f>1</f>
        <v>1</v>
      </c>
      <c r="D163">
        <f>IF(OR(F_Custom1_Q="(None)",F_Custom1_Q="",ISBLANK(F_Custom1_Q),F_Custom1_V="(All)",F_Custom1_V="",ISBLANK(F_Custom1_V)),1,IFERROR(IF(ISNUMBER(SEARCH("|"&amp;INDEX(INDIRECT(F_Custom1_resolved_column),162)&amp;"|",("|" &amp; SUBSTITUTE(F_Custom1_resolved_criteria, ", ", "|") &amp; "|"))),1,0),0))</f>
        <v>1</v>
      </c>
      <c r="E163">
        <f>IF(OR(F_Custom2_Q="(None)",F_Custom2_Q="",ISBLANK(F_Custom2_Q),F_Custom2_V="(All)",F_Custom2_V="",ISBLANK(F_Custom2_V)),1,IFERROR(IF(ISNUMBER(SEARCH("|"&amp;INDEX(INDIRECT(F_Custom2_resolved_column),162)&amp;"|",("|" &amp; SUBSTITUTE(F_Custom2_resolved_criteria, ", ", "|") &amp; "|"))),1,0),0))</f>
        <v>1</v>
      </c>
      <c r="F163">
        <f>D163*E163*1</f>
        <v>1</v>
      </c>
      <c r="G163">
        <f>1</f>
        <v>1</v>
      </c>
      <c r="H163">
        <f>IF(OR(All_Questions_Q6_F_Q="(None)",All_Questions_Q6_F_Q="",ISBLANK(All_Questions_Q6_F_Q),All_Questions_Q6_F_V="(All)",All_Questions_Q6_F_V="",ISBLANK(All_Questions_Q6_F_V)),1,IFERROR(IF(ISNUMBER(SEARCH("|"&amp;INDEX(INDIRECT(All_Questions_Q6_F_resolved_column),162)&amp;"|",("|" &amp; SUBSTITUTE(All_Questions_Q6_F_resolved_criteria, ", ", "|") &amp; "|"))),1,0),0))*1</f>
        <v>1</v>
      </c>
    </row>
    <row r="164">
      <c r="A164" t="n">
        <v>163</v>
      </c>
      <c r="B164" t="n">
        <v>26.3695</v>
      </c>
      <c r="C164">
        <f>1</f>
        <v>1</v>
      </c>
      <c r="D164">
        <f>IF(OR(F_Custom1_Q="(None)",F_Custom1_Q="",ISBLANK(F_Custom1_Q),F_Custom1_V="(All)",F_Custom1_V="",ISBLANK(F_Custom1_V)),1,IFERROR(IF(ISNUMBER(SEARCH("|"&amp;INDEX(INDIRECT(F_Custom1_resolved_column),163)&amp;"|",("|" &amp; SUBSTITUTE(F_Custom1_resolved_criteria, ", ", "|") &amp; "|"))),1,0),0))</f>
        <v>1</v>
      </c>
      <c r="E164">
        <f>IF(OR(F_Custom2_Q="(None)",F_Custom2_Q="",ISBLANK(F_Custom2_Q),F_Custom2_V="(All)",F_Custom2_V="",ISBLANK(F_Custom2_V)),1,IFERROR(IF(ISNUMBER(SEARCH("|"&amp;INDEX(INDIRECT(F_Custom2_resolved_column),163)&amp;"|",("|" &amp; SUBSTITUTE(F_Custom2_resolved_criteria, ", ", "|") &amp; "|"))),1,0),0))</f>
        <v>1</v>
      </c>
      <c r="F164">
        <f>D164*E164*1</f>
        <v>1</v>
      </c>
      <c r="G164">
        <f>1</f>
        <v>1</v>
      </c>
      <c r="H164">
        <f>IF(OR(All_Questions_Q6_F_Q="(None)",All_Questions_Q6_F_Q="",ISBLANK(All_Questions_Q6_F_Q),All_Questions_Q6_F_V="(All)",All_Questions_Q6_F_V="",ISBLANK(All_Questions_Q6_F_V)),1,IFERROR(IF(ISNUMBER(SEARCH("|"&amp;INDEX(INDIRECT(All_Questions_Q6_F_resolved_column),163)&amp;"|",("|" &amp; SUBSTITUTE(All_Questions_Q6_F_resolved_criteria, ", ", "|") &amp; "|"))),1,0),0))*1</f>
        <v>1</v>
      </c>
    </row>
    <row r="165">
      <c r="A165" t="n">
        <v>164</v>
      </c>
      <c r="B165" t="n">
        <v>26.3695</v>
      </c>
      <c r="C165">
        <f>1</f>
        <v>1</v>
      </c>
      <c r="D165">
        <f>IF(OR(F_Custom1_Q="(None)",F_Custom1_Q="",ISBLANK(F_Custom1_Q),F_Custom1_V="(All)",F_Custom1_V="",ISBLANK(F_Custom1_V)),1,IFERROR(IF(ISNUMBER(SEARCH("|"&amp;INDEX(INDIRECT(F_Custom1_resolved_column),164)&amp;"|",("|" &amp; SUBSTITUTE(F_Custom1_resolved_criteria, ", ", "|") &amp; "|"))),1,0),0))</f>
        <v>1</v>
      </c>
      <c r="E165">
        <f>IF(OR(F_Custom2_Q="(None)",F_Custom2_Q="",ISBLANK(F_Custom2_Q),F_Custom2_V="(All)",F_Custom2_V="",ISBLANK(F_Custom2_V)),1,IFERROR(IF(ISNUMBER(SEARCH("|"&amp;INDEX(INDIRECT(F_Custom2_resolved_column),164)&amp;"|",("|" &amp; SUBSTITUTE(F_Custom2_resolved_criteria, ", ", "|") &amp; "|"))),1,0),0))</f>
        <v>1</v>
      </c>
      <c r="F165">
        <f>D165*E165*1</f>
        <v>1</v>
      </c>
      <c r="G165">
        <f>1</f>
        <v>1</v>
      </c>
      <c r="H165">
        <f>IF(OR(All_Questions_Q6_F_Q="(None)",All_Questions_Q6_F_Q="",ISBLANK(All_Questions_Q6_F_Q),All_Questions_Q6_F_V="(All)",All_Questions_Q6_F_V="",ISBLANK(All_Questions_Q6_F_V)),1,IFERROR(IF(ISNUMBER(SEARCH("|"&amp;INDEX(INDIRECT(All_Questions_Q6_F_resolved_column),164)&amp;"|",("|" &amp; SUBSTITUTE(All_Questions_Q6_F_resolved_criteria, ", ", "|") &amp; "|"))),1,0),0))*1</f>
        <v>1</v>
      </c>
    </row>
    <row r="166">
      <c r="A166" t="n">
        <v>165</v>
      </c>
      <c r="B166" t="n">
        <v>26.3695</v>
      </c>
      <c r="C166">
        <f>1</f>
        <v>1</v>
      </c>
      <c r="D166">
        <f>IF(OR(F_Custom1_Q="(None)",F_Custom1_Q="",ISBLANK(F_Custom1_Q),F_Custom1_V="(All)",F_Custom1_V="",ISBLANK(F_Custom1_V)),1,IFERROR(IF(ISNUMBER(SEARCH("|"&amp;INDEX(INDIRECT(F_Custom1_resolved_column),165)&amp;"|",("|" &amp; SUBSTITUTE(F_Custom1_resolved_criteria, ", ", "|") &amp; "|"))),1,0),0))</f>
        <v>1</v>
      </c>
      <c r="E166">
        <f>IF(OR(F_Custom2_Q="(None)",F_Custom2_Q="",ISBLANK(F_Custom2_Q),F_Custom2_V="(All)",F_Custom2_V="",ISBLANK(F_Custom2_V)),1,IFERROR(IF(ISNUMBER(SEARCH("|"&amp;INDEX(INDIRECT(F_Custom2_resolved_column),165)&amp;"|",("|" &amp; SUBSTITUTE(F_Custom2_resolved_criteria, ", ", "|") &amp; "|"))),1,0),0))</f>
        <v>1</v>
      </c>
      <c r="F166">
        <f>D166*E166*1</f>
        <v>1</v>
      </c>
      <c r="G166">
        <f>1</f>
        <v>1</v>
      </c>
      <c r="H166">
        <f>IF(OR(All_Questions_Q6_F_Q="(None)",All_Questions_Q6_F_Q="",ISBLANK(All_Questions_Q6_F_Q),All_Questions_Q6_F_V="(All)",All_Questions_Q6_F_V="",ISBLANK(All_Questions_Q6_F_V)),1,IFERROR(IF(ISNUMBER(SEARCH("|"&amp;INDEX(INDIRECT(All_Questions_Q6_F_resolved_column),165)&amp;"|",("|" &amp; SUBSTITUTE(All_Questions_Q6_F_resolved_criteria, ", ", "|") &amp; "|"))),1,0),0))*1</f>
        <v>1</v>
      </c>
    </row>
    <row r="167">
      <c r="A167" t="n">
        <v>166</v>
      </c>
      <c r="B167" t="n">
        <v>26.3695</v>
      </c>
      <c r="C167">
        <f>1</f>
        <v>1</v>
      </c>
      <c r="D167">
        <f>IF(OR(F_Custom1_Q="(None)",F_Custom1_Q="",ISBLANK(F_Custom1_Q),F_Custom1_V="(All)",F_Custom1_V="",ISBLANK(F_Custom1_V)),1,IFERROR(IF(ISNUMBER(SEARCH("|"&amp;INDEX(INDIRECT(F_Custom1_resolved_column),166)&amp;"|",("|" &amp; SUBSTITUTE(F_Custom1_resolved_criteria, ", ", "|") &amp; "|"))),1,0),0))</f>
        <v>1</v>
      </c>
      <c r="E167">
        <f>IF(OR(F_Custom2_Q="(None)",F_Custom2_Q="",ISBLANK(F_Custom2_Q),F_Custom2_V="(All)",F_Custom2_V="",ISBLANK(F_Custom2_V)),1,IFERROR(IF(ISNUMBER(SEARCH("|"&amp;INDEX(INDIRECT(F_Custom2_resolved_column),166)&amp;"|",("|" &amp; SUBSTITUTE(F_Custom2_resolved_criteria, ", ", "|") &amp; "|"))),1,0),0))</f>
        <v>1</v>
      </c>
      <c r="F167">
        <f>D167*E167*1</f>
        <v>1</v>
      </c>
      <c r="G167">
        <f>1</f>
        <v>1</v>
      </c>
      <c r="H167">
        <f>IF(OR(All_Questions_Q6_F_Q="(None)",All_Questions_Q6_F_Q="",ISBLANK(All_Questions_Q6_F_Q),All_Questions_Q6_F_V="(All)",All_Questions_Q6_F_V="",ISBLANK(All_Questions_Q6_F_V)),1,IFERROR(IF(ISNUMBER(SEARCH("|"&amp;INDEX(INDIRECT(All_Questions_Q6_F_resolved_column),166)&amp;"|",("|" &amp; SUBSTITUTE(All_Questions_Q6_F_resolved_criteria, ", ", "|") &amp; "|"))),1,0),0))*1</f>
        <v>1</v>
      </c>
    </row>
    <row r="168">
      <c r="A168" t="n">
        <v>167</v>
      </c>
      <c r="B168" t="n">
        <v>26.3695</v>
      </c>
      <c r="C168">
        <f>1</f>
        <v>1</v>
      </c>
      <c r="D168">
        <f>IF(OR(F_Custom1_Q="(None)",F_Custom1_Q="",ISBLANK(F_Custom1_Q),F_Custom1_V="(All)",F_Custom1_V="",ISBLANK(F_Custom1_V)),1,IFERROR(IF(ISNUMBER(SEARCH("|"&amp;INDEX(INDIRECT(F_Custom1_resolved_column),167)&amp;"|",("|" &amp; SUBSTITUTE(F_Custom1_resolved_criteria, ", ", "|") &amp; "|"))),1,0),0))</f>
        <v>1</v>
      </c>
      <c r="E168">
        <f>IF(OR(F_Custom2_Q="(None)",F_Custom2_Q="",ISBLANK(F_Custom2_Q),F_Custom2_V="(All)",F_Custom2_V="",ISBLANK(F_Custom2_V)),1,IFERROR(IF(ISNUMBER(SEARCH("|"&amp;INDEX(INDIRECT(F_Custom2_resolved_column),167)&amp;"|",("|" &amp; SUBSTITUTE(F_Custom2_resolved_criteria, ", ", "|") &amp; "|"))),1,0),0))</f>
        <v>1</v>
      </c>
      <c r="F168">
        <f>D168*E168*1</f>
        <v>1</v>
      </c>
      <c r="G168">
        <f>1</f>
        <v>1</v>
      </c>
      <c r="H168">
        <f>IF(OR(All_Questions_Q6_F_Q="(None)",All_Questions_Q6_F_Q="",ISBLANK(All_Questions_Q6_F_Q),All_Questions_Q6_F_V="(All)",All_Questions_Q6_F_V="",ISBLANK(All_Questions_Q6_F_V)),1,IFERROR(IF(ISNUMBER(SEARCH("|"&amp;INDEX(INDIRECT(All_Questions_Q6_F_resolved_column),167)&amp;"|",("|" &amp; SUBSTITUTE(All_Questions_Q6_F_resolved_criteria, ", ", "|") &amp; "|"))),1,0),0))*1</f>
        <v>1</v>
      </c>
    </row>
    <row r="169">
      <c r="A169" t="n">
        <v>168</v>
      </c>
      <c r="B169" t="n">
        <v>26.3695</v>
      </c>
      <c r="C169">
        <f>1</f>
        <v>1</v>
      </c>
      <c r="D169">
        <f>IF(OR(F_Custom1_Q="(None)",F_Custom1_Q="",ISBLANK(F_Custom1_Q),F_Custom1_V="(All)",F_Custom1_V="",ISBLANK(F_Custom1_V)),1,IFERROR(IF(ISNUMBER(SEARCH("|"&amp;INDEX(INDIRECT(F_Custom1_resolved_column),168)&amp;"|",("|" &amp; SUBSTITUTE(F_Custom1_resolved_criteria, ", ", "|") &amp; "|"))),1,0),0))</f>
        <v>1</v>
      </c>
      <c r="E169">
        <f>IF(OR(F_Custom2_Q="(None)",F_Custom2_Q="",ISBLANK(F_Custom2_Q),F_Custom2_V="(All)",F_Custom2_V="",ISBLANK(F_Custom2_V)),1,IFERROR(IF(ISNUMBER(SEARCH("|"&amp;INDEX(INDIRECT(F_Custom2_resolved_column),168)&amp;"|",("|" &amp; SUBSTITUTE(F_Custom2_resolved_criteria, ", ", "|") &amp; "|"))),1,0),0))</f>
        <v>1</v>
      </c>
      <c r="F169">
        <f>D169*E169*1</f>
        <v>1</v>
      </c>
      <c r="G169">
        <f>1</f>
        <v>1</v>
      </c>
      <c r="H169">
        <f>IF(OR(All_Questions_Q6_F_Q="(None)",All_Questions_Q6_F_Q="",ISBLANK(All_Questions_Q6_F_Q),All_Questions_Q6_F_V="(All)",All_Questions_Q6_F_V="",ISBLANK(All_Questions_Q6_F_V)),1,IFERROR(IF(ISNUMBER(SEARCH("|"&amp;INDEX(INDIRECT(All_Questions_Q6_F_resolved_column),168)&amp;"|",("|" &amp; SUBSTITUTE(All_Questions_Q6_F_resolved_criteria, ", ", "|") &amp; "|"))),1,0),0))*1</f>
        <v>1</v>
      </c>
    </row>
    <row r="170">
      <c r="A170" t="n">
        <v>169</v>
      </c>
      <c r="B170" t="n">
        <v>26.3695</v>
      </c>
      <c r="C170">
        <f>1</f>
        <v>1</v>
      </c>
      <c r="D170">
        <f>IF(OR(F_Custom1_Q="(None)",F_Custom1_Q="",ISBLANK(F_Custom1_Q),F_Custom1_V="(All)",F_Custom1_V="",ISBLANK(F_Custom1_V)),1,IFERROR(IF(ISNUMBER(SEARCH("|"&amp;INDEX(INDIRECT(F_Custom1_resolved_column),169)&amp;"|",("|" &amp; SUBSTITUTE(F_Custom1_resolved_criteria, ", ", "|") &amp; "|"))),1,0),0))</f>
        <v>1</v>
      </c>
      <c r="E170">
        <f>IF(OR(F_Custom2_Q="(None)",F_Custom2_Q="",ISBLANK(F_Custom2_Q),F_Custom2_V="(All)",F_Custom2_V="",ISBLANK(F_Custom2_V)),1,IFERROR(IF(ISNUMBER(SEARCH("|"&amp;INDEX(INDIRECT(F_Custom2_resolved_column),169)&amp;"|",("|" &amp; SUBSTITUTE(F_Custom2_resolved_criteria, ", ", "|") &amp; "|"))),1,0),0))</f>
        <v>1</v>
      </c>
      <c r="F170">
        <f>D170*E170*1</f>
        <v>1</v>
      </c>
      <c r="G170">
        <f>1</f>
        <v>1</v>
      </c>
      <c r="H170">
        <f>IF(OR(All_Questions_Q6_F_Q="(None)",All_Questions_Q6_F_Q="",ISBLANK(All_Questions_Q6_F_Q),All_Questions_Q6_F_V="(All)",All_Questions_Q6_F_V="",ISBLANK(All_Questions_Q6_F_V)),1,IFERROR(IF(ISNUMBER(SEARCH("|"&amp;INDEX(INDIRECT(All_Questions_Q6_F_resolved_column),169)&amp;"|",("|" &amp; SUBSTITUTE(All_Questions_Q6_F_resolved_criteria, ", ", "|") &amp; "|"))),1,0),0))*1</f>
        <v>1</v>
      </c>
    </row>
    <row r="171">
      <c r="A171" t="n">
        <v>170</v>
      </c>
      <c r="B171" t="n">
        <v>26.3695</v>
      </c>
      <c r="C171">
        <f>1</f>
        <v>1</v>
      </c>
      <c r="D171">
        <f>IF(OR(F_Custom1_Q="(None)",F_Custom1_Q="",ISBLANK(F_Custom1_Q),F_Custom1_V="(All)",F_Custom1_V="",ISBLANK(F_Custom1_V)),1,IFERROR(IF(ISNUMBER(SEARCH("|"&amp;INDEX(INDIRECT(F_Custom1_resolved_column),170)&amp;"|",("|" &amp; SUBSTITUTE(F_Custom1_resolved_criteria, ", ", "|") &amp; "|"))),1,0),0))</f>
        <v>1</v>
      </c>
      <c r="E171">
        <f>IF(OR(F_Custom2_Q="(None)",F_Custom2_Q="",ISBLANK(F_Custom2_Q),F_Custom2_V="(All)",F_Custom2_V="",ISBLANK(F_Custom2_V)),1,IFERROR(IF(ISNUMBER(SEARCH("|"&amp;INDEX(INDIRECT(F_Custom2_resolved_column),170)&amp;"|",("|" &amp; SUBSTITUTE(F_Custom2_resolved_criteria, ", ", "|") &amp; "|"))),1,0),0))</f>
        <v>1</v>
      </c>
      <c r="F171">
        <f>D171*E171*1</f>
        <v>1</v>
      </c>
      <c r="G171">
        <f>1</f>
        <v>1</v>
      </c>
      <c r="H171">
        <f>IF(OR(All_Questions_Q6_F_Q="(None)",All_Questions_Q6_F_Q="",ISBLANK(All_Questions_Q6_F_Q),All_Questions_Q6_F_V="(All)",All_Questions_Q6_F_V="",ISBLANK(All_Questions_Q6_F_V)),1,IFERROR(IF(ISNUMBER(SEARCH("|"&amp;INDEX(INDIRECT(All_Questions_Q6_F_resolved_column),170)&amp;"|",("|" &amp; SUBSTITUTE(All_Questions_Q6_F_resolved_criteria, ", ", "|") &amp; "|"))),1,0),0))*1</f>
        <v>1</v>
      </c>
    </row>
    <row r="172">
      <c r="A172" t="n">
        <v>171</v>
      </c>
      <c r="B172" t="n">
        <v>26.3695</v>
      </c>
      <c r="C172">
        <f>1</f>
        <v>1</v>
      </c>
      <c r="D172">
        <f>IF(OR(F_Custom1_Q="(None)",F_Custom1_Q="",ISBLANK(F_Custom1_Q),F_Custom1_V="(All)",F_Custom1_V="",ISBLANK(F_Custom1_V)),1,IFERROR(IF(ISNUMBER(SEARCH("|"&amp;INDEX(INDIRECT(F_Custom1_resolved_column),171)&amp;"|",("|" &amp; SUBSTITUTE(F_Custom1_resolved_criteria, ", ", "|") &amp; "|"))),1,0),0))</f>
        <v>1</v>
      </c>
      <c r="E172">
        <f>IF(OR(F_Custom2_Q="(None)",F_Custom2_Q="",ISBLANK(F_Custom2_Q),F_Custom2_V="(All)",F_Custom2_V="",ISBLANK(F_Custom2_V)),1,IFERROR(IF(ISNUMBER(SEARCH("|"&amp;INDEX(INDIRECT(F_Custom2_resolved_column),171)&amp;"|",("|" &amp; SUBSTITUTE(F_Custom2_resolved_criteria, ", ", "|") &amp; "|"))),1,0),0))</f>
        <v>1</v>
      </c>
      <c r="F172">
        <f>D172*E172*1</f>
        <v>1</v>
      </c>
      <c r="G172">
        <f>1</f>
        <v>1</v>
      </c>
      <c r="H172">
        <f>IF(OR(All_Questions_Q6_F_Q="(None)",All_Questions_Q6_F_Q="",ISBLANK(All_Questions_Q6_F_Q),All_Questions_Q6_F_V="(All)",All_Questions_Q6_F_V="",ISBLANK(All_Questions_Q6_F_V)),1,IFERROR(IF(ISNUMBER(SEARCH("|"&amp;INDEX(INDIRECT(All_Questions_Q6_F_resolved_column),171)&amp;"|",("|" &amp; SUBSTITUTE(All_Questions_Q6_F_resolved_criteria, ", ", "|") &amp; "|"))),1,0),0))*1</f>
        <v>1</v>
      </c>
    </row>
    <row r="173">
      <c r="A173" t="n">
        <v>172</v>
      </c>
      <c r="B173" t="n">
        <v>26.3695</v>
      </c>
      <c r="C173">
        <f>1</f>
        <v>1</v>
      </c>
      <c r="D173">
        <f>IF(OR(F_Custom1_Q="(None)",F_Custom1_Q="",ISBLANK(F_Custom1_Q),F_Custom1_V="(All)",F_Custom1_V="",ISBLANK(F_Custom1_V)),1,IFERROR(IF(ISNUMBER(SEARCH("|"&amp;INDEX(INDIRECT(F_Custom1_resolved_column),172)&amp;"|",("|" &amp; SUBSTITUTE(F_Custom1_resolved_criteria, ", ", "|") &amp; "|"))),1,0),0))</f>
        <v>1</v>
      </c>
      <c r="E173">
        <f>IF(OR(F_Custom2_Q="(None)",F_Custom2_Q="",ISBLANK(F_Custom2_Q),F_Custom2_V="(All)",F_Custom2_V="",ISBLANK(F_Custom2_V)),1,IFERROR(IF(ISNUMBER(SEARCH("|"&amp;INDEX(INDIRECT(F_Custom2_resolved_column),172)&amp;"|",("|" &amp; SUBSTITUTE(F_Custom2_resolved_criteria, ", ", "|") &amp; "|"))),1,0),0))</f>
        <v>1</v>
      </c>
      <c r="F173">
        <f>D173*E173*1</f>
        <v>1</v>
      </c>
      <c r="G173">
        <f>1</f>
        <v>1</v>
      </c>
      <c r="H173">
        <f>IF(OR(All_Questions_Q6_F_Q="(None)",All_Questions_Q6_F_Q="",ISBLANK(All_Questions_Q6_F_Q),All_Questions_Q6_F_V="(All)",All_Questions_Q6_F_V="",ISBLANK(All_Questions_Q6_F_V)),1,IFERROR(IF(ISNUMBER(SEARCH("|"&amp;INDEX(INDIRECT(All_Questions_Q6_F_resolved_column),172)&amp;"|",("|" &amp; SUBSTITUTE(All_Questions_Q6_F_resolved_criteria, ", ", "|") &amp; "|"))),1,0),0))*1</f>
        <v>1</v>
      </c>
    </row>
    <row r="174">
      <c r="A174" t="n">
        <v>173</v>
      </c>
      <c r="B174" t="n">
        <v>26.3695</v>
      </c>
      <c r="C174">
        <f>1</f>
        <v>1</v>
      </c>
      <c r="D174">
        <f>IF(OR(F_Custom1_Q="(None)",F_Custom1_Q="",ISBLANK(F_Custom1_Q),F_Custom1_V="(All)",F_Custom1_V="",ISBLANK(F_Custom1_V)),1,IFERROR(IF(ISNUMBER(SEARCH("|"&amp;INDEX(INDIRECT(F_Custom1_resolved_column),173)&amp;"|",("|" &amp; SUBSTITUTE(F_Custom1_resolved_criteria, ", ", "|") &amp; "|"))),1,0),0))</f>
        <v>1</v>
      </c>
      <c r="E174">
        <f>IF(OR(F_Custom2_Q="(None)",F_Custom2_Q="",ISBLANK(F_Custom2_Q),F_Custom2_V="(All)",F_Custom2_V="",ISBLANK(F_Custom2_V)),1,IFERROR(IF(ISNUMBER(SEARCH("|"&amp;INDEX(INDIRECT(F_Custom2_resolved_column),173)&amp;"|",("|" &amp; SUBSTITUTE(F_Custom2_resolved_criteria, ", ", "|") &amp; "|"))),1,0),0))</f>
        <v>1</v>
      </c>
      <c r="F174">
        <f>D174*E174*1</f>
        <v>1</v>
      </c>
      <c r="G174">
        <f>1</f>
        <v>1</v>
      </c>
      <c r="H174">
        <f>IF(OR(All_Questions_Q6_F_Q="(None)",All_Questions_Q6_F_Q="",ISBLANK(All_Questions_Q6_F_Q),All_Questions_Q6_F_V="(All)",All_Questions_Q6_F_V="",ISBLANK(All_Questions_Q6_F_V)),1,IFERROR(IF(ISNUMBER(SEARCH("|"&amp;INDEX(INDIRECT(All_Questions_Q6_F_resolved_column),173)&amp;"|",("|" &amp; SUBSTITUTE(All_Questions_Q6_F_resolved_criteria, ", ", "|") &amp; "|"))),1,0),0))*1</f>
        <v>1</v>
      </c>
    </row>
    <row r="175">
      <c r="A175" t="n">
        <v>174</v>
      </c>
      <c r="B175" t="n">
        <v>26.3695</v>
      </c>
      <c r="C175">
        <f>1</f>
        <v>1</v>
      </c>
      <c r="D175">
        <f>IF(OR(F_Custom1_Q="(None)",F_Custom1_Q="",ISBLANK(F_Custom1_Q),F_Custom1_V="(All)",F_Custom1_V="",ISBLANK(F_Custom1_V)),1,IFERROR(IF(ISNUMBER(SEARCH("|"&amp;INDEX(INDIRECT(F_Custom1_resolved_column),174)&amp;"|",("|" &amp; SUBSTITUTE(F_Custom1_resolved_criteria, ", ", "|") &amp; "|"))),1,0),0))</f>
        <v>1</v>
      </c>
      <c r="E175">
        <f>IF(OR(F_Custom2_Q="(None)",F_Custom2_Q="",ISBLANK(F_Custom2_Q),F_Custom2_V="(All)",F_Custom2_V="",ISBLANK(F_Custom2_V)),1,IFERROR(IF(ISNUMBER(SEARCH("|"&amp;INDEX(INDIRECT(F_Custom2_resolved_column),174)&amp;"|",("|" &amp; SUBSTITUTE(F_Custom2_resolved_criteria, ", ", "|") &amp; "|"))),1,0),0))</f>
        <v>1</v>
      </c>
      <c r="F175">
        <f>D175*E175*1</f>
        <v>1</v>
      </c>
      <c r="G175">
        <f>1</f>
        <v>1</v>
      </c>
      <c r="H175">
        <f>IF(OR(All_Questions_Q6_F_Q="(None)",All_Questions_Q6_F_Q="",ISBLANK(All_Questions_Q6_F_Q),All_Questions_Q6_F_V="(All)",All_Questions_Q6_F_V="",ISBLANK(All_Questions_Q6_F_V)),1,IFERROR(IF(ISNUMBER(SEARCH("|"&amp;INDEX(INDIRECT(All_Questions_Q6_F_resolved_column),174)&amp;"|",("|" &amp; SUBSTITUTE(All_Questions_Q6_F_resolved_criteria, ", ", "|") &amp; "|"))),1,0),0))*1</f>
        <v>1</v>
      </c>
    </row>
    <row r="176">
      <c r="A176" t="n">
        <v>175</v>
      </c>
      <c r="B176" t="n">
        <v>26.3695</v>
      </c>
      <c r="C176">
        <f>1</f>
        <v>1</v>
      </c>
      <c r="D176">
        <f>IF(OR(F_Custom1_Q="(None)",F_Custom1_Q="",ISBLANK(F_Custom1_Q),F_Custom1_V="(All)",F_Custom1_V="",ISBLANK(F_Custom1_V)),1,IFERROR(IF(ISNUMBER(SEARCH("|"&amp;INDEX(INDIRECT(F_Custom1_resolved_column),175)&amp;"|",("|" &amp; SUBSTITUTE(F_Custom1_resolved_criteria, ", ", "|") &amp; "|"))),1,0),0))</f>
        <v>1</v>
      </c>
      <c r="E176">
        <f>IF(OR(F_Custom2_Q="(None)",F_Custom2_Q="",ISBLANK(F_Custom2_Q),F_Custom2_V="(All)",F_Custom2_V="",ISBLANK(F_Custom2_V)),1,IFERROR(IF(ISNUMBER(SEARCH("|"&amp;INDEX(INDIRECT(F_Custom2_resolved_column),175)&amp;"|",("|" &amp; SUBSTITUTE(F_Custom2_resolved_criteria, ", ", "|") &amp; "|"))),1,0),0))</f>
        <v>1</v>
      </c>
      <c r="F176">
        <f>D176*E176*1</f>
        <v>1</v>
      </c>
      <c r="G176">
        <f>1</f>
        <v>1</v>
      </c>
      <c r="H176">
        <f>IF(OR(All_Questions_Q6_F_Q="(None)",All_Questions_Q6_F_Q="",ISBLANK(All_Questions_Q6_F_Q),All_Questions_Q6_F_V="(All)",All_Questions_Q6_F_V="",ISBLANK(All_Questions_Q6_F_V)),1,IFERROR(IF(ISNUMBER(SEARCH("|"&amp;INDEX(INDIRECT(All_Questions_Q6_F_resolved_column),175)&amp;"|",("|" &amp; SUBSTITUTE(All_Questions_Q6_F_resolved_criteria, ", ", "|") &amp; "|"))),1,0),0))*1</f>
        <v>1</v>
      </c>
    </row>
    <row r="177">
      <c r="A177" t="n">
        <v>176</v>
      </c>
      <c r="B177" t="n">
        <v>26.3695</v>
      </c>
      <c r="C177">
        <f>1</f>
        <v>1</v>
      </c>
      <c r="D177">
        <f>IF(OR(F_Custom1_Q="(None)",F_Custom1_Q="",ISBLANK(F_Custom1_Q),F_Custom1_V="(All)",F_Custom1_V="",ISBLANK(F_Custom1_V)),1,IFERROR(IF(ISNUMBER(SEARCH("|"&amp;INDEX(INDIRECT(F_Custom1_resolved_column),176)&amp;"|",("|" &amp; SUBSTITUTE(F_Custom1_resolved_criteria, ", ", "|") &amp; "|"))),1,0),0))</f>
        <v>1</v>
      </c>
      <c r="E177">
        <f>IF(OR(F_Custom2_Q="(None)",F_Custom2_Q="",ISBLANK(F_Custom2_Q),F_Custom2_V="(All)",F_Custom2_V="",ISBLANK(F_Custom2_V)),1,IFERROR(IF(ISNUMBER(SEARCH("|"&amp;INDEX(INDIRECT(F_Custom2_resolved_column),176)&amp;"|",("|" &amp; SUBSTITUTE(F_Custom2_resolved_criteria, ", ", "|") &amp; "|"))),1,0),0))</f>
        <v>1</v>
      </c>
      <c r="F177">
        <f>D177*E177*1</f>
        <v>1</v>
      </c>
      <c r="G177">
        <f>1</f>
        <v>1</v>
      </c>
      <c r="H177">
        <f>IF(OR(All_Questions_Q6_F_Q="(None)",All_Questions_Q6_F_Q="",ISBLANK(All_Questions_Q6_F_Q),All_Questions_Q6_F_V="(All)",All_Questions_Q6_F_V="",ISBLANK(All_Questions_Q6_F_V)),1,IFERROR(IF(ISNUMBER(SEARCH("|"&amp;INDEX(INDIRECT(All_Questions_Q6_F_resolved_column),176)&amp;"|",("|" &amp; SUBSTITUTE(All_Questions_Q6_F_resolved_criteria, ", ", "|") &amp; "|"))),1,0),0))*1</f>
        <v>1</v>
      </c>
    </row>
    <row r="178">
      <c r="A178" t="n">
        <v>177</v>
      </c>
      <c r="B178" t="n">
        <v>26.3695</v>
      </c>
      <c r="C178">
        <f>1</f>
        <v>1</v>
      </c>
      <c r="D178">
        <f>IF(OR(F_Custom1_Q="(None)",F_Custom1_Q="",ISBLANK(F_Custom1_Q),F_Custom1_V="(All)",F_Custom1_V="",ISBLANK(F_Custom1_V)),1,IFERROR(IF(ISNUMBER(SEARCH("|"&amp;INDEX(INDIRECT(F_Custom1_resolved_column),177)&amp;"|",("|" &amp; SUBSTITUTE(F_Custom1_resolved_criteria, ", ", "|") &amp; "|"))),1,0),0))</f>
        <v>1</v>
      </c>
      <c r="E178">
        <f>IF(OR(F_Custom2_Q="(None)",F_Custom2_Q="",ISBLANK(F_Custom2_Q),F_Custom2_V="(All)",F_Custom2_V="",ISBLANK(F_Custom2_V)),1,IFERROR(IF(ISNUMBER(SEARCH("|"&amp;INDEX(INDIRECT(F_Custom2_resolved_column),177)&amp;"|",("|" &amp; SUBSTITUTE(F_Custom2_resolved_criteria, ", ", "|") &amp; "|"))),1,0),0))</f>
        <v>1</v>
      </c>
      <c r="F178">
        <f>D178*E178*1</f>
        <v>1</v>
      </c>
      <c r="G178">
        <f>1</f>
        <v>1</v>
      </c>
      <c r="H178">
        <f>IF(OR(All_Questions_Q6_F_Q="(None)",All_Questions_Q6_F_Q="",ISBLANK(All_Questions_Q6_F_Q),All_Questions_Q6_F_V="(All)",All_Questions_Q6_F_V="",ISBLANK(All_Questions_Q6_F_V)),1,IFERROR(IF(ISNUMBER(SEARCH("|"&amp;INDEX(INDIRECT(All_Questions_Q6_F_resolved_column),177)&amp;"|",("|" &amp; SUBSTITUTE(All_Questions_Q6_F_resolved_criteria, ", ", "|") &amp; "|"))),1,0),0))*1</f>
        <v>1</v>
      </c>
    </row>
    <row r="179">
      <c r="A179" t="n">
        <v>178</v>
      </c>
      <c r="B179" t="n">
        <v>26.3695</v>
      </c>
      <c r="C179">
        <f>1</f>
        <v>1</v>
      </c>
      <c r="D179">
        <f>IF(OR(F_Custom1_Q="(None)",F_Custom1_Q="",ISBLANK(F_Custom1_Q),F_Custom1_V="(All)",F_Custom1_V="",ISBLANK(F_Custom1_V)),1,IFERROR(IF(ISNUMBER(SEARCH("|"&amp;INDEX(INDIRECT(F_Custom1_resolved_column),178)&amp;"|",("|" &amp; SUBSTITUTE(F_Custom1_resolved_criteria, ", ", "|") &amp; "|"))),1,0),0))</f>
        <v>1</v>
      </c>
      <c r="E179">
        <f>IF(OR(F_Custom2_Q="(None)",F_Custom2_Q="",ISBLANK(F_Custom2_Q),F_Custom2_V="(All)",F_Custom2_V="",ISBLANK(F_Custom2_V)),1,IFERROR(IF(ISNUMBER(SEARCH("|"&amp;INDEX(INDIRECT(F_Custom2_resolved_column),178)&amp;"|",("|" &amp; SUBSTITUTE(F_Custom2_resolved_criteria, ", ", "|") &amp; "|"))),1,0),0))</f>
        <v>1</v>
      </c>
      <c r="F179">
        <f>D179*E179*1</f>
        <v>1</v>
      </c>
      <c r="G179">
        <f>1</f>
        <v>1</v>
      </c>
      <c r="H179">
        <f>IF(OR(All_Questions_Q6_F_Q="(None)",All_Questions_Q6_F_Q="",ISBLANK(All_Questions_Q6_F_Q),All_Questions_Q6_F_V="(All)",All_Questions_Q6_F_V="",ISBLANK(All_Questions_Q6_F_V)),1,IFERROR(IF(ISNUMBER(SEARCH("|"&amp;INDEX(INDIRECT(All_Questions_Q6_F_resolved_column),178)&amp;"|",("|" &amp; SUBSTITUTE(All_Questions_Q6_F_resolved_criteria, ", ", "|") &amp; "|"))),1,0),0))*1</f>
        <v>1</v>
      </c>
    </row>
    <row r="180">
      <c r="A180" t="n">
        <v>179</v>
      </c>
      <c r="B180" t="n">
        <v>26.3695</v>
      </c>
      <c r="C180">
        <f>1</f>
        <v>1</v>
      </c>
      <c r="D180">
        <f>IF(OR(F_Custom1_Q="(None)",F_Custom1_Q="",ISBLANK(F_Custom1_Q),F_Custom1_V="(All)",F_Custom1_V="",ISBLANK(F_Custom1_V)),1,IFERROR(IF(ISNUMBER(SEARCH("|"&amp;INDEX(INDIRECT(F_Custom1_resolved_column),179)&amp;"|",("|" &amp; SUBSTITUTE(F_Custom1_resolved_criteria, ", ", "|") &amp; "|"))),1,0),0))</f>
        <v>1</v>
      </c>
      <c r="E180">
        <f>IF(OR(F_Custom2_Q="(None)",F_Custom2_Q="",ISBLANK(F_Custom2_Q),F_Custom2_V="(All)",F_Custom2_V="",ISBLANK(F_Custom2_V)),1,IFERROR(IF(ISNUMBER(SEARCH("|"&amp;INDEX(INDIRECT(F_Custom2_resolved_column),179)&amp;"|",("|" &amp; SUBSTITUTE(F_Custom2_resolved_criteria, ", ", "|") &amp; "|"))),1,0),0))</f>
        <v>1</v>
      </c>
      <c r="F180">
        <f>D180*E180*1</f>
        <v>1</v>
      </c>
      <c r="G180">
        <f>1</f>
        <v>1</v>
      </c>
      <c r="H180">
        <f>IF(OR(All_Questions_Q6_F_Q="(None)",All_Questions_Q6_F_Q="",ISBLANK(All_Questions_Q6_F_Q),All_Questions_Q6_F_V="(All)",All_Questions_Q6_F_V="",ISBLANK(All_Questions_Q6_F_V)),1,IFERROR(IF(ISNUMBER(SEARCH("|"&amp;INDEX(INDIRECT(All_Questions_Q6_F_resolved_column),179)&amp;"|",("|" &amp; SUBSTITUTE(All_Questions_Q6_F_resolved_criteria, ", ", "|") &amp; "|"))),1,0),0))*1</f>
        <v>1</v>
      </c>
    </row>
    <row r="181">
      <c r="A181" t="n">
        <v>180</v>
      </c>
      <c r="B181" t="n">
        <v>26.3695</v>
      </c>
      <c r="C181">
        <f>1</f>
        <v>1</v>
      </c>
      <c r="D181">
        <f>IF(OR(F_Custom1_Q="(None)",F_Custom1_Q="",ISBLANK(F_Custom1_Q),F_Custom1_V="(All)",F_Custom1_V="",ISBLANK(F_Custom1_V)),1,IFERROR(IF(ISNUMBER(SEARCH("|"&amp;INDEX(INDIRECT(F_Custom1_resolved_column),180)&amp;"|",("|" &amp; SUBSTITUTE(F_Custom1_resolved_criteria, ", ", "|") &amp; "|"))),1,0),0))</f>
        <v>1</v>
      </c>
      <c r="E181">
        <f>IF(OR(F_Custom2_Q="(None)",F_Custom2_Q="",ISBLANK(F_Custom2_Q),F_Custom2_V="(All)",F_Custom2_V="",ISBLANK(F_Custom2_V)),1,IFERROR(IF(ISNUMBER(SEARCH("|"&amp;INDEX(INDIRECT(F_Custom2_resolved_column),180)&amp;"|",("|" &amp; SUBSTITUTE(F_Custom2_resolved_criteria, ", ", "|") &amp; "|"))),1,0),0))</f>
        <v>1</v>
      </c>
      <c r="F181">
        <f>D181*E181*1</f>
        <v>1</v>
      </c>
      <c r="G181">
        <f>1</f>
        <v>1</v>
      </c>
      <c r="H181">
        <f>IF(OR(All_Questions_Q6_F_Q="(None)",All_Questions_Q6_F_Q="",ISBLANK(All_Questions_Q6_F_Q),All_Questions_Q6_F_V="(All)",All_Questions_Q6_F_V="",ISBLANK(All_Questions_Q6_F_V)),1,IFERROR(IF(ISNUMBER(SEARCH("|"&amp;INDEX(INDIRECT(All_Questions_Q6_F_resolved_column),180)&amp;"|",("|" &amp; SUBSTITUTE(All_Questions_Q6_F_resolved_criteria, ", ", "|") &amp; "|"))),1,0),0))*1</f>
        <v>1</v>
      </c>
    </row>
    <row r="182">
      <c r="A182" t="n">
        <v>181</v>
      </c>
      <c r="B182" t="n">
        <v>26.3695</v>
      </c>
      <c r="C182">
        <f>1</f>
        <v>1</v>
      </c>
      <c r="D182">
        <f>IF(OR(F_Custom1_Q="(None)",F_Custom1_Q="",ISBLANK(F_Custom1_Q),F_Custom1_V="(All)",F_Custom1_V="",ISBLANK(F_Custom1_V)),1,IFERROR(IF(ISNUMBER(SEARCH("|"&amp;INDEX(INDIRECT(F_Custom1_resolved_column),181)&amp;"|",("|" &amp; SUBSTITUTE(F_Custom1_resolved_criteria, ", ", "|") &amp; "|"))),1,0),0))</f>
        <v>1</v>
      </c>
      <c r="E182">
        <f>IF(OR(F_Custom2_Q="(None)",F_Custom2_Q="",ISBLANK(F_Custom2_Q),F_Custom2_V="(All)",F_Custom2_V="",ISBLANK(F_Custom2_V)),1,IFERROR(IF(ISNUMBER(SEARCH("|"&amp;INDEX(INDIRECT(F_Custom2_resolved_column),181)&amp;"|",("|" &amp; SUBSTITUTE(F_Custom2_resolved_criteria, ", ", "|") &amp; "|"))),1,0),0))</f>
        <v>1</v>
      </c>
      <c r="F182">
        <f>D182*E182*1</f>
        <v>1</v>
      </c>
      <c r="G182">
        <f>1</f>
        <v>1</v>
      </c>
      <c r="H182">
        <f>IF(OR(All_Questions_Q6_F_Q="(None)",All_Questions_Q6_F_Q="",ISBLANK(All_Questions_Q6_F_Q),All_Questions_Q6_F_V="(All)",All_Questions_Q6_F_V="",ISBLANK(All_Questions_Q6_F_V)),1,IFERROR(IF(ISNUMBER(SEARCH("|"&amp;INDEX(INDIRECT(All_Questions_Q6_F_resolved_column),181)&amp;"|",("|" &amp; SUBSTITUTE(All_Questions_Q6_F_resolved_criteria, ", ", "|") &amp; "|"))),1,0),0))*1</f>
        <v>1</v>
      </c>
    </row>
    <row r="183">
      <c r="A183" t="n">
        <v>182</v>
      </c>
      <c r="B183" t="n">
        <v>26.3695</v>
      </c>
      <c r="C183">
        <f>1</f>
        <v>1</v>
      </c>
      <c r="D183">
        <f>IF(OR(F_Custom1_Q="(None)",F_Custom1_Q="",ISBLANK(F_Custom1_Q),F_Custom1_V="(All)",F_Custom1_V="",ISBLANK(F_Custom1_V)),1,IFERROR(IF(ISNUMBER(SEARCH("|"&amp;INDEX(INDIRECT(F_Custom1_resolved_column),182)&amp;"|",("|" &amp; SUBSTITUTE(F_Custom1_resolved_criteria, ", ", "|") &amp; "|"))),1,0),0))</f>
        <v>1</v>
      </c>
      <c r="E183">
        <f>IF(OR(F_Custom2_Q="(None)",F_Custom2_Q="",ISBLANK(F_Custom2_Q),F_Custom2_V="(All)",F_Custom2_V="",ISBLANK(F_Custom2_V)),1,IFERROR(IF(ISNUMBER(SEARCH("|"&amp;INDEX(INDIRECT(F_Custom2_resolved_column),182)&amp;"|",("|" &amp; SUBSTITUTE(F_Custom2_resolved_criteria, ", ", "|") &amp; "|"))),1,0),0))</f>
        <v>1</v>
      </c>
      <c r="F183">
        <f>D183*E183*1</f>
        <v>1</v>
      </c>
      <c r="G183">
        <f>1</f>
        <v>1</v>
      </c>
      <c r="H183">
        <f>IF(OR(All_Questions_Q6_F_Q="(None)",All_Questions_Q6_F_Q="",ISBLANK(All_Questions_Q6_F_Q),All_Questions_Q6_F_V="(All)",All_Questions_Q6_F_V="",ISBLANK(All_Questions_Q6_F_V)),1,IFERROR(IF(ISNUMBER(SEARCH("|"&amp;INDEX(INDIRECT(All_Questions_Q6_F_resolved_column),182)&amp;"|",("|" &amp; SUBSTITUTE(All_Questions_Q6_F_resolved_criteria, ", ", "|") &amp; "|"))),1,0),0))*1</f>
        <v>1</v>
      </c>
    </row>
    <row r="184">
      <c r="A184" t="n">
        <v>183</v>
      </c>
      <c r="B184" t="n">
        <v>26.3695</v>
      </c>
      <c r="C184">
        <f>1</f>
        <v>1</v>
      </c>
      <c r="D184">
        <f>IF(OR(F_Custom1_Q="(None)",F_Custom1_Q="",ISBLANK(F_Custom1_Q),F_Custom1_V="(All)",F_Custom1_V="",ISBLANK(F_Custom1_V)),1,IFERROR(IF(ISNUMBER(SEARCH("|"&amp;INDEX(INDIRECT(F_Custom1_resolved_column),183)&amp;"|",("|" &amp; SUBSTITUTE(F_Custom1_resolved_criteria, ", ", "|") &amp; "|"))),1,0),0))</f>
        <v>1</v>
      </c>
      <c r="E184">
        <f>IF(OR(F_Custom2_Q="(None)",F_Custom2_Q="",ISBLANK(F_Custom2_Q),F_Custom2_V="(All)",F_Custom2_V="",ISBLANK(F_Custom2_V)),1,IFERROR(IF(ISNUMBER(SEARCH("|"&amp;INDEX(INDIRECT(F_Custom2_resolved_column),183)&amp;"|",("|" &amp; SUBSTITUTE(F_Custom2_resolved_criteria, ", ", "|") &amp; "|"))),1,0),0))</f>
        <v>1</v>
      </c>
      <c r="F184">
        <f>D184*E184*1</f>
        <v>1</v>
      </c>
      <c r="G184">
        <f>1</f>
        <v>1</v>
      </c>
      <c r="H184">
        <f>IF(OR(All_Questions_Q6_F_Q="(None)",All_Questions_Q6_F_Q="",ISBLANK(All_Questions_Q6_F_Q),All_Questions_Q6_F_V="(All)",All_Questions_Q6_F_V="",ISBLANK(All_Questions_Q6_F_V)),1,IFERROR(IF(ISNUMBER(SEARCH("|"&amp;INDEX(INDIRECT(All_Questions_Q6_F_resolved_column),183)&amp;"|",("|" &amp; SUBSTITUTE(All_Questions_Q6_F_resolved_criteria, ", ", "|") &amp; "|"))),1,0),0))*1</f>
        <v>1</v>
      </c>
    </row>
    <row r="185">
      <c r="A185" t="n">
        <v>184</v>
      </c>
      <c r="B185" t="n">
        <v>26.3695</v>
      </c>
      <c r="C185">
        <f>1</f>
        <v>1</v>
      </c>
      <c r="D185">
        <f>IF(OR(F_Custom1_Q="(None)",F_Custom1_Q="",ISBLANK(F_Custom1_Q),F_Custom1_V="(All)",F_Custom1_V="",ISBLANK(F_Custom1_V)),1,IFERROR(IF(ISNUMBER(SEARCH("|"&amp;INDEX(INDIRECT(F_Custom1_resolved_column),184)&amp;"|",("|" &amp; SUBSTITUTE(F_Custom1_resolved_criteria, ", ", "|") &amp; "|"))),1,0),0))</f>
        <v>1</v>
      </c>
      <c r="E185">
        <f>IF(OR(F_Custom2_Q="(None)",F_Custom2_Q="",ISBLANK(F_Custom2_Q),F_Custom2_V="(All)",F_Custom2_V="",ISBLANK(F_Custom2_V)),1,IFERROR(IF(ISNUMBER(SEARCH("|"&amp;INDEX(INDIRECT(F_Custom2_resolved_column),184)&amp;"|",("|" &amp; SUBSTITUTE(F_Custom2_resolved_criteria, ", ", "|") &amp; "|"))),1,0),0))</f>
        <v>1</v>
      </c>
      <c r="F185">
        <f>D185*E185*1</f>
        <v>1</v>
      </c>
      <c r="G185">
        <f>1</f>
        <v>1</v>
      </c>
      <c r="H185">
        <f>IF(OR(All_Questions_Q6_F_Q="(None)",All_Questions_Q6_F_Q="",ISBLANK(All_Questions_Q6_F_Q),All_Questions_Q6_F_V="(All)",All_Questions_Q6_F_V="",ISBLANK(All_Questions_Q6_F_V)),1,IFERROR(IF(ISNUMBER(SEARCH("|"&amp;INDEX(INDIRECT(All_Questions_Q6_F_resolved_column),184)&amp;"|",("|" &amp; SUBSTITUTE(All_Questions_Q6_F_resolved_criteria, ", ", "|") &amp; "|"))),1,0),0))*1</f>
        <v>1</v>
      </c>
    </row>
    <row r="186">
      <c r="A186" t="n">
        <v>185</v>
      </c>
      <c r="B186" t="n">
        <v>26.3695</v>
      </c>
      <c r="C186">
        <f>1</f>
        <v>1</v>
      </c>
      <c r="D186">
        <f>IF(OR(F_Custom1_Q="(None)",F_Custom1_Q="",ISBLANK(F_Custom1_Q),F_Custom1_V="(All)",F_Custom1_V="",ISBLANK(F_Custom1_V)),1,IFERROR(IF(ISNUMBER(SEARCH("|"&amp;INDEX(INDIRECT(F_Custom1_resolved_column),185)&amp;"|",("|" &amp; SUBSTITUTE(F_Custom1_resolved_criteria, ", ", "|") &amp; "|"))),1,0),0))</f>
        <v>1</v>
      </c>
      <c r="E186">
        <f>IF(OR(F_Custom2_Q="(None)",F_Custom2_Q="",ISBLANK(F_Custom2_Q),F_Custom2_V="(All)",F_Custom2_V="",ISBLANK(F_Custom2_V)),1,IFERROR(IF(ISNUMBER(SEARCH("|"&amp;INDEX(INDIRECT(F_Custom2_resolved_column),185)&amp;"|",("|" &amp; SUBSTITUTE(F_Custom2_resolved_criteria, ", ", "|") &amp; "|"))),1,0),0))</f>
        <v>1</v>
      </c>
      <c r="F186">
        <f>D186*E186*1</f>
        <v>1</v>
      </c>
      <c r="G186">
        <f>1</f>
        <v>1</v>
      </c>
      <c r="H186">
        <f>IF(OR(All_Questions_Q6_F_Q="(None)",All_Questions_Q6_F_Q="",ISBLANK(All_Questions_Q6_F_Q),All_Questions_Q6_F_V="(All)",All_Questions_Q6_F_V="",ISBLANK(All_Questions_Q6_F_V)),1,IFERROR(IF(ISNUMBER(SEARCH("|"&amp;INDEX(INDIRECT(All_Questions_Q6_F_resolved_column),185)&amp;"|",("|" &amp; SUBSTITUTE(All_Questions_Q6_F_resolved_criteria, ", ", "|") &amp; "|"))),1,0),0))*1</f>
        <v>1</v>
      </c>
    </row>
    <row r="187">
      <c r="A187" t="n">
        <v>186</v>
      </c>
      <c r="B187" t="n">
        <v>26.3695</v>
      </c>
      <c r="C187">
        <f>1</f>
        <v>1</v>
      </c>
      <c r="D187">
        <f>IF(OR(F_Custom1_Q="(None)",F_Custom1_Q="",ISBLANK(F_Custom1_Q),F_Custom1_V="(All)",F_Custom1_V="",ISBLANK(F_Custom1_V)),1,IFERROR(IF(ISNUMBER(SEARCH("|"&amp;INDEX(INDIRECT(F_Custom1_resolved_column),186)&amp;"|",("|" &amp; SUBSTITUTE(F_Custom1_resolved_criteria, ", ", "|") &amp; "|"))),1,0),0))</f>
        <v>1</v>
      </c>
      <c r="E187">
        <f>IF(OR(F_Custom2_Q="(None)",F_Custom2_Q="",ISBLANK(F_Custom2_Q),F_Custom2_V="(All)",F_Custom2_V="",ISBLANK(F_Custom2_V)),1,IFERROR(IF(ISNUMBER(SEARCH("|"&amp;INDEX(INDIRECT(F_Custom2_resolved_column),186)&amp;"|",("|" &amp; SUBSTITUTE(F_Custom2_resolved_criteria, ", ", "|") &amp; "|"))),1,0),0))</f>
        <v>1</v>
      </c>
      <c r="F187">
        <f>D187*E187*1</f>
        <v>1</v>
      </c>
      <c r="G187">
        <f>1</f>
        <v>1</v>
      </c>
      <c r="H187">
        <f>IF(OR(All_Questions_Q6_F_Q="(None)",All_Questions_Q6_F_Q="",ISBLANK(All_Questions_Q6_F_Q),All_Questions_Q6_F_V="(All)",All_Questions_Q6_F_V="",ISBLANK(All_Questions_Q6_F_V)),1,IFERROR(IF(ISNUMBER(SEARCH("|"&amp;INDEX(INDIRECT(All_Questions_Q6_F_resolved_column),186)&amp;"|",("|" &amp; SUBSTITUTE(All_Questions_Q6_F_resolved_criteria, ", ", "|") &amp; "|"))),1,0),0))*1</f>
        <v>1</v>
      </c>
    </row>
    <row r="188">
      <c r="A188" t="n">
        <v>187</v>
      </c>
      <c r="B188" t="n">
        <v>26.3695</v>
      </c>
      <c r="C188">
        <f>1</f>
        <v>1</v>
      </c>
      <c r="D188">
        <f>IF(OR(F_Custom1_Q="(None)",F_Custom1_Q="",ISBLANK(F_Custom1_Q),F_Custom1_V="(All)",F_Custom1_V="",ISBLANK(F_Custom1_V)),1,IFERROR(IF(ISNUMBER(SEARCH("|"&amp;INDEX(INDIRECT(F_Custom1_resolved_column),187)&amp;"|",("|" &amp; SUBSTITUTE(F_Custom1_resolved_criteria, ", ", "|") &amp; "|"))),1,0),0))</f>
        <v>1</v>
      </c>
      <c r="E188">
        <f>IF(OR(F_Custom2_Q="(None)",F_Custom2_Q="",ISBLANK(F_Custom2_Q),F_Custom2_V="(All)",F_Custom2_V="",ISBLANK(F_Custom2_V)),1,IFERROR(IF(ISNUMBER(SEARCH("|"&amp;INDEX(INDIRECT(F_Custom2_resolved_column),187)&amp;"|",("|" &amp; SUBSTITUTE(F_Custom2_resolved_criteria, ", ", "|") &amp; "|"))),1,0),0))</f>
        <v>1</v>
      </c>
      <c r="F188">
        <f>D188*E188*1</f>
        <v>1</v>
      </c>
      <c r="G188">
        <f>1</f>
        <v>1</v>
      </c>
      <c r="H188">
        <f>IF(OR(All_Questions_Q6_F_Q="(None)",All_Questions_Q6_F_Q="",ISBLANK(All_Questions_Q6_F_Q),All_Questions_Q6_F_V="(All)",All_Questions_Q6_F_V="",ISBLANK(All_Questions_Q6_F_V)),1,IFERROR(IF(ISNUMBER(SEARCH("|"&amp;INDEX(INDIRECT(All_Questions_Q6_F_resolved_column),187)&amp;"|",("|" &amp; SUBSTITUTE(All_Questions_Q6_F_resolved_criteria, ", ", "|") &amp; "|"))),1,0),0))*1</f>
        <v>1</v>
      </c>
    </row>
    <row r="189">
      <c r="A189" t="n">
        <v>188</v>
      </c>
      <c r="B189" t="n">
        <v>26.3695</v>
      </c>
      <c r="C189">
        <f>1</f>
        <v>1</v>
      </c>
      <c r="D189">
        <f>IF(OR(F_Custom1_Q="(None)",F_Custom1_Q="",ISBLANK(F_Custom1_Q),F_Custom1_V="(All)",F_Custom1_V="",ISBLANK(F_Custom1_V)),1,IFERROR(IF(ISNUMBER(SEARCH("|"&amp;INDEX(INDIRECT(F_Custom1_resolved_column),188)&amp;"|",("|" &amp; SUBSTITUTE(F_Custom1_resolved_criteria, ", ", "|") &amp; "|"))),1,0),0))</f>
        <v>1</v>
      </c>
      <c r="E189">
        <f>IF(OR(F_Custom2_Q="(None)",F_Custom2_Q="",ISBLANK(F_Custom2_Q),F_Custom2_V="(All)",F_Custom2_V="",ISBLANK(F_Custom2_V)),1,IFERROR(IF(ISNUMBER(SEARCH("|"&amp;INDEX(INDIRECT(F_Custom2_resolved_column),188)&amp;"|",("|" &amp; SUBSTITUTE(F_Custom2_resolved_criteria, ", ", "|") &amp; "|"))),1,0),0))</f>
        <v>1</v>
      </c>
      <c r="F189">
        <f>D189*E189*1</f>
        <v>1</v>
      </c>
      <c r="G189">
        <f>1</f>
        <v>1</v>
      </c>
      <c r="H189">
        <f>IF(OR(All_Questions_Q6_F_Q="(None)",All_Questions_Q6_F_Q="",ISBLANK(All_Questions_Q6_F_Q),All_Questions_Q6_F_V="(All)",All_Questions_Q6_F_V="",ISBLANK(All_Questions_Q6_F_V)),1,IFERROR(IF(ISNUMBER(SEARCH("|"&amp;INDEX(INDIRECT(All_Questions_Q6_F_resolved_column),188)&amp;"|",("|" &amp; SUBSTITUTE(All_Questions_Q6_F_resolved_criteria, ", ", "|") &amp; "|"))),1,0),0))*1</f>
        <v>1</v>
      </c>
    </row>
    <row r="190">
      <c r="A190" t="n">
        <v>189</v>
      </c>
      <c r="B190" t="n">
        <v>26.3695</v>
      </c>
      <c r="C190">
        <f>1</f>
        <v>1</v>
      </c>
      <c r="D190">
        <f>IF(OR(F_Custom1_Q="(None)",F_Custom1_Q="",ISBLANK(F_Custom1_Q),F_Custom1_V="(All)",F_Custom1_V="",ISBLANK(F_Custom1_V)),1,IFERROR(IF(ISNUMBER(SEARCH("|"&amp;INDEX(INDIRECT(F_Custom1_resolved_column),189)&amp;"|",("|" &amp; SUBSTITUTE(F_Custom1_resolved_criteria, ", ", "|") &amp; "|"))),1,0),0))</f>
        <v>1</v>
      </c>
      <c r="E190">
        <f>IF(OR(F_Custom2_Q="(None)",F_Custom2_Q="",ISBLANK(F_Custom2_Q),F_Custom2_V="(All)",F_Custom2_V="",ISBLANK(F_Custom2_V)),1,IFERROR(IF(ISNUMBER(SEARCH("|"&amp;INDEX(INDIRECT(F_Custom2_resolved_column),189)&amp;"|",("|" &amp; SUBSTITUTE(F_Custom2_resolved_criteria, ", ", "|") &amp; "|"))),1,0),0))</f>
        <v>1</v>
      </c>
      <c r="F190">
        <f>D190*E190*1</f>
        <v>1</v>
      </c>
      <c r="G190">
        <f>1</f>
        <v>1</v>
      </c>
      <c r="H190">
        <f>IF(OR(All_Questions_Q6_F_Q="(None)",All_Questions_Q6_F_Q="",ISBLANK(All_Questions_Q6_F_Q),All_Questions_Q6_F_V="(All)",All_Questions_Q6_F_V="",ISBLANK(All_Questions_Q6_F_V)),1,IFERROR(IF(ISNUMBER(SEARCH("|"&amp;INDEX(INDIRECT(All_Questions_Q6_F_resolved_column),189)&amp;"|",("|" &amp; SUBSTITUTE(All_Questions_Q6_F_resolved_criteria, ", ", "|") &amp; "|"))),1,0),0))*1</f>
        <v>1</v>
      </c>
    </row>
    <row r="191">
      <c r="A191" t="n">
        <v>190</v>
      </c>
      <c r="B191" t="n">
        <v>26.3695</v>
      </c>
      <c r="C191">
        <f>1</f>
        <v>1</v>
      </c>
      <c r="D191">
        <f>IF(OR(F_Custom1_Q="(None)",F_Custom1_Q="",ISBLANK(F_Custom1_Q),F_Custom1_V="(All)",F_Custom1_V="",ISBLANK(F_Custom1_V)),1,IFERROR(IF(ISNUMBER(SEARCH("|"&amp;INDEX(INDIRECT(F_Custom1_resolved_column),190)&amp;"|",("|" &amp; SUBSTITUTE(F_Custom1_resolved_criteria, ", ", "|") &amp; "|"))),1,0),0))</f>
        <v>1</v>
      </c>
      <c r="E191">
        <f>IF(OR(F_Custom2_Q="(None)",F_Custom2_Q="",ISBLANK(F_Custom2_Q),F_Custom2_V="(All)",F_Custom2_V="",ISBLANK(F_Custom2_V)),1,IFERROR(IF(ISNUMBER(SEARCH("|"&amp;INDEX(INDIRECT(F_Custom2_resolved_column),190)&amp;"|",("|" &amp; SUBSTITUTE(F_Custom2_resolved_criteria, ", ", "|") &amp; "|"))),1,0),0))</f>
        <v>1</v>
      </c>
      <c r="F191">
        <f>D191*E191*1</f>
        <v>1</v>
      </c>
      <c r="G191">
        <f>1</f>
        <v>1</v>
      </c>
      <c r="H191">
        <f>IF(OR(All_Questions_Q6_F_Q="(None)",All_Questions_Q6_F_Q="",ISBLANK(All_Questions_Q6_F_Q),All_Questions_Q6_F_V="(All)",All_Questions_Q6_F_V="",ISBLANK(All_Questions_Q6_F_V)),1,IFERROR(IF(ISNUMBER(SEARCH("|"&amp;INDEX(INDIRECT(All_Questions_Q6_F_resolved_column),190)&amp;"|",("|" &amp; SUBSTITUTE(All_Questions_Q6_F_resolved_criteria, ", ", "|") &amp; "|"))),1,0),0))*1</f>
        <v>1</v>
      </c>
    </row>
    <row r="192">
      <c r="A192" t="n">
        <v>191</v>
      </c>
      <c r="B192" t="n">
        <v>26.3695</v>
      </c>
      <c r="C192">
        <f>1</f>
        <v>1</v>
      </c>
      <c r="D192">
        <f>IF(OR(F_Custom1_Q="(None)",F_Custom1_Q="",ISBLANK(F_Custom1_Q),F_Custom1_V="(All)",F_Custom1_V="",ISBLANK(F_Custom1_V)),1,IFERROR(IF(ISNUMBER(SEARCH("|"&amp;INDEX(INDIRECT(F_Custom1_resolved_column),191)&amp;"|",("|" &amp; SUBSTITUTE(F_Custom1_resolved_criteria, ", ", "|") &amp; "|"))),1,0),0))</f>
        <v>1</v>
      </c>
      <c r="E192">
        <f>IF(OR(F_Custom2_Q="(None)",F_Custom2_Q="",ISBLANK(F_Custom2_Q),F_Custom2_V="(All)",F_Custom2_V="",ISBLANK(F_Custom2_V)),1,IFERROR(IF(ISNUMBER(SEARCH("|"&amp;INDEX(INDIRECT(F_Custom2_resolved_column),191)&amp;"|",("|" &amp; SUBSTITUTE(F_Custom2_resolved_criteria, ", ", "|") &amp; "|"))),1,0),0))</f>
        <v>1</v>
      </c>
      <c r="F192">
        <f>D192*E192*1</f>
        <v>1</v>
      </c>
      <c r="G192">
        <f>1</f>
        <v>1</v>
      </c>
      <c r="H192">
        <f>IF(OR(All_Questions_Q6_F_Q="(None)",All_Questions_Q6_F_Q="",ISBLANK(All_Questions_Q6_F_Q),All_Questions_Q6_F_V="(All)",All_Questions_Q6_F_V="",ISBLANK(All_Questions_Q6_F_V)),1,IFERROR(IF(ISNUMBER(SEARCH("|"&amp;INDEX(INDIRECT(All_Questions_Q6_F_resolved_column),191)&amp;"|",("|" &amp; SUBSTITUTE(All_Questions_Q6_F_resolved_criteria, ", ", "|") &amp; "|"))),1,0),0))*1</f>
        <v>1</v>
      </c>
    </row>
    <row r="193">
      <c r="A193" t="n">
        <v>192</v>
      </c>
      <c r="B193" t="n">
        <v>26.3695</v>
      </c>
      <c r="C193">
        <f>1</f>
        <v>1</v>
      </c>
      <c r="D193">
        <f>IF(OR(F_Custom1_Q="(None)",F_Custom1_Q="",ISBLANK(F_Custom1_Q),F_Custom1_V="(All)",F_Custom1_V="",ISBLANK(F_Custom1_V)),1,IFERROR(IF(ISNUMBER(SEARCH("|"&amp;INDEX(INDIRECT(F_Custom1_resolved_column),192)&amp;"|",("|" &amp; SUBSTITUTE(F_Custom1_resolved_criteria, ", ", "|") &amp; "|"))),1,0),0))</f>
        <v>1</v>
      </c>
      <c r="E193">
        <f>IF(OR(F_Custom2_Q="(None)",F_Custom2_Q="",ISBLANK(F_Custom2_Q),F_Custom2_V="(All)",F_Custom2_V="",ISBLANK(F_Custom2_V)),1,IFERROR(IF(ISNUMBER(SEARCH("|"&amp;INDEX(INDIRECT(F_Custom2_resolved_column),192)&amp;"|",("|" &amp; SUBSTITUTE(F_Custom2_resolved_criteria, ", ", "|") &amp; "|"))),1,0),0))</f>
        <v>1</v>
      </c>
      <c r="F193">
        <f>D193*E193*1</f>
        <v>1</v>
      </c>
      <c r="G193">
        <f>1</f>
        <v>1</v>
      </c>
      <c r="H193">
        <f>IF(OR(All_Questions_Q6_F_Q="(None)",All_Questions_Q6_F_Q="",ISBLANK(All_Questions_Q6_F_Q),All_Questions_Q6_F_V="(All)",All_Questions_Q6_F_V="",ISBLANK(All_Questions_Q6_F_V)),1,IFERROR(IF(ISNUMBER(SEARCH("|"&amp;INDEX(INDIRECT(All_Questions_Q6_F_resolved_column),192)&amp;"|",("|" &amp; SUBSTITUTE(All_Questions_Q6_F_resolved_criteria, ", ", "|") &amp; "|"))),1,0),0))*1</f>
        <v>1</v>
      </c>
    </row>
    <row r="194">
      <c r="A194" t="n">
        <v>193</v>
      </c>
      <c r="B194" t="n">
        <v>26.3695</v>
      </c>
      <c r="C194">
        <f>1</f>
        <v>1</v>
      </c>
      <c r="D194">
        <f>IF(OR(F_Custom1_Q="(None)",F_Custom1_Q="",ISBLANK(F_Custom1_Q),F_Custom1_V="(All)",F_Custom1_V="",ISBLANK(F_Custom1_V)),1,IFERROR(IF(ISNUMBER(SEARCH("|"&amp;INDEX(INDIRECT(F_Custom1_resolved_column),193)&amp;"|",("|" &amp; SUBSTITUTE(F_Custom1_resolved_criteria, ", ", "|") &amp; "|"))),1,0),0))</f>
        <v>1</v>
      </c>
      <c r="E194">
        <f>IF(OR(F_Custom2_Q="(None)",F_Custom2_Q="",ISBLANK(F_Custom2_Q),F_Custom2_V="(All)",F_Custom2_V="",ISBLANK(F_Custom2_V)),1,IFERROR(IF(ISNUMBER(SEARCH("|"&amp;INDEX(INDIRECT(F_Custom2_resolved_column),193)&amp;"|",("|" &amp; SUBSTITUTE(F_Custom2_resolved_criteria, ", ", "|") &amp; "|"))),1,0),0))</f>
        <v>1</v>
      </c>
      <c r="F194">
        <f>D194*E194*1</f>
        <v>1</v>
      </c>
      <c r="G194">
        <f>1</f>
        <v>1</v>
      </c>
      <c r="H194">
        <f>IF(OR(All_Questions_Q6_F_Q="(None)",All_Questions_Q6_F_Q="",ISBLANK(All_Questions_Q6_F_Q),All_Questions_Q6_F_V="(All)",All_Questions_Q6_F_V="",ISBLANK(All_Questions_Q6_F_V)),1,IFERROR(IF(ISNUMBER(SEARCH("|"&amp;INDEX(INDIRECT(All_Questions_Q6_F_resolved_column),193)&amp;"|",("|" &amp; SUBSTITUTE(All_Questions_Q6_F_resolved_criteria, ", ", "|") &amp; "|"))),1,0),0))*1</f>
        <v>1</v>
      </c>
    </row>
    <row r="195">
      <c r="A195" t="n">
        <v>194</v>
      </c>
      <c r="B195" t="n">
        <v>26.3695</v>
      </c>
      <c r="C195">
        <f>1</f>
        <v>1</v>
      </c>
      <c r="D195">
        <f>IF(OR(F_Custom1_Q="(None)",F_Custom1_Q="",ISBLANK(F_Custom1_Q),F_Custom1_V="(All)",F_Custom1_V="",ISBLANK(F_Custom1_V)),1,IFERROR(IF(ISNUMBER(SEARCH("|"&amp;INDEX(INDIRECT(F_Custom1_resolved_column),194)&amp;"|",("|" &amp; SUBSTITUTE(F_Custom1_resolved_criteria, ", ", "|") &amp; "|"))),1,0),0))</f>
        <v>1</v>
      </c>
      <c r="E195">
        <f>IF(OR(F_Custom2_Q="(None)",F_Custom2_Q="",ISBLANK(F_Custom2_Q),F_Custom2_V="(All)",F_Custom2_V="",ISBLANK(F_Custom2_V)),1,IFERROR(IF(ISNUMBER(SEARCH("|"&amp;INDEX(INDIRECT(F_Custom2_resolved_column),194)&amp;"|",("|" &amp; SUBSTITUTE(F_Custom2_resolved_criteria, ", ", "|") &amp; "|"))),1,0),0))</f>
        <v>1</v>
      </c>
      <c r="F195">
        <f>D195*E195*1</f>
        <v>1</v>
      </c>
      <c r="G195">
        <f>1</f>
        <v>1</v>
      </c>
      <c r="H195">
        <f>IF(OR(All_Questions_Q6_F_Q="(None)",All_Questions_Q6_F_Q="",ISBLANK(All_Questions_Q6_F_Q),All_Questions_Q6_F_V="(All)",All_Questions_Q6_F_V="",ISBLANK(All_Questions_Q6_F_V)),1,IFERROR(IF(ISNUMBER(SEARCH("|"&amp;INDEX(INDIRECT(All_Questions_Q6_F_resolved_column),194)&amp;"|",("|" &amp; SUBSTITUTE(All_Questions_Q6_F_resolved_criteria, ", ", "|") &amp; "|"))),1,0),0))*1</f>
        <v>1</v>
      </c>
    </row>
    <row r="196">
      <c r="A196" t="n">
        <v>195</v>
      </c>
      <c r="B196" t="n">
        <v>26.3695</v>
      </c>
      <c r="C196">
        <f>1</f>
        <v>1</v>
      </c>
      <c r="D196">
        <f>IF(OR(F_Custom1_Q="(None)",F_Custom1_Q="",ISBLANK(F_Custom1_Q),F_Custom1_V="(All)",F_Custom1_V="",ISBLANK(F_Custom1_V)),1,IFERROR(IF(ISNUMBER(SEARCH("|"&amp;INDEX(INDIRECT(F_Custom1_resolved_column),195)&amp;"|",("|" &amp; SUBSTITUTE(F_Custom1_resolved_criteria, ", ", "|") &amp; "|"))),1,0),0))</f>
        <v>1</v>
      </c>
      <c r="E196">
        <f>IF(OR(F_Custom2_Q="(None)",F_Custom2_Q="",ISBLANK(F_Custom2_Q),F_Custom2_V="(All)",F_Custom2_V="",ISBLANK(F_Custom2_V)),1,IFERROR(IF(ISNUMBER(SEARCH("|"&amp;INDEX(INDIRECT(F_Custom2_resolved_column),195)&amp;"|",("|" &amp; SUBSTITUTE(F_Custom2_resolved_criteria, ", ", "|") &amp; "|"))),1,0),0))</f>
        <v>1</v>
      </c>
      <c r="F196">
        <f>D196*E196*1</f>
        <v>1</v>
      </c>
      <c r="G196">
        <f>1</f>
        <v>1</v>
      </c>
      <c r="H196">
        <f>IF(OR(All_Questions_Q6_F_Q="(None)",All_Questions_Q6_F_Q="",ISBLANK(All_Questions_Q6_F_Q),All_Questions_Q6_F_V="(All)",All_Questions_Q6_F_V="",ISBLANK(All_Questions_Q6_F_V)),1,IFERROR(IF(ISNUMBER(SEARCH("|"&amp;INDEX(INDIRECT(All_Questions_Q6_F_resolved_column),195)&amp;"|",("|" &amp; SUBSTITUTE(All_Questions_Q6_F_resolved_criteria, ", ", "|") &amp; "|"))),1,0),0))*1</f>
        <v>1</v>
      </c>
    </row>
    <row r="197">
      <c r="A197" t="n">
        <v>196</v>
      </c>
      <c r="B197" t="n">
        <v>26.3695</v>
      </c>
      <c r="C197">
        <f>1</f>
        <v>1</v>
      </c>
      <c r="D197">
        <f>IF(OR(F_Custom1_Q="(None)",F_Custom1_Q="",ISBLANK(F_Custom1_Q),F_Custom1_V="(All)",F_Custom1_V="",ISBLANK(F_Custom1_V)),1,IFERROR(IF(ISNUMBER(SEARCH("|"&amp;INDEX(INDIRECT(F_Custom1_resolved_column),196)&amp;"|",("|" &amp; SUBSTITUTE(F_Custom1_resolved_criteria, ", ", "|") &amp; "|"))),1,0),0))</f>
        <v>1</v>
      </c>
      <c r="E197">
        <f>IF(OR(F_Custom2_Q="(None)",F_Custom2_Q="",ISBLANK(F_Custom2_Q),F_Custom2_V="(All)",F_Custom2_V="",ISBLANK(F_Custom2_V)),1,IFERROR(IF(ISNUMBER(SEARCH("|"&amp;INDEX(INDIRECT(F_Custom2_resolved_column),196)&amp;"|",("|" &amp; SUBSTITUTE(F_Custom2_resolved_criteria, ", ", "|") &amp; "|"))),1,0),0))</f>
        <v>1</v>
      </c>
      <c r="F197">
        <f>D197*E197*1</f>
        <v>1</v>
      </c>
      <c r="G197">
        <f>1</f>
        <v>1</v>
      </c>
      <c r="H197">
        <f>IF(OR(All_Questions_Q6_F_Q="(None)",All_Questions_Q6_F_Q="",ISBLANK(All_Questions_Q6_F_Q),All_Questions_Q6_F_V="(All)",All_Questions_Q6_F_V="",ISBLANK(All_Questions_Q6_F_V)),1,IFERROR(IF(ISNUMBER(SEARCH("|"&amp;INDEX(INDIRECT(All_Questions_Q6_F_resolved_column),196)&amp;"|",("|" &amp; SUBSTITUTE(All_Questions_Q6_F_resolved_criteria, ", ", "|") &amp; "|"))),1,0),0))*1</f>
        <v>1</v>
      </c>
    </row>
    <row r="198">
      <c r="A198" t="n">
        <v>197</v>
      </c>
      <c r="B198" t="n">
        <v>26.3695</v>
      </c>
      <c r="C198">
        <f>1</f>
        <v>1</v>
      </c>
      <c r="D198">
        <f>IF(OR(F_Custom1_Q="(None)",F_Custom1_Q="",ISBLANK(F_Custom1_Q),F_Custom1_V="(All)",F_Custom1_V="",ISBLANK(F_Custom1_V)),1,IFERROR(IF(ISNUMBER(SEARCH("|"&amp;INDEX(INDIRECT(F_Custom1_resolved_column),197)&amp;"|",("|" &amp; SUBSTITUTE(F_Custom1_resolved_criteria, ", ", "|") &amp; "|"))),1,0),0))</f>
        <v>1</v>
      </c>
      <c r="E198">
        <f>IF(OR(F_Custom2_Q="(None)",F_Custom2_Q="",ISBLANK(F_Custom2_Q),F_Custom2_V="(All)",F_Custom2_V="",ISBLANK(F_Custom2_V)),1,IFERROR(IF(ISNUMBER(SEARCH("|"&amp;INDEX(INDIRECT(F_Custom2_resolved_column),197)&amp;"|",("|" &amp; SUBSTITUTE(F_Custom2_resolved_criteria, ", ", "|") &amp; "|"))),1,0),0))</f>
        <v>1</v>
      </c>
      <c r="F198">
        <f>D198*E198*1</f>
        <v>1</v>
      </c>
      <c r="G198">
        <f>1</f>
        <v>1</v>
      </c>
      <c r="H198">
        <f>IF(OR(All_Questions_Q6_F_Q="(None)",All_Questions_Q6_F_Q="",ISBLANK(All_Questions_Q6_F_Q),All_Questions_Q6_F_V="(All)",All_Questions_Q6_F_V="",ISBLANK(All_Questions_Q6_F_V)),1,IFERROR(IF(ISNUMBER(SEARCH("|"&amp;INDEX(INDIRECT(All_Questions_Q6_F_resolved_column),197)&amp;"|",("|" &amp; SUBSTITUTE(All_Questions_Q6_F_resolved_criteria, ", ", "|") &amp; "|"))),1,0),0))*1</f>
        <v>1</v>
      </c>
    </row>
    <row r="199">
      <c r="A199" t="n">
        <v>198</v>
      </c>
      <c r="B199" t="n">
        <v>26.3695</v>
      </c>
      <c r="C199">
        <f>1</f>
        <v>1</v>
      </c>
      <c r="D199">
        <f>IF(OR(F_Custom1_Q="(None)",F_Custom1_Q="",ISBLANK(F_Custom1_Q),F_Custom1_V="(All)",F_Custom1_V="",ISBLANK(F_Custom1_V)),1,IFERROR(IF(ISNUMBER(SEARCH("|"&amp;INDEX(INDIRECT(F_Custom1_resolved_column),198)&amp;"|",("|" &amp; SUBSTITUTE(F_Custom1_resolved_criteria, ", ", "|") &amp; "|"))),1,0),0))</f>
        <v>1</v>
      </c>
      <c r="E199">
        <f>IF(OR(F_Custom2_Q="(None)",F_Custom2_Q="",ISBLANK(F_Custom2_Q),F_Custom2_V="(All)",F_Custom2_V="",ISBLANK(F_Custom2_V)),1,IFERROR(IF(ISNUMBER(SEARCH("|"&amp;INDEX(INDIRECT(F_Custom2_resolved_column),198)&amp;"|",("|" &amp; SUBSTITUTE(F_Custom2_resolved_criteria, ", ", "|") &amp; "|"))),1,0),0))</f>
        <v>1</v>
      </c>
      <c r="F199">
        <f>D199*E199*1</f>
        <v>1</v>
      </c>
      <c r="G199">
        <f>1</f>
        <v>1</v>
      </c>
      <c r="H199">
        <f>IF(OR(All_Questions_Q6_F_Q="(None)",All_Questions_Q6_F_Q="",ISBLANK(All_Questions_Q6_F_Q),All_Questions_Q6_F_V="(All)",All_Questions_Q6_F_V="",ISBLANK(All_Questions_Q6_F_V)),1,IFERROR(IF(ISNUMBER(SEARCH("|"&amp;INDEX(INDIRECT(All_Questions_Q6_F_resolved_column),198)&amp;"|",("|" &amp; SUBSTITUTE(All_Questions_Q6_F_resolved_criteria, ", ", "|") &amp; "|"))),1,0),0))*1</f>
        <v>1</v>
      </c>
    </row>
    <row r="200">
      <c r="A200" t="n">
        <v>199</v>
      </c>
      <c r="B200" t="n">
        <v>26.3695</v>
      </c>
      <c r="C200">
        <f>1</f>
        <v>1</v>
      </c>
      <c r="D200">
        <f>IF(OR(F_Custom1_Q="(None)",F_Custom1_Q="",ISBLANK(F_Custom1_Q),F_Custom1_V="(All)",F_Custom1_V="",ISBLANK(F_Custom1_V)),1,IFERROR(IF(ISNUMBER(SEARCH("|"&amp;INDEX(INDIRECT(F_Custom1_resolved_column),199)&amp;"|",("|" &amp; SUBSTITUTE(F_Custom1_resolved_criteria, ", ", "|") &amp; "|"))),1,0),0))</f>
        <v>1</v>
      </c>
      <c r="E200">
        <f>IF(OR(F_Custom2_Q="(None)",F_Custom2_Q="",ISBLANK(F_Custom2_Q),F_Custom2_V="(All)",F_Custom2_V="",ISBLANK(F_Custom2_V)),1,IFERROR(IF(ISNUMBER(SEARCH("|"&amp;INDEX(INDIRECT(F_Custom2_resolved_column),199)&amp;"|",("|" &amp; SUBSTITUTE(F_Custom2_resolved_criteria, ", ", "|") &amp; "|"))),1,0),0))</f>
        <v>1</v>
      </c>
      <c r="F200">
        <f>D200*E200*1</f>
        <v>1</v>
      </c>
      <c r="G200">
        <f>1</f>
        <v>1</v>
      </c>
      <c r="H200">
        <f>IF(OR(All_Questions_Q6_F_Q="(None)",All_Questions_Q6_F_Q="",ISBLANK(All_Questions_Q6_F_Q),All_Questions_Q6_F_V="(All)",All_Questions_Q6_F_V="",ISBLANK(All_Questions_Q6_F_V)),1,IFERROR(IF(ISNUMBER(SEARCH("|"&amp;INDEX(INDIRECT(All_Questions_Q6_F_resolved_column),199)&amp;"|",("|" &amp; SUBSTITUTE(All_Questions_Q6_F_resolved_criteria, ", ", "|") &amp; "|"))),1,0),0))*1</f>
        <v>1</v>
      </c>
    </row>
    <row r="201">
      <c r="A201" t="n">
        <v>200</v>
      </c>
      <c r="B201" t="n">
        <v>26.3695</v>
      </c>
      <c r="C201">
        <f>1</f>
        <v>1</v>
      </c>
      <c r="D201">
        <f>IF(OR(F_Custom1_Q="(None)",F_Custom1_Q="",ISBLANK(F_Custom1_Q),F_Custom1_V="(All)",F_Custom1_V="",ISBLANK(F_Custom1_V)),1,IFERROR(IF(ISNUMBER(SEARCH("|"&amp;INDEX(INDIRECT(F_Custom1_resolved_column),200)&amp;"|",("|" &amp; SUBSTITUTE(F_Custom1_resolved_criteria, ", ", "|") &amp; "|"))),1,0),0))</f>
        <v>1</v>
      </c>
      <c r="E201">
        <f>IF(OR(F_Custom2_Q="(None)",F_Custom2_Q="",ISBLANK(F_Custom2_Q),F_Custom2_V="(All)",F_Custom2_V="",ISBLANK(F_Custom2_V)),1,IFERROR(IF(ISNUMBER(SEARCH("|"&amp;INDEX(INDIRECT(F_Custom2_resolved_column),200)&amp;"|",("|" &amp; SUBSTITUTE(F_Custom2_resolved_criteria, ", ", "|") &amp; "|"))),1,0),0))</f>
        <v>1</v>
      </c>
      <c r="F201">
        <f>D201*E201*1</f>
        <v>1</v>
      </c>
      <c r="G201">
        <f>1</f>
        <v>1</v>
      </c>
      <c r="H201">
        <f>IF(OR(All_Questions_Q6_F_Q="(None)",All_Questions_Q6_F_Q="",ISBLANK(All_Questions_Q6_F_Q),All_Questions_Q6_F_V="(All)",All_Questions_Q6_F_V="",ISBLANK(All_Questions_Q6_F_V)),1,IFERROR(IF(ISNUMBER(SEARCH("|"&amp;INDEX(INDIRECT(All_Questions_Q6_F_resolved_column),200)&amp;"|",("|" &amp; SUBSTITUTE(All_Questions_Q6_F_resolved_criteria, ", ", "|") &amp; "|"))),1,0),0))*1</f>
        <v>1</v>
      </c>
    </row>
    <row r="202">
      <c r="A202" t="n">
        <v>201</v>
      </c>
      <c r="B202" t="n">
        <v>26.3695</v>
      </c>
      <c r="C202">
        <f>1</f>
        <v>1</v>
      </c>
      <c r="D202">
        <f>IF(OR(F_Custom1_Q="(None)",F_Custom1_Q="",ISBLANK(F_Custom1_Q),F_Custom1_V="(All)",F_Custom1_V="",ISBLANK(F_Custom1_V)),1,IFERROR(IF(ISNUMBER(SEARCH("|"&amp;INDEX(INDIRECT(F_Custom1_resolved_column),201)&amp;"|",("|" &amp; SUBSTITUTE(F_Custom1_resolved_criteria, ", ", "|") &amp; "|"))),1,0),0))</f>
        <v>1</v>
      </c>
      <c r="E202">
        <f>IF(OR(F_Custom2_Q="(None)",F_Custom2_Q="",ISBLANK(F_Custom2_Q),F_Custom2_V="(All)",F_Custom2_V="",ISBLANK(F_Custom2_V)),1,IFERROR(IF(ISNUMBER(SEARCH("|"&amp;INDEX(INDIRECT(F_Custom2_resolved_column),201)&amp;"|",("|" &amp; SUBSTITUTE(F_Custom2_resolved_criteria, ", ", "|") &amp; "|"))),1,0),0))</f>
        <v>1</v>
      </c>
      <c r="F202">
        <f>D202*E202*1</f>
        <v>1</v>
      </c>
      <c r="G202">
        <f>1</f>
        <v>1</v>
      </c>
      <c r="H202">
        <f>IF(OR(All_Questions_Q6_F_Q="(None)",All_Questions_Q6_F_Q="",ISBLANK(All_Questions_Q6_F_Q),All_Questions_Q6_F_V="(All)",All_Questions_Q6_F_V="",ISBLANK(All_Questions_Q6_F_V)),1,IFERROR(IF(ISNUMBER(SEARCH("|"&amp;INDEX(INDIRECT(All_Questions_Q6_F_resolved_column),201)&amp;"|",("|" &amp; SUBSTITUTE(All_Questions_Q6_F_resolved_criteria, ", ", "|") &amp; "|"))),1,0),0))*1</f>
        <v>1</v>
      </c>
    </row>
    <row r="203">
      <c r="A203" t="n">
        <v>202</v>
      </c>
      <c r="B203" t="n">
        <v>26.3695</v>
      </c>
      <c r="C203">
        <f>1</f>
        <v>1</v>
      </c>
      <c r="D203">
        <f>IF(OR(F_Custom1_Q="(None)",F_Custom1_Q="",ISBLANK(F_Custom1_Q),F_Custom1_V="(All)",F_Custom1_V="",ISBLANK(F_Custom1_V)),1,IFERROR(IF(ISNUMBER(SEARCH("|"&amp;INDEX(INDIRECT(F_Custom1_resolved_column),202)&amp;"|",("|" &amp; SUBSTITUTE(F_Custom1_resolved_criteria, ", ", "|") &amp; "|"))),1,0),0))</f>
        <v>1</v>
      </c>
      <c r="E203">
        <f>IF(OR(F_Custom2_Q="(None)",F_Custom2_Q="",ISBLANK(F_Custom2_Q),F_Custom2_V="(All)",F_Custom2_V="",ISBLANK(F_Custom2_V)),1,IFERROR(IF(ISNUMBER(SEARCH("|"&amp;INDEX(INDIRECT(F_Custom2_resolved_column),202)&amp;"|",("|" &amp; SUBSTITUTE(F_Custom2_resolved_criteria, ", ", "|") &amp; "|"))),1,0),0))</f>
        <v>1</v>
      </c>
      <c r="F203">
        <f>D203*E203*1</f>
        <v>1</v>
      </c>
      <c r="G203">
        <f>1</f>
        <v>1</v>
      </c>
      <c r="H203">
        <f>IF(OR(All_Questions_Q6_F_Q="(None)",All_Questions_Q6_F_Q="",ISBLANK(All_Questions_Q6_F_Q),All_Questions_Q6_F_V="(All)",All_Questions_Q6_F_V="",ISBLANK(All_Questions_Q6_F_V)),1,IFERROR(IF(ISNUMBER(SEARCH("|"&amp;INDEX(INDIRECT(All_Questions_Q6_F_resolved_column),202)&amp;"|",("|" &amp; SUBSTITUTE(All_Questions_Q6_F_resolved_criteria, ", ", "|") &amp; "|"))),1,0),0))*1</f>
        <v>1</v>
      </c>
    </row>
    <row r="204">
      <c r="A204" t="n">
        <v>203</v>
      </c>
      <c r="B204" t="n">
        <v>26.3695</v>
      </c>
      <c r="C204">
        <f>1</f>
        <v>1</v>
      </c>
      <c r="D204">
        <f>IF(OR(F_Custom1_Q="(None)",F_Custom1_Q="",ISBLANK(F_Custom1_Q),F_Custom1_V="(All)",F_Custom1_V="",ISBLANK(F_Custom1_V)),1,IFERROR(IF(ISNUMBER(SEARCH("|"&amp;INDEX(INDIRECT(F_Custom1_resolved_column),203)&amp;"|",("|" &amp; SUBSTITUTE(F_Custom1_resolved_criteria, ", ", "|") &amp; "|"))),1,0),0))</f>
        <v>1</v>
      </c>
      <c r="E204">
        <f>IF(OR(F_Custom2_Q="(None)",F_Custom2_Q="",ISBLANK(F_Custom2_Q),F_Custom2_V="(All)",F_Custom2_V="",ISBLANK(F_Custom2_V)),1,IFERROR(IF(ISNUMBER(SEARCH("|"&amp;INDEX(INDIRECT(F_Custom2_resolved_column),203)&amp;"|",("|" &amp; SUBSTITUTE(F_Custom2_resolved_criteria, ", ", "|") &amp; "|"))),1,0),0))</f>
        <v>1</v>
      </c>
      <c r="F204">
        <f>D204*E204*1</f>
        <v>1</v>
      </c>
      <c r="G204">
        <f>1</f>
        <v>1</v>
      </c>
      <c r="H204">
        <f>IF(OR(All_Questions_Q6_F_Q="(None)",All_Questions_Q6_F_Q="",ISBLANK(All_Questions_Q6_F_Q),All_Questions_Q6_F_V="(All)",All_Questions_Q6_F_V="",ISBLANK(All_Questions_Q6_F_V)),1,IFERROR(IF(ISNUMBER(SEARCH("|"&amp;INDEX(INDIRECT(All_Questions_Q6_F_resolved_column),203)&amp;"|",("|" &amp; SUBSTITUTE(All_Questions_Q6_F_resolved_criteria, ", ", "|") &amp; "|"))),1,0),0))*1</f>
        <v>1</v>
      </c>
    </row>
    <row r="205">
      <c r="A205" t="n">
        <v>204</v>
      </c>
      <c r="B205" t="n">
        <v>26.3695</v>
      </c>
      <c r="C205">
        <f>1</f>
        <v>1</v>
      </c>
      <c r="D205">
        <f>IF(OR(F_Custom1_Q="(None)",F_Custom1_Q="",ISBLANK(F_Custom1_Q),F_Custom1_V="(All)",F_Custom1_V="",ISBLANK(F_Custom1_V)),1,IFERROR(IF(ISNUMBER(SEARCH("|"&amp;INDEX(INDIRECT(F_Custom1_resolved_column),204)&amp;"|",("|" &amp; SUBSTITUTE(F_Custom1_resolved_criteria, ", ", "|") &amp; "|"))),1,0),0))</f>
        <v>1</v>
      </c>
      <c r="E205">
        <f>IF(OR(F_Custom2_Q="(None)",F_Custom2_Q="",ISBLANK(F_Custom2_Q),F_Custom2_V="(All)",F_Custom2_V="",ISBLANK(F_Custom2_V)),1,IFERROR(IF(ISNUMBER(SEARCH("|"&amp;INDEX(INDIRECT(F_Custom2_resolved_column),204)&amp;"|",("|" &amp; SUBSTITUTE(F_Custom2_resolved_criteria, ", ", "|") &amp; "|"))),1,0),0))</f>
        <v>1</v>
      </c>
      <c r="F205">
        <f>D205*E205*1</f>
        <v>1</v>
      </c>
      <c r="G205">
        <f>1</f>
        <v>1</v>
      </c>
      <c r="H205">
        <f>IF(OR(All_Questions_Q6_F_Q="(None)",All_Questions_Q6_F_Q="",ISBLANK(All_Questions_Q6_F_Q),All_Questions_Q6_F_V="(All)",All_Questions_Q6_F_V="",ISBLANK(All_Questions_Q6_F_V)),1,IFERROR(IF(ISNUMBER(SEARCH("|"&amp;INDEX(INDIRECT(All_Questions_Q6_F_resolved_column),204)&amp;"|",("|" &amp; SUBSTITUTE(All_Questions_Q6_F_resolved_criteria, ", ", "|") &amp; "|"))),1,0),0))*1</f>
        <v>1</v>
      </c>
    </row>
    <row r="206">
      <c r="A206" t="n">
        <v>205</v>
      </c>
      <c r="B206" t="n">
        <v>26.3695</v>
      </c>
      <c r="C206">
        <f>1</f>
        <v>1</v>
      </c>
      <c r="D206">
        <f>IF(OR(F_Custom1_Q="(None)",F_Custom1_Q="",ISBLANK(F_Custom1_Q),F_Custom1_V="(All)",F_Custom1_V="",ISBLANK(F_Custom1_V)),1,IFERROR(IF(ISNUMBER(SEARCH("|"&amp;INDEX(INDIRECT(F_Custom1_resolved_column),205)&amp;"|",("|" &amp; SUBSTITUTE(F_Custom1_resolved_criteria, ", ", "|") &amp; "|"))),1,0),0))</f>
        <v>1</v>
      </c>
      <c r="E206">
        <f>IF(OR(F_Custom2_Q="(None)",F_Custom2_Q="",ISBLANK(F_Custom2_Q),F_Custom2_V="(All)",F_Custom2_V="",ISBLANK(F_Custom2_V)),1,IFERROR(IF(ISNUMBER(SEARCH("|"&amp;INDEX(INDIRECT(F_Custom2_resolved_column),205)&amp;"|",("|" &amp; SUBSTITUTE(F_Custom2_resolved_criteria, ", ", "|") &amp; "|"))),1,0),0))</f>
        <v>1</v>
      </c>
      <c r="F206">
        <f>D206*E206*1</f>
        <v>1</v>
      </c>
      <c r="G206">
        <f>1</f>
        <v>1</v>
      </c>
      <c r="H206">
        <f>IF(OR(All_Questions_Q6_F_Q="(None)",All_Questions_Q6_F_Q="",ISBLANK(All_Questions_Q6_F_Q),All_Questions_Q6_F_V="(All)",All_Questions_Q6_F_V="",ISBLANK(All_Questions_Q6_F_V)),1,IFERROR(IF(ISNUMBER(SEARCH("|"&amp;INDEX(INDIRECT(All_Questions_Q6_F_resolved_column),205)&amp;"|",("|" &amp; SUBSTITUTE(All_Questions_Q6_F_resolved_criteria, ", ", "|") &amp; "|"))),1,0),0))*1</f>
        <v>1</v>
      </c>
    </row>
    <row r="207">
      <c r="A207" t="n">
        <v>206</v>
      </c>
      <c r="B207" t="n">
        <v>26.3695</v>
      </c>
      <c r="C207">
        <f>1</f>
        <v>1</v>
      </c>
      <c r="D207">
        <f>IF(OR(F_Custom1_Q="(None)",F_Custom1_Q="",ISBLANK(F_Custom1_Q),F_Custom1_V="(All)",F_Custom1_V="",ISBLANK(F_Custom1_V)),1,IFERROR(IF(ISNUMBER(SEARCH("|"&amp;INDEX(INDIRECT(F_Custom1_resolved_column),206)&amp;"|",("|" &amp; SUBSTITUTE(F_Custom1_resolved_criteria, ", ", "|") &amp; "|"))),1,0),0))</f>
        <v>1</v>
      </c>
      <c r="E207">
        <f>IF(OR(F_Custom2_Q="(None)",F_Custom2_Q="",ISBLANK(F_Custom2_Q),F_Custom2_V="(All)",F_Custom2_V="",ISBLANK(F_Custom2_V)),1,IFERROR(IF(ISNUMBER(SEARCH("|"&amp;INDEX(INDIRECT(F_Custom2_resolved_column),206)&amp;"|",("|" &amp; SUBSTITUTE(F_Custom2_resolved_criteria, ", ", "|") &amp; "|"))),1,0),0))</f>
        <v>1</v>
      </c>
      <c r="F207">
        <f>D207*E207*1</f>
        <v>1</v>
      </c>
      <c r="G207">
        <f>1</f>
        <v>1</v>
      </c>
      <c r="H207">
        <f>IF(OR(All_Questions_Q6_F_Q="(None)",All_Questions_Q6_F_Q="",ISBLANK(All_Questions_Q6_F_Q),All_Questions_Q6_F_V="(All)",All_Questions_Q6_F_V="",ISBLANK(All_Questions_Q6_F_V)),1,IFERROR(IF(ISNUMBER(SEARCH("|"&amp;INDEX(INDIRECT(All_Questions_Q6_F_resolved_column),206)&amp;"|",("|" &amp; SUBSTITUTE(All_Questions_Q6_F_resolved_criteria,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Q6r1_options</t>
        </is>
      </c>
      <c r="G1" t="inlineStr">
        <is>
          <t>Q6r1_local_options</t>
        </is>
      </c>
      <c r="H1" t="inlineStr">
        <is>
          <t>Cross_Tab_Questions</t>
        </is>
      </c>
      <c r="I1" t="inlineStr">
        <is>
          <t>Cross_Tab_Questions_Data_Names</t>
        </is>
      </c>
      <c r="J1" t="inlineStr">
        <is>
          <t>Cross_Tab_Questions_Options_Names</t>
        </is>
      </c>
      <c r="L1" t="inlineStr">
        <is>
          <t>All_Questions_Value_Keys</t>
        </is>
      </c>
      <c r="M1" t="inlineStr">
        <is>
          <t>All_Questions_Value_Data_Names</t>
        </is>
      </c>
      <c r="N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'_RawData'!$A$2:$A$207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  <c r="H2" t="inlineStr">
        <is>
          <t>(None)</t>
        </is>
      </c>
      <c r="I2" t="inlineStr">
        <is>
          <t>'_RawData'!$A$2:$A$207</t>
        </is>
      </c>
      <c r="J2" t="inlineStr">
        <is>
          <t>'_Options'!$E$2:$E$2</t>
        </is>
      </c>
    </row>
    <row r="3">
      <c r="B3" t="inlineStr">
        <is>
          <t>(None)</t>
        </is>
      </c>
      <c r="F3" t="inlineStr">
        <is>
          <t>26.3695</t>
        </is>
      </c>
      <c r="G3" t="inlineStr">
        <is>
          <t>(All)</t>
        </is>
      </c>
    </row>
    <row r="4">
      <c r="G4" t="inlineStr">
        <is>
          <t>26.3695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206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20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[Q6]</t>
        </is>
      </c>
      <c r="B2" t="inlineStr">
        <is>
          <t>Q6</t>
        </is>
      </c>
      <c r="C2" t="inlineStr">
        <is>
          <t>Channel allocation</t>
        </is>
      </c>
      <c r="D2" t="inlineStr">
        <is>
          <t>NUMERIC_ALLOCATION</t>
        </is>
      </c>
      <c r="E2" t="inlineStr">
        <is>
          <t>Q6r1</t>
        </is>
      </c>
      <c r="F2" t="n">
        <v>1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Q6</t>
        </is>
      </c>
      <c r="B2" t="inlineStr">
        <is>
          <t>Q6</t>
        </is>
      </c>
      <c r="C2" t="inlineStr">
        <is>
          <t>NUMERIC_ALLOCATION</t>
        </is>
      </c>
      <c r="D2" t="inlineStr">
        <is>
          <t>All Questions</t>
        </is>
      </c>
      <c r="E2" s="6" t="inlineStr">
        <is>
          <t>All Questions</t>
        </is>
      </c>
      <c r="F2" t="n">
        <v>206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Q6 - Channel allocation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IFERROR(INDEX(All_Questions_Value_Data_Names,MATCH(All_Questions_Q6_F_Q&amp;"|"&amp;All_Questions_Q6_F_V,All_Questions_Value_Keys,0)),IFERROR(INDEX(All_Questions_Data_Names,MATCH(All_Questions_Q6_F_Q,All_Questions,0)),"'_RawData'!$A:$A"))</f>
        <v>respondent_id_data</v>
      </c>
      <c r="G13" t="str">
        <f>"|" &amp; SUBSTITUTE(All_Questions_Q6_F_V, ", ", "|") &amp; "|"</f>
        <v>|(All)|</v>
      </c>
      <c r="H13" t="str">
        <f>IFERROR(INDEX(All_Questions_Value_Criteria,MATCH(All_Questions_Q6_F_Q&amp;"|"&amp;All_Questions_Q6_F_V,All_Questions_Value_Keys,0)),All_Questions_Q6_F_V)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Mean</t>
        </is>
      </c>
      <c r="C16" s="4" t="inlineStr">
        <is>
          <t>Median</t>
        </is>
      </c>
      <c r="D16" s="4" t="inlineStr">
        <is>
          <t>Denominator</t>
        </is>
      </c>
    </row>
    <row r="17">
      <c r="A17" t="inlineStr">
        <is>
          <t>CRM &amp; sales tools</t>
        </is>
      </c>
      <c r="B17" s="14">
        <f>IFERROR(AVERAGEIFS(Q6r1_data,passes_workbook_filters_data,1,passes_workbook_custom_filters_data,1,All_Questions_passes_local_filters_data,1,All_Questions_Q6_F_passes_per_q_filter_data,1),0)</f>
        <v>26.3695</v>
      </c>
      <c r="C17" s="14" t="n">
        <v>26.55</v>
      </c>
      <c r="D17">
        <f>COUNTIFS(Q6r1_data,"&lt;&gt;",passes_workbook_filters_data,1,passes_workbook_custom_filters_data,1,All_Questions_passes_local_filters_data,1,All_Questions_Q6_F_passes_per_q_filter_data,1)</f>
        <v>206</v>
      </c>
    </row>
    <row r="18">
      <c r="A18" s="15" t="inlineStr">
        <is>
          <t>Total respondents</t>
        </is>
      </c>
      <c r="B18" s="15" t="n">
        <v>206</v>
      </c>
      <c r="C18" s="15" t="n"/>
      <c r="D18" s="15" t="n"/>
    </row>
    <row r="19"/>
    <row r="20">
      <c r="A20" s="4" t="inlineStr">
        <is>
          <t>Option</t>
        </is>
      </c>
      <c r="B20" s="2" t="str">
        <f>IF(All_Questions_Q6_CT="(None)","",IFERROR(INDEX(INDIRECT(IFERROR(INDEX(Cross_Tab_Questions_Options_Names,MATCH(All_Questions_Q6_CT,Cross_Tab_Questions,0)),"'_Options'!$E$2:$E$2")),2),""))</f>
        <v/>
      </c>
      <c r="C20" s="2" t="str">
        <f>IF(All_Questions_Q6_CT="(None)","",IFERROR(INDEX(INDIRECT(IFERROR(INDEX(Cross_Tab_Questions_Options_Names,MATCH(All_Questions_Q6_CT,Cross_Tab_Questions,0)),"'_Options'!$E$2:$E$2")),3),""))</f>
        <v/>
      </c>
      <c r="D20" s="2" t="str">
        <f>IF(All_Questions_Q6_CT="(None)","",IFERROR(INDEX(INDIRECT(IFERROR(INDEX(Cross_Tab_Questions_Options_Names,MATCH(All_Questions_Q6_CT,Cross_Tab_Questions,0)),"'_Options'!$E$2:$E$2")),4),""))</f>
        <v/>
      </c>
      <c r="E20" s="2" t="str">
        <f>IF(All_Questions_Q6_CT="(None)","",IFERROR(INDEX(INDIRECT(IFERROR(INDEX(Cross_Tab_Questions_Options_Names,MATCH(All_Questions_Q6_CT,Cross_Tab_Questions,0)),"'_Options'!$E$2:$E$2")),5),""))</f>
        <v/>
      </c>
      <c r="F20" s="2" t="str">
        <f>IF(All_Questions_Q6_CT="(None)","",IFERROR(INDEX(INDIRECT(IFERROR(INDEX(Cross_Tab_Questions_Options_Names,MATCH(All_Questions_Q6_CT,Cross_Tab_Questions,0)),"'_Options'!$E$2:$E$2")),6),""))</f>
        <v/>
      </c>
      <c r="G20" s="2" t="str">
        <f>IF(All_Questions_Q6_CT="(None)","",IFERROR(INDEX(INDIRECT(IFERROR(INDEX(Cross_Tab_Questions_Options_Names,MATCH(All_Questions_Q6_CT,Cross_Tab_Questions,0)),"'_Options'!$E$2:$E$2")),7),""))</f>
        <v/>
      </c>
      <c r="H20" s="2" t="str">
        <f>IF(All_Questions_Q6_CT="(None)","",IFERROR(INDEX(INDIRECT(IFERROR(INDEX(Cross_Tab_Questions_Options_Names,MATCH(All_Questions_Q6_CT,Cross_Tab_Questions,0)),"'_Options'!$E$2:$E$2")),8),""))</f>
        <v/>
      </c>
      <c r="I20" s="2" t="str">
        <f>IF(All_Questions_Q6_CT="(None)","",IFERROR(INDEX(INDIRECT(IFERROR(INDEX(Cross_Tab_Questions_Options_Names,MATCH(All_Questions_Q6_CT,Cross_Tab_Questions,0)),"'_Options'!$E$2:$E$2")),9),""))</f>
        <v/>
      </c>
      <c r="J20" s="2" t="str">
        <f>IF(All_Questions_Q6_CT="(None)","",IFERROR(INDEX(INDIRECT(IFERROR(INDEX(Cross_Tab_Questions_Options_Names,MATCH(All_Questions_Q6_CT,Cross_Tab_Questions,0)),"'_Options'!$E$2:$E$2")),10),""))</f>
        <v/>
      </c>
      <c r="K20" s="2" t="str">
        <f>IF(All_Questions_Q6_CT="(None)","",IFERROR(INDEX(INDIRECT(IFERROR(INDEX(Cross_Tab_Questions_Options_Names,MATCH(All_Questions_Q6_CT,Cross_Tab_Questions,0)),"'_Options'!$E$2:$E$2")),11),""))</f>
        <v/>
      </c>
      <c r="L20" s="2" t="str">
        <f>IF(All_Questions_Q6_CT="(None)","",IFERROR(INDEX(INDIRECT(IFERROR(INDEX(Cross_Tab_Questions_Options_Names,MATCH(All_Questions_Q6_CT,Cross_Tab_Questions,0)),"'_Options'!$E$2:$E$2")),12),""))</f>
        <v/>
      </c>
      <c r="M20" s="2" t="str">
        <f>IF(All_Questions_Q6_CT="(None)","",IF(COUNTA(INDIRECT(IFERROR(INDEX(Cross_Tab_Questions_Options_Names,MATCH(All_Questions_Q6_CT,Cross_Tab_Questions,0)),"'_Options'!$E$2:$E$2")))-1&gt;11,"Other",IFERROR(INDEX(INDIRECT(IFERROR(INDEX(Cross_Tab_Questions_Options_Names,MATCH(All_Questions_Q6_CT,Cross_Tab_Questions,0)),"'_Options'!$E$2:$E$2")),13),"")))</f>
        <v/>
      </c>
      <c r="N20" s="4" t="inlineStr">
        <is>
          <t>Total</t>
        </is>
      </c>
    </row>
    <row r="21">
      <c r="A21" s="4" t="inlineStr"/>
      <c r="B21" s="4" t="inlineStr">
        <is>
          <t>Mean</t>
        </is>
      </c>
      <c r="C21" s="4" t="inlineStr">
        <is>
          <t>Mean</t>
        </is>
      </c>
      <c r="D21" s="4" t="inlineStr">
        <is>
          <t>Mean</t>
        </is>
      </c>
      <c r="E21" s="4" t="inlineStr">
        <is>
          <t>Mean</t>
        </is>
      </c>
      <c r="F21" s="4" t="inlineStr">
        <is>
          <t>Mean</t>
        </is>
      </c>
      <c r="G21" s="4" t="inlineStr">
        <is>
          <t>Mean</t>
        </is>
      </c>
      <c r="H21" s="4" t="inlineStr">
        <is>
          <t>Mean</t>
        </is>
      </c>
      <c r="I21" s="4" t="inlineStr">
        <is>
          <t>Mean</t>
        </is>
      </c>
      <c r="J21" s="4" t="inlineStr">
        <is>
          <t>Mean</t>
        </is>
      </c>
      <c r="K21" s="4" t="inlineStr">
        <is>
          <t>Mean</t>
        </is>
      </c>
      <c r="L21" s="4" t="inlineStr">
        <is>
          <t>Mean</t>
        </is>
      </c>
      <c r="M21" s="4" t="inlineStr">
        <is>
          <t>Mean</t>
        </is>
      </c>
      <c r="N21" s="4" t="inlineStr">
        <is>
          <t>Mean</t>
        </is>
      </c>
    </row>
    <row r="22">
      <c r="A22" t="inlineStr">
        <is>
          <t>CRM &amp; sales tools</t>
        </is>
      </c>
      <c r="B22" s="14">
        <f>IF(OR(All_Questions_Q6_CT="(None)",B$20=""),"",IF(B$20="Other","",IFERROR(AVERAGEIFS(Q6r1_data,Q6r1_data,"&lt;&gt;",passes_workbook_filters_data,1,passes_workbook_custom_filters_data,1,All_Questions_passes_local_filters_data,1,All_Questions_Q6_F_passes_per_q_filter_data,1,INDIRECT(IFERROR(INDEX(Cross_Tab_Questions_Data_Names,MATCH(All_Questions_Q6_CT,Cross_Tab_Questions,0)),"'_RawData'!$A:$A")),B$20),"")))</f>
        <v>26.3695</v>
      </c>
      <c r="C22" s="14">
        <f>IF(OR(All_Questions_Q6_CT="(None)",C$20=""),"",IF(C$20="Other","",IFERROR(AVERAGEIFS(Q6r1_data,Q6r1_data,"&lt;&gt;",passes_workbook_filters_data,1,passes_workbook_custom_filters_data,1,All_Questions_passes_local_filters_data,1,All_Questions_Q6_F_passes_per_q_filter_data,1,INDIRECT(IFERROR(INDEX(Cross_Tab_Questions_Data_Names,MATCH(All_Questions_Q6_CT,Cross_Tab_Questions,0)),"'_RawData'!$A:$A")),C$20),"")))</f>
        <v>26.3695</v>
      </c>
      <c r="D22" s="14">
        <f>IF(OR(All_Questions_Q6_CT="(None)",D$20=""),"",IF(D$20="Other","",IFERROR(AVERAGEIFS(Q6r1_data,Q6r1_data,"&lt;&gt;",passes_workbook_filters_data,1,passes_workbook_custom_filters_data,1,All_Questions_passes_local_filters_data,1,All_Questions_Q6_F_passes_per_q_filter_data,1,INDIRECT(IFERROR(INDEX(Cross_Tab_Questions_Data_Names,MATCH(All_Questions_Q6_CT,Cross_Tab_Questions,0)),"'_RawData'!$A:$A")),D$20),"")))</f>
        <v>26.3695</v>
      </c>
      <c r="E22" s="14">
        <f>IF(OR(All_Questions_Q6_CT="(None)",E$20=""),"",IF(E$20="Other","",IFERROR(AVERAGEIFS(Q6r1_data,Q6r1_data,"&lt;&gt;",passes_workbook_filters_data,1,passes_workbook_custom_filters_data,1,All_Questions_passes_local_filters_data,1,All_Questions_Q6_F_passes_per_q_filter_data,1,INDIRECT(IFERROR(INDEX(Cross_Tab_Questions_Data_Names,MATCH(All_Questions_Q6_CT,Cross_Tab_Questions,0)),"'_RawData'!$A:$A")),E$20),"")))</f>
        <v>26.3695</v>
      </c>
      <c r="F22" s="14">
        <f>IF(OR(All_Questions_Q6_CT="(None)",F$20=""),"",IF(F$20="Other","",IFERROR(AVERAGEIFS(Q6r1_data,Q6r1_data,"&lt;&gt;",passes_workbook_filters_data,1,passes_workbook_custom_filters_data,1,All_Questions_passes_local_filters_data,1,All_Questions_Q6_F_passes_per_q_filter_data,1,INDIRECT(IFERROR(INDEX(Cross_Tab_Questions_Data_Names,MATCH(All_Questions_Q6_CT,Cross_Tab_Questions,0)),"'_RawData'!$A:$A")),F$20),"")))</f>
        <v>26.3695</v>
      </c>
      <c r="G22" s="14">
        <f>IF(OR(All_Questions_Q6_CT="(None)",G$20=""),"",IF(G$20="Other","",IFERROR(AVERAGEIFS(Q6r1_data,Q6r1_data,"&lt;&gt;",passes_workbook_filters_data,1,passes_workbook_custom_filters_data,1,All_Questions_passes_local_filters_data,1,All_Questions_Q6_F_passes_per_q_filter_data,1,INDIRECT(IFERROR(INDEX(Cross_Tab_Questions_Data_Names,MATCH(All_Questions_Q6_CT,Cross_Tab_Questions,0)),"'_RawData'!$A:$A")),G$20),"")))</f>
        <v>26.3695</v>
      </c>
      <c r="H22" s="14">
        <f>IF(OR(All_Questions_Q6_CT="(None)",H$20=""),"",IF(H$20="Other","",IFERROR(AVERAGEIFS(Q6r1_data,Q6r1_data,"&lt;&gt;",passes_workbook_filters_data,1,passes_workbook_custom_filters_data,1,All_Questions_passes_local_filters_data,1,All_Questions_Q6_F_passes_per_q_filter_data,1,INDIRECT(IFERROR(INDEX(Cross_Tab_Questions_Data_Names,MATCH(All_Questions_Q6_CT,Cross_Tab_Questions,0)),"'_RawData'!$A:$A")),H$20),"")))</f>
        <v>26.3695</v>
      </c>
      <c r="I22" s="14">
        <f>IF(OR(All_Questions_Q6_CT="(None)",I$20=""),"",IF(I$20="Other","",IFERROR(AVERAGEIFS(Q6r1_data,Q6r1_data,"&lt;&gt;",passes_workbook_filters_data,1,passes_workbook_custom_filters_data,1,All_Questions_passes_local_filters_data,1,All_Questions_Q6_F_passes_per_q_filter_data,1,INDIRECT(IFERROR(INDEX(Cross_Tab_Questions_Data_Names,MATCH(All_Questions_Q6_CT,Cross_Tab_Questions,0)),"'_RawData'!$A:$A")),I$20),"")))</f>
        <v>26.3695</v>
      </c>
      <c r="J22" s="14">
        <f>IF(OR(All_Questions_Q6_CT="(None)",J$20=""),"",IF(J$20="Other","",IFERROR(AVERAGEIFS(Q6r1_data,Q6r1_data,"&lt;&gt;",passes_workbook_filters_data,1,passes_workbook_custom_filters_data,1,All_Questions_passes_local_filters_data,1,All_Questions_Q6_F_passes_per_q_filter_data,1,INDIRECT(IFERROR(INDEX(Cross_Tab_Questions_Data_Names,MATCH(All_Questions_Q6_CT,Cross_Tab_Questions,0)),"'_RawData'!$A:$A")),J$20),"")))</f>
        <v>26.3695</v>
      </c>
      <c r="K22" s="14">
        <f>IF(OR(All_Questions_Q6_CT="(None)",K$20=""),"",IF(K$20="Other","",IFERROR(AVERAGEIFS(Q6r1_data,Q6r1_data,"&lt;&gt;",passes_workbook_filters_data,1,passes_workbook_custom_filters_data,1,All_Questions_passes_local_filters_data,1,All_Questions_Q6_F_passes_per_q_filter_data,1,INDIRECT(IFERROR(INDEX(Cross_Tab_Questions_Data_Names,MATCH(All_Questions_Q6_CT,Cross_Tab_Questions,0)),"'_RawData'!$A:$A")),K$20),"")))</f>
        <v>26.3695</v>
      </c>
      <c r="L22" s="14">
        <f>IF(OR(All_Questions_Q6_CT="(None)",L$20=""),"",IF(L$20="Other","",IFERROR(AVERAGEIFS(Q6r1_data,Q6r1_data,"&lt;&gt;",passes_workbook_filters_data,1,passes_workbook_custom_filters_data,1,All_Questions_passes_local_filters_data,1,All_Questions_Q6_F_passes_per_q_filter_data,1,INDIRECT(IFERROR(INDEX(Cross_Tab_Questions_Data_Names,MATCH(All_Questions_Q6_CT,Cross_Tab_Questions,0)),"'_RawData'!$A:$A")),L$20),"")))</f>
        <v>26.3695</v>
      </c>
      <c r="M22" s="14">
        <f>IF(OR(All_Questions_Q6_CT="(None)",M$20=""),"",IF(M$20="Other","",IFERROR(AVERAGEIFS(Q6r1_data,Q6r1_data,"&lt;&gt;",passes_workbook_filters_data,1,passes_workbook_custom_filters_data,1,All_Questions_passes_local_filters_data,1,All_Questions_Q6_F_passes_per_q_filter_data,1,INDIRECT(IFERROR(INDEX(Cross_Tab_Questions_Data_Names,MATCH(All_Questions_Q6_CT,Cross_Tab_Questions,0)),"'_RawData'!$A:$A")),M$20),"")))</f>
        <v>26.3695</v>
      </c>
      <c r="N22" s="14">
        <f>IF(All_Questions_Q6_CT="(None)","",IFERROR(AVERAGEIFS(Q6r1_data,Q6r1_data,"&lt;&gt;",passes_workbook_filters_data,1,passes_workbook_custom_filters_data,1,All_Questions_passes_local_filters_data,1,All_Questions_Q6_F_passes_per_q_filter_data,1),""))</f>
        <v>26.3695</v>
      </c>
    </row>
    <row r="23">
      <c r="A23" s="4" t="inlineStr">
        <is>
          <t>Total respondents</t>
        </is>
      </c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>
        <f>IF(All_Questions_Q6_CT="(None)","",COUNTIFS(respondent_id_data,"&lt;&gt;",passes_workbook_filters_data,1,passes_workbook_custom_filters_data,1,All_Questions_passes_local_filters_data,1,All_Questions_Q6_F_passes_per_q_filter_data,1))</f>
        <v>0</v>
      </c>
    </row>
  </sheetData>
  <mergeCells count="1">
    <mergeCell ref="A1:J1"/>
  </mergeCells>
  <conditionalFormatting sqref="B17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2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2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2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2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2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2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2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2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2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2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2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2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=INDIRECT(IFERROR(INDEX(All_Questions_Options_Names,MATCH(All_Questions_Q6_F_Q,All_Questions,0)),"'_Options'!$E$2:$E$2"))</formula1>
    </dataValidation>
    <dataValidation sqref="C14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9" customWidth="1" min="2" max="2"/>
    <col width="17" customWidth="1" min="3" max="3"/>
    <col width="16" customWidth="1" min="4" max="4"/>
    <col width="2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All Questions</t>
        </is>
      </c>
      <c r="B2" t="inlineStr">
        <is>
          <t>cross_tab_by_mean</t>
        </is>
      </c>
      <c r="C2" t="inlineStr">
        <is>
          <t>Q6</t>
        </is>
      </c>
      <c r="D2" t="inlineStr">
        <is>
          <t>Q6r1</t>
        </is>
      </c>
      <c r="E2" t="inlineStr">
        <is>
          <t>All_Questions_Q6_CT = B$20</t>
        </is>
      </c>
      <c r="H2">
        <f>IF(OR(All_Questions_Q6_CT="(None)",B$20=""),"",IF(B$20="Other","",IFERROR(AVERAGEIFS(Q6r1_data,Q6r1_data,"&lt;&gt;",passes_workbook_filters_data,1,passes_workbook_custom_filters_data,1,All_Questions_passes_local_filters_data,1,All_Questions_Q6_F_passes_per_q_filter_data,1,INDIRECT(IFERROR(INDEX(Cross_Tab_Questions_Data_Names,MATCH(All_Questions_Q6_CT,Cross_Tab_Questions,0)),"'_RawData'!$A:$A")),B$20),"")))</f>
        <v>0</v>
      </c>
      <c r="I2" t="n">
        <v>26.3695</v>
      </c>
      <c r="J2" t="n">
        <v>0</v>
      </c>
      <c r="K2" t="n">
        <v>0</v>
      </c>
      <c r="L2" t="inlineStr">
        <is>
          <t>2026-06-09T11:22:49.835716+00:00</t>
        </is>
      </c>
    </row>
    <row r="3">
      <c r="A3" t="inlineStr">
        <is>
          <t>All Questions</t>
        </is>
      </c>
      <c r="B3" t="inlineStr">
        <is>
          <t>cross_tab_by_mean</t>
        </is>
      </c>
      <c r="C3" t="inlineStr">
        <is>
          <t>Q6</t>
        </is>
      </c>
      <c r="D3" t="inlineStr">
        <is>
          <t>Q6r1</t>
        </is>
      </c>
      <c r="E3" t="inlineStr">
        <is>
          <t>All_Questions_Q6_CT = C$20</t>
        </is>
      </c>
      <c r="H3">
        <f>IF(OR(All_Questions_Q6_CT="(None)",C$20=""),"",IF(C$20="Other","",IFERROR(AVERAGEIFS(Q6r1_data,Q6r1_data,"&lt;&gt;",passes_workbook_filters_data,1,passes_workbook_custom_filters_data,1,All_Questions_passes_local_filters_data,1,All_Questions_Q6_F_passes_per_q_filter_data,1,INDIRECT(IFERROR(INDEX(Cross_Tab_Questions_Data_Names,MATCH(All_Questions_Q6_CT,Cross_Tab_Questions,0)),"'_RawData'!$A:$A")),C$20),"")))</f>
        <v>0</v>
      </c>
      <c r="I3" t="n">
        <v>26.3695</v>
      </c>
      <c r="J3" t="n">
        <v>0</v>
      </c>
      <c r="K3" t="n">
        <v>0</v>
      </c>
      <c r="L3" t="inlineStr">
        <is>
          <t>2026-06-09T11:22:49.835998+00:00</t>
        </is>
      </c>
    </row>
    <row r="4">
      <c r="A4" t="inlineStr">
        <is>
          <t>All Questions</t>
        </is>
      </c>
      <c r="B4" t="inlineStr">
        <is>
          <t>cross_tab_by_mean</t>
        </is>
      </c>
      <c r="C4" t="inlineStr">
        <is>
          <t>Q6</t>
        </is>
      </c>
      <c r="D4" t="inlineStr">
        <is>
          <t>Q6r1</t>
        </is>
      </c>
      <c r="E4" t="inlineStr">
        <is>
          <t>All_Questions_Q6_CT = D$20</t>
        </is>
      </c>
      <c r="H4">
        <f>IF(OR(All_Questions_Q6_CT="(None)",D$20=""),"",IF(D$20="Other","",IFERROR(AVERAGEIFS(Q6r1_data,Q6r1_data,"&lt;&gt;",passes_workbook_filters_data,1,passes_workbook_custom_filters_data,1,All_Questions_passes_local_filters_data,1,All_Questions_Q6_F_passes_per_q_filter_data,1,INDIRECT(IFERROR(INDEX(Cross_Tab_Questions_Data_Names,MATCH(All_Questions_Q6_CT,Cross_Tab_Questions,0)),"'_RawData'!$A:$A")),D$20),"")))</f>
        <v>0</v>
      </c>
      <c r="I4" t="n">
        <v>26.3695</v>
      </c>
      <c r="J4" t="n">
        <v>0</v>
      </c>
      <c r="K4" t="n">
        <v>0</v>
      </c>
      <c r="L4" t="inlineStr">
        <is>
          <t>2026-06-09T11:22:49.836203+00:00</t>
        </is>
      </c>
    </row>
    <row r="5">
      <c r="A5" t="inlineStr">
        <is>
          <t>All Questions</t>
        </is>
      </c>
      <c r="B5" t="inlineStr">
        <is>
          <t>cross_tab_by_mean</t>
        </is>
      </c>
      <c r="C5" t="inlineStr">
        <is>
          <t>Q6</t>
        </is>
      </c>
      <c r="D5" t="inlineStr">
        <is>
          <t>Q6r1</t>
        </is>
      </c>
      <c r="E5" t="inlineStr">
        <is>
          <t>All_Questions_Q6_CT = E$20</t>
        </is>
      </c>
      <c r="H5">
        <f>IF(OR(All_Questions_Q6_CT="(None)",E$20=""),"",IF(E$20="Other","",IFERROR(AVERAGEIFS(Q6r1_data,Q6r1_data,"&lt;&gt;",passes_workbook_filters_data,1,passes_workbook_custom_filters_data,1,All_Questions_passes_local_filters_data,1,All_Questions_Q6_F_passes_per_q_filter_data,1,INDIRECT(IFERROR(INDEX(Cross_Tab_Questions_Data_Names,MATCH(All_Questions_Q6_CT,Cross_Tab_Questions,0)),"'_RawData'!$A:$A")),E$20),"")))</f>
        <v>0</v>
      </c>
      <c r="I5" t="n">
        <v>26.3695</v>
      </c>
      <c r="J5" t="n">
        <v>0</v>
      </c>
      <c r="K5" t="n">
        <v>0</v>
      </c>
      <c r="L5" t="inlineStr">
        <is>
          <t>2026-06-09T11:22:49.836392+00:00</t>
        </is>
      </c>
    </row>
    <row r="6">
      <c r="A6" t="inlineStr">
        <is>
          <t>All Questions</t>
        </is>
      </c>
      <c r="B6" t="inlineStr">
        <is>
          <t>cross_tab_by_mean</t>
        </is>
      </c>
      <c r="C6" t="inlineStr">
        <is>
          <t>Q6</t>
        </is>
      </c>
      <c r="D6" t="inlineStr">
        <is>
          <t>Q6r1</t>
        </is>
      </c>
      <c r="E6" t="inlineStr">
        <is>
          <t>All_Questions_Q6_CT = F$20</t>
        </is>
      </c>
      <c r="H6">
        <f>IF(OR(All_Questions_Q6_CT="(None)",F$20=""),"",IF(F$20="Other","",IFERROR(AVERAGEIFS(Q6r1_data,Q6r1_data,"&lt;&gt;",passes_workbook_filters_data,1,passes_workbook_custom_filters_data,1,All_Questions_passes_local_filters_data,1,All_Questions_Q6_F_passes_per_q_filter_data,1,INDIRECT(IFERROR(INDEX(Cross_Tab_Questions_Data_Names,MATCH(All_Questions_Q6_CT,Cross_Tab_Questions,0)),"'_RawData'!$A:$A")),F$20),"")))</f>
        <v>0</v>
      </c>
      <c r="I6" t="n">
        <v>26.3695</v>
      </c>
      <c r="J6" t="n">
        <v>0</v>
      </c>
      <c r="K6" t="n">
        <v>0</v>
      </c>
      <c r="L6" t="inlineStr">
        <is>
          <t>2026-06-09T11:22:49.836592+00:00</t>
        </is>
      </c>
    </row>
    <row r="7">
      <c r="A7" t="inlineStr">
        <is>
          <t>All Questions</t>
        </is>
      </c>
      <c r="B7" t="inlineStr">
        <is>
          <t>cross_tab_by_mean</t>
        </is>
      </c>
      <c r="C7" t="inlineStr">
        <is>
          <t>Q6</t>
        </is>
      </c>
      <c r="D7" t="inlineStr">
        <is>
          <t>Q6r1</t>
        </is>
      </c>
      <c r="E7" t="inlineStr">
        <is>
          <t>All_Questions_Q6_CT = G$20</t>
        </is>
      </c>
      <c r="H7">
        <f>IF(OR(All_Questions_Q6_CT="(None)",G$20=""),"",IF(G$20="Other","",IFERROR(AVERAGEIFS(Q6r1_data,Q6r1_data,"&lt;&gt;",passes_workbook_filters_data,1,passes_workbook_custom_filters_data,1,All_Questions_passes_local_filters_data,1,All_Questions_Q6_F_passes_per_q_filter_data,1,INDIRECT(IFERROR(INDEX(Cross_Tab_Questions_Data_Names,MATCH(All_Questions_Q6_CT,Cross_Tab_Questions,0)),"'_RawData'!$A:$A")),G$20),"")))</f>
        <v>0</v>
      </c>
      <c r="I7" t="n">
        <v>26.3695</v>
      </c>
      <c r="J7" t="n">
        <v>0</v>
      </c>
      <c r="K7" t="n">
        <v>0</v>
      </c>
      <c r="L7" t="inlineStr">
        <is>
          <t>2026-06-09T11:22:49.836816+00:00</t>
        </is>
      </c>
    </row>
    <row r="8">
      <c r="A8" t="inlineStr">
        <is>
          <t>All Questions</t>
        </is>
      </c>
      <c r="B8" t="inlineStr">
        <is>
          <t>cross_tab_by_mean</t>
        </is>
      </c>
      <c r="C8" t="inlineStr">
        <is>
          <t>Q6</t>
        </is>
      </c>
      <c r="D8" t="inlineStr">
        <is>
          <t>Q6r1</t>
        </is>
      </c>
      <c r="E8" t="inlineStr">
        <is>
          <t>All_Questions_Q6_CT = H$20</t>
        </is>
      </c>
      <c r="H8">
        <f>IF(OR(All_Questions_Q6_CT="(None)",H$20=""),"",IF(H$20="Other","",IFERROR(AVERAGEIFS(Q6r1_data,Q6r1_data,"&lt;&gt;",passes_workbook_filters_data,1,passes_workbook_custom_filters_data,1,All_Questions_passes_local_filters_data,1,All_Questions_Q6_F_passes_per_q_filter_data,1,INDIRECT(IFERROR(INDEX(Cross_Tab_Questions_Data_Names,MATCH(All_Questions_Q6_CT,Cross_Tab_Questions,0)),"'_RawData'!$A:$A")),H$20),"")))</f>
        <v>0</v>
      </c>
      <c r="I8" t="n">
        <v>26.3695</v>
      </c>
      <c r="J8" t="n">
        <v>0</v>
      </c>
      <c r="K8" t="n">
        <v>0</v>
      </c>
      <c r="L8" t="inlineStr">
        <is>
          <t>2026-06-09T11:22:49.837064+00:00</t>
        </is>
      </c>
    </row>
    <row r="9">
      <c r="A9" t="inlineStr">
        <is>
          <t>All Questions</t>
        </is>
      </c>
      <c r="B9" t="inlineStr">
        <is>
          <t>cross_tab_by_mean</t>
        </is>
      </c>
      <c r="C9" t="inlineStr">
        <is>
          <t>Q6</t>
        </is>
      </c>
      <c r="D9" t="inlineStr">
        <is>
          <t>Q6r1</t>
        </is>
      </c>
      <c r="E9" t="inlineStr">
        <is>
          <t>All_Questions_Q6_CT = I$20</t>
        </is>
      </c>
      <c r="H9">
        <f>IF(OR(All_Questions_Q6_CT="(None)",I$20=""),"",IF(I$20="Other","",IFERROR(AVERAGEIFS(Q6r1_data,Q6r1_data,"&lt;&gt;",passes_workbook_filters_data,1,passes_workbook_custom_filters_data,1,All_Questions_passes_local_filters_data,1,All_Questions_Q6_F_passes_per_q_filter_data,1,INDIRECT(IFERROR(INDEX(Cross_Tab_Questions_Data_Names,MATCH(All_Questions_Q6_CT,Cross_Tab_Questions,0)),"'_RawData'!$A:$A")),I$20),"")))</f>
        <v>0</v>
      </c>
      <c r="I9" t="n">
        <v>26.3695</v>
      </c>
      <c r="J9" t="n">
        <v>0</v>
      </c>
      <c r="K9" t="n">
        <v>0</v>
      </c>
      <c r="L9" t="inlineStr">
        <is>
          <t>2026-06-09T11:22:49.837276+00:00</t>
        </is>
      </c>
    </row>
    <row r="10">
      <c r="A10" t="inlineStr">
        <is>
          <t>All Questions</t>
        </is>
      </c>
      <c r="B10" t="inlineStr">
        <is>
          <t>cross_tab_by_mean</t>
        </is>
      </c>
      <c r="C10" t="inlineStr">
        <is>
          <t>Q6</t>
        </is>
      </c>
      <c r="D10" t="inlineStr">
        <is>
          <t>Q6r1</t>
        </is>
      </c>
      <c r="E10" t="inlineStr">
        <is>
          <t>All_Questions_Q6_CT = J$20</t>
        </is>
      </c>
      <c r="H10">
        <f>IF(OR(All_Questions_Q6_CT="(None)",J$20=""),"",IF(J$20="Other","",IFERROR(AVERAGEIFS(Q6r1_data,Q6r1_data,"&lt;&gt;",passes_workbook_filters_data,1,passes_workbook_custom_filters_data,1,All_Questions_passes_local_filters_data,1,All_Questions_Q6_F_passes_per_q_filter_data,1,INDIRECT(IFERROR(INDEX(Cross_Tab_Questions_Data_Names,MATCH(All_Questions_Q6_CT,Cross_Tab_Questions,0)),"'_RawData'!$A:$A")),J$20),"")))</f>
        <v>0</v>
      </c>
      <c r="I10" t="n">
        <v>26.3695</v>
      </c>
      <c r="J10" t="n">
        <v>0</v>
      </c>
      <c r="K10" t="n">
        <v>0</v>
      </c>
      <c r="L10" t="inlineStr">
        <is>
          <t>2026-06-09T11:22:49.837493+00:00</t>
        </is>
      </c>
    </row>
    <row r="11">
      <c r="A11" t="inlineStr">
        <is>
          <t>All Questions</t>
        </is>
      </c>
      <c r="B11" t="inlineStr">
        <is>
          <t>cross_tab_by_mean</t>
        </is>
      </c>
      <c r="C11" t="inlineStr">
        <is>
          <t>Q6</t>
        </is>
      </c>
      <c r="D11" t="inlineStr">
        <is>
          <t>Q6r1</t>
        </is>
      </c>
      <c r="E11" t="inlineStr">
        <is>
          <t>All_Questions_Q6_CT = K$20</t>
        </is>
      </c>
      <c r="H11">
        <f>IF(OR(All_Questions_Q6_CT="(None)",K$20=""),"",IF(K$20="Other","",IFERROR(AVERAGEIFS(Q6r1_data,Q6r1_data,"&lt;&gt;",passes_workbook_filters_data,1,passes_workbook_custom_filters_data,1,All_Questions_passes_local_filters_data,1,All_Questions_Q6_F_passes_per_q_filter_data,1,INDIRECT(IFERROR(INDEX(Cross_Tab_Questions_Data_Names,MATCH(All_Questions_Q6_CT,Cross_Tab_Questions,0)),"'_RawData'!$A:$A")),K$20),"")))</f>
        <v>0</v>
      </c>
      <c r="I11" t="n">
        <v>26.3695</v>
      </c>
      <c r="J11" t="n">
        <v>0</v>
      </c>
      <c r="K11" t="n">
        <v>0</v>
      </c>
      <c r="L11" t="inlineStr">
        <is>
          <t>2026-06-09T11:22:49.837683+00:00</t>
        </is>
      </c>
    </row>
    <row r="12">
      <c r="A12" t="inlineStr">
        <is>
          <t>All Questions</t>
        </is>
      </c>
      <c r="B12" t="inlineStr">
        <is>
          <t>cross_tab_by_mean</t>
        </is>
      </c>
      <c r="C12" t="inlineStr">
        <is>
          <t>Q6</t>
        </is>
      </c>
      <c r="D12" t="inlineStr">
        <is>
          <t>Q6r1</t>
        </is>
      </c>
      <c r="E12" t="inlineStr">
        <is>
          <t>All_Questions_Q6_CT = L$20</t>
        </is>
      </c>
      <c r="H12">
        <f>IF(OR(All_Questions_Q6_CT="(None)",L$20=""),"",IF(L$20="Other","",IFERROR(AVERAGEIFS(Q6r1_data,Q6r1_data,"&lt;&gt;",passes_workbook_filters_data,1,passes_workbook_custom_filters_data,1,All_Questions_passes_local_filters_data,1,All_Questions_Q6_F_passes_per_q_filter_data,1,INDIRECT(IFERROR(INDEX(Cross_Tab_Questions_Data_Names,MATCH(All_Questions_Q6_CT,Cross_Tab_Questions,0)),"'_RawData'!$A:$A")),L$20),"")))</f>
        <v>0</v>
      </c>
      <c r="I12" t="n">
        <v>26.3695</v>
      </c>
      <c r="J12" t="n">
        <v>0</v>
      </c>
      <c r="K12" t="n">
        <v>0</v>
      </c>
      <c r="L12" t="inlineStr">
        <is>
          <t>2026-06-09T11:22:49.837870+00:00</t>
        </is>
      </c>
    </row>
    <row r="13">
      <c r="A13" t="inlineStr">
        <is>
          <t>All Questions</t>
        </is>
      </c>
      <c r="B13" t="inlineStr">
        <is>
          <t>cross_tab_by_mean</t>
        </is>
      </c>
      <c r="C13" t="inlineStr">
        <is>
          <t>Q6</t>
        </is>
      </c>
      <c r="D13" t="inlineStr">
        <is>
          <t>Q6r1</t>
        </is>
      </c>
      <c r="E13" t="inlineStr">
        <is>
          <t>All_Questions_Q6_CT = M$20</t>
        </is>
      </c>
      <c r="H13">
        <f>IF(OR(All_Questions_Q6_CT="(None)",M$20=""),"",IF(M$20="Other","",IFERROR(AVERAGEIFS(Q6r1_data,Q6r1_data,"&lt;&gt;",passes_workbook_filters_data,1,passes_workbook_custom_filters_data,1,All_Questions_passes_local_filters_data,1,All_Questions_Q6_F_passes_per_q_filter_data,1,INDIRECT(IFERROR(INDEX(Cross_Tab_Questions_Data_Names,MATCH(All_Questions_Q6_CT,Cross_Tab_Questions,0)),"'_RawData'!$A:$A")),M$20),"")))</f>
        <v>0</v>
      </c>
      <c r="I13" t="n">
        <v>26.3695</v>
      </c>
      <c r="J13" t="n">
        <v>0</v>
      </c>
      <c r="K13" t="n">
        <v>0</v>
      </c>
      <c r="L13" t="inlineStr">
        <is>
          <t>2026-06-09T11:22:49.838192+00:00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2026-06-09T11:22:49Z</dcterms:created>
  <dcterms:modified xmlns:dcterms="http://purl.org/dc/terms/" xmlns:xsi="http://www.w3.org/2001/XMLSchema-instance" xsi:type="dcterms:W3CDTF">2026-06-09T11:22:49Z</dcterms:modified>
</cp:coreProperties>
</file>