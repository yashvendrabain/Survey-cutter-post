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F24" i="7"/>
  <c r="G24" i="7"/>
  <c r="G27" i="7"/>
  <c r="I27" i="7"/>
  <c r="K27" i="7"/>
  <c r="M27" i="7"/>
  <c r="O27" i="7"/>
  <c r="Q27" i="7"/>
  <c r="S27" i="7"/>
  <c r="U27" i="7"/>
  <c r="W27" i="7"/>
  <c r="Y27" i="7"/>
  <c r="AA27" i="7"/>
  <c r="AC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E31" i="7"/>
  <c r="F34" i="7"/>
  <c r="G34" i="7"/>
  <c r="B38" i="7"/>
  <c r="D38" i="7"/>
  <c r="B39" i="7"/>
  <c r="D39" i="7"/>
  <c r="B40" i="7"/>
  <c r="D40" i="7"/>
  <c r="D41" i="7"/>
  <c r="F46" i="7"/>
  <c r="G46" i="7"/>
  <c r="G49" i="7"/>
  <c r="I49" i="7"/>
  <c r="K49" i="7"/>
  <c r="M49" i="7"/>
  <c r="O49" i="7"/>
  <c r="Q49" i="7"/>
  <c r="S49" i="7"/>
  <c r="U49" i="7"/>
  <c r="W49" i="7"/>
  <c r="Y49" i="7"/>
  <c r="AA49" i="7"/>
  <c r="AC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E53" i="7"/>
  <c r="F56" i="7"/>
  <c r="G56" i="7"/>
  <c r="G59" i="7"/>
  <c r="I59" i="7"/>
  <c r="K59" i="7"/>
  <c r="M59" i="7"/>
  <c r="O59" i="7"/>
  <c r="Q59" i="7"/>
  <c r="S59" i="7"/>
  <c r="U59" i="7"/>
  <c r="W59" i="7"/>
  <c r="Y59" i="7"/>
  <c r="AA59" i="7"/>
  <c r="AC59" i="7"/>
  <c r="B60" i="7"/>
  <c r="C60" i="7"/>
  <c r="D60" i="7"/>
  <c r="B61" i="7"/>
  <c r="C61" i="7"/>
  <c r="D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E63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IF(All_Questions_Q_SS_EXPORT_CT="(None)","",IFERROR(INDEX(INDIRECT(XLOOKUP(All_Questions_Q_SS_EXPORT_CT,All_Questions,All_Questions_Options_Names,"None_options")),2),""))</f>
        <v/>
      </c>
      <c r="H17" s="2" t="n"/>
      <c r="I17" s="2" t="str">
        <f>IF(All_Questions_Q_SS_EXPORT_CT="(None)","",IFERROR(INDEX(INDIRECT(XLOOKUP(All_Questions_Q_SS_EXPORT_CT,All_Questions,All_Questions_Options_Names,"None_options")),3),""))</f>
        <v/>
      </c>
      <c r="J17" s="2" t="n"/>
      <c r="K17" s="2" t="str">
        <f>IF(All_Questions_Q_SS_EXPORT_CT="(None)","",IFERROR(INDEX(INDIRECT(XLOOKUP(All_Questions_Q_SS_EXPORT_CT,All_Questions,All_Questions_Options_Names,"None_options")),4),""))</f>
        <v/>
      </c>
      <c r="L17" s="2" t="n"/>
      <c r="M17" s="2" t="str">
        <f>IF(All_Questions_Q_SS_EXPORT_CT="(None)","",IFERROR(INDEX(INDIRECT(XLOOKUP(All_Questions_Q_SS_EXPORT_CT,All_Questions,All_Questions_Options_Names,"None_options")),5),""))</f>
        <v/>
      </c>
      <c r="N17" s="2" t="n"/>
      <c r="O17" s="2" t="str">
        <f>IF(All_Questions_Q_SS_EXPORT_CT="(None)","",IFERROR(INDEX(INDIRECT(XLOOKUP(All_Questions_Q_SS_EXPORT_CT,All_Questions,All_Questions_Options_Names,"None_options")),6),""))</f>
        <v/>
      </c>
      <c r="P17" s="2" t="n"/>
      <c r="Q17" s="2" t="str">
        <f>IF(All_Questions_Q_SS_EXPORT_CT="(None)","",IFERROR(INDEX(INDIRECT(XLOOKUP(All_Questions_Q_SS_EXPORT_CT,All_Questions,All_Questions_Options_Names,"None_options")),7),""))</f>
        <v/>
      </c>
      <c r="R17" s="2" t="n"/>
      <c r="S17" s="2" t="str">
        <f>IF(All_Questions_Q_SS_EXPORT_CT="(None)","",IFERROR(INDEX(INDIRECT(XLOOKUP(All_Questions_Q_SS_EXPORT_CT,All_Questions,All_Questions_Options_Names,"None_options")),8),""))</f>
        <v/>
      </c>
      <c r="T17" s="2" t="n"/>
      <c r="U17" s="2" t="str">
        <f>IF(All_Questions_Q_SS_EXPORT_CT="(None)","",IFERROR(INDEX(INDIRECT(XLOOKUP(All_Questions_Q_SS_EXPORT_CT,All_Questions,All_Questions_Options_Names,"None_options")),9),""))</f>
        <v/>
      </c>
      <c r="V17" s="2" t="n"/>
      <c r="W17" s="2" t="str">
        <f>IF(All_Questions_Q_SS_EXPORT_CT="(None)","",IFERROR(INDEX(INDIRECT(XLOOKUP(All_Questions_Q_SS_EXPORT_CT,All_Questions,All_Questions_Options_Names,"None_options")),10),""))</f>
        <v/>
      </c>
      <c r="X17" s="2" t="n"/>
      <c r="Y17" s="2" t="str">
        <f>IF(All_Questions_Q_SS_EXPORT_CT="(None)","",IFERROR(INDEX(INDIRECT(XLOOKUP(All_Questions_Q_SS_EXPORT_CT,All_Questions,All_Questions_Options_Names,"None_options")),11),""))</f>
        <v/>
      </c>
      <c r="Z17" s="2" t="n"/>
      <c r="AA17" s="2" t="str">
        <f>IF(All_Questions_Q_SS_EXPORT_CT="(None)","",IFERROR(INDEX(INDIRECT(XLOOKUP(All_Questions_Q_SS_EXPORT_CT,All_Questions,All_Questions_Options_Names,"None_options")),12),""))</f>
        <v/>
      </c>
      <c r="AB17" s="2" t="n"/>
      <c r="AC17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,0)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,0)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,0)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,0)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,0)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,0)</f>
        <v>0</v>
      </c>
      <c r="S19">
        <f>IF(OR(All_Questions_Q_SS_EXPORT_CT="(None)",S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,0)</f>
        <v>0</v>
      </c>
      <c r="U19">
        <f>IF(OR(All_Questions_Q_SS_EXPORT_CT="(None)",U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,0)</f>
        <v>0</v>
      </c>
      <c r="W19">
        <f>IF(OR(All_Questions_Q_SS_EXPORT_CT="(None)",W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,0)</f>
        <v>0</v>
      </c>
      <c r="Y19">
        <f>IF(OR(All_Questions_Q_SS_EXPORT_CT="(None)",Y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,0)</f>
        <v>0</v>
      </c>
      <c r="AA19">
        <f>IF(OR(All_Questions_Q_SS_EXPORT_CT="(None)",AA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0)</f>
        <v>0</v>
      </c>
      <c r="AC19">
        <f>IF(OR(All_Questions_Q_SS_EXPORT_CT="(None)",AC$17=""),"",IF(AC$17="Other",COUNTIFS(Q_SS_EXPORT_data,"Yes",passes_workbook_filters_data,1,passes_workbook_custom_filters_data,1,All_Questions_passes_local_filters_data,1,All_Questions_Q_SS_EXPORT_F_passes_per_q_filter_data,1)-SUM(G19,I19,K19,M19,O19,Q19,S19,U19,W19,Y19,AA19)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,0)</f>
        <v>0</v>
      </c>
      <c r="AE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,0)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,0)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,0)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,0)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,0)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,0)</f>
        <v>0</v>
      </c>
      <c r="S20">
        <f>IF(OR(All_Questions_Q_SS_EXPORT_CT="(None)",S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,0)</f>
        <v>0</v>
      </c>
      <c r="U20">
        <f>IF(OR(All_Questions_Q_SS_EXPORT_CT="(None)",U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,0)</f>
        <v>0</v>
      </c>
      <c r="W20">
        <f>IF(OR(All_Questions_Q_SS_EXPORT_CT="(None)",W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,0)</f>
        <v>0</v>
      </c>
      <c r="Y20">
        <f>IF(OR(All_Questions_Q_SS_EXPORT_CT="(None)",Y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,0)</f>
        <v>0</v>
      </c>
      <c r="AA20">
        <f>IF(OR(All_Questions_Q_SS_EXPORT_CT="(None)",AA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0)</f>
        <v>0</v>
      </c>
      <c r="AC20">
        <f>IF(OR(All_Questions_Q_SS_EXPORT_CT="(None)",AC$17=""),"",IF(AC$17="Other",COUNTIFS(Q_SS_EXPORT_data,"No",passes_workbook_filters_data,1,passes_workbook_custom_filters_data,1,All_Questions_passes_local_filters_data,1,All_Questions_Q_SS_EXPORT_F_passes_per_q_filter_data,1)-SUM(G20,I20,K20,M20,O20,Q20,S20,U20,W20,Y20,AA20)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,0)</f>
        <v>0</v>
      </c>
      <c r="AE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IF(All_Questions_Q_MS_EXPORT_CT="(None)","",IFERROR(INDEX(INDIRECT(XLOOKUP(All_Questions_Q_MS_EXPORT_CT,All_Questions,All_Questions_Options_Names,"None_options")),2),""))</f>
        <v/>
      </c>
      <c r="H27" s="2" t="n"/>
      <c r="I27" s="2" t="str">
        <f>IF(All_Questions_Q_MS_EXPORT_CT="(None)","",IFERROR(INDEX(INDIRECT(XLOOKUP(All_Questions_Q_MS_EXPORT_CT,All_Questions,All_Questions_Options_Names,"None_options")),3),""))</f>
        <v/>
      </c>
      <c r="J27" s="2" t="n"/>
      <c r="K27" s="2" t="str">
        <f>IF(All_Questions_Q_MS_EXPORT_CT="(None)","",IFERROR(INDEX(INDIRECT(XLOOKUP(All_Questions_Q_MS_EXPORT_CT,All_Questions,All_Questions_Options_Names,"None_options")),4),""))</f>
        <v/>
      </c>
      <c r="L27" s="2" t="n"/>
      <c r="M27" s="2" t="str">
        <f>IF(All_Questions_Q_MS_EXPORT_CT="(None)","",IFERROR(INDEX(INDIRECT(XLOOKUP(All_Questions_Q_MS_EXPORT_CT,All_Questions,All_Questions_Options_Names,"None_options")),5),""))</f>
        <v/>
      </c>
      <c r="N27" s="2" t="n"/>
      <c r="O27" s="2" t="str">
        <f>IF(All_Questions_Q_MS_EXPORT_CT="(None)","",IFERROR(INDEX(INDIRECT(XLOOKUP(All_Questions_Q_MS_EXPORT_CT,All_Questions,All_Questions_Options_Names,"None_options")),6),""))</f>
        <v/>
      </c>
      <c r="P27" s="2" t="n"/>
      <c r="Q27" s="2" t="str">
        <f>IF(All_Questions_Q_MS_EXPORT_CT="(None)","",IFERROR(INDEX(INDIRECT(XLOOKUP(All_Questions_Q_MS_EXPORT_CT,All_Questions,All_Questions_Options_Names,"None_options")),7),""))</f>
        <v/>
      </c>
      <c r="R27" s="2" t="n"/>
      <c r="S27" s="2" t="str">
        <f>IF(All_Questions_Q_MS_EXPORT_CT="(None)","",IFERROR(INDEX(INDIRECT(XLOOKUP(All_Questions_Q_MS_EXPORT_CT,All_Questions,All_Questions_Options_Names,"None_options")),8),""))</f>
        <v/>
      </c>
      <c r="T27" s="2" t="n"/>
      <c r="U27" s="2" t="str">
        <f>IF(All_Questions_Q_MS_EXPORT_CT="(None)","",IFERROR(INDEX(INDIRECT(XLOOKUP(All_Questions_Q_MS_EXPORT_CT,All_Questions,All_Questions_Options_Names,"None_options")),9),""))</f>
        <v/>
      </c>
      <c r="V27" s="2" t="n"/>
      <c r="W27" s="2" t="str">
        <f>IF(All_Questions_Q_MS_EXPORT_CT="(None)","",IFERROR(INDEX(INDIRECT(XLOOKUP(All_Questions_Q_MS_EXPORT_CT,All_Questions,All_Questions_Options_Names,"None_options")),10),""))</f>
        <v/>
      </c>
      <c r="X27" s="2" t="n"/>
      <c r="Y27" s="2" t="str">
        <f>IF(All_Questions_Q_MS_EXPORT_CT="(None)","",IFERROR(INDEX(INDIRECT(XLOOKUP(All_Questions_Q_MS_EXPORT_CT,All_Questions,All_Questions_Options_Names,"None_options")),11),""))</f>
        <v/>
      </c>
      <c r="Z27" s="2" t="n"/>
      <c r="AA27" s="2" t="str">
        <f>IF(All_Questions_Q_MS_EXPORT_CT="(None)","",IFERROR(INDEX(INDIRECT(XLOOKUP(All_Questions_Q_MS_EXPORT_CT,All_Questions,All_Questions_Options_Names,"None_options")),12),""))</f>
        <v/>
      </c>
      <c r="AB27" s="2" t="n"/>
      <c r="AC2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7" s="2" t="n"/>
      <c r="AE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% of resp</t>
        </is>
      </c>
      <c r="I28" s="4" t="inlineStr">
        <is>
          <t># of resp</t>
        </is>
      </c>
      <c r="J28" s="4" t="inlineStr">
        <is>
          <t>% of resp</t>
        </is>
      </c>
      <c r="K28" s="4" t="inlineStr">
        <is>
          <t># of resp</t>
        </is>
      </c>
      <c r="L28" s="4" t="inlineStr">
        <is>
          <t>% of resp</t>
        </is>
      </c>
      <c r="M28" s="4" t="inlineStr">
        <is>
          <t># of resp</t>
        </is>
      </c>
      <c r="N28" s="4" t="inlineStr">
        <is>
          <t>% of resp</t>
        </is>
      </c>
      <c r="O28" s="4" t="inlineStr">
        <is>
          <t># of resp</t>
        </is>
      </c>
      <c r="P28" s="4" t="inlineStr">
        <is>
          <t>% of resp</t>
        </is>
      </c>
      <c r="Q28" s="4" t="inlineStr">
        <is>
          <t># of resp</t>
        </is>
      </c>
      <c r="R28" s="4" t="inlineStr">
        <is>
          <t>% of resp</t>
        </is>
      </c>
      <c r="S28" s="4" t="inlineStr">
        <is>
          <t># of resp</t>
        </is>
      </c>
      <c r="T28" s="4" t="inlineStr">
        <is>
          <t>% of resp</t>
        </is>
      </c>
      <c r="U28" s="4" t="inlineStr">
        <is>
          <t># of resp</t>
        </is>
      </c>
      <c r="V28" s="4" t="inlineStr">
        <is>
          <t>% of resp</t>
        </is>
      </c>
      <c r="W28" s="4" t="inlineStr">
        <is>
          <t># of resp</t>
        </is>
      </c>
      <c r="X28" s="4" t="inlineStr">
        <is>
          <t>% of resp</t>
        </is>
      </c>
      <c r="Y28" s="4" t="inlineStr">
        <is>
          <t># of resp</t>
        </is>
      </c>
      <c r="Z28" s="4" t="inlineStr">
        <is>
          <t>% of resp</t>
        </is>
      </c>
      <c r="AA28" s="4" t="inlineStr">
        <is>
          <t># of resp</t>
        </is>
      </c>
      <c r="AB28" s="4" t="inlineStr">
        <is>
          <t>% of resp</t>
        </is>
      </c>
      <c r="AC28" s="4" t="inlineStr">
        <is>
          <t># of resp</t>
        </is>
      </c>
      <c r="AD28" s="4" t="inlineStr">
        <is>
          <t>% of resp</t>
        </is>
      </c>
      <c r="AE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,0)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,0)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,0)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,0)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,0)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,0)</f>
        <v>0</v>
      </c>
      <c r="S29">
        <f>IF(OR(All_Questions_Q_MS_EXPORT_CT="(None)",S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,0)</f>
        <v>0</v>
      </c>
      <c r="U29">
        <f>IF(OR(All_Questions_Q_MS_EXPORT_CT="(None)",U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,0)</f>
        <v>0</v>
      </c>
      <c r="W29">
        <f>IF(OR(All_Questions_Q_MS_EXPORT_CT="(None)",W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,0)</f>
        <v>0</v>
      </c>
      <c r="Y29">
        <f>IF(OR(All_Questions_Q_MS_EXPORT_CT="(None)",Y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,0)</f>
        <v>0</v>
      </c>
      <c r="AA29">
        <f>IF(OR(All_Questions_Q_MS_EXPORT_CT="(None)",AA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0)</f>
        <v>0</v>
      </c>
      <c r="AC29">
        <f>IF(OR(All_Questions_Q_MS_EXPORT_CT="(None)",AC$27=""),"",IF(AC$27="Other",COUNTIFS(Q_MS_EXPORTr1_data,"Selected",passes_workbook_filters_data,1,passes_workbook_custom_filters_data,1,All_Questions_passes_local_filters_data,1,All_Questions_Q_MS_EXPORT_F_passes_per_q_filter_data,1)-SUM(G29,I29,K29,M29,O29,Q29,S29,U29,W29,Y29,AA29)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</f>
        <v>0</v>
      </c>
      <c r="AD29" s="7">
        <f>IFERROR(AC29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,0)</f>
        <v>0</v>
      </c>
      <c r="AE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</f>
        <v>0</v>
      </c>
      <c r="H30" s="7">
        <f>IFERROR(G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,0)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</f>
        <v>0</v>
      </c>
      <c r="J30" s="7">
        <f>IFERROR(I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,0)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</f>
        <v>0</v>
      </c>
      <c r="L30" s="7">
        <f>IFERROR(K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,0)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</f>
        <v>0</v>
      </c>
      <c r="N30" s="7">
        <f>IFERROR(M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,0)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</f>
        <v>0</v>
      </c>
      <c r="P30" s="7">
        <f>IFERROR(O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,0)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</f>
        <v>0</v>
      </c>
      <c r="R30" s="7">
        <f>IFERROR(Q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,0)</f>
        <v>0</v>
      </c>
      <c r="S30">
        <f>IF(OR(All_Questions_Q_MS_EXPORT_CT="(None)",S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</f>
        <v>0</v>
      </c>
      <c r="T30" s="7">
        <f>IFERROR(S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,0)</f>
        <v>0</v>
      </c>
      <c r="U30">
        <f>IF(OR(All_Questions_Q_MS_EXPORT_CT="(None)",U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</f>
        <v>0</v>
      </c>
      <c r="V30" s="7">
        <f>IFERROR(U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,0)</f>
        <v>0</v>
      </c>
      <c r="W30">
        <f>IF(OR(All_Questions_Q_MS_EXPORT_CT="(None)",W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</f>
        <v>0</v>
      </c>
      <c r="X30" s="7">
        <f>IFERROR(W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,0)</f>
        <v>0</v>
      </c>
      <c r="Y30">
        <f>IF(OR(All_Questions_Q_MS_EXPORT_CT="(None)",Y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</f>
        <v>0</v>
      </c>
      <c r="Z30" s="7">
        <f>IFERROR(Y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,0)</f>
        <v>0</v>
      </c>
      <c r="AA30">
        <f>IF(OR(All_Questions_Q_MS_EXPORT_CT="(None)",AA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</f>
        <v>0</v>
      </c>
      <c r="AB30" s="7">
        <f>IFERROR(AA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0)</f>
        <v>0</v>
      </c>
      <c r="AC30">
        <f>IF(OR(All_Questions_Q_MS_EXPORT_CT="(None)",AC$27=""),"",IF(AC$27="Other",COUNTIFS(Q_MS_EXPORTr2_data,"Selected",passes_workbook_filters_data,1,passes_workbook_custom_filters_data,1,All_Questions_passes_local_filters_data,1,All_Questions_Q_MS_EXPORT_F_passes_per_q_filter_data,1)-SUM(G30,I30,K30,M30,O30,Q30,S30,U30,W30,Y30,AA30)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</f>
        <v>0</v>
      </c>
      <c r="AD30" s="7">
        <f>IFERROR(AC30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,0)</f>
        <v>0</v>
      </c>
      <c r="AE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IF(All_Questions_Q_GRID_EXPORT_CT="(None)","",IFERROR(INDEX(INDIRECT(XLOOKUP(All_Questions_Q_GRID_EXPORT_CT,All_Questions,All_Questions_Options_Names,"None_options")),2),""))</f>
        <v/>
      </c>
      <c r="H49" s="2" t="n"/>
      <c r="I49" s="2" t="str">
        <f>IF(All_Questions_Q_GRID_EXPORT_CT="(None)","",IFERROR(INDEX(INDIRECT(XLOOKUP(All_Questions_Q_GRID_EXPORT_CT,All_Questions,All_Questions_Options_Names,"None_options")),3),""))</f>
        <v/>
      </c>
      <c r="J49" s="2" t="n"/>
      <c r="K49" s="2" t="str">
        <f>IF(All_Questions_Q_GRID_EXPORT_CT="(None)","",IFERROR(INDEX(INDIRECT(XLOOKUP(All_Questions_Q_GRID_EXPORT_CT,All_Questions,All_Questions_Options_Names,"None_options")),4),""))</f>
        <v/>
      </c>
      <c r="L49" s="2" t="n"/>
      <c r="M49" s="2" t="str">
        <f>IF(All_Questions_Q_GRID_EXPORT_CT="(None)","",IFERROR(INDEX(INDIRECT(XLOOKUP(All_Questions_Q_GRID_EXPORT_CT,All_Questions,All_Questions_Options_Names,"None_options")),5),""))</f>
        <v/>
      </c>
      <c r="N49" s="2" t="n"/>
      <c r="O49" s="2" t="str">
        <f>IF(All_Questions_Q_GRID_EXPORT_CT="(None)","",IFERROR(INDEX(INDIRECT(XLOOKUP(All_Questions_Q_GRID_EXPORT_CT,All_Questions,All_Questions_Options_Names,"None_options")),6),""))</f>
        <v/>
      </c>
      <c r="P49" s="2" t="n"/>
      <c r="Q49" s="2" t="str">
        <f>IF(All_Questions_Q_GRID_EXPORT_CT="(None)","",IFERROR(INDEX(INDIRECT(XLOOKUP(All_Questions_Q_GRID_EXPORT_CT,All_Questions,All_Questions_Options_Names,"None_options")),7),""))</f>
        <v/>
      </c>
      <c r="R49" s="2" t="n"/>
      <c r="S49" s="2" t="str">
        <f>IF(All_Questions_Q_GRID_EXPORT_CT="(None)","",IFERROR(INDEX(INDIRECT(XLOOKUP(All_Questions_Q_GRID_EXPORT_CT,All_Questions,All_Questions_Options_Names,"None_options")),8),""))</f>
        <v/>
      </c>
      <c r="T49" s="2" t="n"/>
      <c r="U49" s="2" t="str">
        <f>IF(All_Questions_Q_GRID_EXPORT_CT="(None)","",IFERROR(INDEX(INDIRECT(XLOOKUP(All_Questions_Q_GRID_EXPORT_CT,All_Questions,All_Questions_Options_Names,"None_options")),9),""))</f>
        <v/>
      </c>
      <c r="V49" s="2" t="n"/>
      <c r="W49" s="2" t="str">
        <f>IF(All_Questions_Q_GRID_EXPORT_CT="(None)","",IFERROR(INDEX(INDIRECT(XLOOKUP(All_Questions_Q_GRID_EXPORT_CT,All_Questions,All_Questions_Options_Names,"None_options")),10),""))</f>
        <v/>
      </c>
      <c r="X49" s="2" t="n"/>
      <c r="Y49" s="2" t="str">
        <f>IF(All_Questions_Q_GRID_EXPORT_CT="(None)","",IFERROR(INDEX(INDIRECT(XLOOKUP(All_Questions_Q_GRID_EXPORT_CT,All_Questions,All_Questions_Options_Names,"None_options")),11),""))</f>
        <v/>
      </c>
      <c r="Z49" s="2" t="n"/>
      <c r="AA49" s="2" t="str">
        <f>IF(All_Questions_Q_GRID_EXPORT_CT="(None)","",IFERROR(INDEX(INDIRECT(XLOOKUP(All_Questions_Q_GRID_EXPORT_CT,All_Questions,All_Questions_Options_Names,"None_options")),12),""))</f>
        <v/>
      </c>
      <c r="AB49" s="2" t="n"/>
      <c r="AC4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,0)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,0)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,0)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,0)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,0)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,0)</f>
        <v>0</v>
      </c>
      <c r="S51">
        <f>IF(OR(All_Questions_Q_GRID_EXPORT_CT="(None)",S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,0)</f>
        <v>0</v>
      </c>
      <c r="U51">
        <f>IF(OR(All_Questions_Q_GRID_EXPORT_CT="(None)",U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,0)</f>
        <v>0</v>
      </c>
      <c r="W51">
        <f>IF(OR(All_Questions_Q_GRID_EXPORT_CT="(None)",W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,0)</f>
        <v>0</v>
      </c>
      <c r="Y51">
        <f>IF(OR(All_Questions_Q_GRID_EXPORT_CT="(None)",Y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,0)</f>
        <v>0</v>
      </c>
      <c r="AA51">
        <f>IF(OR(All_Questions_Q_GRID_EXPORT_CT="(None)",AA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0)</f>
        <v>0</v>
      </c>
      <c r="AC51">
        <f>IF(OR(All_Questions_Q_GRID_EXPORT_CT="(None)",AC$49=""),"",IF(AC$49="Other",COUNTIFS(Q_GRID_EXPORTr1_data,"Selected",passes_workbook_filters_data,1,passes_workbook_custom_filters_data,1,All_Questions_passes_local_filters_data,1,All_Questions_Q_GRID_EXPORT_F_passes_per_q_filter_data,1)-SUM(G51,I51,K51,M51,O51,Q51,S51,U51,W51,Y51,AA51)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,0)</f>
        <v>0</v>
      </c>
      <c r="AE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,0)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,0)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,0)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,0)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,0)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,0)</f>
        <v>0</v>
      </c>
      <c r="S52">
        <f>IF(OR(All_Questions_Q_GRID_EXPORT_CT="(None)",S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,0)</f>
        <v>0</v>
      </c>
      <c r="U52">
        <f>IF(OR(All_Questions_Q_GRID_EXPORT_CT="(None)",U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,0)</f>
        <v>0</v>
      </c>
      <c r="W52">
        <f>IF(OR(All_Questions_Q_GRID_EXPORT_CT="(None)",W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,0)</f>
        <v>0</v>
      </c>
      <c r="Y52">
        <f>IF(OR(All_Questions_Q_GRID_EXPORT_CT="(None)",Y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,0)</f>
        <v>0</v>
      </c>
      <c r="AA52">
        <f>IF(OR(All_Questions_Q_GRID_EXPORT_CT="(None)",AA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0)</f>
        <v>0</v>
      </c>
      <c r="AC52">
        <f>IF(OR(All_Questions_Q_GRID_EXPORT_CT="(None)",AC$49=""),"",IF(AC$49="Other",COUNTIFS(Q_GRID_EXPORTr2_data,"Selected",passes_workbook_filters_data,1,passes_workbook_custom_filters_data,1,All_Questions_passes_local_filters_data,1,All_Questions_Q_GRID_EXPORT_F_passes_per_q_filter_data,1)-SUM(G52,I52,K52,M52,O52,Q52,S52,U52,W52,Y52,AA52)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,0)</f>
        <v>0</v>
      </c>
      <c r="AE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4" t="inlineStr">
        <is>
          <t>Option</t>
        </is>
      </c>
      <c r="G5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9" s="2" t="n"/>
      <c r="I5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9" s="2" t="n"/>
      <c r="K5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9" s="2" t="n"/>
      <c r="M5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9" s="2" t="n"/>
      <c r="O5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9" s="2" t="n"/>
      <c r="Q5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9" s="2" t="n"/>
      <c r="S5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9" s="2" t="n"/>
      <c r="U5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9" s="2" t="n"/>
      <c r="W5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9" s="2" t="n"/>
      <c r="Y5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9" s="2" t="n"/>
      <c r="AA5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9" s="2" t="n"/>
      <c r="AC5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9" s="2" t="n"/>
      <c r="AE59" s="4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s="4" t="inlineStr"/>
      <c r="G60" s="4" t="inlineStr">
        <is>
          <t># of resp</t>
        </is>
      </c>
      <c r="H60" s="4" t="inlineStr">
        <is>
          <t>% of resp</t>
        </is>
      </c>
      <c r="I60" s="4" t="inlineStr">
        <is>
          <t># of resp</t>
        </is>
      </c>
      <c r="J60" s="4" t="inlineStr">
        <is>
          <t>% of resp</t>
        </is>
      </c>
      <c r="K60" s="4" t="inlineStr">
        <is>
          <t># of resp</t>
        </is>
      </c>
      <c r="L60" s="4" t="inlineStr">
        <is>
          <t>% of resp</t>
        </is>
      </c>
      <c r="M60" s="4" t="inlineStr">
        <is>
          <t># of resp</t>
        </is>
      </c>
      <c r="N60" s="4" t="inlineStr">
        <is>
          <t>% of resp</t>
        </is>
      </c>
      <c r="O60" s="4" t="inlineStr">
        <is>
          <t># of resp</t>
        </is>
      </c>
      <c r="P60" s="4" t="inlineStr">
        <is>
          <t>% of resp</t>
        </is>
      </c>
      <c r="Q60" s="4" t="inlineStr">
        <is>
          <t># of resp</t>
        </is>
      </c>
      <c r="R60" s="4" t="inlineStr">
        <is>
          <t>% of resp</t>
        </is>
      </c>
      <c r="S60" s="4" t="inlineStr">
        <is>
          <t># of resp</t>
        </is>
      </c>
      <c r="T60" s="4" t="inlineStr">
        <is>
          <t>% of resp</t>
        </is>
      </c>
      <c r="U60" s="4" t="inlineStr">
        <is>
          <t># of resp</t>
        </is>
      </c>
      <c r="V60" s="4" t="inlineStr">
        <is>
          <t>% of resp</t>
        </is>
      </c>
      <c r="W60" s="4" t="inlineStr">
        <is>
          <t># of resp</t>
        </is>
      </c>
      <c r="X60" s="4" t="inlineStr">
        <is>
          <t>% of resp</t>
        </is>
      </c>
      <c r="Y60" s="4" t="inlineStr">
        <is>
          <t># of resp</t>
        </is>
      </c>
      <c r="Z60" s="4" t="inlineStr">
        <is>
          <t>% of resp</t>
        </is>
      </c>
      <c r="AA60" s="4" t="inlineStr">
        <is>
          <t># of resp</t>
        </is>
      </c>
      <c r="AB60" s="4" t="inlineStr">
        <is>
          <t>% of resp</t>
        </is>
      </c>
      <c r="AC60" s="4" t="inlineStr">
        <is>
          <t># of resp</t>
        </is>
      </c>
      <c r="AD60" s="4" t="inlineStr">
        <is>
          <t>% of resp</t>
        </is>
      </c>
      <c r="AE60" s="4" t="inlineStr">
        <is>
          <t># of resp</t>
        </is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A</t>
        </is>
      </c>
      <c r="G61">
        <f>IF(OR(All_Questions_Q_VERY_LONG_SINGLE_SELECT_EXPORT_NAME_CT="(None)",G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,0)</f>
        <v>0</v>
      </c>
      <c r="I61">
        <f>IF(OR(All_Questions_Q_VERY_LONG_SINGLE_SELECT_EXPORT_NAME_CT="(None)",I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,0)</f>
        <v>0</v>
      </c>
      <c r="K61">
        <f>IF(OR(All_Questions_Q_VERY_LONG_SINGLE_SELECT_EXPORT_NAME_CT="(None)",K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,0)</f>
        <v>0</v>
      </c>
      <c r="M61">
        <f>IF(OR(All_Questions_Q_VERY_LONG_SINGLE_SELECT_EXPORT_NAME_CT="(None)",M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,0)</f>
        <v>0</v>
      </c>
      <c r="O61">
        <f>IF(OR(All_Questions_Q_VERY_LONG_SINGLE_SELECT_EXPORT_NAME_CT="(None)",O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,0)</f>
        <v>0</v>
      </c>
      <c r="Q61">
        <f>IF(OR(All_Questions_Q_VERY_LONG_SINGLE_SELECT_EXPORT_NAME_CT="(None)",Q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,0)</f>
        <v>0</v>
      </c>
      <c r="S61">
        <f>IF(OR(All_Questions_Q_VERY_LONG_SINGLE_SELECT_EXPORT_NAME_CT="(None)",S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,0)</f>
        <v>0</v>
      </c>
      <c r="U61">
        <f>IF(OR(All_Questions_Q_VERY_LONG_SINGLE_SELECT_EXPORT_NAME_CT="(None)",U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,0)</f>
        <v>0</v>
      </c>
      <c r="W61">
        <f>IF(OR(All_Questions_Q_VERY_LONG_SINGLE_SELECT_EXPORT_NAME_CT="(None)",W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,0)</f>
        <v>0</v>
      </c>
      <c r="Y61">
        <f>IF(OR(All_Questions_Q_VERY_LONG_SINGLE_SELECT_EXPORT_NAME_CT="(None)",Y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,0)</f>
        <v>0</v>
      </c>
      <c r="AA61">
        <f>IF(OR(All_Questions_Q_VERY_LONG_SINGLE_SELECT_EXPORT_NAME_CT="(None)",AA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0)</f>
        <v>0</v>
      </c>
      <c r="AC61">
        <f>IF(OR(All_Questions_Q_VERY_LONG_SINGLE_SELECT_EXPORT_NAME_CT="(None)",AC$59=""),"",IF(AC$59="Other",COUNTIFS(Q_VERY_LONG_SINGLE_SELECT_EXPOR_data,"A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</f>
        <v>0</v>
      </c>
      <c r="AD61" s="7">
        <f>IFERROR(AC61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,0)</f>
        <v>0</v>
      </c>
      <c r="AE6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  <c r="F62" t="inlineStr">
        <is>
          <t>B</t>
        </is>
      </c>
      <c r="G62">
        <f>IF(OR(All_Questions_Q_VERY_LONG_SINGLE_SELECT_EXPORT_NAME_CT="(None)",G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</f>
        <v>0</v>
      </c>
      <c r="H62" s="7">
        <f>IFERROR(G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,0)</f>
        <v>0</v>
      </c>
      <c r="I62">
        <f>IF(OR(All_Questions_Q_VERY_LONG_SINGLE_SELECT_EXPORT_NAME_CT="(None)",I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</f>
        <v>0</v>
      </c>
      <c r="J62" s="7">
        <f>IFERROR(I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,0)</f>
        <v>0</v>
      </c>
      <c r="K62">
        <f>IF(OR(All_Questions_Q_VERY_LONG_SINGLE_SELECT_EXPORT_NAME_CT="(None)",K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</f>
        <v>0</v>
      </c>
      <c r="L62" s="7">
        <f>IFERROR(K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,0)</f>
        <v>0</v>
      </c>
      <c r="M62">
        <f>IF(OR(All_Questions_Q_VERY_LONG_SINGLE_SELECT_EXPORT_NAME_CT="(None)",M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</f>
        <v>0</v>
      </c>
      <c r="N62" s="7">
        <f>IFERROR(M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,0)</f>
        <v>0</v>
      </c>
      <c r="O62">
        <f>IF(OR(All_Questions_Q_VERY_LONG_SINGLE_SELECT_EXPORT_NAME_CT="(None)",O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</f>
        <v>0</v>
      </c>
      <c r="P62" s="7">
        <f>IFERROR(O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,0)</f>
        <v>0</v>
      </c>
      <c r="Q62">
        <f>IF(OR(All_Questions_Q_VERY_LONG_SINGLE_SELECT_EXPORT_NAME_CT="(None)",Q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</f>
        <v>0</v>
      </c>
      <c r="R62" s="7">
        <f>IFERROR(Q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,0)</f>
        <v>0</v>
      </c>
      <c r="S62">
        <f>IF(OR(All_Questions_Q_VERY_LONG_SINGLE_SELECT_EXPORT_NAME_CT="(None)",S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</f>
        <v>0</v>
      </c>
      <c r="T62" s="7">
        <f>IFERROR(S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,0)</f>
        <v>0</v>
      </c>
      <c r="U62">
        <f>IF(OR(All_Questions_Q_VERY_LONG_SINGLE_SELECT_EXPORT_NAME_CT="(None)",U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</f>
        <v>0</v>
      </c>
      <c r="V62" s="7">
        <f>IFERROR(U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,0)</f>
        <v>0</v>
      </c>
      <c r="W62">
        <f>IF(OR(All_Questions_Q_VERY_LONG_SINGLE_SELECT_EXPORT_NAME_CT="(None)",W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</f>
        <v>0</v>
      </c>
      <c r="X62" s="7">
        <f>IFERROR(W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,0)</f>
        <v>0</v>
      </c>
      <c r="Y62">
        <f>IF(OR(All_Questions_Q_VERY_LONG_SINGLE_SELECT_EXPORT_NAME_CT="(None)",Y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</f>
        <v>0</v>
      </c>
      <c r="Z62" s="7">
        <f>IFERROR(Y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,0)</f>
        <v>0</v>
      </c>
      <c r="AA62">
        <f>IF(OR(All_Questions_Q_VERY_LONG_SINGLE_SELECT_EXPORT_NAME_CT="(None)",AA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</f>
        <v>0</v>
      </c>
      <c r="AB62" s="7">
        <f>IFERROR(AA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0)</f>
        <v>0</v>
      </c>
      <c r="AC62">
        <f>IF(OR(All_Questions_Q_VERY_LONG_SINGLE_SELECT_EXPORT_NAME_CT="(None)",AC$59=""),"",IF(AC$59="Other",COUNTIFS(Q_VERY_LONG_SINGLE_SELECT_EXPOR_data,"B",passes_workbook_filters_data,1,passes_workbook_custom_filters_data,1,All_Questions_passes_local_filters_data,1,All_Questions_Q_VERY_LONG_SINGLE_SELECT_EXPORT_NAME_F_passes_per_q_filter_data,1)-SUM(G62,I62,K62,M62,O62,Q62,S62,U62,W62,Y62,AA62)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</f>
        <v>0</v>
      </c>
      <c r="AD62" s="7">
        <f>IFERROR(AC62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,0)</f>
        <v>0</v>
      </c>
      <c r="AE6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3">
      <c r="F63" s="4" t="inlineStr">
        <is>
          <t>Total respondents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AC17:AD17"/>
    <mergeCell ref="K49:L49"/>
    <mergeCell ref="G59:H59"/>
    <mergeCell ref="W49:X49"/>
    <mergeCell ref="M59:N59"/>
    <mergeCell ref="S59:T59"/>
    <mergeCell ref="U59:V59"/>
    <mergeCell ref="G27:H27"/>
    <mergeCell ref="I49:J49"/>
    <mergeCell ref="I27:J27"/>
    <mergeCell ref="U49:V49"/>
    <mergeCell ref="AA27:AB27"/>
    <mergeCell ref="M49:N49"/>
    <mergeCell ref="S27:T27"/>
    <mergeCell ref="U27:V27"/>
    <mergeCell ref="G17:H17"/>
    <mergeCell ref="S17:T17"/>
    <mergeCell ref="U17:V17"/>
    <mergeCell ref="O49:P49"/>
    <mergeCell ref="AA49:AB49"/>
    <mergeCell ref="Y59:Z59"/>
    <mergeCell ref="Y17:Z17"/>
    <mergeCell ref="G49:H49"/>
    <mergeCell ref="A1:J1"/>
    <mergeCell ref="S49:T49"/>
    <mergeCell ref="K59:L59"/>
    <mergeCell ref="O59:P59"/>
    <mergeCell ref="Q59:R59"/>
    <mergeCell ref="W59:X59"/>
    <mergeCell ref="K27:L27"/>
    <mergeCell ref="AA59:AB59"/>
    <mergeCell ref="M27:N27"/>
    <mergeCell ref="Y49:Z49"/>
    <mergeCell ref="O27:P27"/>
    <mergeCell ref="Q49:R49"/>
    <mergeCell ref="Q27:R27"/>
    <mergeCell ref="W27:X27"/>
    <mergeCell ref="I17:J17"/>
    <mergeCell ref="Y27:Z27"/>
    <mergeCell ref="K17:L17"/>
    <mergeCell ref="M17:N17"/>
    <mergeCell ref="O17:P17"/>
    <mergeCell ref="Q17:R17"/>
    <mergeCell ref="W17:X17"/>
    <mergeCell ref="AC59:AD59"/>
    <mergeCell ref="AC49:AD49"/>
    <mergeCell ref="I59:J59"/>
    <mergeCell ref="AC27:AD27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9:T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9:V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9:X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9:Z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9:AB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9:AD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1:H62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1:J62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1:L62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1:N62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1:P62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1:R62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1:T62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1:V62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1:X62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1:Z62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1:AB62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1:AD62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2026-05-18T10:55:55Z</dcterms:created>
  <dcterms:modified xmlns:dcterms="http://purl.org/dc/terms/" xmlns:xsi="http://www.w3.org/2001/XMLSchema-instance" xsi:type="dcterms:W3CDTF">2026-05-18T10:55:56Z</dcterms:modified>
</cp:coreProperties>
</file>