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IF(All_Questions_Q7_CT="(None)","",IFERROR(INDEX(INDIRECT(XLOOKUP(All_Questions_Q7_CT,All_Questions,All_Questions_Options_Names,"None_options")),2),""))</f>
        <v/>
      </c>
      <c r="H16" s="2" t="n"/>
      <c r="I16" s="2" t="str">
        <f>IF(All_Questions_Q7_CT="(None)","",IFERROR(INDEX(INDIRECT(XLOOKUP(All_Questions_Q7_CT,All_Questions,All_Questions_Options_Names,"None_options")),3),""))</f>
        <v/>
      </c>
      <c r="J16" s="2" t="n"/>
      <c r="K16" s="2" t="str">
        <f>IF(All_Questions_Q7_CT="(None)","",IFERROR(INDEX(INDIRECT(XLOOKUP(All_Questions_Q7_CT,All_Questions,All_Questions_Options_Names,"None_options")),4),""))</f>
        <v/>
      </c>
      <c r="L16" s="2" t="n"/>
      <c r="M16" s="2" t="str">
        <f>IF(All_Questions_Q7_CT="(None)","",IFERROR(INDEX(INDIRECT(XLOOKUP(All_Questions_Q7_CT,All_Questions,All_Questions_Options_Names,"None_options")),5),""))</f>
        <v/>
      </c>
      <c r="N16" s="2" t="n"/>
      <c r="O16" s="2" t="str">
        <f>IF(All_Questions_Q7_CT="(None)","",IFERROR(INDEX(INDIRECT(XLOOKUP(All_Questions_Q7_CT,All_Questions,All_Questions_Options_Names,"None_options")),6),""))</f>
        <v/>
      </c>
      <c r="P16" s="2" t="n"/>
      <c r="Q16" s="2" t="str">
        <f>IF(All_Questions_Q7_CT="(None)","",IFERROR(INDEX(INDIRECT(XLOOKUP(All_Questions_Q7_CT,All_Questions,All_Questions_Options_Names,"None_options")),7),""))</f>
        <v/>
      </c>
      <c r="R16" s="2" t="n"/>
      <c r="S16" s="2" t="str">
        <f>IF(All_Questions_Q7_CT="(None)","",IFERROR(INDEX(INDIRECT(XLOOKUP(All_Questions_Q7_CT,All_Questions,All_Questions_Options_Names,"None_options")),8),""))</f>
        <v/>
      </c>
      <c r="T16" s="2" t="n"/>
      <c r="U16" s="2" t="str">
        <f>IF(All_Questions_Q7_CT="(None)","",IFERROR(INDEX(INDIRECT(XLOOKUP(All_Questions_Q7_CT,All_Questions,All_Questions_Options_Names,"None_options")),9),""))</f>
        <v/>
      </c>
      <c r="V16" s="2" t="n"/>
      <c r="W16" s="2" t="str">
        <f>IF(All_Questions_Q7_CT="(None)","",IFERROR(INDEX(INDIRECT(XLOOKUP(All_Questions_Q7_CT,All_Questions,All_Questions_Options_Names,"None_options")),10),""))</f>
        <v/>
      </c>
      <c r="X16" s="2" t="n"/>
      <c r="Y16" s="2" t="str">
        <f>IF(All_Questions_Q7_CT="(None)","",IFERROR(INDEX(INDIRECT(XLOOKUP(All_Questions_Q7_CT,All_Questions,All_Questions_Options_Names,"None_options")),11),""))</f>
        <v/>
      </c>
      <c r="Z16" s="2" t="n"/>
      <c r="AA16" s="2" t="str">
        <f>IF(All_Questions_Q7_CT="(None)","",IFERROR(INDEX(INDIRECT(XLOOKUP(All_Questions_Q7_CT,All_Questions,All_Questions_Options_Names,"None_options")),12),""))</f>
        <v/>
      </c>
      <c r="AB16" s="2" t="n"/>
      <c r="AC16" s="2" t="str">
        <f>IF(All_Questions_Q7_CT="(None)","",IF(COUNTA(INDIRECT(XLOOKUP(All_Questions_Q7_CT,All_Questions,All_Questions_Options_Names,"None_options")))-1&gt;11,"Other",IFERROR(INDEX(INDIRECT(XLOOKUP(All_Questions_Q7_CT,All_Questions,All_Questions_Options_Names,"None_options")),13),"")))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),0)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),0)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),0)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),0)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),0)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),0)</f>
        <v>0</v>
      </c>
      <c r="S18">
        <f>IF(OR(All_Questions_Q7_CT="(None)",S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),0)</f>
        <v>0</v>
      </c>
      <c r="U18">
        <f>IF(OR(All_Questions_Q7_CT="(None)",U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),0)</f>
        <v>0</v>
      </c>
      <c r="W18">
        <f>IF(OR(All_Questions_Q7_CT="(None)",W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),0)</f>
        <v>0</v>
      </c>
      <c r="Y18">
        <f>IF(OR(All_Questions_Q7_CT="(None)",Y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),0)</f>
        <v>0</v>
      </c>
      <c r="AA18">
        <f>IF(OR(All_Questions_Q7_CT="(None)",AA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0)</f>
        <v>0</v>
      </c>
      <c r="AC18">
        <f>IF(OR(All_Questions_Q7_CT="(None)",AC$16=""),"",IF(AC$16="Other",COUNTIFS(Q7_data,"Manager",passes_workbook_filters_data,1,passes_workbook_custom_filters_data,1,All_Questions_passes_local_filters_data,1,All_Questions_Q7_F_passes_per_q_filter_data,1)-SUM(G18,I18,K18,M18,O18,Q18,S18,U18,W18,Y18,AA18)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7_F_passes_per_q_filter_data,1)-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C$16))),0)</f>
        <v>0</v>
      </c>
      <c r="AE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),0)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),0)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),0)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),0)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),0)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),0)</f>
        <v>0</v>
      </c>
      <c r="S19">
        <f>IF(OR(All_Questions_Q7_CT="(None)",S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),0)</f>
        <v>0</v>
      </c>
      <c r="U19">
        <f>IF(OR(All_Questions_Q7_CT="(None)",U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),0)</f>
        <v>0</v>
      </c>
      <c r="W19">
        <f>IF(OR(All_Questions_Q7_CT="(None)",W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),0)</f>
        <v>0</v>
      </c>
      <c r="Y19">
        <f>IF(OR(All_Questions_Q7_CT="(None)",Y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),0)</f>
        <v>0</v>
      </c>
      <c r="AA19">
        <f>IF(OR(All_Questions_Q7_CT="(None)",AA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0)</f>
        <v>0</v>
      </c>
      <c r="AC19">
        <f>IF(OR(All_Questions_Q7_CT="(None)",AC$16=""),"",IF(AC$16="Other",COUNTIFS(Q7_data,"Executive",passes_workbook_filters_data,1,passes_workbook_custom_filters_data,1,All_Questions_passes_local_filters_data,1,All_Questions_Q7_F_passes_per_q_filter_data,1)-SUM(G19,I19,K19,M19,O19,Q19,S19,U19,W19,Y19,AA19)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7_F_passes_per_q_filter_data,1)-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C$16))),0)</f>
        <v>0</v>
      </c>
      <c r="AE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2026-05-18T10:56:56Z</dcterms:created>
  <dcterms:modified xmlns:dcterms="http://purl.org/dc/terms/" xmlns:xsi="http://www.w3.org/2001/XMLSchema-instance" xsi:type="dcterms:W3CDTF">2026-05-18T10:56:56Z</dcterms:modified>
</cp:coreProperties>
</file>