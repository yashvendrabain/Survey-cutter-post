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IFERROR(INDEX(All_Questions_Data_Names,MATCH(Demographics_Q_MS_EXPORT_F_Q,All_Questions,0)),"'_RawData'!$A:$A")</f>
        <v>respondent_id_data</v>
      </c>
      <c r="G26" t="str">
        <f>"|" &amp; SUBSTITUTE(Demographics_Q_MS_EXPORT_F_V,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IF(Demographics_Q_MS_EXPORT_CT="(None)","",IFERROR(INDEX(INDIRECT(IFERROR(INDEX(All_Questions_Options_Names,MATCH(Demographics_Q_MS_EXPORT_CT,All_Questions,0)),"'_Options'!$E$2:$E$2")),2),""))</f>
        <v/>
      </c>
      <c r="H29" s="2" t="str">
        <f>IF(Demographics_Q_MS_EXPORT_CT="(None)","",IFERROR(INDEX(INDIRECT(IFERROR(INDEX(All_Questions_Options_Names,MATCH(Demographics_Q_MS_EXPORT_CT,All_Questions,0)),"'_Options'!$E$2:$E$2")),3),""))</f>
        <v/>
      </c>
      <c r="I29" s="2" t="str">
        <f>IF(Demographics_Q_MS_EXPORT_CT="(None)","",IFERROR(INDEX(INDIRECT(IFERROR(INDEX(All_Questions_Options_Names,MATCH(Demographics_Q_MS_EXPORT_CT,All_Questions,0)),"'_Options'!$E$2:$E$2")),4),""))</f>
        <v/>
      </c>
      <c r="J29" s="2" t="str">
        <f>IF(Demographics_Q_MS_EXPORT_CT="(None)","",IFERROR(INDEX(INDIRECT(IFERROR(INDEX(All_Questions_Options_Names,MATCH(Demographics_Q_MS_EXPORT_CT,All_Questions,0)),"'_Options'!$E$2:$E$2")),5),""))</f>
        <v/>
      </c>
      <c r="K29" s="2" t="str">
        <f>IF(Demographics_Q_MS_EXPORT_CT="(None)","",IFERROR(INDEX(INDIRECT(IFERROR(INDEX(All_Questions_Options_Names,MATCH(Demographics_Q_MS_EXPORT_CT,All_Questions,0)),"'_Options'!$E$2:$E$2")),6),""))</f>
        <v/>
      </c>
      <c r="L29" s="2" t="str">
        <f>IF(Demographics_Q_MS_EXPORT_CT="(None)","",IFERROR(INDEX(INDIRECT(IFERROR(INDEX(All_Questions_Options_Names,MATCH(Demographics_Q_MS_EXPORT_CT,All_Questions,0)),"'_Options'!$E$2:$E$2")),7),""))</f>
        <v/>
      </c>
      <c r="M29" s="2" t="str">
        <f>IF(Demographics_Q_MS_EXPORT_CT="(None)","",IFERROR(INDEX(INDIRECT(IFERROR(INDEX(All_Questions_Options_Names,MATCH(Demographics_Q_MS_EXPORT_CT,All_Questions,0)),"'_Options'!$E$2:$E$2")),8),""))</f>
        <v/>
      </c>
      <c r="N29" s="2" t="str">
        <f>IF(Demographics_Q_MS_EXPORT_CT="(None)","",IFERROR(INDEX(INDIRECT(IFERROR(INDEX(All_Questions_Options_Names,MATCH(Demographics_Q_MS_EXPORT_CT,All_Questions,0)),"'_Options'!$E$2:$E$2")),9),""))</f>
        <v/>
      </c>
      <c r="O29" s="2" t="str">
        <f>IF(Demographics_Q_MS_EXPORT_CT="(None)","",IFERROR(INDEX(INDIRECT(IFERROR(INDEX(All_Questions_Options_Names,MATCH(Demographics_Q_MS_EXPORT_CT,All_Questions,0)),"'_Options'!$E$2:$E$2")),10),""))</f>
        <v/>
      </c>
      <c r="P29" s="2" t="str">
        <f>IF(Demographics_Q_MS_EXPORT_CT="(None)","",IFERROR(INDEX(INDIRECT(IFERROR(INDEX(All_Questions_Options_Names,MATCH(Demographics_Q_MS_EXPORT_CT,All_Questions,0)),"'_Options'!$E$2:$E$2")),11),""))</f>
        <v/>
      </c>
      <c r="Q29" s="2" t="str">
        <f>IF(Demographics_Q_MS_EXPORT_CT="(None)","",IFERROR(INDEX(INDIRECT(IFERROR(INDEX(All_Questions_Options_Names,MATCH(Demographics_Q_MS_EXPORT_CT,All_Questions,0)),"'_Options'!$E$2:$E$2")),12),""))</f>
        <v/>
      </c>
      <c r="R29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IF(All_Questions_Q_NUM_EXPORT_CT="(None)","",IFERROR(INDEX(INDIRECT(IFERROR(INDEX(All_Questions_Options_Names,MATCH(All_Questions_Q_NUM_EXPORT_CT,All_Questions,0)),"'_Options'!$E$2:$E$2")),2),""))</f>
        <v/>
      </c>
      <c r="H25" s="2" t="str">
        <f>IF(All_Questions_Q_NUM_EXPORT_CT="(None)","",IFERROR(INDEX(INDIRECT(IFERROR(INDEX(All_Questions_Options_Names,MATCH(All_Questions_Q_NUM_EXPORT_CT,All_Questions,0)),"'_Options'!$E$2:$E$2")),3),""))</f>
        <v/>
      </c>
      <c r="I25" s="2" t="str">
        <f>IF(All_Questions_Q_NUM_EXPORT_CT="(None)","",IFERROR(INDEX(INDIRECT(IFERROR(INDEX(All_Questions_Options_Names,MATCH(All_Questions_Q_NUM_EXPORT_CT,All_Questions,0)),"'_Options'!$E$2:$E$2")),4),""))</f>
        <v/>
      </c>
      <c r="J25" s="2" t="str">
        <f>IF(All_Questions_Q_NUM_EXPORT_CT="(None)","",IFERROR(INDEX(INDIRECT(IFERROR(INDEX(All_Questions_Options_Names,MATCH(All_Questions_Q_NUM_EXPORT_CT,All_Questions,0)),"'_Options'!$E$2:$E$2")),5),""))</f>
        <v/>
      </c>
      <c r="K25" s="2" t="str">
        <f>IF(All_Questions_Q_NUM_EXPORT_CT="(None)","",IFERROR(INDEX(INDIRECT(IFERROR(INDEX(All_Questions_Options_Names,MATCH(All_Questions_Q_NUM_EXPORT_CT,All_Questions,0)),"'_Options'!$E$2:$E$2")),6),""))</f>
        <v/>
      </c>
      <c r="L25" s="2" t="str">
        <f>IF(All_Questions_Q_NUM_EXPORT_CT="(None)","",IFERROR(INDEX(INDIRECT(IFERROR(INDEX(All_Questions_Options_Names,MATCH(All_Questions_Q_NUM_EXPORT_CT,All_Questions,0)),"'_Options'!$E$2:$E$2")),7),""))</f>
        <v/>
      </c>
      <c r="M25" s="2" t="str">
        <f>IF(All_Questions_Q_NUM_EXPORT_CT="(None)","",IFERROR(INDEX(INDIRECT(IFERROR(INDEX(All_Questions_Options_Names,MATCH(All_Questions_Q_NUM_EXPORT_CT,All_Questions,0)),"'_Options'!$E$2:$E$2")),8),""))</f>
        <v/>
      </c>
      <c r="N25" s="2" t="str">
        <f>IF(All_Questions_Q_NUM_EXPORT_CT="(None)","",IFERROR(INDEX(INDIRECT(IFERROR(INDEX(All_Questions_Options_Names,MATCH(All_Questions_Q_NUM_EXPORT_CT,All_Questions,0)),"'_Options'!$E$2:$E$2")),9),""))</f>
        <v/>
      </c>
      <c r="O25" s="2" t="str">
        <f>IF(All_Questions_Q_NUM_EXPORT_CT="(None)","",IFERROR(INDEX(INDIRECT(IFERROR(INDEX(All_Questions_Options_Names,MATCH(All_Questions_Q_NUM_EXPORT_CT,All_Questions,0)),"'_Options'!$E$2:$E$2")),10),""))</f>
        <v/>
      </c>
      <c r="P25" s="2" t="str">
        <f>IF(All_Questions_Q_NUM_EXPORT_CT="(None)","",IFERROR(INDEX(INDIRECT(IFERROR(INDEX(All_Questions_Options_Names,MATCH(All_Questions_Q_NUM_EXPORT_CT,All_Questions,0)),"'_Options'!$E$2:$E$2")),11),""))</f>
        <v/>
      </c>
      <c r="Q25" s="2" t="str">
        <f>IF(All_Questions_Q_NUM_EXPORT_CT="(None)","",IFERROR(INDEX(INDIRECT(IFERROR(INDEX(All_Questions_Options_Names,MATCH(All_Questions_Q_NUM_EXPORT_CT,All_Questions,0)),"'_Options'!$E$2:$E$2")),12),""))</f>
        <v/>
      </c>
      <c r="R2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IFERROR(INDEX(All_Questions_Data_Names,MATCH(All_Questions_Q_GRID_EXPORT_F_Q,All_Questions,0)),"'_RawData'!$A:$A")</f>
        <v>respondent_id_data</v>
      </c>
      <c r="G32" t="str">
        <f>"|" &amp; SUBSTITUTE(All_Questions_Q_GRID_EXPORT_F_V, ", ", "|") &amp; "|"</f>
        <v>|(All)|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IF(All_Questions_Q_GRID_EXPORT_CT="(None)","",IFERROR(INDEX(INDIRECT(IFERROR(INDEX(All_Questions_Options_Names,MATCH(All_Questions_Q_GRID_EXPORT_CT,All_Questions,0)),"'_Options'!$E$2:$E$2")),2),""))</f>
        <v/>
      </c>
      <c r="H42" s="2" t="str">
        <f>IF(All_Questions_Q_GRID_EXPORT_CT="(None)","",IFERROR(INDEX(INDIRECT(IFERROR(INDEX(All_Questions_Options_Names,MATCH(All_Questions_Q_GRID_EXPORT_CT,All_Questions,0)),"'_Options'!$E$2:$E$2")),3),""))</f>
        <v/>
      </c>
      <c r="I42" s="2" t="str">
        <f>IF(All_Questions_Q_GRID_EXPORT_CT="(None)","",IFERROR(INDEX(INDIRECT(IFERROR(INDEX(All_Questions_Options_Names,MATCH(All_Questions_Q_GRID_EXPORT_CT,All_Questions,0)),"'_Options'!$E$2:$E$2")),4),""))</f>
        <v/>
      </c>
      <c r="J42" s="2" t="str">
        <f>IF(All_Questions_Q_GRID_EXPORT_CT="(None)","",IFERROR(INDEX(INDIRECT(IFERROR(INDEX(All_Questions_Options_Names,MATCH(All_Questions_Q_GRID_EXPORT_CT,All_Questions,0)),"'_Options'!$E$2:$E$2")),5),""))</f>
        <v/>
      </c>
      <c r="K42" s="2" t="str">
        <f>IF(All_Questions_Q_GRID_EXPORT_CT="(None)","",IFERROR(INDEX(INDIRECT(IFERROR(INDEX(All_Questions_Options_Names,MATCH(All_Questions_Q_GRID_EXPORT_CT,All_Questions,0)),"'_Options'!$E$2:$E$2")),6),""))</f>
        <v/>
      </c>
      <c r="L42" s="2" t="str">
        <f>IF(All_Questions_Q_GRID_EXPORT_CT="(None)","",IFERROR(INDEX(INDIRECT(IFERROR(INDEX(All_Questions_Options_Names,MATCH(All_Questions_Q_GRID_EXPORT_CT,All_Questions,0)),"'_Options'!$E$2:$E$2")),7),""))</f>
        <v/>
      </c>
      <c r="M42" s="2" t="str">
        <f>IF(All_Questions_Q_GRID_EXPORT_CT="(None)","",IFERROR(INDEX(INDIRECT(IFERROR(INDEX(All_Questions_Options_Names,MATCH(All_Questions_Q_GRID_EXPORT_CT,All_Questions,0)),"'_Options'!$E$2:$E$2")),8),""))</f>
        <v/>
      </c>
      <c r="N42" s="2" t="str">
        <f>IF(All_Questions_Q_GRID_EXPORT_CT="(None)","",IFERROR(INDEX(INDIRECT(IFERROR(INDEX(All_Questions_Options_Names,MATCH(All_Questions_Q_GRID_EXPORT_CT,All_Questions,0)),"'_Options'!$E$2:$E$2")),9),""))</f>
        <v/>
      </c>
      <c r="O42" s="2" t="str">
        <f>IF(All_Questions_Q_GRID_EXPORT_CT="(None)","",IFERROR(INDEX(INDIRECT(IFERROR(INDEX(All_Questions_Options_Names,MATCH(All_Questions_Q_GRID_EXPORT_CT,All_Questions,0)),"'_Options'!$E$2:$E$2")),10),""))</f>
        <v/>
      </c>
      <c r="P42" s="2" t="str">
        <f>IF(All_Questions_Q_GRID_EXPORT_CT="(None)","",IFERROR(INDEX(INDIRECT(IFERROR(INDEX(All_Questions_Options_Names,MATCH(All_Questions_Q_GRID_EXPORT_CT,All_Questions,0)),"'_Options'!$E$2:$E$2")),11),""))</f>
        <v/>
      </c>
      <c r="Q42" s="2" t="str">
        <f>IF(All_Questions_Q_GRID_EXPORT_CT="(None)","",IFERROR(INDEX(INDIRECT(IFERROR(INDEX(All_Questions_Options_Names,MATCH(All_Questions_Q_GRID_EXPORT_CT,All_Questions,0)),"'_Options'!$E$2:$E$2")),12),""))</f>
        <v/>
      </c>
      <c r="R4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IFERROR(INDEX(All_Questions_Data_Names,MATCH(All_Questions_Q_VERY_LONG_SINGLE_SELECT_EXPORT_NAME_F_Q,All_Questions,0)),"'_RawData'!$A:$A")</f>
        <v>respondent_id_data</v>
      </c>
      <c r="G50" t="str">
        <f>"|" &amp; SUBSTITUTE(All_Questions_Q_VERY_LONG_SINGLE_SELECT_EXPORT_NAME_F_V, ", ", "|") &amp; "|"</f>
        <v>|(All)|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=All_Questions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2026-06-08T08:49:59.368644+00:00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2026-06-08T08:49:59.368875+00:00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2026-06-08T08:49:59.369103+00:00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2026-06-08T08:49:59.369334+00:00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2026-06-08T08:49:59.369531+00:00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2026-06-08T08:49:59.369727+00:00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2026-06-08T08:49:59.369942+00:00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2026-06-08T08:49:59.370171+00:00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2026-06-08T08:49:59.370374+00:00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2026-06-08T08:49:59.370568+00:00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2026-06-08T08:49:59.370758+00:00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2026-06-08T08:49:59.371034+00:00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2026-06-08T08:49:59.371411+00:00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2026-06-08T08:49:59.371607+00:00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2026-06-08T08:49:59.371800+00:00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2026-06-08T08:49:59.372019+00:00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2026-06-08T08:49:59.372245+00:00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2026-06-08T08:49:59.372442+00:00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2026-06-08T08:49:59.372633+00:00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2026-06-08T08:49:59.372827+00:00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2026-06-08T08:49:59.373041+00:00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2026-06-08T08:49:59.373283+00:00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2026-06-08T08:49:59.373479+00:00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2026-06-08T08:49:59.373731+00:00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2026-06-08T08:49:59.406638+00:00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2026-06-08T08:49:59.406809+00:00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2026-06-08T08:49:59.406973+00:00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2026-06-08T08:49:59.407143+00:00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2026-06-08T08:49:59.407297+00:00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2026-06-08T08:49:59.407440+00:00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2026-06-08T08:49:59.407579+00:00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2026-06-08T08:49:59.407715+00:00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2026-06-08T08:49:59.407851+00:00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2026-06-08T08:49:59.408013+00:00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2026-06-08T08:49:59.408185+00:00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2026-06-08T08:49:59.408388+00:00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2026-06-08T08:49:59Z</dcterms:created>
  <dcterms:modified xmlns:dcterms="http://purl.org/dc/terms/" xmlns:xsi="http://www.w3.org/2001/XMLSchema-instance" xsi:type="dcterms:W3CDTF">2026-06-08T08:49:59Z</dcterms:modified>
</cp:coreProperties>
</file>