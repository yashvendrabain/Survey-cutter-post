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IFERROR(INDEX(All_Questions_Data_Names,MATCH(Theme_One_Q_MS_EXPORT_F_Q,All_Questions,0)),"'_RawData'!$A:$A")</f>
        <v>respondent_id_data</v>
      </c>
      <c r="G24" t="str">
        <f>"|" &amp; SUBSTITUTE(Theme_One_Q_MS_EXPORT_F_V,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IF(Theme_One_Q_MS_EXPORT_CT="(None)","",IFERROR(INDEX(INDIRECT(IFERROR(INDEX(All_Questions_Options_Names,MATCH(Theme_One_Q_MS_EXPORT_CT,All_Questions,0)),"'_Options'!$E$2:$E$2")),2),""))</f>
        <v/>
      </c>
      <c r="H27" s="2" t="str">
        <f>IF(Theme_One_Q_MS_EXPORT_CT="(None)","",IFERROR(INDEX(INDIRECT(IFERROR(INDEX(All_Questions_Options_Names,MATCH(Theme_One_Q_MS_EXPORT_CT,All_Questions,0)),"'_Options'!$E$2:$E$2")),3),""))</f>
        <v/>
      </c>
      <c r="I27" s="2" t="str">
        <f>IF(Theme_One_Q_MS_EXPORT_CT="(None)","",IFERROR(INDEX(INDIRECT(IFERROR(INDEX(All_Questions_Options_Names,MATCH(Theme_One_Q_MS_EXPORT_CT,All_Questions,0)),"'_Options'!$E$2:$E$2")),4),""))</f>
        <v/>
      </c>
      <c r="J27" s="2" t="str">
        <f>IF(Theme_One_Q_MS_EXPORT_CT="(None)","",IFERROR(INDEX(INDIRECT(IFERROR(INDEX(All_Questions_Options_Names,MATCH(Theme_One_Q_MS_EXPORT_CT,All_Questions,0)),"'_Options'!$E$2:$E$2")),5),""))</f>
        <v/>
      </c>
      <c r="K27" s="2" t="str">
        <f>IF(Theme_One_Q_MS_EXPORT_CT="(None)","",IFERROR(INDEX(INDIRECT(IFERROR(INDEX(All_Questions_Options_Names,MATCH(Theme_One_Q_MS_EXPORT_CT,All_Questions,0)),"'_Options'!$E$2:$E$2")),6),""))</f>
        <v/>
      </c>
      <c r="L27" s="2" t="str">
        <f>IF(Theme_One_Q_MS_EXPORT_CT="(None)","",IFERROR(INDEX(INDIRECT(IFERROR(INDEX(All_Questions_Options_Names,MATCH(Theme_One_Q_MS_EXPORT_CT,All_Questions,0)),"'_Options'!$E$2:$E$2")),7),""))</f>
        <v/>
      </c>
      <c r="M27" s="2" t="str">
        <f>IF(Theme_One_Q_MS_EXPORT_CT="(None)","",IFERROR(INDEX(INDIRECT(IFERROR(INDEX(All_Questions_Options_Names,MATCH(Theme_One_Q_MS_EXPORT_CT,All_Questions,0)),"'_Options'!$E$2:$E$2")),8),""))</f>
        <v/>
      </c>
      <c r="N27" s="2" t="str">
        <f>IF(Theme_One_Q_MS_EXPORT_CT="(None)","",IFERROR(INDEX(INDIRECT(IFERROR(INDEX(All_Questions_Options_Names,MATCH(Theme_One_Q_MS_EXPORT_CT,All_Questions,0)),"'_Options'!$E$2:$E$2")),9),""))</f>
        <v/>
      </c>
      <c r="O27" s="2" t="str">
        <f>IF(Theme_One_Q_MS_EXPORT_CT="(None)","",IFERROR(INDEX(INDIRECT(IFERROR(INDEX(All_Questions_Options_Names,MATCH(Theme_One_Q_MS_EXPORT_CT,All_Questions,0)),"'_Options'!$E$2:$E$2")),10),""))</f>
        <v/>
      </c>
      <c r="P27" s="2" t="str">
        <f>IF(Theme_One_Q_MS_EXPORT_CT="(None)","",IFERROR(INDEX(INDIRECT(IFERROR(INDEX(All_Questions_Options_Names,MATCH(Theme_One_Q_MS_EXPORT_CT,All_Questions,0)),"'_Options'!$E$2:$E$2")),11),""))</f>
        <v/>
      </c>
      <c r="Q27" s="2" t="str">
        <f>IF(Theme_One_Q_MS_EXPORT_CT="(None)","",IFERROR(INDEX(INDIRECT(IFERROR(INDEX(All_Questions_Options_Names,MATCH(Theme_One_Q_MS_EXPORT_CT,All_Questions,0)),"'_Options'!$E$2:$E$2")),12),""))</f>
        <v/>
      </c>
      <c r="R27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IF(Theme_Two_Q_NUM_EXPORT_CT="(None)","",IFERROR(INDEX(INDIRECT(IFERROR(INDEX(All_Questions_Options_Names,MATCH(Theme_Two_Q_NUM_EXPORT_CT,All_Questions,0)),"'_Options'!$E$2:$E$2")),2),""))</f>
        <v/>
      </c>
      <c r="H23" s="2" t="str">
        <f>IF(Theme_Two_Q_NUM_EXPORT_CT="(None)","",IFERROR(INDEX(INDIRECT(IFERROR(INDEX(All_Questions_Options_Names,MATCH(Theme_Two_Q_NUM_EXPORT_CT,All_Questions,0)),"'_Options'!$E$2:$E$2")),3),""))</f>
        <v/>
      </c>
      <c r="I23" s="2" t="str">
        <f>IF(Theme_Two_Q_NUM_EXPORT_CT="(None)","",IFERROR(INDEX(INDIRECT(IFERROR(INDEX(All_Questions_Options_Names,MATCH(Theme_Two_Q_NUM_EXPORT_CT,All_Questions,0)),"'_Options'!$E$2:$E$2")),4),""))</f>
        <v/>
      </c>
      <c r="J23" s="2" t="str">
        <f>IF(Theme_Two_Q_NUM_EXPORT_CT="(None)","",IFERROR(INDEX(INDIRECT(IFERROR(INDEX(All_Questions_Options_Names,MATCH(Theme_Two_Q_NUM_EXPORT_CT,All_Questions,0)),"'_Options'!$E$2:$E$2")),5),""))</f>
        <v/>
      </c>
      <c r="K23" s="2" t="str">
        <f>IF(Theme_Two_Q_NUM_EXPORT_CT="(None)","",IFERROR(INDEX(INDIRECT(IFERROR(INDEX(All_Questions_Options_Names,MATCH(Theme_Two_Q_NUM_EXPORT_CT,All_Questions,0)),"'_Options'!$E$2:$E$2")),6),""))</f>
        <v/>
      </c>
      <c r="L23" s="2" t="str">
        <f>IF(Theme_Two_Q_NUM_EXPORT_CT="(None)","",IFERROR(INDEX(INDIRECT(IFERROR(INDEX(All_Questions_Options_Names,MATCH(Theme_Two_Q_NUM_EXPORT_CT,All_Questions,0)),"'_Options'!$E$2:$E$2")),7),""))</f>
        <v/>
      </c>
      <c r="M23" s="2" t="str">
        <f>IF(Theme_Two_Q_NUM_EXPORT_CT="(None)","",IFERROR(INDEX(INDIRECT(IFERROR(INDEX(All_Questions_Options_Names,MATCH(Theme_Two_Q_NUM_EXPORT_CT,All_Questions,0)),"'_Options'!$E$2:$E$2")),8),""))</f>
        <v/>
      </c>
      <c r="N23" s="2" t="str">
        <f>IF(Theme_Two_Q_NUM_EXPORT_CT="(None)","",IFERROR(INDEX(INDIRECT(IFERROR(INDEX(All_Questions_Options_Names,MATCH(Theme_Two_Q_NUM_EXPORT_CT,All_Questions,0)),"'_Options'!$E$2:$E$2")),9),""))</f>
        <v/>
      </c>
      <c r="O23" s="2" t="str">
        <f>IF(Theme_Two_Q_NUM_EXPORT_CT="(None)","",IFERROR(INDEX(INDIRECT(IFERROR(INDEX(All_Questions_Options_Names,MATCH(Theme_Two_Q_NUM_EXPORT_CT,All_Questions,0)),"'_Options'!$E$2:$E$2")),10),""))</f>
        <v/>
      </c>
      <c r="P23" s="2" t="str">
        <f>IF(Theme_Two_Q_NUM_EXPORT_CT="(None)","",IFERROR(INDEX(INDIRECT(IFERROR(INDEX(All_Questions_Options_Names,MATCH(Theme_Two_Q_NUM_EXPORT_CT,All_Questions,0)),"'_Options'!$E$2:$E$2")),11),""))</f>
        <v/>
      </c>
      <c r="Q23" s="2" t="str">
        <f>IF(Theme_Two_Q_NUM_EXPORT_CT="(None)","",IFERROR(INDEX(INDIRECT(IFERROR(INDEX(All_Questions_Options_Names,MATCH(Theme_Two_Q_NUM_EXPORT_CT,All_Questions,0)),"'_Options'!$E$2:$E$2")),12),""))</f>
        <v/>
      </c>
      <c r="R23" s="2" t="str">
        <f>IF(Theme_Two_Q_NUM_EXPORT_CT="(None)","",IF(COUNTA(INDIRECT(IFERROR(INDEX(All_Questions_Options_Names,MATCH(Theme_Two_Q_NUM_EXPORT_CT,All_Questions,0)),"'_Options'!$E$2:$E$2")))-1&gt;11,"Other",IFERROR(INDEX(INDIRECT(IFERROR(INDEX(All_Questions_Options_Names,MATCH(Theme_Two_Q_NUM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IF(All_Questions_Q_GRID_EXPORT_CT="(None)","",IFERROR(INDEX(INDIRECT(IFERROR(INDEX(All_Questions_Options_Names,MATCH(All_Questions_Q_GRID_EXPORT_CT,All_Questions,0)),"'_Options'!$E$2:$E$2")),2),""))</f>
        <v/>
      </c>
      <c r="H23" s="2" t="str">
        <f>IF(All_Questions_Q_GRID_EXPORT_CT="(None)","",IFERROR(INDEX(INDIRECT(IFERROR(INDEX(All_Questions_Options_Names,MATCH(All_Questions_Q_GRID_EXPORT_CT,All_Questions,0)),"'_Options'!$E$2:$E$2")),3),""))</f>
        <v/>
      </c>
      <c r="I23" s="2" t="str">
        <f>IF(All_Questions_Q_GRID_EXPORT_CT="(None)","",IFERROR(INDEX(INDIRECT(IFERROR(INDEX(All_Questions_Options_Names,MATCH(All_Questions_Q_GRID_EXPORT_CT,All_Questions,0)),"'_Options'!$E$2:$E$2")),4),""))</f>
        <v/>
      </c>
      <c r="J23" s="2" t="str">
        <f>IF(All_Questions_Q_GRID_EXPORT_CT="(None)","",IFERROR(INDEX(INDIRECT(IFERROR(INDEX(All_Questions_Options_Names,MATCH(All_Questions_Q_GRID_EXPORT_CT,All_Questions,0)),"'_Options'!$E$2:$E$2")),5),""))</f>
        <v/>
      </c>
      <c r="K23" s="2" t="str">
        <f>IF(All_Questions_Q_GRID_EXPORT_CT="(None)","",IFERROR(INDEX(INDIRECT(IFERROR(INDEX(All_Questions_Options_Names,MATCH(All_Questions_Q_GRID_EXPORT_CT,All_Questions,0)),"'_Options'!$E$2:$E$2")),6),""))</f>
        <v/>
      </c>
      <c r="L23" s="2" t="str">
        <f>IF(All_Questions_Q_GRID_EXPORT_CT="(None)","",IFERROR(INDEX(INDIRECT(IFERROR(INDEX(All_Questions_Options_Names,MATCH(All_Questions_Q_GRID_EXPORT_CT,All_Questions,0)),"'_Options'!$E$2:$E$2")),7),""))</f>
        <v/>
      </c>
      <c r="M23" s="2" t="str">
        <f>IF(All_Questions_Q_GRID_EXPORT_CT="(None)","",IFERROR(INDEX(INDIRECT(IFERROR(INDEX(All_Questions_Options_Names,MATCH(All_Questions_Q_GRID_EXPORT_CT,All_Questions,0)),"'_Options'!$E$2:$E$2")),8),""))</f>
        <v/>
      </c>
      <c r="N23" s="2" t="str">
        <f>IF(All_Questions_Q_GRID_EXPORT_CT="(None)","",IFERROR(INDEX(INDIRECT(IFERROR(INDEX(All_Questions_Options_Names,MATCH(All_Questions_Q_GRID_EXPORT_CT,All_Questions,0)),"'_Options'!$E$2:$E$2")),9),""))</f>
        <v/>
      </c>
      <c r="O23" s="2" t="str">
        <f>IF(All_Questions_Q_GRID_EXPORT_CT="(None)","",IFERROR(INDEX(INDIRECT(IFERROR(INDEX(All_Questions_Options_Names,MATCH(All_Questions_Q_GRID_EXPORT_CT,All_Questions,0)),"'_Options'!$E$2:$E$2")),10),""))</f>
        <v/>
      </c>
      <c r="P23" s="2" t="str">
        <f>IF(All_Questions_Q_GRID_EXPORT_CT="(None)","",IFERROR(INDEX(INDIRECT(IFERROR(INDEX(All_Questions_Options_Names,MATCH(All_Questions_Q_GRID_EXPORT_CT,All_Questions,0)),"'_Options'!$E$2:$E$2")),11),""))</f>
        <v/>
      </c>
      <c r="Q23" s="2" t="str">
        <f>IF(All_Questions_Q_GRID_EXPORT_CT="(None)","",IFERROR(INDEX(INDIRECT(IFERROR(INDEX(All_Questions_Options_Names,MATCH(All_Questions_Q_GRID_EXPORT_CT,All_Questions,0)),"'_Options'!$E$2:$E$2")),12),""))</f>
        <v/>
      </c>
      <c r="R23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IFERROR(INDEX(All_Questions_Data_Names,MATCH(All_Questions_Q_VERY_LONG_SINGLE_SELECT_EXPORT_NAME_F_Q,All_Questions,0)),"'_RawData'!$A:$A")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4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4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4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4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4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4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4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4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4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4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4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2026-06-08T08:50:39.001776+00:00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2026-06-08T08:50:39.002034+00:00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2026-06-08T08:50:39.002322+00:00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2026-06-08T08:50:39.002585+00:00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2026-06-08T08:50:39.002818+00:00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2026-06-08T08:50:39.003077+00:00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2026-06-08T08:50:39.003327+00:00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2026-06-08T08:50:39.003530+00:00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2026-06-08T08:50:39.003730+00:00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2026-06-08T08:50:39.003968+00:00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2026-06-08T08:50:39.004210+00:00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2026-06-08T08:50:39.004477+00:00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2026-06-08T08:50:39.004834+00:00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2026-06-08T08:50:39.005061+00:00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2026-06-08T08:50:39.005296+00:00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2026-06-08T08:50:39.005498+00:00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2026-06-08T08:50:39.005696+00:00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2026-06-08T08:50:39.005895+00:00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2026-06-08T08:50:39.006142+00:00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2026-06-08T08:50:39.006353+00:00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2026-06-08T08:50:39.006599+00:00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2026-06-08T08:50:39.006796+00:00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2026-06-08T08:50:39.007018+00:00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2026-06-08T08:50:39.007316+00:00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2026-06-08T08:50:39.038370+00:00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2026-06-08T08:50:39.038534+00:00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2026-06-08T08:50:39.038675+00:00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2026-06-08T08:50:39.038813+00:00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2026-06-08T08:50:39.038976+00:00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2026-06-08T08:50:39.039147+00:00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2026-06-08T08:50:39.039297+00:00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2026-06-08T08:50:39.039457+00:00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2026-06-08T08:50:39.039595+00:00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2026-06-08T08:50:39.039731+00:00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2026-06-08T08:50:39.039865+00:00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2026-06-08T08:50:39.040083+00:00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2026-06-08T08:50:38Z</dcterms:created>
  <dcterms:modified xmlns:dcterms="http://purl.org/dc/terms/" xmlns:xsi="http://www.w3.org/2001/XMLSchema-instance" xsi:type="dcterms:W3CDTF">2026-06-08T08:50:39Z</dcterms:modified>
</cp:coreProperties>
</file>