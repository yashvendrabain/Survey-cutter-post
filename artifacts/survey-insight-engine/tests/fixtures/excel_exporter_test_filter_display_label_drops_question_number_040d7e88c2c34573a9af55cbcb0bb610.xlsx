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Questions'!$C$24</definedName>
    <definedName name="All_Questions_Q_NUM_EXPORT_F_V">'All Questions'!$E$24</definedName>
    <definedName name="All_Questions_Q_NUM_EXPORT_F_resolved_column">'All Questions'!$F$24</definedName>
    <definedName name="All_Questions_Q_NUM_EXPORT_F_wrapped">'All Questions'!$G$24</definedName>
    <definedName name="All_Questions_Q_NUM_EXPORT_F_passes_per_q_filter_data">'_RawData'!$T$2:$T$11</definedName>
    <definedName name="All_Questions_Q_NUM_EXPORT_CT">'All Questions'!$C$25</definedName>
    <definedName name="All_Questions_Q_GRID_EXPORT_F_Q">'All Questions'!$C$36</definedName>
    <definedName name="All_Questions_Q_GRID_EXPORT_F_V">'All Questions'!$E$36</definedName>
    <definedName name="All_Questions_Q_GRID_EXPORT_F_resolved_column">'All Questions'!$F$36</definedName>
    <definedName name="All_Questions_Q_GRID_EXPORT_F_wrapped">'All Questions'!$G$36</definedName>
    <definedName name="All_Questions_Q_GRID_EXPORT_F_passes_per_q_filter_data">'_RawData'!$U$2:$U$11</definedName>
    <definedName name="All_Questions_Q_GRID_EXPORT_CT">'All Questions'!$C$37</definedName>
    <definedName name="All_Questions_Q_VERY_LONG_SINGLE_SELECT_EXPORT_NAME_F_Q">'All Questions'!$C$46</definedName>
    <definedName name="All_Questions_Q_VERY_LONG_SINGLE_SELECT_EXPORT_NAME_F_V">'All Questions'!$E$46</definedName>
    <definedName name="All_Questions_Q_VERY_LONG_SINGLE_SELECT_EXPORT_NAME_F_resolved_column">'All Questions'!$F$46</definedName>
    <definedName name="All_Questions_Q_VERY_LONG_SINGLE_SELECT_EXPORT_NAME_F_wrapped">'All Questions'!$G$46</definedName>
    <definedName name="All_Questions_Q_VERY_LONG_SINGLE_SELECT_EXPORT_NAME_F_passes_per_q_filter_data">'_RawData'!$V$2:$V$11</definedName>
    <definedName name="All_Questions_Q_VERY_LONG_SINGLE_SELECT_EXPORT_NAME_CT">'All Questions'!$C$47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B18" i="8"/>
  <c r="C18" i="8"/>
  <c r="D18" i="8"/>
  <c r="G18" i="8"/>
  <c r="H18" i="8"/>
  <c r="I18" i="8"/>
  <c r="J18" i="8"/>
  <c r="K18" i="8"/>
  <c r="L18" i="8"/>
  <c r="M18" i="8"/>
  <c r="N18" i="8"/>
  <c r="O18" i="8"/>
  <c r="B19" i="8"/>
  <c r="C19" i="8"/>
  <c r="D19" i="8"/>
  <c r="G19" i="8"/>
  <c r="H19" i="8"/>
  <c r="I19" i="8"/>
  <c r="J19" i="8"/>
  <c r="K19" i="8"/>
  <c r="L19" i="8"/>
  <c r="M19" i="8"/>
  <c r="N19" i="8"/>
  <c r="O19" i="8"/>
  <c r="F24" i="8"/>
  <c r="G24" i="8"/>
  <c r="B28" i="8"/>
  <c r="D28" i="8"/>
  <c r="B29" i="8"/>
  <c r="D29" i="8"/>
  <c r="B30" i="8"/>
  <c r="D30" i="8"/>
  <c r="D31" i="8"/>
  <c r="F36" i="8"/>
  <c r="G36" i="8"/>
  <c r="G39" i="8"/>
  <c r="H39" i="8"/>
  <c r="I39" i="8"/>
  <c r="J39" i="8"/>
  <c r="K39" i="8"/>
  <c r="L39" i="8"/>
  <c r="M39" i="8"/>
  <c r="N39" i="8"/>
  <c r="B40" i="8"/>
  <c r="C40" i="8"/>
  <c r="D40" i="8"/>
  <c r="G40" i="8"/>
  <c r="H40" i="8"/>
  <c r="I40" i="8"/>
  <c r="J40" i="8"/>
  <c r="K40" i="8"/>
  <c r="L40" i="8"/>
  <c r="M40" i="8"/>
  <c r="N40" i="8"/>
  <c r="O40" i="8"/>
  <c r="B41" i="8"/>
  <c r="C41" i="8"/>
  <c r="D41" i="8"/>
  <c r="G41" i="8"/>
  <c r="H41" i="8"/>
  <c r="I41" i="8"/>
  <c r="J41" i="8"/>
  <c r="K41" i="8"/>
  <c r="L41" i="8"/>
  <c r="M41" i="8"/>
  <c r="N41" i="8"/>
  <c r="O41" i="8"/>
  <c r="F46" i="8"/>
  <c r="G46" i="8"/>
  <c r="G49" i="8"/>
  <c r="H49" i="8"/>
  <c r="I49" i="8"/>
  <c r="J49" i="8"/>
  <c r="K49" i="8"/>
  <c r="L49" i="8"/>
  <c r="M49" i="8"/>
  <c r="N49" i="8"/>
  <c r="B50" i="8"/>
  <c r="C50" i="8"/>
  <c r="D50" i="8"/>
  <c r="G50" i="8"/>
  <c r="H50" i="8"/>
  <c r="I50" i="8"/>
  <c r="J50" i="8"/>
  <c r="K50" i="8"/>
  <c r="L50" i="8"/>
  <c r="M50" i="8"/>
  <c r="N50" i="8"/>
  <c r="O50" i="8"/>
  <c r="B51" i="8"/>
  <c r="C51" i="8"/>
  <c r="D51" i="8"/>
  <c r="G51" i="8"/>
  <c r="H51" i="8"/>
  <c r="I51" i="8"/>
  <c r="J51" i="8"/>
  <c r="K51" i="8"/>
  <c r="L51" i="8"/>
  <c r="M51" i="8"/>
  <c r="N51" i="8"/>
  <c r="O5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Q14 - In which country are you based?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  <comment ref="A13" authorId="0" shapeId="0">
      <text>
        <t>Q14 - In which country are you based?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  <comment ref="A13" authorId="0" shapeId="0">
      <text>
        <t>Multi select export question</t>
      </text>
    </comment>
    <comment ref="A23" authorId="0" shapeId="0">
      <text>
        <t>Numeric export question</t>
      </text>
    </comment>
    <comment ref="A35" authorId="0" shapeId="0">
      <text>
        <t>Grid export question</t>
      </text>
    </comment>
    <comment ref="A4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7_1" displayName="T_All_Questions_27_1" ref="A27:D31" headerRowCount="1">
  <autoFilter ref="A27:D3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In Which Country Are You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In Which Country Are You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9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Q14 - In which country are you based?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In Which Country Are You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XLOOKUP(Demographics_Q_SS_EXPORT_F_Q,All_Questions,All_Questions_Data_Names,"respondent_id_data")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IFERROR(INDEX(INDIRECT(XLOOKUP(Demographics_Q_SS_EXPORT_CT,All_Questions,All_Questions_Options_Names,"None_options")),2),"")</f>
        <v/>
      </c>
      <c r="H17" t="str">
        <f>IFERROR(INDEX(INDIRECT(XLOOKUP(Demographics_Q_SS_EXPORT_CT,All_Questions,All_Questions_Options_Names,"None_options")),3),"")</f>
        <v/>
      </c>
      <c r="I17" t="str">
        <f>IFERROR(INDEX(INDIRECT(XLOOKUP(Demographics_Q_SS_EXPORT_CT,All_Questions,All_Questions_Options_Names,"None_options")),4),"")</f>
        <v/>
      </c>
      <c r="J17" t="str">
        <f>IFERROR(INDEX(INDIRECT(XLOOKUP(Demographics_Q_SS_EXPORT_CT,All_Questions,All_Questions_Options_Names,"None_options")),5),"")</f>
        <v/>
      </c>
      <c r="K17" t="str">
        <f>IFERROR(INDEX(INDIRECT(XLOOKUP(Demographics_Q_SS_EXPORT_CT,All_Questions,All_Questions_Options_Names,"None_options")),6),"")</f>
        <v/>
      </c>
      <c r="L17" t="str">
        <f>IFERROR(INDEX(INDIRECT(XLOOKUP(Demographics_Q_SS_EXPORT_CT,All_Questions,All_Questions_Options_Names,"None_options")),7),"")</f>
        <v/>
      </c>
      <c r="M17" t="str">
        <f>IFERROR(INDEX(INDIRECT(XLOOKUP(Demographics_Q_SS_EXPORT_CT,All_Questions,All_Questions_Options_Names,"None_options")),8),"")</f>
        <v/>
      </c>
      <c r="N17" t="str">
        <f>IFERROR(INDEX(INDIRECT(XLOOKUP(Demographics_Q_SS_EXPORT_CT,All_Questions,All_Questions_Options_Names,"None_options")),9),"")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t="inlineStr">
        <is>
          <t>Yes</t>
        </is>
      </c>
      <c r="G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No</t>
        </is>
      </c>
      <c r="G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=INDIRECT(XLOOKUP(Demographics_Q_SS_EXPORT_F_Q,All_Questions,All_Questions_Options_Names,"None_options"))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XLOOKUP(All_Questions_Q_MS_EXPORT_F_Q,All_Questions,All_Questions_Data_Names,"respondent_id_data")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IFERROR(INDEX(INDIRECT(XLOOKUP(All_Questions_Q_MS_EXPORT_CT,All_Questions,All_Questions_Options_Names,"None_options")),2),"")</f>
        <v/>
      </c>
      <c r="H17" t="str">
        <f>IFERROR(INDEX(INDIRECT(XLOOKUP(All_Questions_Q_MS_EXPORT_CT,All_Questions,All_Questions_Options_Names,"None_options")),3),"")</f>
        <v/>
      </c>
      <c r="I17" t="str">
        <f>IFERROR(INDEX(INDIRECT(XLOOKUP(All_Questions_Q_MS_EXPORT_CT,All_Questions,All_Questions_Options_Names,"None_options")),4),"")</f>
        <v/>
      </c>
      <c r="J17" t="str">
        <f>IFERROR(INDEX(INDIRECT(XLOOKUP(All_Questions_Q_MS_EXPORT_CT,All_Questions,All_Questions_Options_Names,"None_options")),5),"")</f>
        <v/>
      </c>
      <c r="K17" t="str">
        <f>IFERROR(INDEX(INDIRECT(XLOOKUP(All_Questions_Q_MS_EXPORT_CT,All_Questions,All_Questions_Options_Names,"None_options")),6),"")</f>
        <v/>
      </c>
      <c r="L17" t="str">
        <f>IFERROR(INDEX(INDIRECT(XLOOKUP(All_Questions_Q_MS_EXPORT_CT,All_Questions,All_Questions_Options_Names,"None_options")),7),"")</f>
        <v/>
      </c>
      <c r="M17" t="str">
        <f>IFERROR(INDEX(INDIRECT(XLOOKUP(All_Questions_Q_MS_EXPORT_CT,All_Questions,All_Questions_Options_Names,"None_options")),8),"")</f>
        <v/>
      </c>
      <c r="N17" t="str">
        <f>IFERROR(INDEX(INDIRECT(XLOOKUP(All_Questions_Q_MS_EXPORT_CT,All_Questions,All_Questions_Options_Names,"None_options")),9),"")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t="inlineStr">
        <is>
          <t>First</t>
        </is>
      </c>
      <c r="G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8">
        <f>SUM(G18:N18)</f>
        <v>0</v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Second</t>
        </is>
      </c>
      <c r="G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7</v>
      </c>
      <c r="C20" s="15" t="n"/>
      <c r="D20" s="15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Q_NUM_EXPORT - Numeric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XLOOKUP(All_Questions_Q_NUM_EXPORT_F_Q,All_Questions,All_Questions_Data_Names,"respondent_id_data")</f>
        <v>respondent_id_data</v>
      </c>
      <c r="G24" t="str">
        <f>"|" &amp; SUBSTITUTE(All_Questions_Q_NUM_EXPORT_F_V,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Metric</t>
        </is>
      </c>
      <c r="B27" s="4" t="inlineStr">
        <is>
          <t>Value</t>
        </is>
      </c>
      <c r="C27" s="4" t="inlineStr">
        <is>
          <t>Note</t>
        </is>
      </c>
      <c r="D27" s="4" t="inlineStr">
        <is>
          <t>Denominator</t>
        </is>
      </c>
    </row>
    <row r="28">
      <c r="A28" t="inlineStr">
        <is>
          <t>Mean</t>
        </is>
      </c>
      <c r="B28">
        <f>IFERROR(AVERAGEIFS(Q_NUM_EXPORT_data,passes_workbook_filters_data,1,passes_workbook_custom_filters_data,1,All_Questions_passes_local_filters_data,1,All_Questions_Q_NUM_EXPORT_F_passes_per_q_filter_data,1),0)</f>
        <v>5.5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Min</t>
        </is>
      </c>
      <c r="B29">
        <f>IFERROR(MINIFS(Q_NUM_EXPORT_data,passes_workbook_filters_data,1,passes_workbook_custom_filters_data,1,All_Questions_passes_local_filters_data,1,All_Questions_Q_NUM_EXPORT_F_passes_per_q_filter_data,1),0)</f>
        <v>1.0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Max</t>
        </is>
      </c>
      <c r="B30">
        <f>IFERROR(MAXIFS(Q_NUM_EXPORT_data,passes_workbook_filters_data,1,passes_workbook_custom_filters_data,1,All_Questions_passes_local_filters_data,1,All_Questions_Q_NUM_EXPORT_F_passes_per_q_filter_data,1),0)</f>
        <v>10.0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Std</t>
        </is>
      </c>
      <c r="B31" t="n">
        <v>2.9</v>
      </c>
      <c r="C31" t="inlineStr">
        <is>
          <t>static baseline</t>
        </is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s="10" t="inlineStr">
        <is>
          <t>Median not available in filtered view - see static baseline in audit log.</t>
        </is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Q_GRID_EXPORT - Grid Export Question</t>
        </is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XLOOKUP(All_Questions_Q_GRID_EXPORT_F_Q,All_Questions,All_Questions_Data_Names,"respondent_id_data")</f>
        <v>respondent_id_data</v>
      </c>
      <c r="G36" t="str">
        <f>"|" &amp; SUBSTITUTE(All_Questions_Q_GRID_EXPORT_F_V,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5" t="inlineStr">
        <is>
          <t>Option \ Cross-tab</t>
        </is>
      </c>
      <c r="G39" t="str">
        <f>IFERROR(INDEX(INDIRECT(XLOOKUP(All_Questions_Q_GRID_EXPORT_CT,All_Questions,All_Questions_Options_Names,"None_options")),2),"")</f>
        <v/>
      </c>
      <c r="H39" t="str">
        <f>IFERROR(INDEX(INDIRECT(XLOOKUP(All_Questions_Q_GRID_EXPORT_CT,All_Questions,All_Questions_Options_Names,"None_options")),3),"")</f>
        <v/>
      </c>
      <c r="I39" t="str">
        <f>IFERROR(INDEX(INDIRECT(XLOOKUP(All_Questions_Q_GRID_EXPORT_CT,All_Questions,All_Questions_Options_Names,"None_options")),4),"")</f>
        <v/>
      </c>
      <c r="J39" t="str">
        <f>IFERROR(INDEX(INDIRECT(XLOOKUP(All_Questions_Q_GRID_EXPORT_CT,All_Questions,All_Questions_Options_Names,"None_options")),5),"")</f>
        <v/>
      </c>
      <c r="K39" t="str">
        <f>IFERROR(INDEX(INDIRECT(XLOOKUP(All_Questions_Q_GRID_EXPORT_CT,All_Questions,All_Questions_Options_Names,"None_options")),6),"")</f>
        <v/>
      </c>
      <c r="L39" t="str">
        <f>IFERROR(INDEX(INDIRECT(XLOOKUP(All_Questions_Q_GRID_EXPORT_CT,All_Questions,All_Questions_Options_Names,"None_options")),7),"")</f>
        <v/>
      </c>
      <c r="M39" t="str">
        <f>IFERROR(INDEX(INDIRECT(XLOOKUP(All_Questions_Q_GRID_EXPORT_CT,All_Questions,All_Questions_Options_Names,"None_options")),8),"")</f>
        <v/>
      </c>
      <c r="N39" t="str">
        <f>IFERROR(INDEX(INDIRECT(XLOOKUP(All_Questions_Q_GRID_EXPORT_CT,All_Questions,All_Questions_Options_Names,"None_options")),9),"")</f>
        <v/>
      </c>
      <c r="O39" s="5" t="inlineStr">
        <is>
          <t>TOTAL</t>
        </is>
      </c>
    </row>
    <row r="40">
      <c r="A40" t="inlineStr">
        <is>
          <t>Grid first row</t>
        </is>
      </c>
      <c r="B40">
        <f>COUNTIFS(Q_GRID_EXPORTr1_data,"Selected",passes_workbook_filters_data,1,passes_workbook_custom_filters_data,1,All_Questions_passes_local_filters_data,1,All_Questions_Q_GRID_EXPORT_F_passes_per_q_filter_data,1)</f>
        <v>10</v>
      </c>
      <c r="C40" s="7">
        <f>IFERROR(B40/SUBTOTAL(9,B40:B41),0)</f>
        <v>0.5</v>
      </c>
      <c r="D40" s="14">
        <f>SUBTOTAL(9,B40:B41)</f>
        <v>20</v>
      </c>
      <c r="F40" t="inlineStr">
        <is>
          <t>Grid first row</t>
        </is>
      </c>
      <c r="G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0">
        <f>SUM(G40:N40)</f>
        <v>0</v>
      </c>
    </row>
    <row r="41">
      <c r="A41" t="inlineStr">
        <is>
          <t>Grid second row</t>
        </is>
      </c>
      <c r="B41">
        <f>COUNTIFS(Q_GRID_EXPORTr2_data,"Selected",passes_workbook_filters_data,1,passes_workbook_custom_filters_data,1,All_Questions_passes_local_filters_data,1,All_Questions_Q_GRID_EXPORT_F_passes_per_q_filter_data,1)</f>
        <v>10</v>
      </c>
      <c r="C41" s="7">
        <f>IFERROR(B41/SUBTOTAL(9,B40:B41),0)</f>
        <v>0.5</v>
      </c>
      <c r="D41" s="14">
        <f>SUBTOTAL(9,B40:B41)</f>
        <v>20</v>
      </c>
      <c r="F41" t="inlineStr">
        <is>
          <t>Grid second row</t>
        </is>
      </c>
      <c r="G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1">
        <f>SUM(G41:N41)</f>
        <v>0</v>
      </c>
    </row>
    <row r="42">
      <c r="A42" s="15" t="inlineStr">
        <is>
          <t>Total respondents</t>
        </is>
      </c>
      <c r="B42" s="15" t="n">
        <v>20</v>
      </c>
      <c r="C42" s="15" t="n"/>
      <c r="D42" s="15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Q_VERY_LONG_SINGLE_SELECT_EXPORT_NAME - Long Sheet Name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XLOOKUP(All_Questions_Q_VERY_LONG_SINGLE_SELECT_EXPORT_NAME_F_Q,All_Questions,All_Questions_Data_Names,"respondent_id_data")</f>
        <v>respondent_id_data</v>
      </c>
      <c r="G46" t="str">
        <f>"|" &amp; SUBSTITUTE(All_Questions_Q_VERY_LONG_SINGLE_SELECT_EXPORT_NAME_F_V,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5" t="inlineStr">
        <is>
          <t>Option \ Cross-tab</t>
        </is>
      </c>
      <c r="G49" t="str">
        <f>IFERROR(INDEX(INDIRECT(XLOOKUP(All_Questions_Q_VERY_LONG_SINGLE_SELECT_EXPORT_NAME_CT,All_Questions,All_Questions_Options_Names,"None_options")),2),"")</f>
        <v/>
      </c>
      <c r="H49" t="str">
        <f>IFERROR(INDEX(INDIRECT(XLOOKUP(All_Questions_Q_VERY_LONG_SINGLE_SELECT_EXPORT_NAME_CT,All_Questions,All_Questions_Options_Names,"None_options")),3),"")</f>
        <v/>
      </c>
      <c r="I49" t="str">
        <f>IFERROR(INDEX(INDIRECT(XLOOKUP(All_Questions_Q_VERY_LONG_SINGLE_SELECT_EXPORT_NAME_CT,All_Questions,All_Questions_Options_Names,"None_options")),4),"")</f>
        <v/>
      </c>
      <c r="J49" t="str">
        <f>IFERROR(INDEX(INDIRECT(XLOOKUP(All_Questions_Q_VERY_LONG_SINGLE_SELECT_EXPORT_NAME_CT,All_Questions,All_Questions_Options_Names,"None_options")),5),"")</f>
        <v/>
      </c>
      <c r="K49" t="str">
        <f>IFERROR(INDEX(INDIRECT(XLOOKUP(All_Questions_Q_VERY_LONG_SINGLE_SELECT_EXPORT_NAME_CT,All_Questions,All_Questions_Options_Names,"None_options")),6),"")</f>
        <v/>
      </c>
      <c r="L49" t="str">
        <f>IFERROR(INDEX(INDIRECT(XLOOKUP(All_Questions_Q_VERY_LONG_SINGLE_SELECT_EXPORT_NAME_CT,All_Questions,All_Questions_Options_Names,"None_options")),7),"")</f>
        <v/>
      </c>
      <c r="M49" t="str">
        <f>IFERROR(INDEX(INDIRECT(XLOOKUP(All_Questions_Q_VERY_LONG_SINGLE_SELECT_EXPORT_NAME_CT,All_Questions,All_Questions_Options_Names,"None_options")),8),"")</f>
        <v/>
      </c>
      <c r="N49" t="str">
        <f>IFERROR(INDEX(INDIRECT(XLOOKUP(All_Questions_Q_VERY_LONG_SINGLE_SELECT_EXPORT_NAME_CT,All_Questions,All_Questions_Options_Names,"None_options")),9),"")</f>
        <v/>
      </c>
      <c r="O49" s="5" t="inlineStr">
        <is>
          <t>TOTAL</t>
        </is>
      </c>
    </row>
    <row r="50">
      <c r="A50" t="inlineStr">
        <is>
          <t>A</t>
        </is>
      </c>
      <c r="B5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0" s="7">
        <f>IFERROR(B50/SUBTOTAL(9,B50:B51),0)</f>
        <v>0.7</v>
      </c>
      <c r="D50" s="14">
        <f>SUBTOTAL(9,B50:B51)</f>
        <v>10</v>
      </c>
      <c r="F50" t="inlineStr">
        <is>
          <t>A</t>
        </is>
      </c>
      <c r="G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0">
        <f>SUM(G50:N50)</f>
        <v>0</v>
      </c>
    </row>
    <row r="51">
      <c r="A51" t="inlineStr">
        <is>
          <t>B</t>
        </is>
      </c>
      <c r="B5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1" s="7">
        <f>IFERROR(B51/SUBTOTAL(9,B50:B51),0)</f>
        <v>0.3</v>
      </c>
      <c r="D51" s="14">
        <f>SUBTOTAL(9,B50:B51)</f>
        <v>10</v>
      </c>
      <c r="F51" t="inlineStr">
        <is>
          <t>B</t>
        </is>
      </c>
      <c r="G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1">
        <f>SUM(G51:N51)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N4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N5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=INDIRECT(XLOOKUP(All_Questions_Q_MS_EXPORT_F_Q,All_Questions,All_Questions_Options_Names,"None_options"))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=INDIRECT(XLOOKUP(All_Questions_Q_NUM_EXPORT_F_Q,All_Questions,All_Questions_Options_Names,"None_options"))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=INDIRECT(XLOOKUP(All_Questions_Q_GRID_EXPORT_F_Q,All_Questions,All_Questions_Options_Names,"None_options"))</formula1>
    </dataValidation>
    <dataValidation sqref="C37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2026-05-15T21:59:48Z</dcterms:created>
  <dcterms:modified xmlns:dcterms="http://purl.org/dc/terms/" xmlns:xsi="http://www.w3.org/2001/XMLSchema-instance" xsi:type="dcterms:W3CDTF">2026-05-15T21:59:48Z</dcterms:modified>
</cp:coreProperties>
</file>