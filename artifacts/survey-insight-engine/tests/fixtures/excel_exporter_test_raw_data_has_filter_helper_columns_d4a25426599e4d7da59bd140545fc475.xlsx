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Questions'!$C$23</definedName>
    <definedName name="All_Questions_Q_NUM_EXPORT_F_V">'All Questions'!$E$23</definedName>
    <definedName name="All_Questions_Q_NUM_EXPORT_F_resolved_column">'All Questions'!$F$23</definedName>
    <definedName name="All_Questions_Q_NUM_EXPORT_F_wrapped">'All Questions'!$G$23</definedName>
    <definedName name="All_Questions_Q_NUM_EXPORT_F_passes_per_q_filter_data">'_RawData'!$T$2:$T$11</definedName>
    <definedName name="All_Questions_Q_NUM_EXPORT_CT">'All Questions'!$C$24</definedName>
    <definedName name="All_Questions_Q_GRID_EXPORT_F_Q">'All Questions'!$C$35</definedName>
    <definedName name="All_Questions_Q_GRID_EXPORT_F_V">'All Questions'!$E$35</definedName>
    <definedName name="All_Questions_Q_GRID_EXPORT_F_resolved_column">'All Questions'!$F$35</definedName>
    <definedName name="All_Questions_Q_GRID_EXPORT_F_wrapped">'All Questions'!$G$35</definedName>
    <definedName name="All_Questions_Q_GRID_EXPORT_F_passes_per_q_filter_data">'_RawData'!$U$2:$U$11</definedName>
    <definedName name="All_Questions_Q_GRID_EXPORT_CT">'All Questions'!$C$36</definedName>
    <definedName name="All_Questions_Q_VERY_LONG_SINGLE_SELECT_EXPORT_NAME_F_Q">'All Questions'!$C$44</definedName>
    <definedName name="All_Questions_Q_VERY_LONG_SINGLE_SELECT_EXPORT_NAME_F_V">'All Questions'!$E$44</definedName>
    <definedName name="All_Questions_Q_VERY_LONG_SINGLE_SELECT_EXPORT_NAME_F_resolved_column">'All Questions'!$F$44</definedName>
    <definedName name="All_Questions_Q_VERY_LONG_SINGLE_SELECT_EXPORT_NAME_F_wrapped">'All Questions'!$G$44</definedName>
    <definedName name="All_Questions_Q_VERY_LONG_SINGLE_SELECT_EXPORT_NAME_F_passes_per_q_filter_data">'_RawData'!$V$2:$V$11</definedName>
    <definedName name="All_Questions_Q_VERY_LONG_SINGLE_SELECT_EXPORT_NAME_CT">'All Questions'!$C$45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3" i="8"/>
  <c r="G23" i="8"/>
  <c r="B27" i="8"/>
  <c r="D27" i="8"/>
  <c r="B28" i="8"/>
  <c r="D28" i="8"/>
  <c r="B29" i="8"/>
  <c r="D29" i="8"/>
  <c r="D30" i="8"/>
  <c r="F35" i="8"/>
  <c r="G35" i="8"/>
  <c r="G38" i="8"/>
  <c r="H38" i="8"/>
  <c r="I38" i="8"/>
  <c r="J38" i="8"/>
  <c r="K38" i="8"/>
  <c r="L38" i="8"/>
  <c r="M38" i="8"/>
  <c r="N38" i="8"/>
  <c r="B39" i="8"/>
  <c r="C39" i="8"/>
  <c r="D39" i="8"/>
  <c r="G39" i="8"/>
  <c r="H39" i="8"/>
  <c r="I39" i="8"/>
  <c r="J39" i="8"/>
  <c r="K39" i="8"/>
  <c r="L39" i="8"/>
  <c r="M39" i="8"/>
  <c r="N39" i="8"/>
  <c r="O39" i="8"/>
  <c r="B40" i="8"/>
  <c r="C40" i="8"/>
  <c r="D40" i="8"/>
  <c r="G40" i="8"/>
  <c r="H40" i="8"/>
  <c r="I40" i="8"/>
  <c r="J40" i="8"/>
  <c r="K40" i="8"/>
  <c r="L40" i="8"/>
  <c r="M40" i="8"/>
  <c r="N40" i="8"/>
  <c r="O40" i="8"/>
  <c r="F44" i="8"/>
  <c r="G44" i="8"/>
  <c r="G47" i="8"/>
  <c r="H47" i="8"/>
  <c r="I47" i="8"/>
  <c r="J47" i="8"/>
  <c r="K47" i="8"/>
  <c r="L47" i="8"/>
  <c r="M47" i="8"/>
  <c r="N47" i="8"/>
  <c r="B48" i="8"/>
  <c r="C48" i="8"/>
  <c r="D48" i="8"/>
  <c r="G48" i="8"/>
  <c r="H48" i="8"/>
  <c r="I48" i="8"/>
  <c r="J48" i="8"/>
  <c r="K48" i="8"/>
  <c r="L48" i="8"/>
  <c r="M48" i="8"/>
  <c r="N48" i="8"/>
  <c r="O48" i="8"/>
  <c r="B49" i="8"/>
  <c r="C49" i="8"/>
  <c r="D49" i="8"/>
  <c r="G49" i="8"/>
  <c r="H49" i="8"/>
  <c r="I49" i="8"/>
  <c r="J49" i="8"/>
  <c r="K49" i="8"/>
  <c r="L49" i="8"/>
  <c r="M49" i="8"/>
  <c r="N49" i="8"/>
  <c r="O49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2" authorId="0" shapeId="0">
      <text>
        <t>Numeric export question</t>
      </text>
    </comment>
    <comment ref="A34" authorId="0" shapeId="0">
      <text>
        <t>Grid export question</t>
      </text>
    </comment>
    <comment ref="A43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19" headerRowCount="1">
  <autoFilter ref="A17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19" headerRowCount="1">
  <autoFilter ref="A17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6_1" displayName="T_All_Questions_26_1" ref="A26:D30" headerRowCount="1">
  <autoFilter ref="A26:D3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8_1" displayName="T_All_Questions_38_1" ref="A38:D40" headerRowCount="1">
  <autoFilter ref="A38:D4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7_1" displayName="T_All_Questions_47_1" ref="A47:D49" headerRowCount="1">
  <autoFilter ref="A47:D4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IF(OR(F_Custom1_Q="(None)",F_Custom1_Q="",ISBLANK(F_Custom1_Q),F_Custom1_V="(All)",F_Custom1_V="",ISBLANK(F_Custom1_V)),1,IFERROR(IF(ISNUMBER(SEARCH("|"&amp;INDEX($A2:$H2,1,MATCH(F_Custom1_Q,$A$1:$H$1,0))&amp;"|",F_Custom1_wrapped)),1,0),0))</f>
        <v>1</v>
      </c>
      <c r="L2">
        <f>IF(OR(F_Custom2_Q="(None)",F_Custom2_Q="",ISBLANK(F_Custom2_Q),F_Custom2_V="(All)",F_Custom2_V="",ISBLANK(F_Custom2_V)),1,IFERROR(IF(ISNUMBER(SEARCH("|"&amp;INDEX($A2:$H2,1,MATCH(F_Custom2_Q,$A$1:$H$1,0))&amp;"|",F_Custom2_wrapped)),1,0),0))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2:$H2,1,MATCH(Demographics_Q_SS_EXPORT_F_Q,$A$1:$H$1,0)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H2,1,MATCH(All_Questions_Q_MS_EXPORT_F_Q,$A$1:$H$1,0)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H2,1,MATCH(All_Questions_Q_NUM_EXPORT_F_Q,$A$1:$H$1,0)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H2,1,MATCH(All_Questions_Q_GRID_EXPORT_F_Q,$A$1:$H$1,0)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H2,1,MATCH(All_Questions_Q_VERY_LONG_SINGLE_SELECT_EXPORT_NAME_F_Q,$A$1:$H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IF(OR(F_Custom1_Q="(None)",F_Custom1_Q="",ISBLANK(F_Custom1_Q),F_Custom1_V="(All)",F_Custom1_V="",ISBLANK(F_Custom1_V)),1,IFERROR(IF(ISNUMBER(SEARCH("|"&amp;INDEX($A3:$H3,1,MATCH(F_Custom1_Q,$A$1:$H$1,0))&amp;"|",F_Custom1_wrapped)),1,0),0))</f>
        <v>1</v>
      </c>
      <c r="L3">
        <f>IF(OR(F_Custom2_Q="(None)",F_Custom2_Q="",ISBLANK(F_Custom2_Q),F_Custom2_V="(All)",F_Custom2_V="",ISBLANK(F_Custom2_V)),1,IFERROR(IF(ISNUMBER(SEARCH("|"&amp;INDEX($A3:$H3,1,MATCH(F_Custom2_Q,$A$1:$H$1,0))&amp;"|",F_Custom2_wrapped)),1,0),0))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3:$H3,1,MATCH(Demographics_Q_SS_EXPORT_F_Q,$A$1:$H$1,0)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H3,1,MATCH(All_Questions_Q_MS_EXPORT_F_Q,$A$1:$H$1,0)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H3,1,MATCH(All_Questions_Q_NUM_EXPORT_F_Q,$A$1:$H$1,0)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H3,1,MATCH(All_Questions_Q_GRID_EXPORT_F_Q,$A$1:$H$1,0)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H3,1,MATCH(All_Questions_Q_VERY_LONG_SINGLE_SELECT_EXPORT_NAME_F_Q,$A$1:$H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IF(OR(F_Custom1_Q="(None)",F_Custom1_Q="",ISBLANK(F_Custom1_Q),F_Custom1_V="(All)",F_Custom1_V="",ISBLANK(F_Custom1_V)),1,IFERROR(IF(ISNUMBER(SEARCH("|"&amp;INDEX($A4:$H4,1,MATCH(F_Custom1_Q,$A$1:$H$1,0))&amp;"|",F_Custom1_wrapped)),1,0),0))</f>
        <v>1</v>
      </c>
      <c r="L4">
        <f>IF(OR(F_Custom2_Q="(None)",F_Custom2_Q="",ISBLANK(F_Custom2_Q),F_Custom2_V="(All)",F_Custom2_V="",ISBLANK(F_Custom2_V)),1,IFERROR(IF(ISNUMBER(SEARCH("|"&amp;INDEX($A4:$H4,1,MATCH(F_Custom2_Q,$A$1:$H$1,0))&amp;"|",F_Custom2_wrapped)),1,0),0))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4:$H4,1,MATCH(Demographics_Q_SS_EXPORT_F_Q,$A$1:$H$1,0)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H4,1,MATCH(All_Questions_Q_MS_EXPORT_F_Q,$A$1:$H$1,0)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H4,1,MATCH(All_Questions_Q_NUM_EXPORT_F_Q,$A$1:$H$1,0)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H4,1,MATCH(All_Questions_Q_GRID_EXPORT_F_Q,$A$1:$H$1,0)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H4,1,MATCH(All_Questions_Q_VERY_LONG_SINGLE_SELECT_EXPORT_NAME_F_Q,$A$1:$H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IF(OR(F_Custom1_Q="(None)",F_Custom1_Q="",ISBLANK(F_Custom1_Q),F_Custom1_V="(All)",F_Custom1_V="",ISBLANK(F_Custom1_V)),1,IFERROR(IF(ISNUMBER(SEARCH("|"&amp;INDEX($A5:$H5,1,MATCH(F_Custom1_Q,$A$1:$H$1,0))&amp;"|",F_Custom1_wrapped)),1,0),0))</f>
        <v>1</v>
      </c>
      <c r="L5">
        <f>IF(OR(F_Custom2_Q="(None)",F_Custom2_Q="",ISBLANK(F_Custom2_Q),F_Custom2_V="(All)",F_Custom2_V="",ISBLANK(F_Custom2_V)),1,IFERROR(IF(ISNUMBER(SEARCH("|"&amp;INDEX($A5:$H5,1,MATCH(F_Custom2_Q,$A$1:$H$1,0))&amp;"|",F_Custom2_wrapped)),1,0),0))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5:$H5,1,MATCH(Demographics_Q_SS_EXPORT_F_Q,$A$1:$H$1,0)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H5,1,MATCH(All_Questions_Q_MS_EXPORT_F_Q,$A$1:$H$1,0)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H5,1,MATCH(All_Questions_Q_NUM_EXPORT_F_Q,$A$1:$H$1,0)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H5,1,MATCH(All_Questions_Q_GRID_EXPORT_F_Q,$A$1:$H$1,0)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H5,1,MATCH(All_Questions_Q_VERY_LONG_SINGLE_SELECT_EXPORT_NAME_F_Q,$A$1:$H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IF(OR(F_Custom1_Q="(None)",F_Custom1_Q="",ISBLANK(F_Custom1_Q),F_Custom1_V="(All)",F_Custom1_V="",ISBLANK(F_Custom1_V)),1,IFERROR(IF(ISNUMBER(SEARCH("|"&amp;INDEX($A6:$H6,1,MATCH(F_Custom1_Q,$A$1:$H$1,0))&amp;"|",F_Custom1_wrapped)),1,0),0))</f>
        <v>1</v>
      </c>
      <c r="L6">
        <f>IF(OR(F_Custom2_Q="(None)",F_Custom2_Q="",ISBLANK(F_Custom2_Q),F_Custom2_V="(All)",F_Custom2_V="",ISBLANK(F_Custom2_V)),1,IFERROR(IF(ISNUMBER(SEARCH("|"&amp;INDEX($A6:$H6,1,MATCH(F_Custom2_Q,$A$1:$H$1,0))&amp;"|",F_Custom2_wrapped)),1,0),0))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6:$H6,1,MATCH(Demographics_Q_SS_EXPORT_F_Q,$A$1:$H$1,0)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H6,1,MATCH(All_Questions_Q_MS_EXPORT_F_Q,$A$1:$H$1,0)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H6,1,MATCH(All_Questions_Q_NUM_EXPORT_F_Q,$A$1:$H$1,0)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H6,1,MATCH(All_Questions_Q_GRID_EXPORT_F_Q,$A$1:$H$1,0)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H6,1,MATCH(All_Questions_Q_VERY_LONG_SINGLE_SELECT_EXPORT_NAME_F_Q,$A$1:$H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IF(OR(F_Custom1_Q="(None)",F_Custom1_Q="",ISBLANK(F_Custom1_Q),F_Custom1_V="(All)",F_Custom1_V="",ISBLANK(F_Custom1_V)),1,IFERROR(IF(ISNUMBER(SEARCH("|"&amp;INDEX($A7:$H7,1,MATCH(F_Custom1_Q,$A$1:$H$1,0))&amp;"|",F_Custom1_wrapped)),1,0),0))</f>
        <v>1</v>
      </c>
      <c r="L7">
        <f>IF(OR(F_Custom2_Q="(None)",F_Custom2_Q="",ISBLANK(F_Custom2_Q),F_Custom2_V="(All)",F_Custom2_V="",ISBLANK(F_Custom2_V)),1,IFERROR(IF(ISNUMBER(SEARCH("|"&amp;INDEX($A7:$H7,1,MATCH(F_Custom2_Q,$A$1:$H$1,0))&amp;"|",F_Custom2_wrapped)),1,0),0))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7:$H7,1,MATCH(Demographics_Q_SS_EXPORT_F_Q,$A$1:$H$1,0)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H7,1,MATCH(All_Questions_Q_MS_EXPORT_F_Q,$A$1:$H$1,0)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H7,1,MATCH(All_Questions_Q_NUM_EXPORT_F_Q,$A$1:$H$1,0)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H7,1,MATCH(All_Questions_Q_GRID_EXPORT_F_Q,$A$1:$H$1,0)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H7,1,MATCH(All_Questions_Q_VERY_LONG_SINGLE_SELECT_EXPORT_NAME_F_Q,$A$1:$H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IF(OR(F_Custom1_Q="(None)",F_Custom1_Q="",ISBLANK(F_Custom1_Q),F_Custom1_V="(All)",F_Custom1_V="",ISBLANK(F_Custom1_V)),1,IFERROR(IF(ISNUMBER(SEARCH("|"&amp;INDEX($A8:$H8,1,MATCH(F_Custom1_Q,$A$1:$H$1,0))&amp;"|",F_Custom1_wrapped)),1,0),0))</f>
        <v>1</v>
      </c>
      <c r="L8">
        <f>IF(OR(F_Custom2_Q="(None)",F_Custom2_Q="",ISBLANK(F_Custom2_Q),F_Custom2_V="(All)",F_Custom2_V="",ISBLANK(F_Custom2_V)),1,IFERROR(IF(ISNUMBER(SEARCH("|"&amp;INDEX($A8:$H8,1,MATCH(F_Custom2_Q,$A$1:$H$1,0))&amp;"|",F_Custom2_wrapped)),1,0),0))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8:$H8,1,MATCH(Demographics_Q_SS_EXPORT_F_Q,$A$1:$H$1,0)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H8,1,MATCH(All_Questions_Q_MS_EXPORT_F_Q,$A$1:$H$1,0)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H8,1,MATCH(All_Questions_Q_NUM_EXPORT_F_Q,$A$1:$H$1,0)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H8,1,MATCH(All_Questions_Q_GRID_EXPORT_F_Q,$A$1:$H$1,0)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H8,1,MATCH(All_Questions_Q_VERY_LONG_SINGLE_SELECT_EXPORT_NAME_F_Q,$A$1:$H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IF(OR(F_Custom1_Q="(None)",F_Custom1_Q="",ISBLANK(F_Custom1_Q),F_Custom1_V="(All)",F_Custom1_V="",ISBLANK(F_Custom1_V)),1,IFERROR(IF(ISNUMBER(SEARCH("|"&amp;INDEX($A9:$H9,1,MATCH(F_Custom1_Q,$A$1:$H$1,0))&amp;"|",F_Custom1_wrapped)),1,0),0))</f>
        <v>1</v>
      </c>
      <c r="L9">
        <f>IF(OR(F_Custom2_Q="(None)",F_Custom2_Q="",ISBLANK(F_Custom2_Q),F_Custom2_V="(All)",F_Custom2_V="",ISBLANK(F_Custom2_V)),1,IFERROR(IF(ISNUMBER(SEARCH("|"&amp;INDEX($A9:$H9,1,MATCH(F_Custom2_Q,$A$1:$H$1,0))&amp;"|",F_Custom2_wrapped)),1,0),0))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9:$H9,1,MATCH(Demographics_Q_SS_EXPORT_F_Q,$A$1:$H$1,0)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H9,1,MATCH(All_Questions_Q_MS_EXPORT_F_Q,$A$1:$H$1,0)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H9,1,MATCH(All_Questions_Q_NUM_EXPORT_F_Q,$A$1:$H$1,0)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H9,1,MATCH(All_Questions_Q_GRID_EXPORT_F_Q,$A$1:$H$1,0)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H9,1,MATCH(All_Questions_Q_VERY_LONG_SINGLE_SELECT_EXPORT_NAME_F_Q,$A$1:$H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IF(OR(F_Custom1_Q="(None)",F_Custom1_Q="",ISBLANK(F_Custom1_Q),F_Custom1_V="(All)",F_Custom1_V="",ISBLANK(F_Custom1_V)),1,IFERROR(IF(ISNUMBER(SEARCH("|"&amp;INDEX($A10:$H10,1,MATCH(F_Custom1_Q,$A$1:$H$1,0))&amp;"|",F_Custom1_wrapped)),1,0),0))</f>
        <v>1</v>
      </c>
      <c r="L10">
        <f>IF(OR(F_Custom2_Q="(None)",F_Custom2_Q="",ISBLANK(F_Custom2_Q),F_Custom2_V="(All)",F_Custom2_V="",ISBLANK(F_Custom2_V)),1,IFERROR(IF(ISNUMBER(SEARCH("|"&amp;INDEX($A10:$H10,1,MATCH(F_Custom2_Q,$A$1:$H$1,0))&amp;"|",F_Custom2_wrapped)),1,0),0))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10:$H10,1,MATCH(Demographics_Q_SS_EXPORT_F_Q,$A$1:$H$1,0)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H10,1,MATCH(All_Questions_Q_MS_EXPORT_F_Q,$A$1:$H$1,0)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H10,1,MATCH(All_Questions_Q_NUM_EXPORT_F_Q,$A$1:$H$1,0)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H10,1,MATCH(All_Questions_Q_GRID_EXPORT_F_Q,$A$1:$H$1,0)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H10,1,MATCH(All_Questions_Q_VERY_LONG_SINGLE_SELECT_EXPORT_NAME_F_Q,$A$1:$H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IF(OR(F_Custom1_Q="(None)",F_Custom1_Q="",ISBLANK(F_Custom1_Q),F_Custom1_V="(All)",F_Custom1_V="",ISBLANK(F_Custom1_V)),1,IFERROR(IF(ISNUMBER(SEARCH("|"&amp;INDEX($A11:$H11,1,MATCH(F_Custom1_Q,$A$1:$H$1,0))&amp;"|",F_Custom1_wrapped)),1,0),0))</f>
        <v>1</v>
      </c>
      <c r="L11">
        <f>IF(OR(F_Custom2_Q="(None)",F_Custom2_Q="",ISBLANK(F_Custom2_Q),F_Custom2_V="(All)",F_Custom2_V="",ISBLANK(F_Custom2_V)),1,IFERROR(IF(ISNUMBER(SEARCH("|"&amp;INDEX($A11:$H11,1,MATCH(F_Custom2_Q,$A$1:$H$1,0))&amp;"|",F_Custom2_wrapped)),1,0),0))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11:$H11,1,MATCH(Demographics_Q_SS_EXPORT_F_Q,$A$1:$H$1,0)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H11,1,MATCH(All_Questions_Q_MS_EXPORT_F_Q,$A$1:$H$1,0)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H11,1,MATCH(All_Questions_Q_NUM_EXPORT_F_Q,$A$1:$H$1,0)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H11,1,MATCH(All_Questions_Q_GRID_EXPORT_F_Q,$A$1:$H$1,0)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H11,1,MATCH(All_Questions_Q_VERY_LONG_SINGLE_SELECT_EXPORT_NAME_F_Q,$A$1:$H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Q_SS_EXPORT - 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IF(F_Custom1_Q="(None)","respondent_id_data",F_Custom1_Q &amp; "_data")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IF(F_Custom2_Q="(None)","respondent_id_data",F_Custom2_Q &amp; "_data")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=INDIRECT(IF(F_Custom1_Q="(None)","None_options",F_Custom1_Q &amp; "_options"))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IF(Demographics_F_Custom1_Q_resolved="(None)","respondent_id_data",Demographics_F_Custom1_Q_resolved &amp; "_data")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IF(Demographics_F_Custom2_Q_resolved="(None)","respondent_id_data",Demographics_F_Custom2_Q_resolved &amp; "_data")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IF(Demographics_Q_SS_EXPORT_F_Q="(None)","respondent_id_data",Demographics_Q_SS_EXPORT_F_Q &amp; "_data")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IFERROR(INDEX(INDIRECT(Demographics_Q_SS_EXPORT_CT &amp; "_options"),2),"")</f>
        <v/>
      </c>
      <c r="H17" t="str">
        <f>IFERROR(INDEX(INDIRECT(Demographics_Q_SS_EXPORT_CT &amp; "_options"),3),"")</f>
        <v/>
      </c>
      <c r="I17" t="str">
        <f>IFERROR(INDEX(INDIRECT(Demographics_Q_SS_EXPORT_CT &amp; "_options"),4),"")</f>
        <v/>
      </c>
      <c r="J17" t="str">
        <f>IFERROR(INDEX(INDIRECT(Demographics_Q_SS_EXPORT_CT &amp; "_options"),5),"")</f>
        <v/>
      </c>
      <c r="K17" t="str">
        <f>IFERROR(INDEX(INDIRECT(Demographics_Q_SS_EXPORT_CT &amp; "_options"),6),"")</f>
        <v/>
      </c>
      <c r="L17" t="str">
        <f>IFERROR(INDEX(INDIRECT(Demographics_Q_SS_EXPORT_CT &amp; "_options"),7),"")</f>
        <v/>
      </c>
      <c r="M17" t="str">
        <f>IFERROR(INDEX(INDIRECT(Demographics_Q_SS_EXPORT_CT &amp; "_options"),8),"")</f>
        <v/>
      </c>
      <c r="N17" t="str">
        <f>IFERROR(INDEX(INDIRECT(Demographics_Q_SS_EXPORT_CT &amp; "_options"),9),"")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"_data"),N$17)</f>
        <v>0</v>
      </c>
      <c r="O19">
        <f>SUM(G19:N19)</f>
        <v>0</v>
      </c>
    </row>
  </sheetData>
  <mergeCells count="2">
    <mergeCell ref="A1:J1"/>
    <mergeCell ref="A13:J13"/>
  </mergeCells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=INDIRECT(IF(Demographics_F_Custom1_Q_resolved="(None)","None_options",Demographics_F_Custom1_Q_resolved &amp; "_local_options"))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=INDIRECT(IF(Demographics_F_Custom2_Q_resolved="(None)","None_options",Demographics_F_Custom2_Q_resolved &amp; "_local_options"))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=INDIRECT(IF(Demographics_Q_SS_EXPORT_F_Q="(None)","None_options",Demographics_Q_SS_EXPORT_F_Q &amp; "_options"))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IF(All_Questions_F_Custom1_Q_resolved="(None)","respondent_id_data",All_Questions_F_Custom1_Q_resolved &amp; "_data")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IF(All_Questions_F_Custom2_Q_resolved="(None)","respondent_id_data",All_Questions_F_Custom2_Q_resolved &amp; "_data")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IF(All_Questions_Q_MS_EXPORT_F_Q="(None)","respondent_id_data",All_Questions_Q_MS_EXPORT_F_Q &amp; "_data")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IFERROR(INDEX(INDIRECT(All_Questions_Q_MS_EXPORT_CT &amp; "_options"),2),"")</f>
        <v/>
      </c>
      <c r="H17" t="str">
        <f>IFERROR(INDEX(INDIRECT(All_Questions_Q_MS_EXPORT_CT &amp; "_options"),3),"")</f>
        <v/>
      </c>
      <c r="I17" t="str">
        <f>IFERROR(INDEX(INDIRECT(All_Questions_Q_MS_EXPORT_CT &amp; "_options"),4),"")</f>
        <v/>
      </c>
      <c r="J17" t="str">
        <f>IFERROR(INDEX(INDIRECT(All_Questions_Q_MS_EXPORT_CT &amp; "_options"),5),"")</f>
        <v/>
      </c>
      <c r="K17" t="str">
        <f>IFERROR(INDEX(INDIRECT(All_Questions_Q_MS_EXPORT_CT &amp; "_options"),6),"")</f>
        <v/>
      </c>
      <c r="L17" t="str">
        <f>IFERROR(INDEX(INDIRECT(All_Questions_Q_MS_EXPORT_CT &amp; "_options"),7),"")</f>
        <v/>
      </c>
      <c r="M17" t="str">
        <f>IFERROR(INDEX(INDIRECT(All_Questions_Q_MS_EXPORT_CT &amp; "_options"),8),"")</f>
        <v/>
      </c>
      <c r="N17" t="str">
        <f>IFERROR(INDEX(INDIRECT(All_Questions_Q_MS_EXPORT_CT &amp; "_options"),9),"")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"_data"),N$17)</f>
        <v>0</v>
      </c>
      <c r="O19">
        <f>SUM(G19:N19)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Q_NUM_EXPORT - Numeric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IF(All_Questions_Q_NUM_EXPORT_F_Q="(None)","respondent_id_data",All_Questions_Q_NUM_EXPORT_F_Q &amp; "_data")</f>
        <v>respondent_id_data</v>
      </c>
      <c r="G23" t="str">
        <f>"|" &amp; SUBSTITUTE(All_Questions_Q_NUM_EXPORT_F_V,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Metric</t>
        </is>
      </c>
      <c r="B26" s="4" t="inlineStr">
        <is>
          <t>Value</t>
        </is>
      </c>
      <c r="C26" s="4" t="inlineStr">
        <is>
          <t>Note</t>
        </is>
      </c>
      <c r="D26" s="4" t="inlineStr">
        <is>
          <t>Denominator</t>
        </is>
      </c>
    </row>
    <row r="27">
      <c r="A27" t="inlineStr">
        <is>
          <t>Mean</t>
        </is>
      </c>
      <c r="B27">
        <f>IFERROR(AVERAGEIFS(Q_NUM_EXPORT_data,passes_workbook_filters_data,1,passes_workbook_custom_filters_data,1,All_Questions_passes_local_filters_data,1,All_Questions_Q_NUM_EXPORT_F_passes_per_q_filter_data,1),0)</f>
        <v>5.5</v>
      </c>
      <c r="D27">
        <f>COUNTIFS(Q_NUM_EXPORT_data,"&lt;&gt;",passes_workbook_filters_data,1,passes_workbook_custom_filters_data,1,All_Questions_passes_local_filters_data,1,All_Questions_Q_NUM_EXPORT_F_passes_per_q_filter_data,1)</f>
        <v>10</v>
      </c>
    </row>
    <row r="28">
      <c r="A28" t="inlineStr">
        <is>
          <t>Min</t>
        </is>
      </c>
      <c r="B28">
        <f>IFERROR(MINIFS(Q_NUM_EXPORT_data,passes_workbook_filters_data,1,passes_workbook_custom_filters_data,1,All_Questions_passes_local_filters_data,1,All_Questions_Q_NUM_EXPORT_F_passes_per_q_filter_data,1),0)</f>
        <v>1.0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Max</t>
        </is>
      </c>
      <c r="B29">
        <f>IFERROR(MAXIFS(Q_NUM_EXPORT_data,passes_workbook_filters_data,1,passes_workbook_custom_filters_data,1,All_Questions_passes_local_filters_data,1,All_Questions_Q_NUM_EXPORT_F_passes_per_q_filter_data,1),0)</f>
        <v>10.0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Std</t>
        </is>
      </c>
      <c r="B30" t="n">
        <v>2.9</v>
      </c>
      <c r="C30" t="inlineStr">
        <is>
          <t>static baseline</t>
        </is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s="10" t="inlineStr">
        <is>
          <t>Median not available in filtered view - see static baseline in audit log.</t>
        </is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Q_GRID_EXPORT - Grid export question</t>
        </is>
      </c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IF(All_Questions_Q_GRID_EXPORT_F_Q="(None)","respondent_id_data",All_Questions_Q_GRID_EXPORT_F_Q &amp; "_data")</f>
        <v>respondent_id_data</v>
      </c>
      <c r="G35" t="str">
        <f>"|" &amp; SUBSTITUTE(All_Questions_Q_GRID_EXPORT_F_V,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5" t="inlineStr">
        <is>
          <t>Option \ Cross-tab</t>
        </is>
      </c>
      <c r="G38" t="str">
        <f>IFERROR(INDEX(INDIRECT(All_Questions_Q_GRID_EXPORT_CT &amp; "_options"),2),"")</f>
        <v/>
      </c>
      <c r="H38" t="str">
        <f>IFERROR(INDEX(INDIRECT(All_Questions_Q_GRID_EXPORT_CT &amp; "_options"),3),"")</f>
        <v/>
      </c>
      <c r="I38" t="str">
        <f>IFERROR(INDEX(INDIRECT(All_Questions_Q_GRID_EXPORT_CT &amp; "_options"),4),"")</f>
        <v/>
      </c>
      <c r="J38" t="str">
        <f>IFERROR(INDEX(INDIRECT(All_Questions_Q_GRID_EXPORT_CT &amp; "_options"),5),"")</f>
        <v/>
      </c>
      <c r="K38" t="str">
        <f>IFERROR(INDEX(INDIRECT(All_Questions_Q_GRID_EXPORT_CT &amp; "_options"),6),"")</f>
        <v/>
      </c>
      <c r="L38" t="str">
        <f>IFERROR(INDEX(INDIRECT(All_Questions_Q_GRID_EXPORT_CT &amp; "_options"),7),"")</f>
        <v/>
      </c>
      <c r="M38" t="str">
        <f>IFERROR(INDEX(INDIRECT(All_Questions_Q_GRID_EXPORT_CT &amp; "_options"),8),"")</f>
        <v/>
      </c>
      <c r="N38" t="str">
        <f>IFERROR(INDEX(INDIRECT(All_Questions_Q_GRID_EXPORT_CT &amp; "_options"),9),"")</f>
        <v/>
      </c>
      <c r="O38" s="5" t="inlineStr">
        <is>
          <t>TOTAL</t>
        </is>
      </c>
    </row>
    <row r="39">
      <c r="A39" t="inlineStr">
        <is>
          <t>Grid first row</t>
        </is>
      </c>
      <c r="B39">
        <f>COUNTIFS(Q_GRID_EXPORTr1_data,"Selected",passes_workbook_filters_data,1,passes_workbook_custom_filters_data,1,All_Questions_passes_local_filters_data,1,All_Questions_Q_GRID_EXPORT_F_passes_per_q_filter_data,1)</f>
        <v>10</v>
      </c>
      <c r="C39" s="7">
        <f>IFERROR(B39/SUBTOTAL(9,B39:B40),0)</f>
        <v>0.5</v>
      </c>
      <c r="D39" s="14">
        <f>SUBTOTAL(9,B39:B40)</f>
        <v>20</v>
      </c>
      <c r="F39" t="inlineStr">
        <is>
          <t>Grid first row</t>
        </is>
      </c>
      <c r="G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"_data"),G$38)</f>
        <v>0</v>
      </c>
      <c r="H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"_data"),H$38)</f>
        <v>0</v>
      </c>
      <c r="I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"_data"),I$38)</f>
        <v>0</v>
      </c>
      <c r="J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"_data"),J$38)</f>
        <v>0</v>
      </c>
      <c r="K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"_data"),K$38)</f>
        <v>0</v>
      </c>
      <c r="L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"_data"),L$38)</f>
        <v>0</v>
      </c>
      <c r="M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"_data"),M$38)</f>
        <v>0</v>
      </c>
      <c r="N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"_data"),N$38)</f>
        <v>0</v>
      </c>
      <c r="O39">
        <f>SUM(G39:N39)</f>
        <v>0</v>
      </c>
    </row>
    <row r="40">
      <c r="A40" t="inlineStr">
        <is>
          <t>Grid second row</t>
        </is>
      </c>
      <c r="B40">
        <f>COUNTIFS(Q_GRID_EXPORTr2_data,"Selected",passes_workbook_filters_data,1,passes_workbook_custom_filters_data,1,All_Questions_passes_local_filters_data,1,All_Questions_Q_GRID_EXPORT_F_passes_per_q_filter_data,1)</f>
        <v>10</v>
      </c>
      <c r="C40" s="7">
        <f>IFERROR(B40/SUBTOTAL(9,B39:B40),0)</f>
        <v>0.5</v>
      </c>
      <c r="D40" s="14">
        <f>SUBTOTAL(9,B39:B40)</f>
        <v>20</v>
      </c>
      <c r="F40" t="inlineStr">
        <is>
          <t>Grid second row</t>
        </is>
      </c>
      <c r="G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"_data"),G$38)</f>
        <v>0</v>
      </c>
      <c r="H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"_data"),H$38)</f>
        <v>0</v>
      </c>
      <c r="I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"_data"),I$38)</f>
        <v>0</v>
      </c>
      <c r="J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"_data"),J$38)</f>
        <v>0</v>
      </c>
      <c r="K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"_data"),K$38)</f>
        <v>0</v>
      </c>
      <c r="L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"_data"),L$38)</f>
        <v>0</v>
      </c>
      <c r="M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"_data"),M$38)</f>
        <v>0</v>
      </c>
      <c r="N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"_data"),N$38)</f>
        <v>0</v>
      </c>
      <c r="O40">
        <f>SUM(G40:N40)</f>
        <v>0</v>
      </c>
    </row>
    <row r="42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</row>
    <row r="43">
      <c r="A43" s="12" t="inlineStr">
        <is>
          <t>Q_VERY_LONG_SINGLE_SELECT_EXPORT_NAME - Long sheet name export question</t>
        </is>
      </c>
    </row>
    <row r="44">
      <c r="A44" s="13" t="inlineStr">
        <is>
          <t>Per-question filter</t>
        </is>
      </c>
      <c r="B44" t="inlineStr">
        <is>
          <t>Filter Q</t>
        </is>
      </c>
      <c r="C44" t="inlineStr">
        <is>
          <t>(None)</t>
        </is>
      </c>
      <c r="D44" t="inlineStr">
        <is>
          <t>Value</t>
        </is>
      </c>
      <c r="E44" t="inlineStr">
        <is>
          <t>(All)</t>
        </is>
      </c>
      <c r="F44" t="str">
        <f>IF(All_Questions_Q_VERY_LONG_SINGLE_SELECT_EXPORT_NAME_F_Q="(None)","respondent_id_data",All_Questions_Q_VERY_LONG_SINGLE_SELECT_EXPORT_NAME_F_Q &amp; "_data")</f>
        <v>respondent_id_data</v>
      </c>
      <c r="G44" t="str">
        <f>"|" &amp; SUBSTITUTE(All_Questions_Q_VERY_LONG_SINGLE_SELECT_EXPORT_NAME_F_V, ", ", "|") &amp; "|"</f>
        <v>|(All)|</v>
      </c>
    </row>
    <row r="45">
      <c r="A45" s="13" t="inlineStr">
        <is>
          <t>Cross-tab by</t>
        </is>
      </c>
      <c r="C45" t="inlineStr">
        <is>
          <t>(None)</t>
        </is>
      </c>
    </row>
    <row r="47">
      <c r="A47" s="4" t="inlineStr">
        <is>
          <t>Option</t>
        </is>
      </c>
      <c r="B47" s="4" t="inlineStr">
        <is>
          <t>Count</t>
        </is>
      </c>
      <c r="C47" s="4" t="inlineStr">
        <is>
          <t>%</t>
        </is>
      </c>
      <c r="D47" s="4" t="inlineStr">
        <is>
          <t>Denominator</t>
        </is>
      </c>
      <c r="F47" s="5" t="inlineStr">
        <is>
          <t>Option \ Cross-tab</t>
        </is>
      </c>
      <c r="G47" t="str">
        <f>IFERROR(INDEX(INDIRECT(All_Questions_Q_VERY_LONG_SINGLE_SELECT_EXPORT_NAME_CT &amp; "_options"),2),"")</f>
        <v/>
      </c>
      <c r="H47" t="str">
        <f>IFERROR(INDEX(INDIRECT(All_Questions_Q_VERY_LONG_SINGLE_SELECT_EXPORT_NAME_CT &amp; "_options"),3),"")</f>
        <v/>
      </c>
      <c r="I47" t="str">
        <f>IFERROR(INDEX(INDIRECT(All_Questions_Q_VERY_LONG_SINGLE_SELECT_EXPORT_NAME_CT &amp; "_options"),4),"")</f>
        <v/>
      </c>
      <c r="J47" t="str">
        <f>IFERROR(INDEX(INDIRECT(All_Questions_Q_VERY_LONG_SINGLE_SELECT_EXPORT_NAME_CT &amp; "_options"),5),"")</f>
        <v/>
      </c>
      <c r="K47" t="str">
        <f>IFERROR(INDEX(INDIRECT(All_Questions_Q_VERY_LONG_SINGLE_SELECT_EXPORT_NAME_CT &amp; "_options"),6),"")</f>
        <v/>
      </c>
      <c r="L47" t="str">
        <f>IFERROR(INDEX(INDIRECT(All_Questions_Q_VERY_LONG_SINGLE_SELECT_EXPORT_NAME_CT &amp; "_options"),7),"")</f>
        <v/>
      </c>
      <c r="M47" t="str">
        <f>IFERROR(INDEX(INDIRECT(All_Questions_Q_VERY_LONG_SINGLE_SELECT_EXPORT_NAME_CT &amp; "_options"),8),"")</f>
        <v/>
      </c>
      <c r="N47" t="str">
        <f>IFERROR(INDEX(INDIRECT(All_Questions_Q_VERY_LONG_SINGLE_SELECT_EXPORT_NAME_CT &amp; "_options"),9),"")</f>
        <v/>
      </c>
      <c r="O47" s="5" t="inlineStr">
        <is>
          <t>TOTAL</t>
        </is>
      </c>
    </row>
    <row r="48">
      <c r="A48" t="inlineStr">
        <is>
          <t>A</t>
        </is>
      </c>
      <c r="B4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8" s="7">
        <f>IFERROR(B48/SUBTOTAL(9,B48:B49),0)</f>
        <v>0.7</v>
      </c>
      <c r="D48" s="14">
        <f>SUBTOTAL(9,B48:B49)</f>
        <v>10</v>
      </c>
      <c r="F48" t="inlineStr">
        <is>
          <t>A</t>
        </is>
      </c>
      <c r="G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"_data"),G$47)</f>
        <v>0</v>
      </c>
      <c r="H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"_data"),H$47)</f>
        <v>0</v>
      </c>
      <c r="I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"_data"),I$47)</f>
        <v>0</v>
      </c>
      <c r="J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"_data"),J$47)</f>
        <v>0</v>
      </c>
      <c r="K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"_data"),K$47)</f>
        <v>0</v>
      </c>
      <c r="L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"_data"),L$47)</f>
        <v>0</v>
      </c>
      <c r="M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"_data"),M$47)</f>
        <v>0</v>
      </c>
      <c r="N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"_data"),N$47)</f>
        <v>0</v>
      </c>
      <c r="O48">
        <f>SUM(G48:N48)</f>
        <v>0</v>
      </c>
    </row>
    <row r="49">
      <c r="A49" t="inlineStr">
        <is>
          <t>B</t>
        </is>
      </c>
      <c r="B4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9" s="7">
        <f>IFERROR(B49/SUBTOTAL(9,B48:B49),0)</f>
        <v>0.3</v>
      </c>
      <c r="D49" s="14">
        <f>SUBTOTAL(9,B48:B49)</f>
        <v>10</v>
      </c>
      <c r="F49" t="inlineStr">
        <is>
          <t>B</t>
        </is>
      </c>
      <c r="G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"_data"),G$47)</f>
        <v>0</v>
      </c>
      <c r="H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"_data"),H$47)</f>
        <v>0</v>
      </c>
      <c r="I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"_data"),I$47)</f>
        <v>0</v>
      </c>
      <c r="J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"_data"),J$47)</f>
        <v>0</v>
      </c>
      <c r="K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"_data"),K$47)</f>
        <v>0</v>
      </c>
      <c r="L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"_data"),L$47)</f>
        <v>0</v>
      </c>
      <c r="M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"_data"),M$47)</f>
        <v>0</v>
      </c>
      <c r="N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"_data"),N$47)</f>
        <v>0</v>
      </c>
      <c r="O49">
        <f>SUM(G49:N49)</f>
        <v>0</v>
      </c>
    </row>
  </sheetData>
  <mergeCells count="5">
    <mergeCell ref="A1:J1"/>
    <mergeCell ref="A22:J22"/>
    <mergeCell ref="A34:J34"/>
    <mergeCell ref="A43:J43"/>
    <mergeCell ref="A13:J13"/>
  </mergeCells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15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24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36" showDropDown="0" showInputMessage="0" showErrorMessage="0" allowBlank="1" type="list">
      <formula1>=All_Questions</formula1>
    </dataValidation>
    <dataValidation sqref="C44" showDropDown="0" showInputMessage="0" showErrorMessage="0" allowBlank="1" type="list">
      <formula1>=All_Questions</formula1>
    </dataValidation>
    <dataValidation sqref="E44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4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2026-05-15T06:11:35Z</dcterms:created>
  <dcterms:modified xmlns:dcterms="http://purl.org/dc/terms/" xmlns:xsi="http://www.w3.org/2001/XMLSchema-instance" xsi:type="dcterms:W3CDTF">2026-05-15T06:11:35Z</dcterms:modified>
</cp:coreProperties>
</file>