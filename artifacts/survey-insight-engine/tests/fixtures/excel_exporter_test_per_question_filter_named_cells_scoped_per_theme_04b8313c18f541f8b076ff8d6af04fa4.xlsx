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'_RawData'!$T$2:$T$11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C29" i="9"/>
  <c r="D29" i="9"/>
  <c r="E29" i="9"/>
  <c r="F29" i="9"/>
  <c r="C30" i="9"/>
  <c r="D30" i="9"/>
  <c r="E30" i="9"/>
  <c r="F30" i="9"/>
  <c r="F36" i="9"/>
  <c r="G36" i="9"/>
  <c r="G39" i="9"/>
  <c r="H39" i="9"/>
  <c r="I39" i="9"/>
  <c r="J39" i="9"/>
  <c r="K39" i="9"/>
  <c r="L39" i="9"/>
  <c r="M39" i="9"/>
  <c r="N39" i="9"/>
  <c r="O39" i="9"/>
  <c r="P39" i="9"/>
  <c r="Q39" i="9"/>
  <c r="R39" i="9"/>
  <c r="B40" i="9"/>
  <c r="C40" i="9"/>
  <c r="D40" i="9"/>
  <c r="B41" i="9"/>
  <c r="C41" i="9"/>
  <c r="D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S43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High</t>
        </is>
      </c>
      <c r="D27" s="2" t="n"/>
      <c r="E27" s="4" t="inlineStr">
        <is>
          <t>Low</t>
        </is>
      </c>
      <c r="F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  <c r="E28" s="4" t="inlineStr">
        <is>
          <t>Count</t>
        </is>
      </c>
      <c r="F28" s="4" t="inlineStr">
        <is>
          <t>%</t>
        </is>
      </c>
    </row>
    <row r="29">
      <c r="A29" s="16" t="inlineStr">
        <is>
          <t>Q_GRID_EXPORTr1</t>
        </is>
      </c>
      <c r="B29" t="inlineStr">
        <is>
          <t>Grid first row</t>
        </is>
      </c>
      <c r="C29">
        <f>COUNTIFS(Q_GRID_EXPORTr1_data,"High",passes_workbook_filters_data,1,passes_workbook_custom_filters_data,1,All_Questions_passes_local_filters_data,1,All_Questions_Q_GRID_EXPORT_F_passes_per_q_filter_data,1)</f>
        <v>6</v>
      </c>
      <c r="D29" s="7">
        <f>IFERROR(C29/10,0)</f>
        <v>0.6</v>
      </c>
      <c r="E29">
        <f>COUNTIFS(Q_GRID_EXPORTr1_data,"Low",passes_workbook_filters_data,1,passes_workbook_custom_filters_data,1,All_Questions_passes_local_filters_data,1,All_Questions_Q_GRID_EXPORT_F_passes_per_q_filter_data,1)</f>
        <v>4</v>
      </c>
      <c r="F29" s="7">
        <f>IFERROR(E29/10,0)</f>
        <v>0.4</v>
      </c>
    </row>
    <row r="30">
      <c r="A30" s="16" t="inlineStr">
        <is>
          <t>Q_GRID_EXPORTr2</t>
        </is>
      </c>
      <c r="B30" t="inlineStr">
        <is>
          <t>Grid second row</t>
        </is>
      </c>
      <c r="C30">
        <f>COUNTIFS(Q_GRID_EXPORTr2_data,"High",passes_workbook_filters_data,1,passes_workbook_custom_filters_data,1,All_Questions_passes_local_filters_data,1,All_Questions_Q_GRID_EXPORT_F_passes_per_q_filter_data,1)</f>
        <v>5</v>
      </c>
      <c r="D30" s="7">
        <f>IFERROR(C30/10,0)</f>
        <v>0.5</v>
      </c>
      <c r="E30">
        <f>COUNTIFS(Q_GRID_EXPORTr2_data,"Low",passes_workbook_filters_data,1,passes_workbook_custom_filters_data,1,All_Questions_passes_local_filters_data,1,All_Questions_Q_GRID_EXPORT_F_passes_per_q_filter_data,1)</f>
        <v>5</v>
      </c>
      <c r="F30" s="7">
        <f>IFERROR(E30/10,0)</f>
        <v>0.5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E31" s="15" t="n"/>
      <c r="F31" s="15" t="n"/>
    </row>
    <row r="32">
      <c r="A32" s="4" t="inlineStr">
        <is>
          <t>Total responses</t>
        </is>
      </c>
      <c r="B32" s="4" t="n">
        <v>20</v>
      </c>
      <c r="C32" s="4" t="n"/>
      <c r="D32" s="4" t="n"/>
      <c r="E32" s="4" t="n"/>
      <c r="F32" s="4" t="n"/>
    </row>
    <row r="33"/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IFERROR(INDEX(All_Questions_Data_Names,MATCH(All_Questions_Q_VERY_LONG_SINGLE_SELECT_EXPORT_NAME_F_Q,All_Questions,0)),"'_RawData'!$A:$A")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8"/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9" s="4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A</t>
        </is>
      </c>
      <c r="G41">
        <f>IF(OR(All_Questions_Q_VERY_LONG_SINGLE_SELECT_EXPORT_NAME_CT="(None)",G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1">
        <f>IF(OR(All_Questions_Q_VERY_LONG_SINGLE_SELECT_EXPORT_NAME_CT="(None)",H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1">
        <f>IF(OR(All_Questions_Q_VERY_LONG_SINGLE_SELECT_EXPORT_NAME_CT="(None)",I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1">
        <f>IF(OR(All_Questions_Q_VERY_LONG_SINGLE_SELECT_EXPORT_NAME_CT="(None)",J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1">
        <f>IF(OR(All_Questions_Q_VERY_LONG_SINGLE_SELECT_EXPORT_NAME_CT="(None)",K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1">
        <f>IF(OR(All_Questions_Q_VERY_LONG_SINGLE_SELECT_EXPORT_NAME_CT="(None)",L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1">
        <f>IF(OR(All_Questions_Q_VERY_LONG_SINGLE_SELECT_EXPORT_NAME_CT="(None)",M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1">
        <f>IF(OR(All_Questions_Q_VERY_LONG_SINGLE_SELECT_EXPORT_NAME_CT="(None)",N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1">
        <f>IF(OR(All_Questions_Q_VERY_LONG_SINGLE_SELECT_EXPORT_NAME_CT="(None)",O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1">
        <f>IF(OR(All_Questions_Q_VERY_LONG_SINGLE_SELECT_EXPORT_NAME_CT="(None)",P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1">
        <f>IF(OR(All_Questions_Q_VERY_LONG_SINGLE_SELECT_EXPORT_NAME_CT="(None)",Q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1">
        <f>IF(OR(All_Questions_Q_VERY_LONG_SINGLE_SELECT_EXPORT_NAME_CT="(None)",R$39=""),"",IF(R$39="Other",COUNTIFS(Q_VERY_LONG_SINGLE_SELECT_EXPOR_data,"A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2">
      <c r="A42" s="15" t="inlineStr">
        <is>
          <t>Total respondents</t>
        </is>
      </c>
      <c r="B42" s="15" t="n">
        <v>10</v>
      </c>
      <c r="C42" s="15" t="n"/>
      <c r="D42" s="15" t="n"/>
      <c r="F42" t="inlineStr">
        <is>
          <t>B</t>
        </is>
      </c>
      <c r="G42">
        <f>IF(OR(All_Questions_Q_VERY_LONG_SINGLE_SELECT_EXPORT_NAME_CT="(None)",G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2">
        <f>IF(OR(All_Questions_Q_VERY_LONG_SINGLE_SELECT_EXPORT_NAME_CT="(None)",H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2">
        <f>IF(OR(All_Questions_Q_VERY_LONG_SINGLE_SELECT_EXPORT_NAME_CT="(None)",I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2">
        <f>IF(OR(All_Questions_Q_VERY_LONG_SINGLE_SELECT_EXPORT_NAME_CT="(None)",J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2">
        <f>IF(OR(All_Questions_Q_VERY_LONG_SINGLE_SELECT_EXPORT_NAME_CT="(None)",K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2">
        <f>IF(OR(All_Questions_Q_VERY_LONG_SINGLE_SELECT_EXPORT_NAME_CT="(None)",L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2">
        <f>IF(OR(All_Questions_Q_VERY_LONG_SINGLE_SELECT_EXPORT_NAME_CT="(None)",M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2">
        <f>IF(OR(All_Questions_Q_VERY_LONG_SINGLE_SELECT_EXPORT_NAME_CT="(None)",N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2">
        <f>IF(OR(All_Questions_Q_VERY_LONG_SINGLE_SELECT_EXPORT_NAME_CT="(None)",O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2">
        <f>IF(OR(All_Questions_Q_VERY_LONG_SINGLE_SELECT_EXPORT_NAME_CT="(None)",P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2">
        <f>IF(OR(All_Questions_Q_VERY_LONG_SINGLE_SELECT_EXPORT_NAME_CT="(None)",Q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2">
        <f>IF(OR(All_Questions_Q_VERY_LONG_SINGLE_SELECT_EXPORT_NAME_CT="(None)",R$39=""),"",IF(R$39="Other",COUNTIFS(Q_VERY_LONG_SINGLE_SELECT_EXPOR_data,"B",passes_workbook_filters_data,1,passes_workbook_custom_filters_data,1,All_Questions_passes_local_filters_data,1,All_Questions_Q_VERY_LONG_SINGLE_SELECT_EXPORT_NAME_F_passes_per_q_filter_data,1)-SUM(G42,H42,I42,J42,K42,L42,M42,N42,O42,P42,Q42)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27:F27"/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2026-06-03T16:43:31Z</dcterms:created>
  <dcterms:modified xmlns:dcterms="http://purl.org/dc/terms/" xmlns:xsi="http://www.w3.org/2001/XMLSchema-instance" xsi:type="dcterms:W3CDTF">2026-06-03T16:43:31Z</dcterms:modified>
</cp:coreProperties>
</file>