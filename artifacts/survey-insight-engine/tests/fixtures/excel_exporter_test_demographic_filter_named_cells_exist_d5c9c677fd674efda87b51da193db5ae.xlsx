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ountry">'Filters'!$B$3</definedName>
    <definedName name="F_Country_crit">'Filters'!$C$3</definedName>
    <definedName name="F_Industry">'Filters'!$B$4</definedName>
    <definedName name="F_Industry_crit">'Filters'!$C$4</definedName>
    <definedName name="F_Custom1_Q">'Filters'!$B$7</definedName>
    <definedName name="F_Custom1_V">'Filters'!$D$7</definedName>
    <definedName name="F_Custom1_resolved_column">'Filters'!$E$7</definedName>
    <definedName name="F_Custom1_crit">'Filters'!$F$7</definedName>
    <definedName name="F_Custom2_Q">'Filters'!$B$8</definedName>
    <definedName name="F_Custom2_V">'Filters'!$D$8</definedName>
    <definedName name="F_Custom2_resolved_column">'Filters'!$E$8</definedName>
    <definedName name="F_Custom2_crit">'Filters'!$F$8</definedName>
    <definedName name="Q_SS_EXPORT_F_Q">'Filters'!$B$12</definedName>
    <definedName name="Q_SS_EXPORT_F_V">'Filters'!$C$12</definedName>
    <definedName name="Q_SS_EXPORT_CT">'Filters'!$D$12</definedName>
    <definedName name="Q_SS_EXPORT_F_resolved_column">'Filters'!$E$12</definedName>
    <definedName name="Q_SS_EXPORT_F_crit">'Filters'!$F$12</definedName>
    <definedName name="Q_MS_EXPORT_F_Q">'Filters'!$B$13</definedName>
    <definedName name="Q_MS_EXPORT_F_V">'Filters'!$C$13</definedName>
    <definedName name="Q_MS_EXPORT_CT">'Filters'!$D$13</definedName>
    <definedName name="Q_MS_EXPORT_F_resolved_column">'Filters'!$E$13</definedName>
    <definedName name="Q_MS_EXPORT_F_crit">'Filters'!$F$13</definedName>
    <definedName name="Q_NUM_EXPORT_F_Q">'Filters'!$B$14</definedName>
    <definedName name="Q_NUM_EXPORT_F_V">'Filters'!$C$14</definedName>
    <definedName name="Q_NUM_EXPORT_CT">'Filters'!$D$14</definedName>
    <definedName name="Q_NUM_EXPORT_F_resolved_column">'Filters'!$E$14</definedName>
    <definedName name="Q_NUM_EXPORT_F_crit">'Filters'!$F$14</definedName>
    <definedName name="Q_GRID_EXPORT_F_Q">'Filters'!$B$15</definedName>
    <definedName name="Q_GRID_EXPORT_F_V">'Filters'!$C$15</definedName>
    <definedName name="Q_GRID_EXPORT_CT">'Filters'!$D$15</definedName>
    <definedName name="Q_GRID_EXPORT_F_resolved_column">'Filters'!$E$15</definedName>
    <definedName name="Q_GRID_EXPORT_F_crit">'Filters'!$F$15</definedName>
    <definedName name="Q_VERY_LONG_SINGLE_SELECT_EXPORT_NAME_F_Q">'Filters'!$B$16</definedName>
    <definedName name="Q_VERY_LONG_SINGLE_SELECT_EXPORT_NAME_F_V">'Filters'!$C$16</definedName>
    <definedName name="Q_VERY_LONG_SINGLE_SELECT_EXPORT_NAME_CT">'Filters'!$D$16</definedName>
    <definedName name="Q_VERY_LONG_SINGLE_SELECT_EXPORT_NAME_F_resolved_column">'Filters'!$E$16</definedName>
    <definedName name="Q_VERY_LONG_SINGLE_SELECT_EXPORT_NAME_F_crit">'Filters'!$F$16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Demographics_6_1" displayName="T_Demographic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13_1" displayName="T_Demographic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6_1" displayName="T_All_Questions_6_1" ref="A6:D10" headerRowCount="1">
  <autoFilter ref="A6:D1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3_1" displayName="T_All_Questions_23_1" ref="A23:D25" headerRowCount="1">
  <autoFilter ref="A23:D2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IF(F_Country="(All)","*",F_Country)</f>
        <v/>
      </c>
      <c r="D3" t="inlineStr">
        <is>
          <t>Q_SS_EXPORT</t>
        </is>
      </c>
    </row>
    <row r="4">
      <c r="A4" t="inlineStr">
        <is>
          <t>Q_MS_EXPORT - Multi select export question</t>
        </is>
      </c>
      <c r="B4" t="inlineStr">
        <is>
          <t>(All)</t>
        </is>
      </c>
      <c r="C4">
        <f>IF(F_Industry="(All)","*",F_Industry)</f>
        <v/>
      </c>
      <c r="D4" t="inlineStr">
        <is>
          <t>Q_MS_EXPORTr1</t>
        </is>
      </c>
    </row>
    <row r="6">
      <c r="A6" s="3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IF(F_Custom1_Q="(None)","&lt;&gt;",IF(F_Custom1_V="(All)","*",F_Custom1_V))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IF(F_Custom2_Q="(None)","&lt;&gt;",IF(F_Custom2_V="(All)","*",F_Custom2_V))</f>
        <v/>
      </c>
    </row>
    <row r="10">
      <c r="A10" s="3" t="inlineStr">
        <is>
          <t>PER-QUESTION FILTERS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Question</t>
        </is>
      </c>
      <c r="B11" s="3" t="inlineStr">
        <is>
          <t>Filter question</t>
        </is>
      </c>
      <c r="C11" s="3" t="inlineStr">
        <is>
          <t>Filter value</t>
        </is>
      </c>
      <c r="D11" s="3" t="inlineStr">
        <is>
          <t>Cross-tab by</t>
        </is>
      </c>
      <c r="E11" s="3" t="inlineStr">
        <is>
          <t>Resolved column</t>
        </is>
      </c>
      <c r="F11" s="3" t="inlineStr">
        <is>
          <t>Resolved criterion</t>
        </is>
      </c>
    </row>
    <row r="12">
      <c r="A12" t="inlineStr">
        <is>
          <t>Q_SS_EXPORT - Single select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IF(Q_SS_EXPORT_F_Q="(None)","respondent_id_data",Q_SS_EXPORT_F_Q &amp; "_data")</f>
        <v/>
      </c>
      <c r="F12">
        <f>IF(Q_SS_EXPORT_F_Q="(None)","&lt;&gt;",IF(Q_SS_EXPORT_F_V="(All)","*",Q_SS_EXPORT_F_V))</f>
        <v/>
      </c>
    </row>
    <row r="13">
      <c r="A13" t="inlineStr">
        <is>
          <t>Q_MS_EXPORT - Multi select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IF(Q_MS_EXPORT_F_Q="(None)","respondent_id_data",Q_MS_EXPORT_F_Q &amp; "_data")</f>
        <v/>
      </c>
      <c r="F13">
        <f>IF(Q_MS_EXPORT_F_Q="(None)","&lt;&gt;",IF(Q_MS_EXPORT_F_V="(All)","*",Q_MS_EXPORT_F_V))</f>
        <v/>
      </c>
    </row>
    <row r="14">
      <c r="A14" t="inlineStr">
        <is>
          <t>Q_NUM_EXPORT - Numeric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IF(Q_NUM_EXPORT_F_Q="(None)","respondent_id_data",Q_NUM_EXPORT_F_Q &amp; "_data")</f>
        <v/>
      </c>
      <c r="F14">
        <f>IF(Q_NUM_EXPORT_F_Q="(None)","&lt;&gt;",IF(Q_NUM_EXPORT_F_V="(All)","*",Q_NUM_EXPORT_F_V))</f>
        <v/>
      </c>
    </row>
    <row r="15">
      <c r="A15" t="inlineStr">
        <is>
          <t>Q_GRID_EXPORT - Grid export question</t>
        </is>
      </c>
      <c r="B15" t="inlineStr">
        <is>
          <t>(None)</t>
        </is>
      </c>
      <c r="C15" t="inlineStr">
        <is>
          <t>(All)</t>
        </is>
      </c>
      <c r="D15" t="inlineStr">
        <is>
          <t>(None)</t>
        </is>
      </c>
      <c r="E15">
        <f>IF(Q_GRID_EXPORT_F_Q="(None)","respondent_id_data",Q_GRID_EXPORT_F_Q &amp; "_data")</f>
        <v/>
      </c>
      <c r="F15">
        <f>IF(Q_GRID_EXPORT_F_Q="(None)","&lt;&gt;",IF(Q_GRID_EXPORT_F_V="(All)","*",Q_GRID_EXPORT_F_V))</f>
        <v/>
      </c>
    </row>
    <row r="16">
      <c r="A16" t="inlineStr">
        <is>
          <t>Q_VERY_LONG_SINGLE_SELECT_EXPORT_NAME - Long sheet name export question</t>
        </is>
      </c>
      <c r="B16" t="inlineStr">
        <is>
          <t>(None)</t>
        </is>
      </c>
      <c r="C16" t="inlineStr">
        <is>
          <t>(All)</t>
        </is>
      </c>
      <c r="D16" t="inlineStr">
        <is>
          <t>(None)</t>
        </is>
      </c>
      <c r="E16">
        <f>IF(Q_VERY_LONG_SINGLE_SELECT_EXPORT_NAME_F_Q="(None)","respondent_id_data",Q_VERY_LONG_SINGLE_SELECT_EXPORT_NAME_F_Q &amp; "_data")</f>
        <v/>
      </c>
      <c r="F16">
        <f>IF(Q_VERY_LONG_SINGLE_SELECT_EXPORT_NAME_F_Q="(None)","&lt;&gt;",IF(Q_VERY_LONG_SINGLE_SELECT_EXPORT_NAME_F_V="(All)","*",Q_VERY_LONG_SINGLE_SELECT_EXPORT_NAME_F_V))</f>
        <v/>
      </c>
    </row>
  </sheetData>
  <dataValidations count="21">
    <dataValidation sqref="B3" showDropDown="0" showInputMessage="0" showErrorMessage="0" allowBlank="1" type="list">
      <formula1>=Q_SS_EXPORT_options</formula1>
    </dataValidation>
    <dataValidation sqref="B4" showDropDown="0" showInputMessage="0" showErrorMessage="0" allowBlank="1" type="list">
      <formula1>=Q_MS_EXPORTr1_options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=INDIRECT(IF(Q_SS_EXPORT_F_Q="(None)","None_options",Q_SS_EXPORT_F_Q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=INDIRECT(IF(Q_MS_EXPORT_F_Q="(None)","None_options",Q_MS_EXPORT_F_Q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=INDIRECT(IF(Q_NUM_EXPORT_F_Q="(None)","None_options",Q_NUM_EXPORT_F_Q &amp; "_options"))</formula1>
    </dataValidation>
    <dataValidation sqref="D14" showDropDown="0" showInputMessage="0" showErrorMessage="0" allowBlank="1" type="list">
      <formula1>=All_Questions</formula1>
    </dataValidation>
    <dataValidation sqref="B15" showDropDown="0" showInputMessage="0" showErrorMessage="0" allowBlank="1" type="list">
      <formula1>=All_Questions</formula1>
    </dataValidation>
    <dataValidation sqref="C15" showDropDown="0" showInputMessage="0" showErrorMessage="0" allowBlank="1" type="list">
      <formula1>=INDIRECT(IF(Q_GRID_EXPORT_F_Q="(None)","None_options",Q_GRID_EXPORT_F_Q &amp; "_options"))</formula1>
    </dataValidation>
    <dataValidation sqref="D15" showDropDown="0" showInputMessage="0" showErrorMessage="0" allowBlank="1" type="list">
      <formula1>=All_Questions</formula1>
    </dataValidation>
    <dataValidation sqref="B16" showDropDown="0" showInputMessage="0" showErrorMessage="0" allowBlank="1" type="list">
      <formula1>=All_Questions</formula1>
    </dataValidation>
    <dataValidation sqref="C16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6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5" t="inlineStr">
        <is>
          <t>Demographics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COUNTIFS(Q_SS_EXPORT_data,F_Country_crit,Q_MS_EXPORTr1_data,F_Industry_crit,INDIRECT(F_Custom1_resolved_column),F_Custom1_crit,INDIRECT(F_Custom2_resolved_column),F_Custom2_crit,INDIRECT(Q_SS_EXPORT_F_resolved_column),Q_SS_EXPORT_F_crit,Q_SS_EXPORT_data,"Yes")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COUNTIFS(Q_SS_EXPORT_data,F_Country_crit,Q_MS_EXPORTr1_data,F_Industry_crit,INDIRECT(F_Custom1_resolved_column),F_Custom1_crit,INDIRECT(F_Custom2_resolved_column),F_Custom2_crit,INDIRECT(Q_SS_EXPORT_F_resolved_column),Q_SS_EXPORT_F_crit,Q_SS_EXPORT_data,"No")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COUNTIFS(Q_SS_EXPORT_data,F_Country_crit,Q_MS_EXPORTr1_data,F_Industry_crit,INDIRECT(F_Custom1_resolved_column),F_Custom1_crit,INDIRECT(F_Custom2_resolved_column),F_Custom2_crit,INDIRECT(Q_MS_EXPORT_F_resolved_column),Q_MS_EXPORT_F_crit,Q_MS_EXPORTr1_data,"Selected")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COUNTIFS(Q_SS_EXPORT_data,F_Country_crit,Q_MS_EXPORTr1_data,F_Industry_crit,INDIRECT(F_Custom1_resolved_column),F_Custom1_crit,INDIRECT(F_Custom2_resolved_column),F_Custom2_crit,INDIRECT(Q_MS_EXPORT_F_resolved_column),Q_MS_EXPORT_F_crit,Q_MS_EXPORTr2_data,"Selected")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</sheetData>
  <mergeCells count="3">
    <mergeCell ref="A1:J1"/>
    <mergeCell ref="A4:J4"/>
    <mergeCell ref="A11:J1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Q_NUM_EXPORT - Numeric export question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Note</t>
        </is>
      </c>
      <c r="D6" s="3" t="inlineStr">
        <is>
          <t>Denominator</t>
        </is>
      </c>
    </row>
    <row r="7">
      <c r="A7" t="inlineStr">
        <is>
          <t>Mean</t>
        </is>
      </c>
      <c r="B7">
        <f>IFERROR(AVERAGE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7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8">
      <c r="A8" t="inlineStr">
        <is>
          <t>Min</t>
        </is>
      </c>
      <c r="B8">
        <f>IFERROR(MIN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8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9">
      <c r="A9" t="inlineStr">
        <is>
          <t>Max</t>
        </is>
      </c>
      <c r="B9">
        <f>IFERROR(MAX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9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10">
      <c r="A10" t="inlineStr">
        <is>
          <t>Std</t>
        </is>
      </c>
      <c r="B10" t="n">
        <v>2.9</v>
      </c>
      <c r="C10" t="inlineStr">
        <is>
          <t>static baseline</t>
        </is>
      </c>
      <c r="D10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11">
      <c r="A11" s="12" t="inlineStr">
        <is>
          <t>Median not available in filtered view - see static baseline in audit log.</t>
        </is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10" t="inlineStr">
        <is>
          <t>Q_GRID_EXPORT - Grid export question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IFERROR(INDEX(INDIRECT(Q_GRID_EXPORT_CT &amp; "_options"),2),"")</f>
        <v/>
      </c>
      <c r="H16">
        <f>IFERROR(INDEX(INDIRECT(Q_GRID_EXPORT_CT &amp; "_options"),3),"")</f>
        <v/>
      </c>
      <c r="I16">
        <f>IFERROR(INDEX(INDIRECT(Q_GRID_EXPORT_CT &amp; "_options"),4),"")</f>
        <v/>
      </c>
      <c r="J16">
        <f>IFERROR(INDEX(INDIRECT(Q_GRID_EXPORT_CT &amp; "_options"),5),"")</f>
        <v/>
      </c>
      <c r="K16">
        <f>IFERROR(INDEX(INDIRECT(Q_GRID_EXPORT_CT &amp; "_options"),6),"")</f>
        <v/>
      </c>
      <c r="L16">
        <f>IFERROR(INDEX(INDIRECT(Q_GRID_EXPORT_CT &amp; "_options"),7),"")</f>
        <v/>
      </c>
      <c r="M16">
        <f>IFERROR(INDEX(INDIRECT(Q_GRID_EXPORT_CT &amp; "_options"),8),"")</f>
        <v/>
      </c>
      <c r="N16">
        <f>IFERROR(INDEX(INDIRECT(Q_GRID_EXPORT_CT &amp; "_options"),9),"")</f>
        <v/>
      </c>
      <c r="O16" s="4" t="inlineStr">
        <is>
          <t>TOTAL</t>
        </is>
      </c>
    </row>
    <row r="17">
      <c r="A17" t="inlineStr">
        <is>
          <t>Grid first row</t>
        </is>
      </c>
      <c r="B17">
        <f>COUNTIFS(Q_SS_EXPORT_data,F_Country_crit,Q_MS_EXPORTr1_data,F_Industry_crit,INDIRECT(F_Custom1_resolved_column),F_Custom1_crit,INDIRECT(F_Custom2_resolved_column),F_Custom2_crit,INDIRECT(Q_GRID_EXPORT_F_resolved_column),Q_GRID_EXPORT_F_crit,Q_GRID_EXPORTr1_data,"Selected")</f>
        <v/>
      </c>
      <c r="C17" s="6">
        <f>IFERROR(B17/SUBTOTAL(9,B17:B18),0)</f>
        <v/>
      </c>
      <c r="D17" s="11">
        <f>SUBTOTAL(9,B17:B18)</f>
        <v/>
      </c>
      <c r="F17" t="inlineStr">
        <is>
          <t>Grid first row</t>
        </is>
      </c>
      <c r="G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"_data"),G$16))</f>
        <v/>
      </c>
      <c r="H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"_data"),H$16))</f>
        <v/>
      </c>
      <c r="I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"_data"),I$16))</f>
        <v/>
      </c>
      <c r="J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"_data"),J$16))</f>
        <v/>
      </c>
      <c r="K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"_data"),K$16))</f>
        <v/>
      </c>
      <c r="L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"_data"),L$16))</f>
        <v/>
      </c>
      <c r="M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"_data"),M$16))</f>
        <v/>
      </c>
      <c r="N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"_data"),N$16))</f>
        <v/>
      </c>
      <c r="O17">
        <f>SUM(G17:N17)</f>
        <v/>
      </c>
    </row>
    <row r="18">
      <c r="A18" t="inlineStr">
        <is>
          <t>Grid second row</t>
        </is>
      </c>
      <c r="B18">
        <f>COUNTIFS(Q_SS_EXPORT_data,F_Country_crit,Q_MS_EXPORTr1_data,F_Industry_crit,INDIRECT(F_Custom1_resolved_column),F_Custom1_crit,INDIRECT(F_Custom2_resolved_column),F_Custom2_crit,INDIRECT(Q_GRID_EXPORT_F_resolved_column),Q_GRID_EXPORT_F_crit,Q_GRID_EXPORTr2_data,"Selected")</f>
        <v/>
      </c>
      <c r="C18" s="6">
        <f>IFERROR(B18/SUBTOTAL(9,B17:B18),0)</f>
        <v/>
      </c>
      <c r="D18" s="11">
        <f>SUBTOTAL(9,B17:B18)</f>
        <v/>
      </c>
      <c r="F18" t="inlineStr">
        <is>
          <t>Grid second row</t>
        </is>
      </c>
      <c r="G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"_data"),G$16))</f>
        <v/>
      </c>
      <c r="H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"_data"),H$16))</f>
        <v/>
      </c>
      <c r="I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"_data"),I$16))</f>
        <v/>
      </c>
      <c r="J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"_data"),J$16))</f>
        <v/>
      </c>
      <c r="K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"_data"),K$16))</f>
        <v/>
      </c>
      <c r="L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"_data"),L$16))</f>
        <v/>
      </c>
      <c r="M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"_data"),M$16))</f>
        <v/>
      </c>
      <c r="N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Q_VERY_LONG_SINGLE_SELECT_EXPORT_NAME - Long sheet name export question</t>
        </is>
      </c>
    </row>
    <row r="23">
      <c r="A23" s="3" t="inlineStr">
        <is>
          <t>Option</t>
        </is>
      </c>
      <c r="B23" s="3" t="inlineStr">
        <is>
          <t>Count</t>
        </is>
      </c>
      <c r="C23" s="3" t="inlineStr">
        <is>
          <t>%</t>
        </is>
      </c>
      <c r="D23" s="3" t="inlineStr">
        <is>
          <t>Denominator</t>
        </is>
      </c>
      <c r="F23" s="4" t="inlineStr">
        <is>
          <t>Option \ Cross-tab</t>
        </is>
      </c>
      <c r="G23">
        <f>IFERROR(INDEX(INDIRECT(Q_VERY_LONG_SINGLE_SELECT_EXPORT_NAME_CT &amp; "_options"),2),"")</f>
        <v/>
      </c>
      <c r="H23">
        <f>IFERROR(INDEX(INDIRECT(Q_VERY_LONG_SINGLE_SELECT_EXPORT_NAME_CT &amp; "_options"),3),"")</f>
        <v/>
      </c>
      <c r="I23">
        <f>IFERROR(INDEX(INDIRECT(Q_VERY_LONG_SINGLE_SELECT_EXPORT_NAME_CT &amp; "_options"),4),"")</f>
        <v/>
      </c>
      <c r="J23">
        <f>IFERROR(INDEX(INDIRECT(Q_VERY_LONG_SINGLE_SELECT_EXPORT_NAME_CT &amp; "_options"),5),"")</f>
        <v/>
      </c>
      <c r="K23">
        <f>IFERROR(INDEX(INDIRECT(Q_VERY_LONG_SINGLE_SELECT_EXPORT_NAME_CT &amp; "_options"),6),"")</f>
        <v/>
      </c>
      <c r="L23">
        <f>IFERROR(INDEX(INDIRECT(Q_VERY_LONG_SINGLE_SELECT_EXPORT_NAME_CT &amp; "_options"),7),"")</f>
        <v/>
      </c>
      <c r="M23">
        <f>IFERROR(INDEX(INDIRECT(Q_VERY_LONG_SINGLE_SELECT_EXPORT_NAME_CT &amp; "_options"),8),"")</f>
        <v/>
      </c>
      <c r="N23">
        <f>IFERROR(INDEX(INDIRECT(Q_VERY_LONG_SINGLE_SELECT_EXPORT_NAME_CT &amp; "_options"),9),"")</f>
        <v/>
      </c>
      <c r="O23" s="4" t="inlineStr">
        <is>
          <t>TOTAL</t>
        </is>
      </c>
    </row>
    <row r="24">
      <c r="A24" t="inlineStr">
        <is>
          <t>A</t>
        </is>
      </c>
      <c r="B24">
        <f>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24" s="6">
        <f>IFERROR(B24/SUBTOTAL(9,B24:B25),0)</f>
        <v/>
      </c>
      <c r="D24" s="11">
        <f>SUBTOTAL(9,B24:B25)</f>
        <v/>
      </c>
      <c r="F24" t="inlineStr">
        <is>
          <t>A</t>
        </is>
      </c>
      <c r="G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"_data"),G$23))</f>
        <v/>
      </c>
      <c r="H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"_data"),H$23))</f>
        <v/>
      </c>
      <c r="I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"_data"),I$23))</f>
        <v/>
      </c>
      <c r="J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"_data"),J$23))</f>
        <v/>
      </c>
      <c r="K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"_data"),K$23))</f>
        <v/>
      </c>
      <c r="L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"_data"),L$23))</f>
        <v/>
      </c>
      <c r="M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"_data"),M$23))</f>
        <v/>
      </c>
      <c r="N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"_data"),N$23))</f>
        <v/>
      </c>
      <c r="O24">
        <f>SUM(G24:N24)</f>
        <v/>
      </c>
    </row>
    <row r="25">
      <c r="A25" t="inlineStr">
        <is>
          <t>B</t>
        </is>
      </c>
      <c r="B25">
        <f>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25" s="6">
        <f>IFERROR(B25/SUBTOTAL(9,B24:B25),0)</f>
        <v/>
      </c>
      <c r="D25" s="11">
        <f>SUBTOTAL(9,B24:B25)</f>
        <v/>
      </c>
      <c r="F25" t="inlineStr">
        <is>
          <t>B</t>
        </is>
      </c>
      <c r="G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"_data"),G$23))</f>
        <v/>
      </c>
      <c r="H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"_data"),H$23))</f>
        <v/>
      </c>
      <c r="I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"_data"),I$23))</f>
        <v/>
      </c>
      <c r="J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"_data"),J$23))</f>
        <v/>
      </c>
      <c r="K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"_data"),K$23))</f>
        <v/>
      </c>
      <c r="L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"_data"),L$23))</f>
        <v/>
      </c>
      <c r="M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"_data"),M$23))</f>
        <v/>
      </c>
      <c r="N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"_data"),N$23))</f>
        <v/>
      </c>
      <c r="O25">
        <f>SUM(G25:N25)</f>
        <v/>
      </c>
    </row>
  </sheetData>
  <mergeCells count="4">
    <mergeCell ref="A1:J1"/>
    <mergeCell ref="A4:J4"/>
    <mergeCell ref="A14:J14"/>
    <mergeCell ref="A21:J2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2026-05-13T19:23:22Z</dcterms:created>
  <dcterms:modified xmlns:dcterms="http://purl.org/dc/terms/" xmlns:xsi="http://www.w3.org/2001/XMLSchema-instance" xsi:type="dcterms:W3CDTF">2026-05-13T19:23:22Z</dcterms:modified>
</cp:coreProperties>
</file>