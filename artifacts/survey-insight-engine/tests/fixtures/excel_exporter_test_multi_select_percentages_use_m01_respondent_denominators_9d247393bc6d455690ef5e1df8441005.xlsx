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resolved_criteria">'All Questions'!$H$24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IF(All_Questions_Q4_CT="(None)","",IFERROR(INDEX(INDIRECT(IFERROR(INDEX(Cross_Tab_Questions_Options_Names,MATCH(All_Questions_Q4_CT,Cross_Tab_Questions,0)),"'_Options'!$E$2:$E$2")),2),""))</f>
        <v/>
      </c>
      <c r="H16" s="2" t="str">
        <f>IF(All_Questions_Q4_CT="(None)","",IFERROR(INDEX(INDIRECT(IFERROR(INDEX(Cross_Tab_Questions_Options_Names,MATCH(All_Questions_Q4_CT,Cross_Tab_Questions,0)),"'_Options'!$E$2:$E$2")),3),""))</f>
        <v/>
      </c>
      <c r="I16" s="2" t="str">
        <f>IF(All_Questions_Q4_CT="(None)","",IFERROR(INDEX(INDIRECT(IFERROR(INDEX(Cross_Tab_Questions_Options_Names,MATCH(All_Questions_Q4_CT,Cross_Tab_Questions,0)),"'_Options'!$E$2:$E$2")),4),""))</f>
        <v/>
      </c>
      <c r="J16" s="2" t="str">
        <f>IF(All_Questions_Q4_CT="(None)","",IFERROR(INDEX(INDIRECT(IFERROR(INDEX(Cross_Tab_Questions_Options_Names,MATCH(All_Questions_Q4_CT,Cross_Tab_Questions,0)),"'_Options'!$E$2:$E$2")),5),""))</f>
        <v/>
      </c>
      <c r="K16" s="2" t="str">
        <f>IF(All_Questions_Q4_CT="(None)","",IFERROR(INDEX(INDIRECT(IFERROR(INDEX(Cross_Tab_Questions_Options_Names,MATCH(All_Questions_Q4_CT,Cross_Tab_Questions,0)),"'_Options'!$E$2:$E$2")),6),""))</f>
        <v/>
      </c>
      <c r="L16" s="2" t="str">
        <f>IF(All_Questions_Q4_CT="(None)","",IFERROR(INDEX(INDIRECT(IFERROR(INDEX(Cross_Tab_Questions_Options_Names,MATCH(All_Questions_Q4_CT,Cross_Tab_Questions,0)),"'_Options'!$E$2:$E$2")),7),""))</f>
        <v/>
      </c>
      <c r="M16" s="2" t="str">
        <f>IF(All_Questions_Q4_CT="(None)","",IFERROR(INDEX(INDIRECT(IFERROR(INDEX(Cross_Tab_Questions_Options_Names,MATCH(All_Questions_Q4_CT,Cross_Tab_Questions,0)),"'_Options'!$E$2:$E$2")),8),""))</f>
        <v/>
      </c>
      <c r="N16" s="2" t="str">
        <f>IF(All_Questions_Q4_CT="(None)","",IFERROR(INDEX(INDIRECT(IFERROR(INDEX(Cross_Tab_Questions_Options_Names,MATCH(All_Questions_Q4_CT,Cross_Tab_Questions,0)),"'_Options'!$E$2:$E$2")),9),""))</f>
        <v/>
      </c>
      <c r="O16" s="2" t="str">
        <f>IF(All_Questions_Q4_CT="(None)","",IFERROR(INDEX(INDIRECT(IFERROR(INDEX(Cross_Tab_Questions_Options_Names,MATCH(All_Questions_Q4_CT,Cross_Tab_Questions,0)),"'_Options'!$E$2:$E$2")),10),""))</f>
        <v/>
      </c>
      <c r="P16" s="2" t="str">
        <f>IF(All_Questions_Q4_CT="(None)","",IFERROR(INDEX(INDIRECT(IFERROR(INDEX(Cross_Tab_Questions_Options_Names,MATCH(All_Questions_Q4_CT,Cross_Tab_Questions,0)),"'_Options'!$E$2:$E$2")),11),""))</f>
        <v/>
      </c>
      <c r="Q16" s="2" t="str">
        <f>IF(All_Questions_Q4_CT="(None)","",IFERROR(INDEX(INDIRECT(IFERROR(INDEX(Cross_Tab_Questions_Options_Names,MATCH(All_Questions_Q4_CT,Cross_Tab_Questions,0)),"'_Options'!$E$2:$E$2")),12),""))</f>
        <v/>
      </c>
      <c r="R16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 s="7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0.6844660194174758</v>
      </c>
      <c r="H18" s="7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0.6844660194174758</v>
      </c>
      <c r="I18" s="7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0.6844660194174758</v>
      </c>
      <c r="J18" s="7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0.6844660194174758</v>
      </c>
      <c r="K18" s="7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0.6844660194174758</v>
      </c>
      <c r="L18" s="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0.6844660194174758</v>
      </c>
      <c r="M18" s="7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0.6844660194174758</v>
      </c>
      <c r="N18" s="7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0.6844660194174758</v>
      </c>
      <c r="O18" s="7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0.6844660194174758</v>
      </c>
      <c r="P18" s="7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0.6844660194174758</v>
      </c>
      <c r="Q18" s="7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0.6844660194174758</v>
      </c>
      <c r="R18" s="7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0.6844660194174758</v>
      </c>
      <c r="S18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 s="7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0.4029126213592233</v>
      </c>
      <c r="H19" s="7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0.4029126213592233</v>
      </c>
      <c r="I19" s="7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0.4029126213592233</v>
      </c>
      <c r="J19" s="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0.4029126213592233</v>
      </c>
      <c r="K19" s="7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0.4029126213592233</v>
      </c>
      <c r="L19" s="7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0.4029126213592233</v>
      </c>
      <c r="M19" s="7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0.4029126213592233</v>
      </c>
      <c r="N19" s="7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0.4029126213592233</v>
      </c>
      <c r="O19" s="7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0.4029126213592233</v>
      </c>
      <c r="P19" s="7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0.4029126213592233</v>
      </c>
      <c r="Q19" s="7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0.4029126213592233</v>
      </c>
      <c r="R19" s="7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0.4029126213592233</v>
      </c>
      <c r="S19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24" t="str">
        <f>"|" &amp; SUBSTITUTE(All_Questions_Q5_F_V, ", ", "|") &amp; "|"</f>
        <v>|(All)|</v>
      </c>
      <c r="H24" t="str">
        <f>IFERROR(INDEX(All_Questions_Value_Criteria,MATCH(All_Questions_Q5_F_Q&amp;"|"&amp;All_Questions_Q5_F_V,All_Questions_Value_Keys,0)),All_Questions_Q5_F_V)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IF(All_Questions_Q5_CT="(None)","",IFERROR(INDEX(INDIRECT(IFERROR(INDEX(Cross_Tab_Questions_Options_Names,MATCH(All_Questions_Q5_CT,Cross_Tab_Questions,0)),"'_Options'!$E$2:$E$2")),2),""))</f>
        <v/>
      </c>
      <c r="H27" s="2" t="str">
        <f>IF(All_Questions_Q5_CT="(None)","",IFERROR(INDEX(INDIRECT(IFERROR(INDEX(Cross_Tab_Questions_Options_Names,MATCH(All_Questions_Q5_CT,Cross_Tab_Questions,0)),"'_Options'!$E$2:$E$2")),3),""))</f>
        <v/>
      </c>
      <c r="I27" s="2" t="str">
        <f>IF(All_Questions_Q5_CT="(None)","",IFERROR(INDEX(INDIRECT(IFERROR(INDEX(Cross_Tab_Questions_Options_Names,MATCH(All_Questions_Q5_CT,Cross_Tab_Questions,0)),"'_Options'!$E$2:$E$2")),4),""))</f>
        <v/>
      </c>
      <c r="J27" s="2" t="str">
        <f>IF(All_Questions_Q5_CT="(None)","",IFERROR(INDEX(INDIRECT(IFERROR(INDEX(Cross_Tab_Questions_Options_Names,MATCH(All_Questions_Q5_CT,Cross_Tab_Questions,0)),"'_Options'!$E$2:$E$2")),5),""))</f>
        <v/>
      </c>
      <c r="K27" s="2" t="str">
        <f>IF(All_Questions_Q5_CT="(None)","",IFERROR(INDEX(INDIRECT(IFERROR(INDEX(Cross_Tab_Questions_Options_Names,MATCH(All_Questions_Q5_CT,Cross_Tab_Questions,0)),"'_Options'!$E$2:$E$2")),6),""))</f>
        <v/>
      </c>
      <c r="L27" s="2" t="str">
        <f>IF(All_Questions_Q5_CT="(None)","",IFERROR(INDEX(INDIRECT(IFERROR(INDEX(Cross_Tab_Questions_Options_Names,MATCH(All_Questions_Q5_CT,Cross_Tab_Questions,0)),"'_Options'!$E$2:$E$2")),7),""))</f>
        <v/>
      </c>
      <c r="M27" s="2" t="str">
        <f>IF(All_Questions_Q5_CT="(None)","",IFERROR(INDEX(INDIRECT(IFERROR(INDEX(Cross_Tab_Questions_Options_Names,MATCH(All_Questions_Q5_CT,Cross_Tab_Questions,0)),"'_Options'!$E$2:$E$2")),8),""))</f>
        <v/>
      </c>
      <c r="N27" s="2" t="str">
        <f>IF(All_Questions_Q5_CT="(None)","",IFERROR(INDEX(INDIRECT(IFERROR(INDEX(Cross_Tab_Questions_Options_Names,MATCH(All_Questions_Q5_CT,Cross_Tab_Questions,0)),"'_Options'!$E$2:$E$2")),9),""))</f>
        <v/>
      </c>
      <c r="O27" s="2" t="str">
        <f>IF(All_Questions_Q5_CT="(None)","",IFERROR(INDEX(INDIRECT(IFERROR(INDEX(Cross_Tab_Questions_Options_Names,MATCH(All_Questions_Q5_CT,Cross_Tab_Questions,0)),"'_Options'!$E$2:$E$2")),10),""))</f>
        <v/>
      </c>
      <c r="P27" s="2" t="str">
        <f>IF(All_Questions_Q5_CT="(None)","",IFERROR(INDEX(INDIRECT(IFERROR(INDEX(Cross_Tab_Questions_Options_Names,MATCH(All_Questions_Q5_CT,Cross_Tab_Questions,0)),"'_Options'!$E$2:$E$2")),11),""))</f>
        <v/>
      </c>
      <c r="Q27" s="2" t="str">
        <f>IF(All_Questions_Q5_CT="(None)","",IFERROR(INDEX(INDIRECT(IFERROR(INDEX(Cross_Tab_Questions_Options_Names,MATCH(All_Questions_Q5_CT,Cross_Tab_Questions,0)),"'_Options'!$E$2:$E$2")),12),""))</f>
        <v/>
      </c>
      <c r="R27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 s="7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0.6071428571428571</v>
      </c>
      <c r="H29" s="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0.6071428571428571</v>
      </c>
      <c r="I29" s="7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0.6071428571428571</v>
      </c>
      <c r="J29" s="7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0.6071428571428571</v>
      </c>
      <c r="K29" s="7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0.6071428571428571</v>
      </c>
      <c r="L29" s="7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0.6071428571428571</v>
      </c>
      <c r="M29" s="7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0.6071428571428571</v>
      </c>
      <c r="N29" s="7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0.6071428571428571</v>
      </c>
      <c r="O29" s="7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0.6071428571428571</v>
      </c>
      <c r="P29" s="7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0.6071428571428571</v>
      </c>
      <c r="Q29" s="7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0.6071428571428571</v>
      </c>
      <c r="R29" s="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0.6071428571428571</v>
      </c>
      <c r="S29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 s="7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0.39285714285714285</v>
      </c>
      <c r="H30" s="7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0.39285714285714285</v>
      </c>
      <c r="I30" s="7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0.39285714285714285</v>
      </c>
      <c r="J30" s="7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0.39285714285714285</v>
      </c>
      <c r="K30" s="7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0.39285714285714285</v>
      </c>
      <c r="L30" s="7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0.39285714285714285</v>
      </c>
      <c r="M30" s="7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0.39285714285714285</v>
      </c>
      <c r="N30" s="7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0.39285714285714285</v>
      </c>
      <c r="O30" s="7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0.39285714285714285</v>
      </c>
      <c r="P30" s="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0.39285714285714285</v>
      </c>
      <c r="Q30" s="7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0.39285714285714285</v>
      </c>
      <c r="R30" s="7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0.39285714285714285</v>
      </c>
      <c r="S30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G$16</t>
        </is>
      </c>
      <c r="H2">
        <f>IF(OR(All_Questions_Q4_CT="(None)",G$16=""),"",IF(G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2" t="n">
        <v>0.6844660194174758</v>
      </c>
      <c r="J2" t="n">
        <v>0</v>
      </c>
      <c r="K2" t="n">
        <v>0</v>
      </c>
      <c r="L2" t="inlineStr">
        <is>
          <t>2026-06-08T13:42:59.773817+00:00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H$16</t>
        </is>
      </c>
      <c r="H3">
        <f>IF(OR(All_Questions_Q4_CT="(None)",H$16=""),"",IF(H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3" t="n">
        <v>0.6844660194174758</v>
      </c>
      <c r="J3" t="n">
        <v>0</v>
      </c>
      <c r="K3" t="n">
        <v>0</v>
      </c>
      <c r="L3" t="inlineStr">
        <is>
          <t>2026-06-08T13:42:59.774160+00:00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I$16</t>
        </is>
      </c>
      <c r="H4">
        <f>IF(OR(All_Questions_Q4_CT="(None)",I$16=""),"",IF(I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4" t="n">
        <v>0.6844660194174758</v>
      </c>
      <c r="J4" t="n">
        <v>0</v>
      </c>
      <c r="K4" t="n">
        <v>0</v>
      </c>
      <c r="L4" t="inlineStr">
        <is>
          <t>2026-06-08T13:42:59.774474+00:00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J$16</t>
        </is>
      </c>
      <c r="H5">
        <f>IF(OR(All_Questions_Q4_CT="(None)",J$16=""),"",IF(J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5" t="n">
        <v>0.6844660194174758</v>
      </c>
      <c r="J5" t="n">
        <v>0</v>
      </c>
      <c r="K5" t="n">
        <v>0</v>
      </c>
      <c r="L5" t="inlineStr">
        <is>
          <t>2026-06-08T13:42:59.774745+00:00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K$16</t>
        </is>
      </c>
      <c r="H6">
        <f>IF(OR(All_Questions_Q4_CT="(None)",K$16=""),"",IF(K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6" t="n">
        <v>0.6844660194174758</v>
      </c>
      <c r="J6" t="n">
        <v>0</v>
      </c>
      <c r="K6" t="n">
        <v>0</v>
      </c>
      <c r="L6" t="inlineStr">
        <is>
          <t>2026-06-08T13:42:59.775034+00:00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L$16</t>
        </is>
      </c>
      <c r="H7">
        <f>IF(OR(All_Questions_Q4_CT="(None)",L$16=""),"",IF(L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7" t="n">
        <v>0.6844660194174758</v>
      </c>
      <c r="J7" t="n">
        <v>0</v>
      </c>
      <c r="K7" t="n">
        <v>0</v>
      </c>
      <c r="L7" t="inlineStr">
        <is>
          <t>2026-06-08T13:42:59.775341+00:00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M$16</t>
        </is>
      </c>
      <c r="H8">
        <f>IF(OR(All_Questions_Q4_CT="(None)",M$16=""),"",IF(M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8" t="n">
        <v>0.6844660194174758</v>
      </c>
      <c r="J8" t="n">
        <v>0</v>
      </c>
      <c r="K8" t="n">
        <v>0</v>
      </c>
      <c r="L8" t="inlineStr">
        <is>
          <t>2026-06-08T13:42:59.775618+00:00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N$16</t>
        </is>
      </c>
      <c r="H9">
        <f>IF(OR(All_Questions_Q4_CT="(None)",N$16=""),"",IF(N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9" t="n">
        <v>0.6844660194174758</v>
      </c>
      <c r="J9" t="n">
        <v>0</v>
      </c>
      <c r="K9" t="n">
        <v>0</v>
      </c>
      <c r="L9" t="inlineStr">
        <is>
          <t>2026-06-08T13:42:59.775885+00:00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O$16</t>
        </is>
      </c>
      <c r="H10">
        <f>IF(OR(All_Questions_Q4_CT="(None)",O$16=""),"",IF(O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2026-06-08T13:42:59.776180+00:00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P$16</t>
        </is>
      </c>
      <c r="H11">
        <f>IF(OR(All_Questions_Q4_CT="(None)",P$16=""),"",IF(P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2026-06-08T13:42:59.776483+00:00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Q$16</t>
        </is>
      </c>
      <c r="H12">
        <f>IF(OR(All_Questions_Q4_CT="(None)",Q$16=""),"",IF(Q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2026-06-08T13:42:59.776751+00:00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R$16</t>
        </is>
      </c>
      <c r="H13">
        <f>IF(OR(All_Questions_Q4_CT="(None)",R$16=""),"",IF(R$16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2026-06-08T13:42:59.777127+00:00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G$16</t>
        </is>
      </c>
      <c r="H14">
        <f>IF(OR(All_Questions_Q4_CT="(None)",G$16=""),"",IF(G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$16)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2026-06-08T13:42:59.777643+00:00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H$16</t>
        </is>
      </c>
      <c r="H15">
        <f>IF(OR(All_Questions_Q4_CT="(None)",H$16=""),"",IF(H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$16)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2026-06-08T13:42:59.777913+00:00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I$16</t>
        </is>
      </c>
      <c r="H16">
        <f>IF(OR(All_Questions_Q4_CT="(None)",I$16=""),"",IF(I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$16)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2026-06-08T13:42:59.778208+00:00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J$16</t>
        </is>
      </c>
      <c r="H17">
        <f>IF(OR(All_Questions_Q4_CT="(None)",J$16=""),"",IF(J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$16)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2026-06-08T13:42:59.778511+00:00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K$16</t>
        </is>
      </c>
      <c r="H18">
        <f>IF(OR(All_Questions_Q4_CT="(None)",K$16=""),"",IF(K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$16)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2026-06-08T13:42:59.778778+00:00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L$16</t>
        </is>
      </c>
      <c r="H19">
        <f>IF(OR(All_Questions_Q4_CT="(None)",L$16=""),"",IF(L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$16)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2026-06-08T13:42:59.779069+00:00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M$16</t>
        </is>
      </c>
      <c r="H20">
        <f>IF(OR(All_Questions_Q4_CT="(None)",M$16=""),"",IF(M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$16)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2026-06-08T13:42:59.779363+00:00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N$16</t>
        </is>
      </c>
      <c r="H21">
        <f>IF(OR(All_Questions_Q4_CT="(None)",N$16=""),"",IF(N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N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N$16)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2026-06-08T13:42:59.779632+00:00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O$16</t>
        </is>
      </c>
      <c r="H22">
        <f>IF(OR(All_Questions_Q4_CT="(None)",O$16=""),"",IF(O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O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O$16)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2026-06-08T13:42:59.779894+00:00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P$16</t>
        </is>
      </c>
      <c r="H23">
        <f>IF(OR(All_Questions_Q4_CT="(None)",P$16=""),"",IF(P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P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P$16)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2026-06-08T13:42:59.780180+00:00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Q$16</t>
        </is>
      </c>
      <c r="H24">
        <f>IF(OR(All_Questions_Q4_CT="(None)",Q$16=""),"",IF(Q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Q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Q$16)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2026-06-08T13:42:59.780474+00:00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R$16</t>
        </is>
      </c>
      <c r="H25">
        <f>IF(OR(All_Questions_Q4_CT="(None)",R$16=""),"",IF(R$16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R$16)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R$16)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2026-06-08T13:42:59.780838+00:00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G$27</t>
        </is>
      </c>
      <c r="H26">
        <f>IF(OR(All_Questions_Q5_CT="(None)",G$27=""),"",IF(G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2026-06-08T13:42:59.818426+00:00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H$27</t>
        </is>
      </c>
      <c r="H27">
        <f>IF(OR(All_Questions_Q5_CT="(None)",H$27=""),"",IF(H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2026-06-08T13:42:59.818719+00:00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I$27</t>
        </is>
      </c>
      <c r="H28">
        <f>IF(OR(All_Questions_Q5_CT="(None)",I$27=""),"",IF(I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2026-06-08T13:42:59.819007+00:00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J$27</t>
        </is>
      </c>
      <c r="H29">
        <f>IF(OR(All_Questions_Q5_CT="(None)",J$27=""),"",IF(J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2026-06-08T13:42:59.819341+00:00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K$27</t>
        </is>
      </c>
      <c r="H30">
        <f>IF(OR(All_Questions_Q5_CT="(None)",K$27=""),"",IF(K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2026-06-08T13:42:59.819628+00:00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L$27</t>
        </is>
      </c>
      <c r="H31">
        <f>IF(OR(All_Questions_Q5_CT="(None)",L$27=""),"",IF(L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2026-06-08T13:42:59.819896+00:00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M$27</t>
        </is>
      </c>
      <c r="H32">
        <f>IF(OR(All_Questions_Q5_CT="(None)",M$27=""),"",IF(M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2026-06-08T13:42:59.820199+00:00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N$27</t>
        </is>
      </c>
      <c r="H33">
        <f>IF(OR(All_Questions_Q5_CT="(None)",N$27=""),"",IF(N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2026-06-08T13:42:59.820503+00:00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O$27</t>
        </is>
      </c>
      <c r="H34">
        <f>IF(OR(All_Questions_Q5_CT="(None)",O$27=""),"",IF(O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2026-06-08T13:42:59.820766+00:00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P$27</t>
        </is>
      </c>
      <c r="H35">
        <f>IF(OR(All_Questions_Q5_CT="(None)",P$27=""),"",IF(P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2026-06-08T13:42:59.821052+00:00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Q$27</t>
        </is>
      </c>
      <c r="H36">
        <f>IF(OR(All_Questions_Q5_CT="(None)",Q$27=""),"",IF(Q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2026-06-08T13:42:59.821341+00:00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R$27</t>
        </is>
      </c>
      <c r="H37">
        <f>IF(OR(All_Questions_Q5_CT="(None)",R$27=""),"",IF(R$27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2026-06-08T13:42:59.821685+00:00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G$27</t>
        </is>
      </c>
      <c r="H38">
        <f>IF(OR(All_Questions_Q5_CT="(None)",G$27=""),"",IF(G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$27)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2026-06-08T13:42:59.822186+00:00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H$27</t>
        </is>
      </c>
      <c r="H39">
        <f>IF(OR(All_Questions_Q5_CT="(None)",H$27=""),"",IF(H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$27)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2026-06-08T13:42:59.822481+00:00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I$27</t>
        </is>
      </c>
      <c r="H40">
        <f>IF(OR(All_Questions_Q5_CT="(None)",I$27=""),"",IF(I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$27)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2026-06-08T13:42:59.822741+00:00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J$27</t>
        </is>
      </c>
      <c r="H41">
        <f>IF(OR(All_Questions_Q5_CT="(None)",J$27=""),"",IF(J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$27)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2026-06-08T13:42:59.823024+00:00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K$27</t>
        </is>
      </c>
      <c r="H42">
        <f>IF(OR(All_Questions_Q5_CT="(None)",K$27=""),"",IF(K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$27)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2026-06-08T13:42:59.823316+00:00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L$27</t>
        </is>
      </c>
      <c r="H43">
        <f>IF(OR(All_Questions_Q5_CT="(None)",L$27=""),"",IF(L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$27)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2026-06-08T13:42:59.823586+00:00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M$27</t>
        </is>
      </c>
      <c r="H44">
        <f>IF(OR(All_Questions_Q5_CT="(None)",M$27=""),"",IF(M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$27)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2026-06-08T13:42:59.823844+00:00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N$27</t>
        </is>
      </c>
      <c r="H45">
        <f>IF(OR(All_Questions_Q5_CT="(None)",N$27=""),"",IF(N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N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N$27)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2026-06-08T13:42:59.824133+00:00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O$27</t>
        </is>
      </c>
      <c r="H46">
        <f>IF(OR(All_Questions_Q5_CT="(None)",O$27=""),"",IF(O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O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O$27)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2026-06-08T13:42:59.824430+00:00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P$27</t>
        </is>
      </c>
      <c r="H47">
        <f>IF(OR(All_Questions_Q5_CT="(None)",P$27=""),"",IF(P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P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P$27)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2026-06-08T13:42:59.824695+00:00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Q$27</t>
        </is>
      </c>
      <c r="H48">
        <f>IF(OR(All_Questions_Q5_CT="(None)",Q$27=""),"",IF(Q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Q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Q$27)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2026-06-08T13:42:59.824975+00:00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R$27</t>
        </is>
      </c>
      <c r="H49">
        <f>IF(OR(All_Questions_Q5_CT="(None)",R$27=""),"",IF(R$27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R$27)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R$27)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2026-06-08T13:42:59.825350+00:00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2026-06-08T13:42:58Z</dcterms:created>
  <dcterms:modified xmlns:dcterms="http://purl.org/dc/terms/" xmlns:xsi="http://www.w3.org/2001/XMLSchema-instance" xsi:type="dcterms:W3CDTF">2026-06-08T13:42:59Z</dcterms:modified>
</cp:coreProperties>
</file>