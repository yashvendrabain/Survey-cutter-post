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All_Questions_Data_Names">'_Options'!$C$2:$C$6</definedName>
    <definedName name="All_Questions_Options_Names">'_Options'!$D$2:$D$6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'_RawData'!$U$2:$U$11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'_RawData'!$V$2:$V$11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'_RawData'!$W$2:$W$11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  <c r="F23" i="7"/>
  <c r="G23" i="7"/>
  <c r="G26" i="7"/>
  <c r="H26" i="7"/>
  <c r="I26" i="7"/>
  <c r="J26" i="7"/>
  <c r="K26" i="7"/>
  <c r="L26" i="7"/>
  <c r="M26" i="7"/>
  <c r="N26" i="7"/>
  <c r="B27" i="7"/>
  <c r="C27" i="7"/>
  <c r="D27" i="7"/>
  <c r="G27" i="7"/>
  <c r="H27" i="7"/>
  <c r="I27" i="7"/>
  <c r="J27" i="7"/>
  <c r="K27" i="7"/>
  <c r="L27" i="7"/>
  <c r="M27" i="7"/>
  <c r="N27" i="7"/>
  <c r="O27" i="7"/>
  <c r="B28" i="7"/>
  <c r="C28" i="7"/>
  <c r="D28" i="7"/>
  <c r="G28" i="7"/>
  <c r="H28" i="7"/>
  <c r="I28" i="7"/>
  <c r="J28" i="7"/>
  <c r="K28" i="7"/>
  <c r="L28" i="7"/>
  <c r="M28" i="7"/>
  <c r="N28" i="7"/>
  <c r="O28" i="7"/>
  <c r="F33" i="7"/>
  <c r="G33" i="7"/>
  <c r="B37" i="7"/>
  <c r="D37" i="7"/>
  <c r="B38" i="7"/>
  <c r="D38" i="7"/>
  <c r="B39" i="7"/>
  <c r="D39" i="7"/>
  <c r="D40" i="7"/>
  <c r="F45" i="7"/>
  <c r="G45" i="7"/>
  <c r="G48" i="7"/>
  <c r="H48" i="7"/>
  <c r="I48" i="7"/>
  <c r="J48" i="7"/>
  <c r="K48" i="7"/>
  <c r="L48" i="7"/>
  <c r="M48" i="7"/>
  <c r="N48" i="7"/>
  <c r="B49" i="7"/>
  <c r="C49" i="7"/>
  <c r="D49" i="7"/>
  <c r="G49" i="7"/>
  <c r="H49" i="7"/>
  <c r="I49" i="7"/>
  <c r="J49" i="7"/>
  <c r="K49" i="7"/>
  <c r="L49" i="7"/>
  <c r="M49" i="7"/>
  <c r="N49" i="7"/>
  <c r="O49" i="7"/>
  <c r="B50" i="7"/>
  <c r="C50" i="7"/>
  <c r="D50" i="7"/>
  <c r="G50" i="7"/>
  <c r="H50" i="7"/>
  <c r="I50" i="7"/>
  <c r="J50" i="7"/>
  <c r="K50" i="7"/>
  <c r="L50" i="7"/>
  <c r="M50" i="7"/>
  <c r="N50" i="7"/>
  <c r="O50" i="7"/>
  <c r="F55" i="7"/>
  <c r="G55" i="7"/>
  <c r="G58" i="7"/>
  <c r="H58" i="7"/>
  <c r="I58" i="7"/>
  <c r="J58" i="7"/>
  <c r="K58" i="7"/>
  <c r="L58" i="7"/>
  <c r="M58" i="7"/>
  <c r="N58" i="7"/>
  <c r="B59" i="7"/>
  <c r="C59" i="7"/>
  <c r="D59" i="7"/>
  <c r="G59" i="7"/>
  <c r="H59" i="7"/>
  <c r="I59" i="7"/>
  <c r="J59" i="7"/>
  <c r="K59" i="7"/>
  <c r="L59" i="7"/>
  <c r="M59" i="7"/>
  <c r="N59" i="7"/>
  <c r="O59" i="7"/>
  <c r="B60" i="7"/>
  <c r="C60" i="7"/>
  <c r="D60" i="7"/>
  <c r="G60" i="7"/>
  <c r="H60" i="7"/>
  <c r="I60" i="7"/>
  <c r="J60" i="7"/>
  <c r="K60" i="7"/>
  <c r="L60" i="7"/>
  <c r="M60" i="7"/>
  <c r="N60" i="7"/>
  <c r="O6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2" authorId="0" shapeId="0">
      <text>
        <t>Multi select export question</t>
      </text>
    </comment>
    <comment ref="A32" authorId="0" shapeId="0">
      <text>
        <t>Numeric export question</t>
      </text>
    </comment>
    <comment ref="A44" authorId="0" shapeId="0">
      <text>
        <t>Grid export question</t>
      </text>
    </comment>
    <comment ref="A54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Q_VERY_LONG_SINGLE_SELECT_EXPOR_data</t>
        </is>
      </c>
      <c r="D4" t="inlineStr">
        <is>
          <t>Q_VERY_LONG_SINGLE_SELECT_EXPOR_options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Name Export</t>
        </is>
      </c>
      <c r="C5" t="inlineStr">
        <is>
          <t>Q_SEG_1_data</t>
        </is>
      </c>
      <c r="D5" t="inlineStr">
        <is>
          <t>Q_SEG_1_options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Category</t>
        </is>
      </c>
      <c r="B6" t="inlineStr">
        <is>
          <t>Q_SEG_1 - Segment</t>
        </is>
      </c>
      <c r="C6" t="inlineStr">
        <is>
          <t>Q_TGT_1_data</t>
        </is>
      </c>
      <c r="D6" t="inlineStr">
        <is>
          <t>Q_TGT_1_options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Category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6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XLOOKUP(All_Questions_Q_SS_EXPORT_F_Q,All_Questions,All_Questions_Data_Names,"respondent_id_data")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IFERROR(INDEX(INDIRECT(XLOOKUP(All_Questions_Q_SS_EXPORT_CT,All_Questions,All_Questions_Options_Names,"None_options")),2),"")</f>
        <v/>
      </c>
      <c r="H16" t="str">
        <f>IFERROR(INDEX(INDIRECT(XLOOKUP(All_Questions_Q_SS_EXPORT_CT,All_Questions,All_Questions_Options_Names,"None_options")),3),"")</f>
        <v/>
      </c>
      <c r="I16" t="str">
        <f>IFERROR(INDEX(INDIRECT(XLOOKUP(All_Questions_Q_SS_EXPORT_CT,All_Questions,All_Questions_Options_Names,"None_options")),4),"")</f>
        <v/>
      </c>
      <c r="J16" t="str">
        <f>IFERROR(INDEX(INDIRECT(XLOOKUP(All_Questions_Q_SS_EXPORT_CT,All_Questions,All_Questions_Options_Names,"None_options")),5),"")</f>
        <v/>
      </c>
      <c r="K16" t="str">
        <f>IFERROR(INDEX(INDIRECT(XLOOKUP(All_Questions_Q_SS_EXPORT_CT,All_Questions,All_Questions_Options_Names,"None_options")),6),"")</f>
        <v/>
      </c>
      <c r="L16" t="str">
        <f>IFERROR(INDEX(INDIRECT(XLOOKUP(All_Questions_Q_SS_EXPORT_CT,All_Questions,All_Questions_Options_Names,"None_options")),7),"")</f>
        <v/>
      </c>
      <c r="M16" t="str">
        <f>IFERROR(INDEX(INDIRECT(XLOOKUP(All_Questions_Q_SS_EXPORT_CT,All_Questions,All_Questions_Options_Names,"None_options")),8),"")</f>
        <v/>
      </c>
      <c r="N16" t="str">
        <f>IFERROR(INDEX(INDIRECT(XLOOKUP(All_Questions_Q_SS_EXPORT_CT,All_Questions,All_Questions_Options_Names,"None_options")),9),"")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t="inlineStr">
        <is>
          <t>Yes</t>
        </is>
      </c>
      <c r="G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7">
        <f>SUM(G17:N17)</f>
        <v>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No</t>
        </is>
      </c>
      <c r="G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8">
        <f>SUM(G18:N18)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XLOOKUP(All_Questions_Q_MS_EXPORT_F_Q,All_Questions,All_Questions_Data_Names,"respondent_id_data")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5" t="inlineStr">
        <is>
          <t>Option \ Cross-tab</t>
        </is>
      </c>
      <c r="G26" t="str">
        <f>IFERROR(INDEX(INDIRECT(XLOOKUP(All_Questions_Q_MS_EXPORT_CT,All_Questions,All_Questions_Options_Names,"None_options")),2),"")</f>
        <v/>
      </c>
      <c r="H26" t="str">
        <f>IFERROR(INDEX(INDIRECT(XLOOKUP(All_Questions_Q_MS_EXPORT_CT,All_Questions,All_Questions_Options_Names,"None_options")),3),"")</f>
        <v/>
      </c>
      <c r="I26" t="str">
        <f>IFERROR(INDEX(INDIRECT(XLOOKUP(All_Questions_Q_MS_EXPORT_CT,All_Questions,All_Questions_Options_Names,"None_options")),4),"")</f>
        <v/>
      </c>
      <c r="J26" t="str">
        <f>IFERROR(INDEX(INDIRECT(XLOOKUP(All_Questions_Q_MS_EXPORT_CT,All_Questions,All_Questions_Options_Names,"None_options")),5),"")</f>
        <v/>
      </c>
      <c r="K26" t="str">
        <f>IFERROR(INDEX(INDIRECT(XLOOKUP(All_Questions_Q_MS_EXPORT_CT,All_Questions,All_Questions_Options_Names,"None_options")),6),"")</f>
        <v/>
      </c>
      <c r="L26" t="str">
        <f>IFERROR(INDEX(INDIRECT(XLOOKUP(All_Questions_Q_MS_EXPORT_CT,All_Questions,All_Questions_Options_Names,"None_options")),7),"")</f>
        <v/>
      </c>
      <c r="M26" t="str">
        <f>IFERROR(INDEX(INDIRECT(XLOOKUP(All_Questions_Q_MS_EXPORT_CT,All_Questions,All_Questions_Options_Names,"None_options")),8),"")</f>
        <v/>
      </c>
      <c r="N26" t="str">
        <f>IFERROR(INDEX(INDIRECT(XLOOKUP(All_Questions_Q_MS_EXPORT_CT,All_Questions,All_Questions_Options_Names,"None_options")),9),"")</f>
        <v/>
      </c>
      <c r="O26" s="5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t="inlineStr">
        <is>
          <t>First</t>
        </is>
      </c>
      <c r="G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7">
        <f>SUM(G27:N27)</f>
        <v>0</v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Second</t>
        </is>
      </c>
      <c r="G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8">
        <f>SUM(G28:N28)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Q_NUM_EXPORT - Numeric Export</t>
        </is>
      </c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XLOOKUP(All_Questions_Q_NUM_EXPORT_F_Q,All_Questions,All_Questions_Data_Names,"respondent_id_data")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Q_GRID_EXPORT - Grid Export</t>
        </is>
      </c>
      <c r="B44" s="12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2" t="n"/>
      <c r="N44" s="12" t="n"/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XLOOKUP(All_Questions_Q_GRID_EXPORT_F_Q,All_Questions,All_Questions_Data_Names,"respondent_id_data")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5" t="inlineStr">
        <is>
          <t>Option \ Cross-tab</t>
        </is>
      </c>
      <c r="G48" t="str">
        <f>IFERROR(INDEX(INDIRECT(XLOOKUP(All_Questions_Q_GRID_EXPORT_CT,All_Questions,All_Questions_Options_Names,"None_options")),2),"")</f>
        <v/>
      </c>
      <c r="H48" t="str">
        <f>IFERROR(INDEX(INDIRECT(XLOOKUP(All_Questions_Q_GRID_EXPORT_CT,All_Questions,All_Questions_Options_Names,"None_options")),3),"")</f>
        <v/>
      </c>
      <c r="I48" t="str">
        <f>IFERROR(INDEX(INDIRECT(XLOOKUP(All_Questions_Q_GRID_EXPORT_CT,All_Questions,All_Questions_Options_Names,"None_options")),4),"")</f>
        <v/>
      </c>
      <c r="J48" t="str">
        <f>IFERROR(INDEX(INDIRECT(XLOOKUP(All_Questions_Q_GRID_EXPORT_CT,All_Questions,All_Questions_Options_Names,"None_options")),5),"")</f>
        <v/>
      </c>
      <c r="K48" t="str">
        <f>IFERROR(INDEX(INDIRECT(XLOOKUP(All_Questions_Q_GRID_EXPORT_CT,All_Questions,All_Questions_Options_Names,"None_options")),6),"")</f>
        <v/>
      </c>
      <c r="L48" t="str">
        <f>IFERROR(INDEX(INDIRECT(XLOOKUP(All_Questions_Q_GRID_EXPORT_CT,All_Questions,All_Questions_Options_Names,"None_options")),7),"")</f>
        <v/>
      </c>
      <c r="M48" t="str">
        <f>IFERROR(INDEX(INDIRECT(XLOOKUP(All_Questions_Q_GRID_EXPORT_CT,All_Questions,All_Questions_Options_Names,"None_options")),8),"")</f>
        <v/>
      </c>
      <c r="N48" t="str">
        <f>IFERROR(INDEX(INDIRECT(XLOOKUP(All_Questions_Q_GRID_EXPORT_CT,All_Questions,All_Questions_Options_Names,"None_options")),9),"")</f>
        <v/>
      </c>
      <c r="O48" s="5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t="inlineStr">
        <is>
          <t>Grid first row</t>
        </is>
      </c>
      <c r="G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49">
        <f>SUM(G49:N49)</f>
        <v>0</v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second row</t>
        </is>
      </c>
      <c r="G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50">
        <f>SUM(G50:N50)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Q_VERY_LONG_SINGLE_SELECT_EXPORT_NAME - Long Name Export</t>
        </is>
      </c>
      <c r="B54" s="12" t="n"/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  <c r="N54" s="12" t="n"/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XLOOKUP(All_Questions_Q_VERY_LONG_SINGLE_SELECT_EXPORT_NAME_F_Q,All_Questions,All_Questions_Data_Names,"respondent_id_data")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5" t="inlineStr">
        <is>
          <t>Option \ Cross-tab</t>
        </is>
      </c>
      <c r="G58" t="str">
        <f>IFERROR(INDEX(INDIRECT(XLOOKUP(All_Questions_Q_VERY_LONG_SINGLE_SELECT_EXPORT_NAME_CT,All_Questions,All_Questions_Options_Names,"None_options")),2),"")</f>
        <v/>
      </c>
      <c r="H58" t="str">
        <f>IFERROR(INDEX(INDIRECT(XLOOKUP(All_Questions_Q_VERY_LONG_SINGLE_SELECT_EXPORT_NAME_CT,All_Questions,All_Questions_Options_Names,"None_options")),3),"")</f>
        <v/>
      </c>
      <c r="I58" t="str">
        <f>IFERROR(INDEX(INDIRECT(XLOOKUP(All_Questions_Q_VERY_LONG_SINGLE_SELECT_EXPORT_NAME_CT,All_Questions,All_Questions_Options_Names,"None_options")),4),"")</f>
        <v/>
      </c>
      <c r="J58" t="str">
        <f>IFERROR(INDEX(INDIRECT(XLOOKUP(All_Questions_Q_VERY_LONG_SINGLE_SELECT_EXPORT_NAME_CT,All_Questions,All_Questions_Options_Names,"None_options")),5),"")</f>
        <v/>
      </c>
      <c r="K58" t="str">
        <f>IFERROR(INDEX(INDIRECT(XLOOKUP(All_Questions_Q_VERY_LONG_SINGLE_SELECT_EXPORT_NAME_CT,All_Questions,All_Questions_Options_Names,"None_options")),6),"")</f>
        <v/>
      </c>
      <c r="L58" t="str">
        <f>IFERROR(INDEX(INDIRECT(XLOOKUP(All_Questions_Q_VERY_LONG_SINGLE_SELECT_EXPORT_NAME_CT,All_Questions,All_Questions_Options_Names,"None_options")),7),"")</f>
        <v/>
      </c>
      <c r="M58" t="str">
        <f>IFERROR(INDEX(INDIRECT(XLOOKUP(All_Questions_Q_VERY_LONG_SINGLE_SELECT_EXPORT_NAME_CT,All_Questions,All_Questions_Options_Names,"None_options")),8),"")</f>
        <v/>
      </c>
      <c r="N58" t="str">
        <f>IFERROR(INDEX(INDIRECT(XLOOKUP(All_Questions_Q_VERY_LONG_SINGLE_SELECT_EXPORT_NAME_CT,All_Questions,All_Questions_Options_Names,"None_options")),9),"")</f>
        <v/>
      </c>
      <c r="O58" s="5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t="inlineStr">
        <is>
          <t>A</t>
        </is>
      </c>
      <c r="G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59">
        <f>SUM(G59:N59)</f>
        <v>0</v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B</t>
        </is>
      </c>
      <c r="G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60">
        <f>SUM(G60:N60)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7:N18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7:O18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7:N28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7:O28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9:N5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9:O5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9:N6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9:O6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=INDIRECT(XLOOKUP(All_Questions_Q_NUM_EXPORT_F_Q,All_Questions,All_Questions_Options_Names,"None_options"))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=INDIRECT(XLOOKUP(All_Questions_Q_GRID_EXPORT_F_Q,All_Questions,All_Questions_Options_Names,"None_options"))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5">
    <tablePart r:id="rId1"/>
    <tablePart r:id="rId2"/>
    <tablePart r:id="rId3"/>
    <tablePart r:id="rId4"/>
    <tablePart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2026-05-17T13:42:16.904603+00:00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2026-05-17T13:42:16.907816+00:00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2026-05-17T13:42:16.908058+00:00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2026-05-17T13:42:16.913871+00:00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2026-05-17T13:42:16.918495+00:00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2026-05-17T13:42:16.922934+00:00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2026-05-17T13:42:16.926512+00:00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2026-05-17T13:42:16.926662+00:00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2026-05-17T13:42:16.931119+00:00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2026-05-17T13:42:16.934902+00:00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2026-05-17T13:42:16.938718+00:00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2026-05-17T13:42:16.939224+00:00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2026-05-17T13:42:16Z</dcterms:created>
  <dcterms:modified xmlns:dcterms="http://purl.org/dc/terms/" xmlns:xsi="http://www.w3.org/2001/XMLSchema-instance" xsi:type="dcterms:W3CDTF">2026-05-17T13:42:17Z</dcterms:modified>
</cp:coreProperties>
</file>