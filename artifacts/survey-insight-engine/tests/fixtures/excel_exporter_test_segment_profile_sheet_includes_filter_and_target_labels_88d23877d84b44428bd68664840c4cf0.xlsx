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All_Questions_Data_Names">'_Options'!$C$2:$C$6</definedName>
    <definedName name="All_Questions_Options_Names">'_Options'!$D$2:$D$6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Questions'!$C$33</definedName>
    <definedName name="All_Questions_Q_NUM_EXPORT_F_V">'All Questions'!$E$33</definedName>
    <definedName name="All_Questions_Q_NUM_EXPORT_F_resolved_column">'All Questions'!$F$33</definedName>
    <definedName name="All_Questions_Q_NUM_EXPORT_F_wrapped">'All Questions'!$G$33</definedName>
    <definedName name="All_Questions_Q_NUM_EXPORT_F_passes_per_q_filter_data">'_RawData'!$U$2:$U$11</definedName>
    <definedName name="All_Questions_Q_NUM_EXPORT_CT">'All Questions'!$C$34</definedName>
    <definedName name="All_Questions_Q_GRID_EXPORT_F_Q">'All Questions'!$C$45</definedName>
    <definedName name="All_Questions_Q_GRID_EXPORT_F_V">'All Questions'!$E$45</definedName>
    <definedName name="All_Questions_Q_GRID_EXPORT_F_resolved_column">'All Questions'!$F$45</definedName>
    <definedName name="All_Questions_Q_GRID_EXPORT_F_wrapped">'All Questions'!$G$45</definedName>
    <definedName name="All_Questions_Q_GRID_EXPORT_F_passes_per_q_filter_data">'_RawData'!$V$2:$V$11</definedName>
    <definedName name="All_Questions_Q_GRID_EXPORT_CT">'All Questions'!$C$46</definedName>
    <definedName name="All_Questions_Q_VERY_LONG_SINGLE_SELECT_EXPORT_NAME_F_Q">'All Questions'!$C$55</definedName>
    <definedName name="All_Questions_Q_VERY_LONG_SINGLE_SELECT_EXPORT_NAME_F_V">'All Questions'!$E$55</definedName>
    <definedName name="All_Questions_Q_VERY_LONG_SINGLE_SELECT_EXPORT_NAME_F_resolved_column">'All Questions'!$F$55</definedName>
    <definedName name="All_Questions_Q_VERY_LONG_SINGLE_SELECT_EXPORT_NAME_F_wrapped">'All Questions'!$G$55</definedName>
    <definedName name="All_Questions_Q_VERY_LONG_SINGLE_SELECT_EXPORT_NAME_F_passes_per_q_filter_data">'_RawData'!$W$2:$W$11</definedName>
    <definedName name="All_Questions_Q_VERY_LONG_SINGLE_SELECT_EXPORT_NAME_CT">'All Questions'!$C$56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I16" i="7"/>
  <c r="K16" i="7"/>
  <c r="M16" i="7"/>
  <c r="O16" i="7"/>
  <c r="Q16" i="7"/>
  <c r="S16" i="7"/>
  <c r="U16" i="7"/>
  <c r="W16" i="7"/>
  <c r="Y16" i="7"/>
  <c r="AA16" i="7"/>
  <c r="AC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T18" i="7"/>
  <c r="U18" i="7"/>
  <c r="V18" i="7"/>
  <c r="W18" i="7"/>
  <c r="X18" i="7"/>
  <c r="Y18" i="7"/>
  <c r="Z18" i="7"/>
  <c r="AA18" i="7"/>
  <c r="AB18" i="7"/>
  <c r="AC18" i="7"/>
  <c r="AD18" i="7"/>
  <c r="AE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T19" i="7"/>
  <c r="U19" i="7"/>
  <c r="V19" i="7"/>
  <c r="W19" i="7"/>
  <c r="X19" i="7"/>
  <c r="Y19" i="7"/>
  <c r="Z19" i="7"/>
  <c r="AA19" i="7"/>
  <c r="AB19" i="7"/>
  <c r="AC19" i="7"/>
  <c r="AD19" i="7"/>
  <c r="AE19" i="7"/>
  <c r="AE20" i="7"/>
  <c r="F23" i="7"/>
  <c r="G23" i="7"/>
  <c r="G26" i="7"/>
  <c r="I26" i="7"/>
  <c r="K26" i="7"/>
  <c r="M26" i="7"/>
  <c r="O26" i="7"/>
  <c r="Q26" i="7"/>
  <c r="S26" i="7"/>
  <c r="U26" i="7"/>
  <c r="W26" i="7"/>
  <c r="Y26" i="7"/>
  <c r="AA26" i="7"/>
  <c r="AC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T28" i="7"/>
  <c r="U28" i="7"/>
  <c r="V28" i="7"/>
  <c r="W28" i="7"/>
  <c r="X28" i="7"/>
  <c r="Y28" i="7"/>
  <c r="Z28" i="7"/>
  <c r="AA28" i="7"/>
  <c r="AB28" i="7"/>
  <c r="AC28" i="7"/>
  <c r="AD28" i="7"/>
  <c r="AE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T29" i="7"/>
  <c r="U29" i="7"/>
  <c r="V29" i="7"/>
  <c r="W29" i="7"/>
  <c r="X29" i="7"/>
  <c r="Y29" i="7"/>
  <c r="Z29" i="7"/>
  <c r="AA29" i="7"/>
  <c r="AB29" i="7"/>
  <c r="AC29" i="7"/>
  <c r="AD29" i="7"/>
  <c r="AE29" i="7"/>
  <c r="AE30" i="7"/>
  <c r="F33" i="7"/>
  <c r="G33" i="7"/>
  <c r="B37" i="7"/>
  <c r="D37" i="7"/>
  <c r="B38" i="7"/>
  <c r="D38" i="7"/>
  <c r="B39" i="7"/>
  <c r="D39" i="7"/>
  <c r="D40" i="7"/>
  <c r="F45" i="7"/>
  <c r="G45" i="7"/>
  <c r="G48" i="7"/>
  <c r="I48" i="7"/>
  <c r="K48" i="7"/>
  <c r="M48" i="7"/>
  <c r="O48" i="7"/>
  <c r="Q48" i="7"/>
  <c r="S48" i="7"/>
  <c r="U48" i="7"/>
  <c r="W48" i="7"/>
  <c r="Y48" i="7"/>
  <c r="AA48" i="7"/>
  <c r="AC48" i="7"/>
  <c r="B49" i="7"/>
  <c r="C49" i="7"/>
  <c r="D49" i="7"/>
  <c r="B50" i="7"/>
  <c r="C50" i="7"/>
  <c r="D50" i="7"/>
  <c r="G50" i="7"/>
  <c r="H50" i="7"/>
  <c r="I50" i="7"/>
  <c r="J50" i="7"/>
  <c r="K50" i="7"/>
  <c r="L50" i="7"/>
  <c r="M50" i="7"/>
  <c r="N50" i="7"/>
  <c r="O50" i="7"/>
  <c r="P50" i="7"/>
  <c r="Q50" i="7"/>
  <c r="R50" i="7"/>
  <c r="S50" i="7"/>
  <c r="T50" i="7"/>
  <c r="U50" i="7"/>
  <c r="V50" i="7"/>
  <c r="W50" i="7"/>
  <c r="X50" i="7"/>
  <c r="Y50" i="7"/>
  <c r="Z50" i="7"/>
  <c r="AA50" i="7"/>
  <c r="AB50" i="7"/>
  <c r="AC50" i="7"/>
  <c r="AD50" i="7"/>
  <c r="AE50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T51" i="7"/>
  <c r="U51" i="7"/>
  <c r="V51" i="7"/>
  <c r="W51" i="7"/>
  <c r="X51" i="7"/>
  <c r="Y51" i="7"/>
  <c r="Z51" i="7"/>
  <c r="AA51" i="7"/>
  <c r="AB51" i="7"/>
  <c r="AC51" i="7"/>
  <c r="AD51" i="7"/>
  <c r="AE51" i="7"/>
  <c r="AE52" i="7"/>
  <c r="F55" i="7"/>
  <c r="G55" i="7"/>
  <c r="G58" i="7"/>
  <c r="I58" i="7"/>
  <c r="K58" i="7"/>
  <c r="M58" i="7"/>
  <c r="O58" i="7"/>
  <c r="Q58" i="7"/>
  <c r="S58" i="7"/>
  <c r="U58" i="7"/>
  <c r="W58" i="7"/>
  <c r="Y58" i="7"/>
  <c r="AA58" i="7"/>
  <c r="AC58" i="7"/>
  <c r="B59" i="7"/>
  <c r="C59" i="7"/>
  <c r="D59" i="7"/>
  <c r="B60" i="7"/>
  <c r="C60" i="7"/>
  <c r="D60" i="7"/>
  <c r="G60" i="7"/>
  <c r="H60" i="7"/>
  <c r="I60" i="7"/>
  <c r="J60" i="7"/>
  <c r="K60" i="7"/>
  <c r="L60" i="7"/>
  <c r="M60" i="7"/>
  <c r="N60" i="7"/>
  <c r="O60" i="7"/>
  <c r="P60" i="7"/>
  <c r="Q60" i="7"/>
  <c r="R60" i="7"/>
  <c r="S60" i="7"/>
  <c r="T60" i="7"/>
  <c r="U60" i="7"/>
  <c r="V60" i="7"/>
  <c r="W60" i="7"/>
  <c r="X60" i="7"/>
  <c r="Y60" i="7"/>
  <c r="Z60" i="7"/>
  <c r="AA60" i="7"/>
  <c r="AB60" i="7"/>
  <c r="AC60" i="7"/>
  <c r="AD60" i="7"/>
  <c r="AE60" i="7"/>
  <c r="G61" i="7"/>
  <c r="H61" i="7"/>
  <c r="I61" i="7"/>
  <c r="J61" i="7"/>
  <c r="K61" i="7"/>
  <c r="L61" i="7"/>
  <c r="M61" i="7"/>
  <c r="N61" i="7"/>
  <c r="O61" i="7"/>
  <c r="P61" i="7"/>
  <c r="Q61" i="7"/>
  <c r="R61" i="7"/>
  <c r="S61" i="7"/>
  <c r="T61" i="7"/>
  <c r="U61" i="7"/>
  <c r="V61" i="7"/>
  <c r="W61" i="7"/>
  <c r="X61" i="7"/>
  <c r="Y61" i="7"/>
  <c r="Z61" i="7"/>
  <c r="AA61" i="7"/>
  <c r="AB61" i="7"/>
  <c r="AC61" i="7"/>
  <c r="AD61" i="7"/>
  <c r="AE61" i="7"/>
  <c r="AE62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29" headerRowCount="1">
  <autoFilter ref="A26:D2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6_1" displayName="T_All_Questions_36_1" ref="A36:D40" headerRowCount="1">
  <autoFilter ref="A36:D40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8_1" displayName="T_All_Questions_48_1" ref="A48:D51" headerRowCount="1">
  <autoFilter ref="A48:D5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8_1" displayName="T_All_Questions_58_1" ref="A58:D61" headerRowCount="1">
  <autoFilter ref="A58:D6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respondent_id_data</t>
        </is>
      </c>
      <c r="D2" t="inlineStr">
        <is>
          <t>None_options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Q_SS_EXPORT_data</t>
        </is>
      </c>
      <c r="D3" t="inlineStr">
        <is>
          <t>Q_SS_EXPORT_options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</t>
        </is>
      </c>
      <c r="C4" t="inlineStr">
        <is>
          <t>Q_VERY_LONG_SINGLE_SELECT_EXPOR_data</t>
        </is>
      </c>
      <c r="D4" t="inlineStr">
        <is>
          <t>Q_VERY_LONG_SINGLE_SELECT_EXPOR_options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Name Export</t>
        </is>
      </c>
      <c r="C5" t="inlineStr">
        <is>
          <t>Q_SEG_1_data</t>
        </is>
      </c>
      <c r="D5" t="inlineStr">
        <is>
          <t>Q_SEG_1_options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Category</t>
        </is>
      </c>
      <c r="B6" t="inlineStr">
        <is>
          <t>Q_SEG_1 - Segment</t>
        </is>
      </c>
      <c r="C6" t="inlineStr">
        <is>
          <t>Q_TGT_1_data</t>
        </is>
      </c>
      <c r="D6" t="inlineStr">
        <is>
          <t>Q_TGT_1_options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Category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XLOOKUP(F_Custom1_Q,All_Questions,All_Questions_Data_Names,"respondent_id_data")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XLOOKUP(F_Custom2_Q,All_Questions,All_Questions_Data_Names,"respondent_id_data")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=INDIRECT(XLOOKUP(F_Custom1_Q,All_Questions,All_Questions_Options_Names,"None_options"))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=INDIRECT(XLOOKUP(F_Custom2_Q,All_Questions,All_Questions_Options_Names,"None_options"))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E6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XLOOKUP(All_Questions_F_Custom1_Q_resolved,All_Questions,All_Questions_Data_Names,"respondent_id_data")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XLOOKUP(All_Questions_F_Custom2_Q_resolved,All_Questions,All_Questions_Data_Names,"respondent_id_data")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XLOOKUP(All_Questions_Q_SS_EXPORT_F_Q,All_Questions,All_Questions_Data_Names,"respondent_id_data")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IF(All_Questions_Q_SS_EXPORT_CT="(None)","",IFERROR(INDEX(INDIRECT(XLOOKUP(All_Questions_Q_SS_EXPORT_CT,All_Questions,All_Questions_Options_Names,"None_options")),2),""))</f>
        <v/>
      </c>
      <c r="H16" s="2" t="n"/>
      <c r="I16" s="2" t="str">
        <f>IF(All_Questions_Q_SS_EXPORT_CT="(None)","",IFERROR(INDEX(INDIRECT(XLOOKUP(All_Questions_Q_SS_EXPORT_CT,All_Questions,All_Questions_Options_Names,"None_options")),3),""))</f>
        <v/>
      </c>
      <c r="J16" s="2" t="n"/>
      <c r="K16" s="2" t="str">
        <f>IF(All_Questions_Q_SS_EXPORT_CT="(None)","",IFERROR(INDEX(INDIRECT(XLOOKUP(All_Questions_Q_SS_EXPORT_CT,All_Questions,All_Questions_Options_Names,"None_options")),4),""))</f>
        <v/>
      </c>
      <c r="L16" s="2" t="n"/>
      <c r="M16" s="2" t="str">
        <f>IF(All_Questions_Q_SS_EXPORT_CT="(None)","",IFERROR(INDEX(INDIRECT(XLOOKUP(All_Questions_Q_SS_EXPORT_CT,All_Questions,All_Questions_Options_Names,"None_options")),5),""))</f>
        <v/>
      </c>
      <c r="N16" s="2" t="n"/>
      <c r="O16" s="2" t="str">
        <f>IF(All_Questions_Q_SS_EXPORT_CT="(None)","",IFERROR(INDEX(INDIRECT(XLOOKUP(All_Questions_Q_SS_EXPORT_CT,All_Questions,All_Questions_Options_Names,"None_options")),6),""))</f>
        <v/>
      </c>
      <c r="P16" s="2" t="n"/>
      <c r="Q16" s="2" t="str">
        <f>IF(All_Questions_Q_SS_EXPORT_CT="(None)","",IFERROR(INDEX(INDIRECT(XLOOKUP(All_Questions_Q_SS_EXPORT_CT,All_Questions,All_Questions_Options_Names,"None_options")),7),""))</f>
        <v/>
      </c>
      <c r="R16" s="2" t="n"/>
      <c r="S16" s="2" t="str">
        <f>IF(All_Questions_Q_SS_EXPORT_CT="(None)","",IFERROR(INDEX(INDIRECT(XLOOKUP(All_Questions_Q_SS_EXPORT_CT,All_Questions,All_Questions_Options_Names,"None_options")),8),""))</f>
        <v/>
      </c>
      <c r="T16" s="2" t="n"/>
      <c r="U16" s="2" t="str">
        <f>IF(All_Questions_Q_SS_EXPORT_CT="(None)","",IFERROR(INDEX(INDIRECT(XLOOKUP(All_Questions_Q_SS_EXPORT_CT,All_Questions,All_Questions_Options_Names,"None_options")),9),""))</f>
        <v/>
      </c>
      <c r="V16" s="2" t="n"/>
      <c r="W16" s="2" t="str">
        <f>IF(All_Questions_Q_SS_EXPORT_CT="(None)","",IFERROR(INDEX(INDIRECT(XLOOKUP(All_Questions_Q_SS_EXPORT_CT,All_Questions,All_Questions_Options_Names,"None_options")),10),""))</f>
        <v/>
      </c>
      <c r="X16" s="2" t="n"/>
      <c r="Y16" s="2" t="str">
        <f>IF(All_Questions_Q_SS_EXPORT_CT="(None)","",IFERROR(INDEX(INDIRECT(XLOOKUP(All_Questions_Q_SS_EXPORT_CT,All_Questions,All_Questions_Options_Names,"None_options")),11),""))</f>
        <v/>
      </c>
      <c r="Z16" s="2" t="n"/>
      <c r="AA16" s="2" t="str">
        <f>IF(All_Questions_Q_SS_EXPORT_CT="(None)","",IFERROR(INDEX(INDIRECT(XLOOKUP(All_Questions_Q_SS_EXPORT_CT,All_Questions,All_Questions_Options_Names,"None_options")),12),""))</f>
        <v/>
      </c>
      <c r="AB16" s="2" t="n"/>
      <c r="AC16" s="2" t="str">
        <f>IF(All_Questions_Q_SS_EXPORT_CT="(None)","",IF(COUNTA(INDIRECT(XLOOKUP(All_Questions_Q_SS_EXPORT_CT,All_Questions,All_Questions_Options_Names,"None_options")))-1&gt;11,"Other",IFERROR(INDEX(INDIRECT(XLOOKUP(All_Questions_Q_SS_EXPORT_CT,All_Questions,All_Questions_Options_Names,"None_options")),13),"")))</f>
        <v/>
      </c>
      <c r="AD16" s="2" t="n"/>
      <c r="AE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% of resp</t>
        </is>
      </c>
      <c r="I17" s="4" t="inlineStr">
        <is>
          <t># of resp</t>
        </is>
      </c>
      <c r="J17" s="4" t="inlineStr">
        <is>
          <t>% of resp</t>
        </is>
      </c>
      <c r="K17" s="4" t="inlineStr">
        <is>
          <t># of resp</t>
        </is>
      </c>
      <c r="L17" s="4" t="inlineStr">
        <is>
          <t>% of resp</t>
        </is>
      </c>
      <c r="M17" s="4" t="inlineStr">
        <is>
          <t># of resp</t>
        </is>
      </c>
      <c r="N17" s="4" t="inlineStr">
        <is>
          <t>% of resp</t>
        </is>
      </c>
      <c r="O17" s="4" t="inlineStr">
        <is>
          <t># of resp</t>
        </is>
      </c>
      <c r="P17" s="4" t="inlineStr">
        <is>
          <t>% of resp</t>
        </is>
      </c>
      <c r="Q17" s="4" t="inlineStr">
        <is>
          <t># of resp</t>
        </is>
      </c>
      <c r="R17" s="4" t="inlineStr">
        <is>
          <t>% of resp</t>
        </is>
      </c>
      <c r="S17" s="4" t="inlineStr">
        <is>
          <t># of resp</t>
        </is>
      </c>
      <c r="T17" s="4" t="inlineStr">
        <is>
          <t>% of resp</t>
        </is>
      </c>
      <c r="U17" s="4" t="inlineStr">
        <is>
          <t># of resp</t>
        </is>
      </c>
      <c r="V17" s="4" t="inlineStr">
        <is>
          <t>% of resp</t>
        </is>
      </c>
      <c r="W17" s="4" t="inlineStr">
        <is>
          <t># of resp</t>
        </is>
      </c>
      <c r="X17" s="4" t="inlineStr">
        <is>
          <t>% of resp</t>
        </is>
      </c>
      <c r="Y17" s="4" t="inlineStr">
        <is>
          <t># of resp</t>
        </is>
      </c>
      <c r="Z17" s="4" t="inlineStr">
        <is>
          <t>% of resp</t>
        </is>
      </c>
      <c r="AA17" s="4" t="inlineStr">
        <is>
          <t># of resp</t>
        </is>
      </c>
      <c r="AB17" s="4" t="inlineStr">
        <is>
          <t>% of resp</t>
        </is>
      </c>
      <c r="AC17" s="4" t="inlineStr">
        <is>
          <t># of resp</t>
        </is>
      </c>
      <c r="AD17" s="4" t="inlineStr">
        <is>
          <t>% of resp</t>
        </is>
      </c>
      <c r="AE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)</f>
        <v>0</v>
      </c>
      <c r="H18" s="7">
        <f>IFERROR(G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),0)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)</f>
        <v>0</v>
      </c>
      <c r="J18" s="7">
        <f>IFERROR(I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),0)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)</f>
        <v>0</v>
      </c>
      <c r="L18" s="7">
        <f>IFERROR(K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),0)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)</f>
        <v>0</v>
      </c>
      <c r="N18" s="7">
        <f>IFERROR(M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),0)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O$16))</f>
        <v>0</v>
      </c>
      <c r="P18" s="7">
        <f>IFERROR(O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O$16)),0)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Q$16))</f>
        <v>0</v>
      </c>
      <c r="R18" s="7">
        <f>IFERROR(Q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Q$16)),0)</f>
        <v>0</v>
      </c>
      <c r="S18">
        <f>IF(OR(All_Questions_Q_SS_EXPORT_CT="(None)",S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S$16))</f>
        <v>0</v>
      </c>
      <c r="T18" s="7">
        <f>IFERROR(S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S$16)),0)</f>
        <v>0</v>
      </c>
      <c r="U18">
        <f>IF(OR(All_Questions_Q_SS_EXPORT_CT="(None)",U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U$16))</f>
        <v>0</v>
      </c>
      <c r="V18" s="7">
        <f>IFERROR(U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U$16)),0)</f>
        <v>0</v>
      </c>
      <c r="W18">
        <f>IF(OR(All_Questions_Q_SS_EXPORT_CT="(None)",W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W$16))</f>
        <v>0</v>
      </c>
      <c r="X18" s="7">
        <f>IFERROR(W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W$16)),0)</f>
        <v>0</v>
      </c>
      <c r="Y18">
        <f>IF(OR(All_Questions_Q_SS_EXPORT_CT="(None)",Y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Y$16))</f>
        <v>0</v>
      </c>
      <c r="Z18" s="7">
        <f>IFERROR(Y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Y$16)),0)</f>
        <v>0</v>
      </c>
      <c r="AA18">
        <f>IF(OR(All_Questions_Q_SS_EXPORT_CT="(None)",AA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AA$16))</f>
        <v>0</v>
      </c>
      <c r="AB18" s="7">
        <f>IFERROR(AA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AA$16)),0)</f>
        <v>0</v>
      </c>
      <c r="AC18">
        <f>IF(OR(All_Questions_Q_SS_EXPORT_CT="(None)",AC$16=""),"",IF(AC$16="Other",COUNTIFS(Q_SS_EXPORT_data,"Yes",passes_workbook_filters_data,1,passes_workbook_custom_filters_data,1,All_Questions_passes_local_filters_data,1,All_Questions_Q_SS_EXPORT_F_passes_per_q_filter_data,1)-SUM(G18,I18,K18,M18,O18,Q18,S18,U18,W18,Y18,AA18)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AC$16)))</f>
        <v>0</v>
      </c>
      <c r="AD18" s="7">
        <f>IFERROR(AC18/(IF(AC$16="Other",COUNTIFS(respondent_id_data,"&lt;&gt;",passes_workbook_filters_data,1,passes_workbook_custom_filters_data,1,All_Questions_passes_local_filters_data,1,All_Questions_Q_SS_EXPORT_F_passes_per_q_filter_data,1)-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O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Q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S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U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W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Y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AA$16)),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AC$16))),0)</f>
        <v>0</v>
      </c>
      <c r="AE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)</f>
        <v>0</v>
      </c>
      <c r="H19" s="7">
        <f>IFERROR(G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),0)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)</f>
        <v>0</v>
      </c>
      <c r="J19" s="7">
        <f>IFERROR(I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),0)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)</f>
        <v>0</v>
      </c>
      <c r="L19" s="7">
        <f>IFERROR(K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),0)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)</f>
        <v>0</v>
      </c>
      <c r="N19" s="7">
        <f>IFERROR(M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),0)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O$16))</f>
        <v>0</v>
      </c>
      <c r="P19" s="7">
        <f>IFERROR(O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O$16)),0)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Q$16))</f>
        <v>0</v>
      </c>
      <c r="R19" s="7">
        <f>IFERROR(Q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Q$16)),0)</f>
        <v>0</v>
      </c>
      <c r="S19">
        <f>IF(OR(All_Questions_Q_SS_EXPORT_CT="(None)",S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S$16))</f>
        <v>0</v>
      </c>
      <c r="T19" s="7">
        <f>IFERROR(S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S$16)),0)</f>
        <v>0</v>
      </c>
      <c r="U19">
        <f>IF(OR(All_Questions_Q_SS_EXPORT_CT="(None)",U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U$16))</f>
        <v>0</v>
      </c>
      <c r="V19" s="7">
        <f>IFERROR(U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U$16)),0)</f>
        <v>0</v>
      </c>
      <c r="W19">
        <f>IF(OR(All_Questions_Q_SS_EXPORT_CT="(None)",W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W$16))</f>
        <v>0</v>
      </c>
      <c r="X19" s="7">
        <f>IFERROR(W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W$16)),0)</f>
        <v>0</v>
      </c>
      <c r="Y19">
        <f>IF(OR(All_Questions_Q_SS_EXPORT_CT="(None)",Y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Y$16))</f>
        <v>0</v>
      </c>
      <c r="Z19" s="7">
        <f>IFERROR(Y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Y$16)),0)</f>
        <v>0</v>
      </c>
      <c r="AA19">
        <f>IF(OR(All_Questions_Q_SS_EXPORT_CT="(None)",AA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AA$16))</f>
        <v>0</v>
      </c>
      <c r="AB19" s="7">
        <f>IFERROR(AA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AA$16)),0)</f>
        <v>0</v>
      </c>
      <c r="AC19">
        <f>IF(OR(All_Questions_Q_SS_EXPORT_CT="(None)",AC$16=""),"",IF(AC$16="Other",COUNTIFS(Q_SS_EXPORT_data,"No",passes_workbook_filters_data,1,passes_workbook_custom_filters_data,1,All_Questions_passes_local_filters_data,1,All_Questions_Q_SS_EXPORT_F_passes_per_q_filter_data,1)-SUM(G19,I19,K19,M19,O19,Q19,S19,U19,W19,Y19,AA19)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AC$16)))</f>
        <v>0</v>
      </c>
      <c r="AD19" s="7">
        <f>IFERROR(AC19/(IF(AC$16="Other",COUNTIFS(respondent_id_data,"&lt;&gt;",passes_workbook_filters_data,1,passes_workbook_custom_filters_data,1,All_Questions_passes_local_filters_data,1,All_Questions_Q_SS_EXPORT_F_passes_per_q_filter_data,1)-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O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Q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S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U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W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Y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AA$16)),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AC$16))),0)</f>
        <v>0</v>
      </c>
      <c r="AE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  <c r="AA20" s="2" t="n"/>
      <c r="AB20" s="2" t="n"/>
      <c r="AC20" s="2" t="n"/>
      <c r="AD20" s="2" t="n"/>
      <c r="AE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XLOOKUP(All_Questions_Q_MS_EXPORT_F_Q,All_Questions,All_Questions_Data_Names,"respondent_id_data")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IF(All_Questions_Q_MS_EXPORT_CT="(None)","",IFERROR(INDEX(INDIRECT(XLOOKUP(All_Questions_Q_MS_EXPORT_CT,All_Questions,All_Questions_Options_Names,"None_options")),2),""))</f>
        <v/>
      </c>
      <c r="H26" s="2" t="n"/>
      <c r="I26" s="2" t="str">
        <f>IF(All_Questions_Q_MS_EXPORT_CT="(None)","",IFERROR(INDEX(INDIRECT(XLOOKUP(All_Questions_Q_MS_EXPORT_CT,All_Questions,All_Questions_Options_Names,"None_options")),3),""))</f>
        <v/>
      </c>
      <c r="J26" s="2" t="n"/>
      <c r="K26" s="2" t="str">
        <f>IF(All_Questions_Q_MS_EXPORT_CT="(None)","",IFERROR(INDEX(INDIRECT(XLOOKUP(All_Questions_Q_MS_EXPORT_CT,All_Questions,All_Questions_Options_Names,"None_options")),4),""))</f>
        <v/>
      </c>
      <c r="L26" s="2" t="n"/>
      <c r="M26" s="2" t="str">
        <f>IF(All_Questions_Q_MS_EXPORT_CT="(None)","",IFERROR(INDEX(INDIRECT(XLOOKUP(All_Questions_Q_MS_EXPORT_CT,All_Questions,All_Questions_Options_Names,"None_options")),5),""))</f>
        <v/>
      </c>
      <c r="N26" s="2" t="n"/>
      <c r="O26" s="2" t="str">
        <f>IF(All_Questions_Q_MS_EXPORT_CT="(None)","",IFERROR(INDEX(INDIRECT(XLOOKUP(All_Questions_Q_MS_EXPORT_CT,All_Questions,All_Questions_Options_Names,"None_options")),6),""))</f>
        <v/>
      </c>
      <c r="P26" s="2" t="n"/>
      <c r="Q26" s="2" t="str">
        <f>IF(All_Questions_Q_MS_EXPORT_CT="(None)","",IFERROR(INDEX(INDIRECT(XLOOKUP(All_Questions_Q_MS_EXPORT_CT,All_Questions,All_Questions_Options_Names,"None_options")),7),""))</f>
        <v/>
      </c>
      <c r="R26" s="2" t="n"/>
      <c r="S26" s="2" t="str">
        <f>IF(All_Questions_Q_MS_EXPORT_CT="(None)","",IFERROR(INDEX(INDIRECT(XLOOKUP(All_Questions_Q_MS_EXPORT_CT,All_Questions,All_Questions_Options_Names,"None_options")),8),""))</f>
        <v/>
      </c>
      <c r="T26" s="2" t="n"/>
      <c r="U26" s="2" t="str">
        <f>IF(All_Questions_Q_MS_EXPORT_CT="(None)","",IFERROR(INDEX(INDIRECT(XLOOKUP(All_Questions_Q_MS_EXPORT_CT,All_Questions,All_Questions_Options_Names,"None_options")),9),""))</f>
        <v/>
      </c>
      <c r="V26" s="2" t="n"/>
      <c r="W26" s="2" t="str">
        <f>IF(All_Questions_Q_MS_EXPORT_CT="(None)","",IFERROR(INDEX(INDIRECT(XLOOKUP(All_Questions_Q_MS_EXPORT_CT,All_Questions,All_Questions_Options_Names,"None_options")),10),""))</f>
        <v/>
      </c>
      <c r="X26" s="2" t="n"/>
      <c r="Y26" s="2" t="str">
        <f>IF(All_Questions_Q_MS_EXPORT_CT="(None)","",IFERROR(INDEX(INDIRECT(XLOOKUP(All_Questions_Q_MS_EXPORT_CT,All_Questions,All_Questions_Options_Names,"None_options")),11),""))</f>
        <v/>
      </c>
      <c r="Z26" s="2" t="n"/>
      <c r="AA26" s="2" t="str">
        <f>IF(All_Questions_Q_MS_EXPORT_CT="(None)","",IFERROR(INDEX(INDIRECT(XLOOKUP(All_Questions_Q_MS_EXPORT_CT,All_Questions,All_Questions_Options_Names,"None_options")),12),""))</f>
        <v/>
      </c>
      <c r="AB26" s="2" t="n"/>
      <c r="AC26" s="2" t="str">
        <f>IF(All_Questions_Q_MS_EXPORT_CT="(None)","",IF(COUNTA(INDIRECT(XLOOKUP(All_Questions_Q_MS_EXPORT_CT,All_Questions,All_Questions_Options_Names,"None_options")))-1&gt;11,"Other",IFERROR(INDEX(INDIRECT(XLOOKUP(All_Questions_Q_MS_EXPORT_CT,All_Questions,All_Questions_Options_Names,"None_options")),13),"")))</f>
        <v/>
      </c>
      <c r="AD26" s="2" t="n"/>
      <c r="AE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% of resp</t>
        </is>
      </c>
      <c r="I27" s="4" t="inlineStr">
        <is>
          <t># of resp</t>
        </is>
      </c>
      <c r="J27" s="4" t="inlineStr">
        <is>
          <t>% of resp</t>
        </is>
      </c>
      <c r="K27" s="4" t="inlineStr">
        <is>
          <t># of resp</t>
        </is>
      </c>
      <c r="L27" s="4" t="inlineStr">
        <is>
          <t>% of resp</t>
        </is>
      </c>
      <c r="M27" s="4" t="inlineStr">
        <is>
          <t># of resp</t>
        </is>
      </c>
      <c r="N27" s="4" t="inlineStr">
        <is>
          <t>% of resp</t>
        </is>
      </c>
      <c r="O27" s="4" t="inlineStr">
        <is>
          <t># of resp</t>
        </is>
      </c>
      <c r="P27" s="4" t="inlineStr">
        <is>
          <t>% of resp</t>
        </is>
      </c>
      <c r="Q27" s="4" t="inlineStr">
        <is>
          <t># of resp</t>
        </is>
      </c>
      <c r="R27" s="4" t="inlineStr">
        <is>
          <t>% of resp</t>
        </is>
      </c>
      <c r="S27" s="4" t="inlineStr">
        <is>
          <t># of resp</t>
        </is>
      </c>
      <c r="T27" s="4" t="inlineStr">
        <is>
          <t>% of resp</t>
        </is>
      </c>
      <c r="U27" s="4" t="inlineStr">
        <is>
          <t># of resp</t>
        </is>
      </c>
      <c r="V27" s="4" t="inlineStr">
        <is>
          <t>% of resp</t>
        </is>
      </c>
      <c r="W27" s="4" t="inlineStr">
        <is>
          <t># of resp</t>
        </is>
      </c>
      <c r="X27" s="4" t="inlineStr">
        <is>
          <t>% of resp</t>
        </is>
      </c>
      <c r="Y27" s="4" t="inlineStr">
        <is>
          <t># of resp</t>
        </is>
      </c>
      <c r="Z27" s="4" t="inlineStr">
        <is>
          <t>% of resp</t>
        </is>
      </c>
      <c r="AA27" s="4" t="inlineStr">
        <is>
          <t># of resp</t>
        </is>
      </c>
      <c r="AB27" s="4" t="inlineStr">
        <is>
          <t>% of resp</t>
        </is>
      </c>
      <c r="AC27" s="4" t="inlineStr">
        <is>
          <t># of resp</t>
        </is>
      </c>
      <c r="AD27" s="4" t="inlineStr">
        <is>
          <t>% of resp</t>
        </is>
      </c>
      <c r="AE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)</f>
        <v>0</v>
      </c>
      <c r="H28" s="7">
        <f>IFERROR(G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),0)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)</f>
        <v>0</v>
      </c>
      <c r="J28" s="7">
        <f>IFERROR(I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),0)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)</f>
        <v>0</v>
      </c>
      <c r="L28" s="7">
        <f>IFERROR(K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),0)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)</f>
        <v>0</v>
      </c>
      <c r="N28" s="7">
        <f>IFERROR(M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),0)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O$26))</f>
        <v>0</v>
      </c>
      <c r="P28" s="7">
        <f>IFERROR(O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O$26)),0)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Q$26))</f>
        <v>0</v>
      </c>
      <c r="R28" s="7">
        <f>IFERROR(Q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Q$26)),0)</f>
        <v>0</v>
      </c>
      <c r="S28">
        <f>IF(OR(All_Questions_Q_MS_EXPORT_CT="(None)",S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S$26))</f>
        <v>0</v>
      </c>
      <c r="T28" s="7">
        <f>IFERROR(S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S$26)),0)</f>
        <v>0</v>
      </c>
      <c r="U28">
        <f>IF(OR(All_Questions_Q_MS_EXPORT_CT="(None)",U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U$26))</f>
        <v>0</v>
      </c>
      <c r="V28" s="7">
        <f>IFERROR(U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U$26)),0)</f>
        <v>0</v>
      </c>
      <c r="W28">
        <f>IF(OR(All_Questions_Q_MS_EXPORT_CT="(None)",W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W$26))</f>
        <v>0</v>
      </c>
      <c r="X28" s="7">
        <f>IFERROR(W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W$26)),0)</f>
        <v>0</v>
      </c>
      <c r="Y28">
        <f>IF(OR(All_Questions_Q_MS_EXPORT_CT="(None)",Y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Y$26))</f>
        <v>0</v>
      </c>
      <c r="Z28" s="7">
        <f>IFERROR(Y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Y$26)),0)</f>
        <v>0</v>
      </c>
      <c r="AA28">
        <f>IF(OR(All_Questions_Q_MS_EXPORT_CT="(None)",AA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AA$26))</f>
        <v>0</v>
      </c>
      <c r="AB28" s="7">
        <f>IFERROR(AA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AA$26)),0)</f>
        <v>0</v>
      </c>
      <c r="AC28">
        <f>IF(OR(All_Questions_Q_MS_EXPORT_CT="(None)",AC$26=""),"",IF(AC$26="Other",COUNTIFS(Q_MS_EXPORTr1_data,"Selected",passes_workbook_filters_data,1,passes_workbook_custom_filters_data,1,All_Questions_passes_local_filters_data,1,All_Questions_Q_MS_EXPORT_F_passes_per_q_filter_data,1)-SUM(G28,I28,K28,M28,O28,Q28,S28,U28,W28,Y28,AA28)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AC$26)))</f>
        <v>0</v>
      </c>
      <c r="AD28" s="7">
        <f>IFERROR(AC28/(IF(AC$26="Other",COUNTIFS(respondent_id_data,"&lt;&gt;",passes_workbook_filters_data,1,passes_workbook_custom_filters_data,1,All_Questions_passes_local_filters_data,1,All_Questions_Q_MS_EXPORT_F_passes_per_q_filter_data,1)-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O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Q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S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U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W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Y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AA$26)),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AC$26))),0)</f>
        <v>0</v>
      </c>
      <c r="AE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7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)</f>
        <v>0</v>
      </c>
      <c r="H29" s="7">
        <f>IFERROR(G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),0)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)</f>
        <v>0</v>
      </c>
      <c r="J29" s="7">
        <f>IFERROR(I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),0)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)</f>
        <v>0</v>
      </c>
      <c r="L29" s="7">
        <f>IFERROR(K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),0)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)</f>
        <v>0</v>
      </c>
      <c r="N29" s="7">
        <f>IFERROR(M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),0)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O$26))</f>
        <v>0</v>
      </c>
      <c r="P29" s="7">
        <f>IFERROR(O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O$26)),0)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Q$26))</f>
        <v>0</v>
      </c>
      <c r="R29" s="7">
        <f>IFERROR(Q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Q$26)),0)</f>
        <v>0</v>
      </c>
      <c r="S29">
        <f>IF(OR(All_Questions_Q_MS_EXPORT_CT="(None)",S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S$26))</f>
        <v>0</v>
      </c>
      <c r="T29" s="7">
        <f>IFERROR(S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S$26)),0)</f>
        <v>0</v>
      </c>
      <c r="U29">
        <f>IF(OR(All_Questions_Q_MS_EXPORT_CT="(None)",U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U$26))</f>
        <v>0</v>
      </c>
      <c r="V29" s="7">
        <f>IFERROR(U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U$26)),0)</f>
        <v>0</v>
      </c>
      <c r="W29">
        <f>IF(OR(All_Questions_Q_MS_EXPORT_CT="(None)",W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W$26))</f>
        <v>0</v>
      </c>
      <c r="X29" s="7">
        <f>IFERROR(W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W$26)),0)</f>
        <v>0</v>
      </c>
      <c r="Y29">
        <f>IF(OR(All_Questions_Q_MS_EXPORT_CT="(None)",Y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Y$26))</f>
        <v>0</v>
      </c>
      <c r="Z29" s="7">
        <f>IFERROR(Y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Y$26)),0)</f>
        <v>0</v>
      </c>
      <c r="AA29">
        <f>IF(OR(All_Questions_Q_MS_EXPORT_CT="(None)",AA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AA$26))</f>
        <v>0</v>
      </c>
      <c r="AB29" s="7">
        <f>IFERROR(AA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AA$26)),0)</f>
        <v>0</v>
      </c>
      <c r="AC29">
        <f>IF(OR(All_Questions_Q_MS_EXPORT_CT="(None)",AC$26=""),"",IF(AC$26="Other",COUNTIFS(Q_MS_EXPORTr2_data,"Selected",passes_workbook_filters_data,1,passes_workbook_custom_filters_data,1,All_Questions_passes_local_filters_data,1,All_Questions_Q_MS_EXPORT_F_passes_per_q_filter_data,1)-SUM(G29,I29,K29,M29,O29,Q29,S29,U29,W29,Y29,AA29)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AC$26)))</f>
        <v>0</v>
      </c>
      <c r="AD29" s="7">
        <f>IFERROR(AC29/(IF(AC$26="Other",COUNTIFS(respondent_id_data,"&lt;&gt;",passes_workbook_filters_data,1,passes_workbook_custom_filters_data,1,All_Questions_passes_local_filters_data,1,All_Questions_Q_MS_EXPORT_F_passes_per_q_filter_data,1)-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O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Q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S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U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W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Y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AA$26)),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AC$26))),0)</f>
        <v>0</v>
      </c>
      <c r="AE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  <c r="AA30" s="2" t="n"/>
      <c r="AB30" s="2" t="n"/>
      <c r="AC30" s="2" t="n"/>
      <c r="AD30" s="2" t="n"/>
      <c r="AE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1">
      <c r="A31" s="11" t="n"/>
      <c r="B31" s="11" t="n"/>
      <c r="C31" s="11" t="n"/>
      <c r="D31" s="11" t="n"/>
      <c r="E31" s="11" t="n"/>
      <c r="F31" s="11" t="n"/>
      <c r="G31" s="11" t="n"/>
      <c r="H31" s="11" t="n"/>
      <c r="I31" s="11" t="n"/>
      <c r="J31" s="11" t="n"/>
    </row>
    <row r="32">
      <c r="A32" s="12" t="inlineStr">
        <is>
          <t>Q_NUM_EXPORT - Numeric export question</t>
        </is>
      </c>
      <c r="B32" s="12" t="n"/>
      <c r="C32" s="12" t="n"/>
      <c r="D32" s="12" t="n"/>
      <c r="E32" s="12" t="n"/>
      <c r="F32" s="12" t="n"/>
      <c r="G32" s="12" t="n"/>
      <c r="H32" s="12" t="n"/>
      <c r="I32" s="12" t="n"/>
      <c r="J32" s="12" t="n"/>
      <c r="K32" s="12" t="n"/>
      <c r="L32" s="12" t="n"/>
      <c r="M32" s="12" t="n"/>
      <c r="N32" s="12" t="n"/>
    </row>
    <row r="33">
      <c r="A33" s="13" t="inlineStr">
        <is>
          <t>Per-question filter</t>
        </is>
      </c>
      <c r="B33" t="inlineStr">
        <is>
          <t>Filter Q</t>
        </is>
      </c>
      <c r="C33" t="inlineStr">
        <is>
          <t>(None)</t>
        </is>
      </c>
      <c r="D33" t="inlineStr">
        <is>
          <t>Value</t>
        </is>
      </c>
      <c r="E33" t="inlineStr">
        <is>
          <t>(All)</t>
        </is>
      </c>
      <c r="F33" t="str">
        <f>XLOOKUP(All_Questions_Q_NUM_EXPORT_F_Q,All_Questions,All_Questions_Data_Names,"respondent_id_data")</f>
        <v>respondent_id_data</v>
      </c>
      <c r="G33" t="str">
        <f>"|" &amp; SUBSTITUTE(All_Questions_Q_NUM_EXPORT_F_V, ", ", "|") &amp; "|"</f>
        <v>|(All)|</v>
      </c>
    </row>
    <row r="34">
      <c r="A34" s="13" t="inlineStr">
        <is>
          <t>Cross-tab by</t>
        </is>
      </c>
      <c r="C34" t="inlineStr">
        <is>
          <t>(None)</t>
        </is>
      </c>
    </row>
    <row r="36">
      <c r="A36" s="4" t="inlineStr">
        <is>
          <t>Metric</t>
        </is>
      </c>
      <c r="B36" s="4" t="inlineStr">
        <is>
          <t>Value</t>
        </is>
      </c>
      <c r="C36" s="4" t="inlineStr">
        <is>
          <t>Note</t>
        </is>
      </c>
      <c r="D36" s="4" t="inlineStr">
        <is>
          <t>Denominator</t>
        </is>
      </c>
    </row>
    <row r="37">
      <c r="A37" t="inlineStr">
        <is>
          <t>Mean</t>
        </is>
      </c>
      <c r="B37">
        <f>IFERROR(AVERAGEIFS(Q_NUM_EXPORT_data,passes_workbook_filters_data,1,passes_workbook_custom_filters_data,1,All_Questions_passes_local_filters_data,1,All_Questions_Q_NUM_EXPORT_F_passes_per_q_filter_data,1),0)</f>
        <v>5.5</v>
      </c>
      <c r="D37">
        <f>COUNTIFS(Q_NUM_EXPORT_data,"&lt;&gt;",passes_workbook_filters_data,1,passes_workbook_custom_filters_data,1,All_Questions_passes_local_filters_data,1,All_Questions_Q_NUM_EXPORT_F_passes_per_q_filter_data,1)</f>
        <v>10</v>
      </c>
    </row>
    <row r="38">
      <c r="A38" t="inlineStr">
        <is>
          <t>Min</t>
        </is>
      </c>
      <c r="B38">
        <f>IFERROR(MINIFS(Q_NUM_EXPORT_data,passes_workbook_filters_data,1,passes_workbook_custom_filters_data,1,All_Questions_passes_local_filters_data,1,All_Questions_Q_NUM_EXPORT_F_passes_per_q_filter_data,1),0)</f>
        <v>1.0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Max</t>
        </is>
      </c>
      <c r="B39">
        <f>IFERROR(MAXIFS(Q_NUM_EXPORT_data,passes_workbook_filters_data,1,passes_workbook_custom_filters_data,1,All_Questions_passes_local_filters_data,1,All_Questions_Q_NUM_EXPORT_F_passes_per_q_filter_data,1),0)</f>
        <v>10.0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Std</t>
        </is>
      </c>
      <c r="B40" t="n">
        <v>2.9</v>
      </c>
      <c r="C40" t="inlineStr">
        <is>
          <t>static baseline</t>
        </is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s="10" t="inlineStr">
        <is>
          <t>Median not available in filtered view - see static baseline in audit log.</t>
        </is>
      </c>
    </row>
    <row r="43">
      <c r="A43" s="11" t="n"/>
      <c r="B43" s="11" t="n"/>
      <c r="C43" s="11" t="n"/>
      <c r="D43" s="11" t="n"/>
      <c r="E43" s="11" t="n"/>
      <c r="F43" s="11" t="n"/>
      <c r="G43" s="11" t="n"/>
      <c r="H43" s="11" t="n"/>
      <c r="I43" s="11" t="n"/>
      <c r="J43" s="11" t="n"/>
    </row>
    <row r="44">
      <c r="A44" s="12" t="inlineStr">
        <is>
          <t>Q_GRID_EXPORT - Grid export question</t>
        </is>
      </c>
      <c r="B44" s="12" t="n"/>
      <c r="C44" s="12" t="n"/>
      <c r="D44" s="12" t="n"/>
      <c r="E44" s="12" t="n"/>
      <c r="F44" s="12" t="n"/>
      <c r="G44" s="12" t="n"/>
      <c r="H44" s="12" t="n"/>
      <c r="I44" s="12" t="n"/>
      <c r="J44" s="12" t="n"/>
      <c r="K44" s="12" t="n"/>
      <c r="L44" s="12" t="n"/>
      <c r="M44" s="12" t="n"/>
      <c r="N44" s="12" t="n"/>
    </row>
    <row r="45">
      <c r="A45" s="13" t="inlineStr">
        <is>
          <t>Per-question filter</t>
        </is>
      </c>
      <c r="B45" t="inlineStr">
        <is>
          <t>Filter Q</t>
        </is>
      </c>
      <c r="C45" t="inlineStr">
        <is>
          <t>(None)</t>
        </is>
      </c>
      <c r="D45" t="inlineStr">
        <is>
          <t>Value</t>
        </is>
      </c>
      <c r="E45" t="inlineStr">
        <is>
          <t>(All)</t>
        </is>
      </c>
      <c r="F45" t="str">
        <f>XLOOKUP(All_Questions_Q_GRID_EXPORT_F_Q,All_Questions,All_Questions_Data_Names,"respondent_id_data")</f>
        <v>respondent_id_data</v>
      </c>
      <c r="G45" t="str">
        <f>"|" &amp; SUBSTITUTE(All_Questions_Q_GRID_EXPORT_F_V, ", ", "|") &amp; "|"</f>
        <v>|(All)|</v>
      </c>
    </row>
    <row r="46">
      <c r="A46" s="13" t="inlineStr">
        <is>
          <t>Cross-tab by</t>
        </is>
      </c>
      <c r="C46" t="inlineStr">
        <is>
          <t>(None)</t>
        </is>
      </c>
    </row>
    <row r="48">
      <c r="A48" s="4" t="inlineStr">
        <is>
          <t>Option</t>
        </is>
      </c>
      <c r="B48" s="4" t="inlineStr">
        <is>
          <t>Count</t>
        </is>
      </c>
      <c r="C48" s="4" t="inlineStr">
        <is>
          <t>%</t>
        </is>
      </c>
      <c r="D48" s="4" t="inlineStr">
        <is>
          <t>Denominator</t>
        </is>
      </c>
      <c r="F48" s="4" t="inlineStr">
        <is>
          <t>Option</t>
        </is>
      </c>
      <c r="G48" s="2" t="str">
        <f>IF(All_Questions_Q_GRID_EXPORT_CT="(None)","",IFERROR(INDEX(INDIRECT(XLOOKUP(All_Questions_Q_GRID_EXPORT_CT,All_Questions,All_Questions_Options_Names,"None_options")),2),""))</f>
        <v/>
      </c>
      <c r="H48" s="2" t="n"/>
      <c r="I48" s="2" t="str">
        <f>IF(All_Questions_Q_GRID_EXPORT_CT="(None)","",IFERROR(INDEX(INDIRECT(XLOOKUP(All_Questions_Q_GRID_EXPORT_CT,All_Questions,All_Questions_Options_Names,"None_options")),3),""))</f>
        <v/>
      </c>
      <c r="J48" s="2" t="n"/>
      <c r="K48" s="2" t="str">
        <f>IF(All_Questions_Q_GRID_EXPORT_CT="(None)","",IFERROR(INDEX(INDIRECT(XLOOKUP(All_Questions_Q_GRID_EXPORT_CT,All_Questions,All_Questions_Options_Names,"None_options")),4),""))</f>
        <v/>
      </c>
      <c r="L48" s="2" t="n"/>
      <c r="M48" s="2" t="str">
        <f>IF(All_Questions_Q_GRID_EXPORT_CT="(None)","",IFERROR(INDEX(INDIRECT(XLOOKUP(All_Questions_Q_GRID_EXPORT_CT,All_Questions,All_Questions_Options_Names,"None_options")),5),""))</f>
        <v/>
      </c>
      <c r="N48" s="2" t="n"/>
      <c r="O48" s="2" t="str">
        <f>IF(All_Questions_Q_GRID_EXPORT_CT="(None)","",IFERROR(INDEX(INDIRECT(XLOOKUP(All_Questions_Q_GRID_EXPORT_CT,All_Questions,All_Questions_Options_Names,"None_options")),6),""))</f>
        <v/>
      </c>
      <c r="P48" s="2" t="n"/>
      <c r="Q48" s="2" t="str">
        <f>IF(All_Questions_Q_GRID_EXPORT_CT="(None)","",IFERROR(INDEX(INDIRECT(XLOOKUP(All_Questions_Q_GRID_EXPORT_CT,All_Questions,All_Questions_Options_Names,"None_options")),7),""))</f>
        <v/>
      </c>
      <c r="R48" s="2" t="n"/>
      <c r="S48" s="2" t="str">
        <f>IF(All_Questions_Q_GRID_EXPORT_CT="(None)","",IFERROR(INDEX(INDIRECT(XLOOKUP(All_Questions_Q_GRID_EXPORT_CT,All_Questions,All_Questions_Options_Names,"None_options")),8),""))</f>
        <v/>
      </c>
      <c r="T48" s="2" t="n"/>
      <c r="U48" s="2" t="str">
        <f>IF(All_Questions_Q_GRID_EXPORT_CT="(None)","",IFERROR(INDEX(INDIRECT(XLOOKUP(All_Questions_Q_GRID_EXPORT_CT,All_Questions,All_Questions_Options_Names,"None_options")),9),""))</f>
        <v/>
      </c>
      <c r="V48" s="2" t="n"/>
      <c r="W48" s="2" t="str">
        <f>IF(All_Questions_Q_GRID_EXPORT_CT="(None)","",IFERROR(INDEX(INDIRECT(XLOOKUP(All_Questions_Q_GRID_EXPORT_CT,All_Questions,All_Questions_Options_Names,"None_options")),10),""))</f>
        <v/>
      </c>
      <c r="X48" s="2" t="n"/>
      <c r="Y48" s="2" t="str">
        <f>IF(All_Questions_Q_GRID_EXPORT_CT="(None)","",IFERROR(INDEX(INDIRECT(XLOOKUP(All_Questions_Q_GRID_EXPORT_CT,All_Questions,All_Questions_Options_Names,"None_options")),11),""))</f>
        <v/>
      </c>
      <c r="Z48" s="2" t="n"/>
      <c r="AA48" s="2" t="str">
        <f>IF(All_Questions_Q_GRID_EXPORT_CT="(None)","",IFERROR(INDEX(INDIRECT(XLOOKUP(All_Questions_Q_GRID_EXPORT_CT,All_Questions,All_Questions_Options_Names,"None_options")),12),""))</f>
        <v/>
      </c>
      <c r="AB48" s="2" t="n"/>
      <c r="AC48" s="2" t="str">
        <f>IF(All_Questions_Q_GRID_EXPORT_CT="(None)","",IF(COUNTA(INDIRECT(XLOOKUP(All_Questions_Q_GRID_EXPORT_CT,All_Questions,All_Questions_Options_Names,"None_options")))-1&gt;11,"Other",IFERROR(INDEX(INDIRECT(XLOOKUP(All_Questions_Q_GRID_EXPORT_CT,All_Questions,All_Questions_Options_Names,"None_options")),13),"")))</f>
        <v/>
      </c>
      <c r="AD48" s="2" t="n"/>
      <c r="AE48" s="4" t="inlineStr">
        <is>
          <t>Total</t>
        </is>
      </c>
    </row>
    <row r="49">
      <c r="A49" t="inlineStr">
        <is>
          <t>Grid first row</t>
        </is>
      </c>
      <c r="B49">
        <f>COUNTIFS(Q_GRID_EXPORTr1_data,"Selected",passes_workbook_filters_data,1,passes_workbook_custom_filters_data,1,All_Questions_passes_local_filters_data,1,All_Questions_Q_GRID_EXPORT_F_passes_per_q_filter_data,1)</f>
        <v>10</v>
      </c>
      <c r="C49" s="7">
        <f>IFERROR(B49/SUBTOTAL(9,B49:B50),0)</f>
        <v>0.5</v>
      </c>
      <c r="D49" s="14">
        <f>SUBTOTAL(9,B49:B50)</f>
        <v>20</v>
      </c>
      <c r="F49" s="4" t="inlineStr"/>
      <c r="G49" s="4" t="inlineStr">
        <is>
          <t># of resp</t>
        </is>
      </c>
      <c r="H49" s="4" t="inlineStr">
        <is>
          <t>% of resp</t>
        </is>
      </c>
      <c r="I49" s="4" t="inlineStr">
        <is>
          <t># of resp</t>
        </is>
      </c>
      <c r="J49" s="4" t="inlineStr">
        <is>
          <t>% of resp</t>
        </is>
      </c>
      <c r="K49" s="4" t="inlineStr">
        <is>
          <t># of resp</t>
        </is>
      </c>
      <c r="L49" s="4" t="inlineStr">
        <is>
          <t>% of resp</t>
        </is>
      </c>
      <c r="M49" s="4" t="inlineStr">
        <is>
          <t># of resp</t>
        </is>
      </c>
      <c r="N49" s="4" t="inlineStr">
        <is>
          <t>% of resp</t>
        </is>
      </c>
      <c r="O49" s="4" t="inlineStr">
        <is>
          <t># of resp</t>
        </is>
      </c>
      <c r="P49" s="4" t="inlineStr">
        <is>
          <t>% of resp</t>
        </is>
      </c>
      <c r="Q49" s="4" t="inlineStr">
        <is>
          <t># of resp</t>
        </is>
      </c>
      <c r="R49" s="4" t="inlineStr">
        <is>
          <t>% of resp</t>
        </is>
      </c>
      <c r="S49" s="4" t="inlineStr">
        <is>
          <t># of resp</t>
        </is>
      </c>
      <c r="T49" s="4" t="inlineStr">
        <is>
          <t>% of resp</t>
        </is>
      </c>
      <c r="U49" s="4" t="inlineStr">
        <is>
          <t># of resp</t>
        </is>
      </c>
      <c r="V49" s="4" t="inlineStr">
        <is>
          <t>% of resp</t>
        </is>
      </c>
      <c r="W49" s="4" t="inlineStr">
        <is>
          <t># of resp</t>
        </is>
      </c>
      <c r="X49" s="4" t="inlineStr">
        <is>
          <t>% of resp</t>
        </is>
      </c>
      <c r="Y49" s="4" t="inlineStr">
        <is>
          <t># of resp</t>
        </is>
      </c>
      <c r="Z49" s="4" t="inlineStr">
        <is>
          <t>% of resp</t>
        </is>
      </c>
      <c r="AA49" s="4" t="inlineStr">
        <is>
          <t># of resp</t>
        </is>
      </c>
      <c r="AB49" s="4" t="inlineStr">
        <is>
          <t>% of resp</t>
        </is>
      </c>
      <c r="AC49" s="4" t="inlineStr">
        <is>
          <t># of resp</t>
        </is>
      </c>
      <c r="AD49" s="4" t="inlineStr">
        <is>
          <t>% of resp</t>
        </is>
      </c>
      <c r="AE49" s="4" t="inlineStr">
        <is>
          <t># of resp</t>
        </is>
      </c>
    </row>
    <row r="50">
      <c r="A50" t="inlineStr">
        <is>
          <t>Grid second row</t>
        </is>
      </c>
      <c r="B50">
        <f>COUNTIFS(Q_GRID_EXPORTr2_data,"Selected",passes_workbook_filters_data,1,passes_workbook_custom_filters_data,1,All_Questions_passes_local_filters_data,1,All_Questions_Q_GRID_EXPORT_F_passes_per_q_filter_data,1)</f>
        <v>10</v>
      </c>
      <c r="C50" s="7">
        <f>IFERROR(B50/SUBTOTAL(9,B49:B50),0)</f>
        <v>0.5</v>
      </c>
      <c r="D50" s="14">
        <f>SUBTOTAL(9,B49:B50)</f>
        <v>20</v>
      </c>
      <c r="F50" t="inlineStr">
        <is>
          <t>Grid first row</t>
        </is>
      </c>
      <c r="G50">
        <f>IF(OR(All_Questions_Q_GRID_EXPORT_CT="(None)",G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)</f>
        <v>0</v>
      </c>
      <c r="H50" s="7">
        <f>IFERROR(G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),0)</f>
        <v>0</v>
      </c>
      <c r="I50">
        <f>IF(OR(All_Questions_Q_GRID_EXPORT_CT="(None)",I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)</f>
        <v>0</v>
      </c>
      <c r="J50" s="7">
        <f>IFERROR(I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),0)</f>
        <v>0</v>
      </c>
      <c r="K50">
        <f>IF(OR(All_Questions_Q_GRID_EXPORT_CT="(None)",K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)</f>
        <v>0</v>
      </c>
      <c r="L50" s="7">
        <f>IFERROR(K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),0)</f>
        <v>0</v>
      </c>
      <c r="M50">
        <f>IF(OR(All_Questions_Q_GRID_EXPORT_CT="(None)",M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)</f>
        <v>0</v>
      </c>
      <c r="N50" s="7">
        <f>IFERROR(M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),0)</f>
        <v>0</v>
      </c>
      <c r="O50">
        <f>IF(OR(All_Questions_Q_GRID_EXPORT_CT="(None)",O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O$48))</f>
        <v>0</v>
      </c>
      <c r="P50" s="7">
        <f>IFERROR(O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O$48)),0)</f>
        <v>0</v>
      </c>
      <c r="Q50">
        <f>IF(OR(All_Questions_Q_GRID_EXPORT_CT="(None)",Q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Q$48))</f>
        <v>0</v>
      </c>
      <c r="R50" s="7">
        <f>IFERROR(Q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Q$48)),0)</f>
        <v>0</v>
      </c>
      <c r="S50">
        <f>IF(OR(All_Questions_Q_GRID_EXPORT_CT="(None)",S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S$48))</f>
        <v>0</v>
      </c>
      <c r="T50" s="7">
        <f>IFERROR(S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S$48)),0)</f>
        <v>0</v>
      </c>
      <c r="U50">
        <f>IF(OR(All_Questions_Q_GRID_EXPORT_CT="(None)",U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U$48))</f>
        <v>0</v>
      </c>
      <c r="V50" s="7">
        <f>IFERROR(U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U$48)),0)</f>
        <v>0</v>
      </c>
      <c r="W50">
        <f>IF(OR(All_Questions_Q_GRID_EXPORT_CT="(None)",W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W$48))</f>
        <v>0</v>
      </c>
      <c r="X50" s="7">
        <f>IFERROR(W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W$48)),0)</f>
        <v>0</v>
      </c>
      <c r="Y50">
        <f>IF(OR(All_Questions_Q_GRID_EXPORT_CT="(None)",Y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Y$48))</f>
        <v>0</v>
      </c>
      <c r="Z50" s="7">
        <f>IFERROR(Y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Y$48)),0)</f>
        <v>0</v>
      </c>
      <c r="AA50">
        <f>IF(OR(All_Questions_Q_GRID_EXPORT_CT="(None)",AA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A$48))</f>
        <v>0</v>
      </c>
      <c r="AB50" s="7">
        <f>IFERROR(AA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A$48)),0)</f>
        <v>0</v>
      </c>
      <c r="AC50">
        <f>IF(OR(All_Questions_Q_GRID_EXPORT_CT="(None)",AC$48=""),"",IF(AC$48="Other",COUNTIFS(Q_GRID_EXPORTr1_data,"Selected",passes_workbook_filters_data,1,passes_workbook_custom_filters_data,1,All_Questions_passes_local_filters_data,1,All_Questions_Q_GRID_EXPORT_F_passes_per_q_filter_data,1)-SUM(G50,I50,K50,M50,O50,Q50,S50,U50,W50,Y50,AA50)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C$48)))</f>
        <v>0</v>
      </c>
      <c r="AD50" s="7">
        <f>IFERROR(AC50/(IF(AC$48="Other",COUNTIFS(respondent_id_data,"&lt;&gt;",passes_workbook_filters_data,1,passes_workbook_custom_filters_data,1,All_Questions_passes_local_filters_data,1,All_Questions_Q_GRID_EXPORT_F_passes_per_q_filter_data,1)-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O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Q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S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U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W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Y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A$48)),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C$48))),0)</f>
        <v>0</v>
      </c>
      <c r="AE50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1">
      <c r="A51" s="15" t="inlineStr">
        <is>
          <t>Total respondents</t>
        </is>
      </c>
      <c r="B51" s="15" t="n">
        <v>20</v>
      </c>
      <c r="C51" s="15" t="n"/>
      <c r="D51" s="15" t="n"/>
      <c r="F51" t="inlineStr">
        <is>
          <t>Grid second row</t>
        </is>
      </c>
      <c r="G51">
        <f>IF(OR(All_Questions_Q_GRID_EXPORT_CT="(None)",G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)</f>
        <v>0</v>
      </c>
      <c r="H51" s="7">
        <f>IFERROR(G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),0)</f>
        <v>0</v>
      </c>
      <c r="I51">
        <f>IF(OR(All_Questions_Q_GRID_EXPORT_CT="(None)",I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)</f>
        <v>0</v>
      </c>
      <c r="J51" s="7">
        <f>IFERROR(I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),0)</f>
        <v>0</v>
      </c>
      <c r="K51">
        <f>IF(OR(All_Questions_Q_GRID_EXPORT_CT="(None)",K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)</f>
        <v>0</v>
      </c>
      <c r="L51" s="7">
        <f>IFERROR(K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),0)</f>
        <v>0</v>
      </c>
      <c r="M51">
        <f>IF(OR(All_Questions_Q_GRID_EXPORT_CT="(None)",M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)</f>
        <v>0</v>
      </c>
      <c r="N51" s="7">
        <f>IFERROR(M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),0)</f>
        <v>0</v>
      </c>
      <c r="O51">
        <f>IF(OR(All_Questions_Q_GRID_EXPORT_CT="(None)",O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O$48))</f>
        <v>0</v>
      </c>
      <c r="P51" s="7">
        <f>IFERROR(O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O$48)),0)</f>
        <v>0</v>
      </c>
      <c r="Q51">
        <f>IF(OR(All_Questions_Q_GRID_EXPORT_CT="(None)",Q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Q$48))</f>
        <v>0</v>
      </c>
      <c r="R51" s="7">
        <f>IFERROR(Q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Q$48)),0)</f>
        <v>0</v>
      </c>
      <c r="S51">
        <f>IF(OR(All_Questions_Q_GRID_EXPORT_CT="(None)",S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S$48))</f>
        <v>0</v>
      </c>
      <c r="T51" s="7">
        <f>IFERROR(S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S$48)),0)</f>
        <v>0</v>
      </c>
      <c r="U51">
        <f>IF(OR(All_Questions_Q_GRID_EXPORT_CT="(None)",U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U$48))</f>
        <v>0</v>
      </c>
      <c r="V51" s="7">
        <f>IFERROR(U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U$48)),0)</f>
        <v>0</v>
      </c>
      <c r="W51">
        <f>IF(OR(All_Questions_Q_GRID_EXPORT_CT="(None)",W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W$48))</f>
        <v>0</v>
      </c>
      <c r="X51" s="7">
        <f>IFERROR(W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W$48)),0)</f>
        <v>0</v>
      </c>
      <c r="Y51">
        <f>IF(OR(All_Questions_Q_GRID_EXPORT_CT="(None)",Y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Y$48))</f>
        <v>0</v>
      </c>
      <c r="Z51" s="7">
        <f>IFERROR(Y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Y$48)),0)</f>
        <v>0</v>
      </c>
      <c r="AA51">
        <f>IF(OR(All_Questions_Q_GRID_EXPORT_CT="(None)",AA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A$48))</f>
        <v>0</v>
      </c>
      <c r="AB51" s="7">
        <f>IFERROR(AA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A$48)),0)</f>
        <v>0</v>
      </c>
      <c r="AC51">
        <f>IF(OR(All_Questions_Q_GRID_EXPORT_CT="(None)",AC$48=""),"",IF(AC$48="Other",COUNTIFS(Q_GRID_EXPORTr2_data,"Selected",passes_workbook_filters_data,1,passes_workbook_custom_filters_data,1,All_Questions_passes_local_filters_data,1,All_Questions_Q_GRID_EXPORT_F_passes_per_q_filter_data,1)-SUM(G51,I51,K51,M51,O51,Q51,S51,U51,W51,Y51,AA51)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C$48)))</f>
        <v>0</v>
      </c>
      <c r="AD51" s="7">
        <f>IFERROR(AC51/(IF(AC$48="Other",COUNTIFS(respondent_id_data,"&lt;&gt;",passes_workbook_filters_data,1,passes_workbook_custom_filters_data,1,All_Questions_passes_local_filters_data,1,All_Questions_Q_GRID_EXPORT_F_passes_per_q_filter_data,1)-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O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Q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S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U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W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Y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A$48)),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C$48))),0)</f>
        <v>0</v>
      </c>
      <c r="AE51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2">
      <c r="F52" s="4" t="inlineStr">
        <is>
          <t>Total respondents</t>
        </is>
      </c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2" t="n"/>
      <c r="R52" s="2" t="n"/>
      <c r="S52" s="2" t="n"/>
      <c r="T52" s="2" t="n"/>
      <c r="U52" s="2" t="n"/>
      <c r="V52" s="2" t="n"/>
      <c r="W52" s="2" t="n"/>
      <c r="X52" s="2" t="n"/>
      <c r="Y52" s="2" t="n"/>
      <c r="Z52" s="2" t="n"/>
      <c r="AA52" s="2" t="n"/>
      <c r="AB52" s="2" t="n"/>
      <c r="AC52" s="2" t="n"/>
      <c r="AD52" s="2" t="n"/>
      <c r="AE52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3">
      <c r="A53" s="11" t="n"/>
      <c r="B53" s="11" t="n"/>
      <c r="C53" s="11" t="n"/>
      <c r="D53" s="11" t="n"/>
      <c r="E53" s="11" t="n"/>
      <c r="F53" s="11" t="n"/>
      <c r="G53" s="11" t="n"/>
      <c r="H53" s="11" t="n"/>
      <c r="I53" s="11" t="n"/>
      <c r="J53" s="11" t="n"/>
    </row>
    <row r="54">
      <c r="A54" s="12" t="inlineStr">
        <is>
          <t>Q_VERY_LONG_SINGLE_SELECT_EXPORT_NAME - Long sheet name export question</t>
        </is>
      </c>
      <c r="B54" s="12" t="n"/>
      <c r="C54" s="12" t="n"/>
      <c r="D54" s="12" t="n"/>
      <c r="E54" s="12" t="n"/>
      <c r="F54" s="12" t="n"/>
      <c r="G54" s="12" t="n"/>
      <c r="H54" s="12" t="n"/>
      <c r="I54" s="12" t="n"/>
      <c r="J54" s="12" t="n"/>
      <c r="K54" s="12" t="n"/>
      <c r="L54" s="12" t="n"/>
      <c r="M54" s="12" t="n"/>
      <c r="N54" s="12" t="n"/>
    </row>
    <row r="55">
      <c r="A55" s="13" t="inlineStr">
        <is>
          <t>Per-question filter</t>
        </is>
      </c>
      <c r="B55" t="inlineStr">
        <is>
          <t>Filter Q</t>
        </is>
      </c>
      <c r="C55" t="inlineStr">
        <is>
          <t>(None)</t>
        </is>
      </c>
      <c r="D55" t="inlineStr">
        <is>
          <t>Value</t>
        </is>
      </c>
      <c r="E55" t="inlineStr">
        <is>
          <t>(All)</t>
        </is>
      </c>
      <c r="F55" t="str">
        <f>XLOOKUP(All_Questions_Q_VERY_LONG_SINGLE_SELECT_EXPORT_NAME_F_Q,All_Questions,All_Questions_Data_Names,"respondent_id_data")</f>
        <v>respondent_id_data</v>
      </c>
      <c r="G55" t="str">
        <f>"|" &amp; SUBSTITUTE(All_Questions_Q_VERY_LONG_SINGLE_SELECT_EXPORT_NAME_F_V, ", ", "|") &amp; "|"</f>
        <v>|(All)|</v>
      </c>
    </row>
    <row r="56">
      <c r="A56" s="13" t="inlineStr">
        <is>
          <t>Cross-tab by</t>
        </is>
      </c>
      <c r="C56" t="inlineStr">
        <is>
          <t>(None)</t>
        </is>
      </c>
    </row>
    <row r="58">
      <c r="A58" s="4" t="inlineStr">
        <is>
          <t>Option</t>
        </is>
      </c>
      <c r="B58" s="4" t="inlineStr">
        <is>
          <t>Count</t>
        </is>
      </c>
      <c r="C58" s="4" t="inlineStr">
        <is>
          <t>%</t>
        </is>
      </c>
      <c r="D58" s="4" t="inlineStr">
        <is>
          <t>Denominator</t>
        </is>
      </c>
      <c r="F58" s="4" t="inlineStr">
        <is>
          <t>Option</t>
        </is>
      </c>
      <c r="G58" s="2" t="str">
        <f>IF(All_Questions_Q_VERY_LONG_SINGLE_SELECT_EXPORT_NAME_CT="(None)","",IFERROR(INDEX(INDIRECT(XLOOKUP(All_Questions_Q_VERY_LONG_SINGLE_SELECT_EXPORT_NAME_CT,All_Questions,All_Questions_Options_Names,"None_options")),2),""))</f>
        <v/>
      </c>
      <c r="H58" s="2" t="n"/>
      <c r="I58" s="2" t="str">
        <f>IF(All_Questions_Q_VERY_LONG_SINGLE_SELECT_EXPORT_NAME_CT="(None)","",IFERROR(INDEX(INDIRECT(XLOOKUP(All_Questions_Q_VERY_LONG_SINGLE_SELECT_EXPORT_NAME_CT,All_Questions,All_Questions_Options_Names,"None_options")),3),""))</f>
        <v/>
      </c>
      <c r="J58" s="2" t="n"/>
      <c r="K58" s="2" t="str">
        <f>IF(All_Questions_Q_VERY_LONG_SINGLE_SELECT_EXPORT_NAME_CT="(None)","",IFERROR(INDEX(INDIRECT(XLOOKUP(All_Questions_Q_VERY_LONG_SINGLE_SELECT_EXPORT_NAME_CT,All_Questions,All_Questions_Options_Names,"None_options")),4),""))</f>
        <v/>
      </c>
      <c r="L58" s="2" t="n"/>
      <c r="M58" s="2" t="str">
        <f>IF(All_Questions_Q_VERY_LONG_SINGLE_SELECT_EXPORT_NAME_CT="(None)","",IFERROR(INDEX(INDIRECT(XLOOKUP(All_Questions_Q_VERY_LONG_SINGLE_SELECT_EXPORT_NAME_CT,All_Questions,All_Questions_Options_Names,"None_options")),5),""))</f>
        <v/>
      </c>
      <c r="N58" s="2" t="n"/>
      <c r="O58" s="2" t="str">
        <f>IF(All_Questions_Q_VERY_LONG_SINGLE_SELECT_EXPORT_NAME_CT="(None)","",IFERROR(INDEX(INDIRECT(XLOOKUP(All_Questions_Q_VERY_LONG_SINGLE_SELECT_EXPORT_NAME_CT,All_Questions,All_Questions_Options_Names,"None_options")),6),""))</f>
        <v/>
      </c>
      <c r="P58" s="2" t="n"/>
      <c r="Q58" s="2" t="str">
        <f>IF(All_Questions_Q_VERY_LONG_SINGLE_SELECT_EXPORT_NAME_CT="(None)","",IFERROR(INDEX(INDIRECT(XLOOKUP(All_Questions_Q_VERY_LONG_SINGLE_SELECT_EXPORT_NAME_CT,All_Questions,All_Questions_Options_Names,"None_options")),7),""))</f>
        <v/>
      </c>
      <c r="R58" s="2" t="n"/>
      <c r="S58" s="2" t="str">
        <f>IF(All_Questions_Q_VERY_LONG_SINGLE_SELECT_EXPORT_NAME_CT="(None)","",IFERROR(INDEX(INDIRECT(XLOOKUP(All_Questions_Q_VERY_LONG_SINGLE_SELECT_EXPORT_NAME_CT,All_Questions,All_Questions_Options_Names,"None_options")),8),""))</f>
        <v/>
      </c>
      <c r="T58" s="2" t="n"/>
      <c r="U58" s="2" t="str">
        <f>IF(All_Questions_Q_VERY_LONG_SINGLE_SELECT_EXPORT_NAME_CT="(None)","",IFERROR(INDEX(INDIRECT(XLOOKUP(All_Questions_Q_VERY_LONG_SINGLE_SELECT_EXPORT_NAME_CT,All_Questions,All_Questions_Options_Names,"None_options")),9),""))</f>
        <v/>
      </c>
      <c r="V58" s="2" t="n"/>
      <c r="W58" s="2" t="str">
        <f>IF(All_Questions_Q_VERY_LONG_SINGLE_SELECT_EXPORT_NAME_CT="(None)","",IFERROR(INDEX(INDIRECT(XLOOKUP(All_Questions_Q_VERY_LONG_SINGLE_SELECT_EXPORT_NAME_CT,All_Questions,All_Questions_Options_Names,"None_options")),10),""))</f>
        <v/>
      </c>
      <c r="X58" s="2" t="n"/>
      <c r="Y58" s="2" t="str">
        <f>IF(All_Questions_Q_VERY_LONG_SINGLE_SELECT_EXPORT_NAME_CT="(None)","",IFERROR(INDEX(INDIRECT(XLOOKUP(All_Questions_Q_VERY_LONG_SINGLE_SELECT_EXPORT_NAME_CT,All_Questions,All_Questions_Options_Names,"None_options")),11),""))</f>
        <v/>
      </c>
      <c r="Z58" s="2" t="n"/>
      <c r="AA58" s="2" t="str">
        <f>IF(All_Questions_Q_VERY_LONG_SINGLE_SELECT_EXPORT_NAME_CT="(None)","",IFERROR(INDEX(INDIRECT(XLOOKUP(All_Questions_Q_VERY_LONG_SINGLE_SELECT_EXPORT_NAME_CT,All_Questions,All_Questions_Options_Names,"None_options")),12),""))</f>
        <v/>
      </c>
      <c r="AB58" s="2" t="n"/>
      <c r="AC58" s="2" t="str">
        <f>IF(All_Questions_Q_VERY_LONG_SINGLE_SELECT_EXPORT_NAME_CT="(None)","",IF(COUNTA(INDIRECT(XLOOKUP(All_Questions_Q_VERY_LONG_SINGLE_SELECT_EXPORT_NAME_CT,All_Questions,All_Questions_Options_Names,"None_options")))-1&gt;11,"Other",IFERROR(INDEX(INDIRECT(XLOOKUP(All_Questions_Q_VERY_LONG_SINGLE_SELECT_EXPORT_NAME_CT,All_Questions,All_Questions_Options_Names,"None_options")),13),"")))</f>
        <v/>
      </c>
      <c r="AD58" s="2" t="n"/>
      <c r="AE58" s="4" t="inlineStr">
        <is>
          <t>Total</t>
        </is>
      </c>
    </row>
    <row r="59">
      <c r="A59" t="inlineStr">
        <is>
          <t>A</t>
        </is>
      </c>
      <c r="B59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9" s="7">
        <f>IFERROR(B59/SUBTOTAL(9,B59:B60),0)</f>
        <v>0.7</v>
      </c>
      <c r="D59" s="14">
        <f>SUBTOTAL(9,B59:B60)</f>
        <v>10</v>
      </c>
      <c r="F59" s="4" t="inlineStr"/>
      <c r="G59" s="4" t="inlineStr">
        <is>
          <t># of resp</t>
        </is>
      </c>
      <c r="H59" s="4" t="inlineStr">
        <is>
          <t>% of resp</t>
        </is>
      </c>
      <c r="I59" s="4" t="inlineStr">
        <is>
          <t># of resp</t>
        </is>
      </c>
      <c r="J59" s="4" t="inlineStr">
        <is>
          <t>% of resp</t>
        </is>
      </c>
      <c r="K59" s="4" t="inlineStr">
        <is>
          <t># of resp</t>
        </is>
      </c>
      <c r="L59" s="4" t="inlineStr">
        <is>
          <t>% of resp</t>
        </is>
      </c>
      <c r="M59" s="4" t="inlineStr">
        <is>
          <t># of resp</t>
        </is>
      </c>
      <c r="N59" s="4" t="inlineStr">
        <is>
          <t>% of resp</t>
        </is>
      </c>
      <c r="O59" s="4" t="inlineStr">
        <is>
          <t># of resp</t>
        </is>
      </c>
      <c r="P59" s="4" t="inlineStr">
        <is>
          <t>% of resp</t>
        </is>
      </c>
      <c r="Q59" s="4" t="inlineStr">
        <is>
          <t># of resp</t>
        </is>
      </c>
      <c r="R59" s="4" t="inlineStr">
        <is>
          <t>% of resp</t>
        </is>
      </c>
      <c r="S59" s="4" t="inlineStr">
        <is>
          <t># of resp</t>
        </is>
      </c>
      <c r="T59" s="4" t="inlineStr">
        <is>
          <t>% of resp</t>
        </is>
      </c>
      <c r="U59" s="4" t="inlineStr">
        <is>
          <t># of resp</t>
        </is>
      </c>
      <c r="V59" s="4" t="inlineStr">
        <is>
          <t>% of resp</t>
        </is>
      </c>
      <c r="W59" s="4" t="inlineStr">
        <is>
          <t># of resp</t>
        </is>
      </c>
      <c r="X59" s="4" t="inlineStr">
        <is>
          <t>% of resp</t>
        </is>
      </c>
      <c r="Y59" s="4" t="inlineStr">
        <is>
          <t># of resp</t>
        </is>
      </c>
      <c r="Z59" s="4" t="inlineStr">
        <is>
          <t>% of resp</t>
        </is>
      </c>
      <c r="AA59" s="4" t="inlineStr">
        <is>
          <t># of resp</t>
        </is>
      </c>
      <c r="AB59" s="4" t="inlineStr">
        <is>
          <t>% of resp</t>
        </is>
      </c>
      <c r="AC59" s="4" t="inlineStr">
        <is>
          <t># of resp</t>
        </is>
      </c>
      <c r="AD59" s="4" t="inlineStr">
        <is>
          <t>% of resp</t>
        </is>
      </c>
      <c r="AE59" s="4" t="inlineStr">
        <is>
          <t># of resp</t>
        </is>
      </c>
    </row>
    <row r="60">
      <c r="A60" t="inlineStr">
        <is>
          <t>B</t>
        </is>
      </c>
      <c r="B60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0" s="7">
        <f>IFERROR(B60/SUBTOTAL(9,B59:B60),0)</f>
        <v>0.3</v>
      </c>
      <c r="D60" s="14">
        <f>SUBTOTAL(9,B59:B60)</f>
        <v>10</v>
      </c>
      <c r="F60" t="inlineStr">
        <is>
          <t>A</t>
        </is>
      </c>
      <c r="G60">
        <f>IF(OR(All_Questions_Q_VERY_LONG_SINGLE_SELECT_EXPORT_NAME_CT="(None)",G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)</f>
        <v>0</v>
      </c>
      <c r="H60" s="7">
        <f>IFERROR(G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),0)</f>
        <v>0</v>
      </c>
      <c r="I60">
        <f>IF(OR(All_Questions_Q_VERY_LONG_SINGLE_SELECT_EXPORT_NAME_CT="(None)",I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)</f>
        <v>0</v>
      </c>
      <c r="J60" s="7">
        <f>IFERROR(I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),0)</f>
        <v>0</v>
      </c>
      <c r="K60">
        <f>IF(OR(All_Questions_Q_VERY_LONG_SINGLE_SELECT_EXPORT_NAME_CT="(None)",K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)</f>
        <v>0</v>
      </c>
      <c r="L60" s="7">
        <f>IFERROR(K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),0)</f>
        <v>0</v>
      </c>
      <c r="M60">
        <f>IF(OR(All_Questions_Q_VERY_LONG_SINGLE_SELECT_EXPORT_NAME_CT="(None)",M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)</f>
        <v>0</v>
      </c>
      <c r="N60" s="7">
        <f>IFERROR(M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),0)</f>
        <v>0</v>
      </c>
      <c r="O60">
        <f>IF(OR(All_Questions_Q_VERY_LONG_SINGLE_SELECT_EXPORT_NAME_CT="(None)",O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O$58))</f>
        <v>0</v>
      </c>
      <c r="P60" s="7">
        <f>IFERROR(O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O$58)),0)</f>
        <v>0</v>
      </c>
      <c r="Q60">
        <f>IF(OR(All_Questions_Q_VERY_LONG_SINGLE_SELECT_EXPORT_NAME_CT="(None)",Q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Q$58))</f>
        <v>0</v>
      </c>
      <c r="R60" s="7">
        <f>IFERROR(Q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Q$58)),0)</f>
        <v>0</v>
      </c>
      <c r="S60">
        <f>IF(OR(All_Questions_Q_VERY_LONG_SINGLE_SELECT_EXPORT_NAME_CT="(None)",S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S$58))</f>
        <v>0</v>
      </c>
      <c r="T60" s="7">
        <f>IFERROR(S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S$58)),0)</f>
        <v>0</v>
      </c>
      <c r="U60">
        <f>IF(OR(All_Questions_Q_VERY_LONG_SINGLE_SELECT_EXPORT_NAME_CT="(None)",U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U$58))</f>
        <v>0</v>
      </c>
      <c r="V60" s="7">
        <f>IFERROR(U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U$58)),0)</f>
        <v>0</v>
      </c>
      <c r="W60">
        <f>IF(OR(All_Questions_Q_VERY_LONG_SINGLE_SELECT_EXPORT_NAME_CT="(None)",W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W$58))</f>
        <v>0</v>
      </c>
      <c r="X60" s="7">
        <f>IFERROR(W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W$58)),0)</f>
        <v>0</v>
      </c>
      <c r="Y60">
        <f>IF(OR(All_Questions_Q_VERY_LONG_SINGLE_SELECT_EXPORT_NAME_CT="(None)",Y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Y$58))</f>
        <v>0</v>
      </c>
      <c r="Z60" s="7">
        <f>IFERROR(Y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Y$58)),0)</f>
        <v>0</v>
      </c>
      <c r="AA60">
        <f>IF(OR(All_Questions_Q_VERY_LONG_SINGLE_SELECT_EXPORT_NAME_CT="(None)",AA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A$58))</f>
        <v>0</v>
      </c>
      <c r="AB60" s="7">
        <f>IFERROR(AA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A$58)),0)</f>
        <v>0</v>
      </c>
      <c r="AC60">
        <f>IF(OR(All_Questions_Q_VERY_LONG_SINGLE_SELECT_EXPORT_NAME_CT="(None)",AC$58=""),"",IF(AC$58="Other",COUNTIFS(Q_VERY_LONG_SINGLE_SELECT_EXPOR_data,"A",passes_workbook_filters_data,1,passes_workbook_custom_filters_data,1,All_Questions_passes_local_filters_data,1,All_Questions_Q_VERY_LONG_SINGLE_SELECT_EXPORT_NAME_F_passes_per_q_filter_data,1)-SUM(G60,I60,K60,M60,O60,Q60,S60,U60,W60,Y60,AA60)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C$58)))</f>
        <v>0</v>
      </c>
      <c r="AD60" s="7">
        <f>IFERROR(AC60/(IF(AC$58="Other",COUNTIFS(respondent_id_data,"&lt;&gt;",passes_workbook_filters_data,1,passes_workbook_custom_filters_data,1,All_Questions_passes_local_filters_data,1,All_Questions_Q_VERY_LONG_SINGLE_SELECT_EXPORT_NAME_F_passes_per_q_filter_data,1)-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O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Q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S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U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W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Y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A$58)),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C$58))),0)</f>
        <v>0</v>
      </c>
      <c r="AE60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1">
      <c r="A61" s="15" t="inlineStr">
        <is>
          <t>Total respondents</t>
        </is>
      </c>
      <c r="B61" s="15" t="n">
        <v>10</v>
      </c>
      <c r="C61" s="15" t="n"/>
      <c r="D61" s="15" t="n"/>
      <c r="F61" t="inlineStr">
        <is>
          <t>B</t>
        </is>
      </c>
      <c r="G61">
        <f>IF(OR(All_Questions_Q_VERY_LONG_SINGLE_SELECT_EXPORT_NAME_CT="(None)",G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)</f>
        <v>0</v>
      </c>
      <c r="H61" s="7">
        <f>IFERROR(G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),0)</f>
        <v>0</v>
      </c>
      <c r="I61">
        <f>IF(OR(All_Questions_Q_VERY_LONG_SINGLE_SELECT_EXPORT_NAME_CT="(None)",I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)</f>
        <v>0</v>
      </c>
      <c r="J61" s="7">
        <f>IFERROR(I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),0)</f>
        <v>0</v>
      </c>
      <c r="K61">
        <f>IF(OR(All_Questions_Q_VERY_LONG_SINGLE_SELECT_EXPORT_NAME_CT="(None)",K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)</f>
        <v>0</v>
      </c>
      <c r="L61" s="7">
        <f>IFERROR(K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),0)</f>
        <v>0</v>
      </c>
      <c r="M61">
        <f>IF(OR(All_Questions_Q_VERY_LONG_SINGLE_SELECT_EXPORT_NAME_CT="(None)",M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)</f>
        <v>0</v>
      </c>
      <c r="N61" s="7">
        <f>IFERROR(M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),0)</f>
        <v>0</v>
      </c>
      <c r="O61">
        <f>IF(OR(All_Questions_Q_VERY_LONG_SINGLE_SELECT_EXPORT_NAME_CT="(None)",O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O$58))</f>
        <v>0</v>
      </c>
      <c r="P61" s="7">
        <f>IFERROR(O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O$58)),0)</f>
        <v>0</v>
      </c>
      <c r="Q61">
        <f>IF(OR(All_Questions_Q_VERY_LONG_SINGLE_SELECT_EXPORT_NAME_CT="(None)",Q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Q$58))</f>
        <v>0</v>
      </c>
      <c r="R61" s="7">
        <f>IFERROR(Q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Q$58)),0)</f>
        <v>0</v>
      </c>
      <c r="S61">
        <f>IF(OR(All_Questions_Q_VERY_LONG_SINGLE_SELECT_EXPORT_NAME_CT="(None)",S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S$58))</f>
        <v>0</v>
      </c>
      <c r="T61" s="7">
        <f>IFERROR(S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S$58)),0)</f>
        <v>0</v>
      </c>
      <c r="U61">
        <f>IF(OR(All_Questions_Q_VERY_LONG_SINGLE_SELECT_EXPORT_NAME_CT="(None)",U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U$58))</f>
        <v>0</v>
      </c>
      <c r="V61" s="7">
        <f>IFERROR(U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U$58)),0)</f>
        <v>0</v>
      </c>
      <c r="W61">
        <f>IF(OR(All_Questions_Q_VERY_LONG_SINGLE_SELECT_EXPORT_NAME_CT="(None)",W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W$58))</f>
        <v>0</v>
      </c>
      <c r="X61" s="7">
        <f>IFERROR(W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W$58)),0)</f>
        <v>0</v>
      </c>
      <c r="Y61">
        <f>IF(OR(All_Questions_Q_VERY_LONG_SINGLE_SELECT_EXPORT_NAME_CT="(None)",Y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Y$58))</f>
        <v>0</v>
      </c>
      <c r="Z61" s="7">
        <f>IFERROR(Y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Y$58)),0)</f>
        <v>0</v>
      </c>
      <c r="AA61">
        <f>IF(OR(All_Questions_Q_VERY_LONG_SINGLE_SELECT_EXPORT_NAME_CT="(None)",AA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A$58))</f>
        <v>0</v>
      </c>
      <c r="AB61" s="7">
        <f>IFERROR(AA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A$58)),0)</f>
        <v>0</v>
      </c>
      <c r="AC61">
        <f>IF(OR(All_Questions_Q_VERY_LONG_SINGLE_SELECT_EXPORT_NAME_CT="(None)",AC$58=""),"",IF(AC$58="Other",COUNTIFS(Q_VERY_LONG_SINGLE_SELECT_EXPOR_data,"B",passes_workbook_filters_data,1,passes_workbook_custom_filters_data,1,All_Questions_passes_local_filters_data,1,All_Questions_Q_VERY_LONG_SINGLE_SELECT_EXPORT_NAME_F_passes_per_q_filter_data,1)-SUM(G61,I61,K61,M61,O61,Q61,S61,U61,W61,Y61,AA61)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C$58)))</f>
        <v>0</v>
      </c>
      <c r="AD61" s="7">
        <f>IFERROR(AC61/(IF(AC$58="Other",COUNTIFS(respondent_id_data,"&lt;&gt;",passes_workbook_filters_data,1,passes_workbook_custom_filters_data,1,All_Questions_passes_local_filters_data,1,All_Questions_Q_VERY_LONG_SINGLE_SELECT_EXPORT_NAME_F_passes_per_q_filter_data,1)-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O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Q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S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U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W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Y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A$58)),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C$58))),0)</f>
        <v>0</v>
      </c>
      <c r="AE61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2">
      <c r="F62" s="4" t="inlineStr">
        <is>
          <t>Total respondents</t>
        </is>
      </c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2" t="n"/>
      <c r="R62" s="2" t="n"/>
      <c r="S62" s="2" t="n"/>
      <c r="T62" s="2" t="n"/>
      <c r="U62" s="2" t="n"/>
      <c r="V62" s="2" t="n"/>
      <c r="W62" s="2" t="n"/>
      <c r="X62" s="2" t="n"/>
      <c r="Y62" s="2" t="n"/>
      <c r="Z62" s="2" t="n"/>
      <c r="AA62" s="2" t="n"/>
      <c r="AB62" s="2" t="n"/>
      <c r="AC62" s="2" t="n"/>
      <c r="AD62" s="2" t="n"/>
      <c r="AE62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49">
    <mergeCell ref="K16:L16"/>
    <mergeCell ref="Q16:R16"/>
    <mergeCell ref="AC48:AD48"/>
    <mergeCell ref="S16:T16"/>
    <mergeCell ref="AC16:AD16"/>
    <mergeCell ref="S58:T58"/>
    <mergeCell ref="Y58:Z58"/>
    <mergeCell ref="I26:J26"/>
    <mergeCell ref="G48:H48"/>
    <mergeCell ref="M48:N48"/>
    <mergeCell ref="K26:L26"/>
    <mergeCell ref="AA58:AB58"/>
    <mergeCell ref="S48:T48"/>
    <mergeCell ref="W26:X26"/>
    <mergeCell ref="I16:J16"/>
    <mergeCell ref="U48:V48"/>
    <mergeCell ref="AA48:AB48"/>
    <mergeCell ref="Q58:R58"/>
    <mergeCell ref="AC58:AD58"/>
    <mergeCell ref="U16:V16"/>
    <mergeCell ref="O26:P26"/>
    <mergeCell ref="Q26:R26"/>
    <mergeCell ref="Y26:Z26"/>
    <mergeCell ref="I58:J58"/>
    <mergeCell ref="AA26:AB26"/>
    <mergeCell ref="M16:N16"/>
    <mergeCell ref="K58:L58"/>
    <mergeCell ref="AC26:AD26"/>
    <mergeCell ref="A1:J1"/>
    <mergeCell ref="O16:P16"/>
    <mergeCell ref="W16:X16"/>
    <mergeCell ref="Y16:Z16"/>
    <mergeCell ref="AA16:AB16"/>
    <mergeCell ref="G58:H58"/>
    <mergeCell ref="U58:V58"/>
    <mergeCell ref="I48:J48"/>
    <mergeCell ref="W58:X58"/>
    <mergeCell ref="G26:H26"/>
    <mergeCell ref="M26:N26"/>
    <mergeCell ref="K48:L48"/>
    <mergeCell ref="O58:P58"/>
    <mergeCell ref="O48:P48"/>
    <mergeCell ref="Q48:R48"/>
    <mergeCell ref="W48:X48"/>
    <mergeCell ref="G16:H16"/>
    <mergeCell ref="Y48:Z48"/>
    <mergeCell ref="S26:T26"/>
    <mergeCell ref="U26:V26"/>
    <mergeCell ref="M58:N58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T18:T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V18:V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X18:X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Z18:Z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B18:AB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D18:AD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T28:T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V28:V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X28:X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Z28:Z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B28:AB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D28:AD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9:B50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9:C50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0:H51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0:J51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0:L51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0:N51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0:P51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0:R51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T50:T51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V50:V51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X50:X51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Z50:Z51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B50:AB51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D50:AD51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9:B60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9:C60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0:H61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0:J61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0:L61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0:N61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0:P61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0:R61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T60:T61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V60:V61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X60:X61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Z60:Z61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B60:AB61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D60:AD61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=INDIRECT(XLOOKUP(All_Questions_F_Custom1_Q_resolved,All_Questions,All_Questions_Options_Names,"None_options"))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=INDIRECT(XLOOKUP(All_Questions_F_Custom2_Q_resolved,All_Questions,All_Questions_Options_Names,"None_options"))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=INDIRECT(XLOOKUP(All_Questions_Q_SS_EXPORT_F_Q,All_Questions,All_Questions_Options_Names,"None_options"))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=INDIRECT(XLOOKUP(All_Questions_Q_MS_EXPORT_F_Q,All_Questions,All_Questions_Options_Names,"None_options"))</formula1>
    </dataValidation>
    <dataValidation sqref="C24" showDropDown="0" showInputMessage="0" showErrorMessage="0" allowBlank="1" type="list">
      <formula1>=All_Questions</formula1>
    </dataValidation>
    <dataValidation sqref="C33" showDropDown="0" showInputMessage="0" showErrorMessage="0" allowBlank="1" type="list">
      <formula1>=All_Questions</formula1>
    </dataValidation>
    <dataValidation sqref="E33" showDropDown="0" showInputMessage="0" showErrorMessage="0" allowBlank="1" type="list">
      <formula1>=INDIRECT(XLOOKUP(All_Questions_Q_NUM_EXPORT_F_Q,All_Questions,All_Questions_Options_Names,"None_options"))</formula1>
    </dataValidation>
    <dataValidation sqref="C34" showDropDown="0" showInputMessage="0" showErrorMessage="0" allowBlank="1" type="list">
      <formula1>=All_Questions</formula1>
    </dataValidation>
    <dataValidation sqref="C45" showDropDown="0" showInputMessage="0" showErrorMessage="0" allowBlank="1" type="list">
      <formula1>=All_Questions</formula1>
    </dataValidation>
    <dataValidation sqref="E45" showDropDown="0" showInputMessage="0" showErrorMessage="0" allowBlank="1" type="list">
      <formula1>=INDIRECT(XLOOKUP(All_Questions_Q_GRID_EXPORT_F_Q,All_Questions,All_Questions_Options_Names,"None_options"))</formula1>
    </dataValidation>
    <dataValidation sqref="C46" showDropDown="0" showInputMessage="0" showErrorMessage="0" allowBlank="1" type="list">
      <formula1>=All_Questions</formula1>
    </dataValidation>
    <dataValidation sqref="C55" showDropDown="0" showInputMessage="0" showErrorMessage="0" allowBlank="1" type="list">
      <formula1>=All_Questions</formula1>
    </dataValidation>
    <dataValidation sqref="E55" showDropDown="0" showInputMessage="0" showErrorMessage="0" allowBlank="1" type="list">
      <formula1>=INDIRECT(XLOOKUP(All_Questions_Q_VERY_LONG_SINGLE_SELECT_EXPORT_NAME_F_Q,All_Questions,All_Questions_Options_Names,"None_options"))</formula1>
    </dataValidation>
    <dataValidation sqref="C56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2026-05-18T10:57:07.932620+00:00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2026-05-18T10:57:07.934971+00:00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2026-05-18T10:57:07.935150+00:00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2026-05-18T10:57:07.939281+00:00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2026-05-18T10:57:07.942500+00:00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2026-05-18T10:57:07.945775+00:00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2026-05-18T10:57:07.948807+00:00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2026-05-18T10:57:07.948922+00:00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2026-05-18T10:57:07.952771+00:00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2026-05-18T10:57:07.955422+00:00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2026-05-18T10:57:07.958024+00:00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2026-05-18T10:57:07.958381+00:00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2026-05-18T10:57:07Z</dcterms:created>
  <dcterms:modified xmlns:dcterms="http://purl.org/dc/terms/" xmlns:xsi="http://www.w3.org/2001/XMLSchema-instance" xsi:type="dcterms:W3CDTF">2026-05-18T10:57:08Z</dcterms:modified>
</cp:coreProperties>
</file>