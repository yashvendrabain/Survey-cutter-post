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CATGRIDr1_data">'_RawData'!$B$2:$B$11</definedName>
    <definedName name="Q_CATGRIDr2_data">'_RawData'!$C$2:$C$11</definedName>
    <definedName name="Q_CATGRIDr3_data">'_RawData'!$D$2:$D$11</definedName>
    <definedName name="All_Questions">'_Options'!$A$2:$A$3</definedName>
    <definedName name="All_Questions_Local">'_Options'!$B$2:$B$4</definedName>
    <definedName name="Cross_Tab_Questions">'_Options'!$L$2:$L$2</definedName>
    <definedName name="Cross_Tab_Questions_Data_Names">'_Options'!$M$2:$M$2</definedName>
    <definedName name="None_options">'_Options'!$E$2:$E$2</definedName>
    <definedName name="Q_CATGRIDr1_options">'_Options'!$F$2:$F$5</definedName>
    <definedName name="Q_CATGRIDr1_local_options">'_Options'!$I$2:$I$6</definedName>
    <definedName name="Q_CATGRIDr2_options">'_Options'!$G$2:$G$5</definedName>
    <definedName name="Q_CATGRIDr2_local_options">'_Options'!$J$2:$J$6</definedName>
    <definedName name="Q_CATGRIDr3_options">'_Options'!$H$2:$H$5</definedName>
    <definedName name="Q_CATGRIDr3_local_options">'_Options'!$K$2:$K$6</definedName>
    <definedName name="Q_CATGRID_filter_values_options">'_Options'!$O$2:$O$11</definedName>
    <definedName name="Q_CATGRID_filter_values_local_options">'_Options'!$P$2:$P$12</definedName>
    <definedName name="All_Questions_Data_Names">'_Options'!$C$2:$C$3</definedName>
    <definedName name="All_Questions_Options_Names">'_Options'!$D$2:$D$3</definedName>
    <definedName name="Cross_Tab_Questions_Options_Names">'_Options'!$N$2:$N$2</definedName>
    <definedName name="All_Questions_Value_Keys">'_Options'!$R$2:$R$10</definedName>
    <definedName name="All_Questions_Value_Data_Names">'_Options'!$S$2:$S$10</definedName>
    <definedName name="All_Questions_Value_Criteria">'_Options'!$T$2:$T$10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'_RawData'!$E$2:$E$11</definedName>
    <definedName name="F_Custom1_match_data">'_RawData'!$F$2:$F$11</definedName>
    <definedName name="F_Custom2_match_data">'_RawData'!$G$2:$G$11</definedName>
    <definedName name="passes_workbook_custom_filters_data">'_RawData'!$H$2:$H$11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'_RawData'!$I$2:$I$11</definedName>
    <definedName name="All_Questions_Q_CATGRID_F_Q">'All Questions'!$C$13</definedName>
    <definedName name="All_Questions_Q_CATGRID_F_V">'All Questions'!$E$13</definedName>
    <definedName name="All_Questions_Q_CATGRID_F_resolved_column">'All Questions'!$F$13</definedName>
    <definedName name="All_Questions_Q_CATGRID_F_wrapped">'All Questions'!$G$13</definedName>
    <definedName name="All_Questions_Q_CATGRID_F_resolved_criteria">'All Questions'!$H$13</definedName>
    <definedName name="All_Questions_Q_CATGRID_F_passes_per_q_filter_data">'_RawData'!$J$2:$J$11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C17" i="7"/>
  <c r="D17" i="7"/>
  <c r="E17" i="7"/>
  <c r="F17" i="7"/>
  <c r="G17" i="7"/>
  <c r="H17" i="7"/>
  <c r="C18" i="7"/>
  <c r="D18" i="7"/>
  <c r="E18" i="7"/>
  <c r="F18" i="7"/>
  <c r="G18" i="7"/>
  <c r="H18" i="7"/>
  <c r="C19" i="7"/>
  <c r="D19" i="7"/>
  <c r="E19" i="7"/>
  <c r="F19" i="7"/>
  <c r="G19" i="7"/>
  <c r="H19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Q_CATGRIDr1</t>
        </is>
      </c>
      <c r="C1" t="inlineStr">
        <is>
          <t>Q_CATGRIDr2</t>
        </is>
      </c>
      <c r="D1" t="inlineStr">
        <is>
          <t>Q_CATGRIDr3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All_Questions_Q_CATGRID_F_passes_per_q_filter</t>
        </is>
      </c>
    </row>
    <row r="2">
      <c r="A2" t="n">
        <v>1</v>
      </c>
      <c r="B2" t="inlineStr">
        <is>
          <t>Decision maker</t>
        </is>
      </c>
      <c r="C2" t="inlineStr">
        <is>
          <t>Decision maker</t>
        </is>
      </c>
      <c r="D2" t="inlineStr">
        <is>
          <t>Decision maker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H2">
        <f>F2*G2*1</f>
        <v>1</v>
      </c>
      <c r="I2">
        <f>1</f>
        <v>1</v>
      </c>
      <c r="J2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1)&amp;"|",("|" &amp; SUBSTITUTE(All_Questions_Q_CATGRID_F_resolved_criteria, ", ", "|") &amp; "|"))),1,0),0))*1</f>
        <v>1</v>
      </c>
    </row>
    <row r="3">
      <c r="A3" t="n">
        <v>2</v>
      </c>
      <c r="B3" t="inlineStr">
        <is>
          <t>Decision maker</t>
        </is>
      </c>
      <c r="C3" t="inlineStr">
        <is>
          <t>Influencer</t>
        </is>
      </c>
      <c r="D3" t="inlineStr">
        <is>
          <t>Decision maker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H3">
        <f>F3*G3*1</f>
        <v>1</v>
      </c>
      <c r="I3">
        <f>1</f>
        <v>1</v>
      </c>
      <c r="J3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2)&amp;"|",("|" &amp; SUBSTITUTE(All_Questions_Q_CATGRID_F_resolved_criteria, ", ", "|") &amp; "|"))),1,0),0))*1</f>
        <v>1</v>
      </c>
    </row>
    <row r="4">
      <c r="A4" t="n">
        <v>3</v>
      </c>
      <c r="B4" t="inlineStr">
        <is>
          <t>Decision maker</t>
        </is>
      </c>
      <c r="C4" t="inlineStr">
        <is>
          <t>Influencer</t>
        </is>
      </c>
      <c r="D4" t="inlineStr">
        <is>
          <t>Influencer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H4">
        <f>F4*G4*1</f>
        <v>1</v>
      </c>
      <c r="I4">
        <f>1</f>
        <v>1</v>
      </c>
      <c r="J4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3)&amp;"|",("|" &amp; SUBSTITUTE(All_Questions_Q_CATGRID_F_resolved_criteria, ", ", "|") &amp; "|"))),1,0),0))*1</f>
        <v>1</v>
      </c>
    </row>
    <row r="5">
      <c r="A5" t="n">
        <v>4</v>
      </c>
      <c r="B5" t="inlineStr">
        <is>
          <t>Influencer</t>
        </is>
      </c>
      <c r="C5" t="inlineStr">
        <is>
          <t>Influencer</t>
        </is>
      </c>
      <c r="D5" t="inlineStr">
        <is>
          <t>Influencer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H5">
        <f>F5*G5*1</f>
        <v>1</v>
      </c>
      <c r="I5">
        <f>1</f>
        <v>1</v>
      </c>
      <c r="J5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4)&amp;"|",("|" &amp; SUBSTITUTE(All_Questions_Q_CATGRID_F_resolved_criteria, ", ", "|") &amp; "|"))),1,0),0))*1</f>
        <v>1</v>
      </c>
    </row>
    <row r="6">
      <c r="A6" t="n">
        <v>5</v>
      </c>
      <c r="B6" t="inlineStr">
        <is>
          <t>Influencer</t>
        </is>
      </c>
      <c r="C6" t="inlineStr">
        <is>
          <t>Influencer</t>
        </is>
      </c>
      <c r="D6" t="inlineStr">
        <is>
          <t>Not involved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H6">
        <f>F6*G6*1</f>
        <v>1</v>
      </c>
      <c r="I6">
        <f>1</f>
        <v>1</v>
      </c>
      <c r="J6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5)&amp;"|",("|" &amp; SUBSTITUTE(All_Questions_Q_CATGRID_F_resolved_criteria, ", ", "|") &amp; "|"))),1,0),0))*1</f>
        <v>1</v>
      </c>
    </row>
    <row r="7">
      <c r="A7" t="n">
        <v>6</v>
      </c>
      <c r="B7" t="inlineStr">
        <is>
          <t>Influencer</t>
        </is>
      </c>
      <c r="C7" t="inlineStr">
        <is>
          <t>Influencer</t>
        </is>
      </c>
      <c r="D7" t="inlineStr">
        <is>
          <t>Not involved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H7">
        <f>F7*G7*1</f>
        <v>1</v>
      </c>
      <c r="I7">
        <f>1</f>
        <v>1</v>
      </c>
      <c r="J7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6)&amp;"|",("|" &amp; SUBSTITUTE(All_Questions_Q_CATGRID_F_resolved_criteria, ", ", "|") &amp; "|"))),1,0),0))*1</f>
        <v>1</v>
      </c>
    </row>
    <row r="8">
      <c r="A8" t="n">
        <v>7</v>
      </c>
      <c r="B8" t="inlineStr">
        <is>
          <t>Influencer</t>
        </is>
      </c>
      <c r="C8" t="inlineStr">
        <is>
          <t>Not involved</t>
        </is>
      </c>
      <c r="D8" t="inlineStr">
        <is>
          <t>Not involved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H8">
        <f>F8*G8*1</f>
        <v>1</v>
      </c>
      <c r="I8">
        <f>1</f>
        <v>1</v>
      </c>
      <c r="J8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7)&amp;"|",("|" &amp; SUBSTITUTE(All_Questions_Q_CATGRID_F_resolved_criteria, ", ", "|") &amp; "|"))),1,0),0))*1</f>
        <v>1</v>
      </c>
    </row>
    <row r="9">
      <c r="A9" t="n">
        <v>8</v>
      </c>
      <c r="B9" t="inlineStr">
        <is>
          <t>Not involved</t>
        </is>
      </c>
      <c r="C9" t="inlineStr">
        <is>
          <t>Not involved</t>
        </is>
      </c>
      <c r="D9" t="inlineStr">
        <is>
          <t>Not involved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H9">
        <f>F9*G9*1</f>
        <v>1</v>
      </c>
      <c r="I9">
        <f>1</f>
        <v>1</v>
      </c>
      <c r="J9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8)&amp;"|",("|" &amp; SUBSTITUTE(All_Questions_Q_CATGRID_F_resolved_criteria, ", ", "|") &amp; "|"))),1,0),0))*1</f>
        <v>1</v>
      </c>
    </row>
    <row r="10">
      <c r="A10" t="n">
        <v>9</v>
      </c>
      <c r="B10" t="inlineStr">
        <is>
          <t>Not involved</t>
        </is>
      </c>
      <c r="C10" t="inlineStr">
        <is>
          <t>Not involved</t>
        </is>
      </c>
      <c r="D10" t="inlineStr">
        <is>
          <t>Not involved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H10">
        <f>F10*G10*1</f>
        <v>1</v>
      </c>
      <c r="I10">
        <f>1</f>
        <v>1</v>
      </c>
      <c r="J10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9)&amp;"|",("|" &amp; SUBSTITUTE(All_Questions_Q_CATGRID_F_resolved_criteria, ", ", "|") &amp; "|"))),1,0),0))*1</f>
        <v>1</v>
      </c>
    </row>
    <row r="11">
      <c r="A11" t="n">
        <v>10</v>
      </c>
      <c r="B11" t="inlineStr">
        <is>
          <t>Not involved</t>
        </is>
      </c>
      <c r="C11" t="inlineStr">
        <is>
          <t>Not involved</t>
        </is>
      </c>
      <c r="D11" t="inlineStr">
        <is>
          <t>Not involved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H11">
        <f>F11*G11*1</f>
        <v>1</v>
      </c>
      <c r="I11">
        <f>1</f>
        <v>1</v>
      </c>
      <c r="J11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10)&amp;"|",("|" &amp; SUBSTITUTE(All_Questions_Q_CATGRID_F_resolved_criteria,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Q_CATGRIDr1_options</t>
        </is>
      </c>
      <c r="G1" t="inlineStr">
        <is>
          <t>Q_CATGRIDr2_options</t>
        </is>
      </c>
      <c r="H1" t="inlineStr">
        <is>
          <t>Q_CATGRIDr3_options</t>
        </is>
      </c>
      <c r="I1" t="inlineStr">
        <is>
          <t>Q_CATGRIDr1_local_options</t>
        </is>
      </c>
      <c r="J1" t="inlineStr">
        <is>
          <t>Q_CATGRIDr2_local_options</t>
        </is>
      </c>
      <c r="K1" t="inlineStr">
        <is>
          <t>Q_CATGRIDr3_local_options</t>
        </is>
      </c>
      <c r="L1" t="inlineStr">
        <is>
          <t>Cross_Tab_Questions</t>
        </is>
      </c>
      <c r="M1" t="inlineStr">
        <is>
          <t>Cross_Tab_Questions_Data_Names</t>
        </is>
      </c>
      <c r="N1" t="inlineStr">
        <is>
          <t>Cross_Tab_Questions_Options_Names</t>
        </is>
      </c>
      <c r="O1" t="inlineStr">
        <is>
          <t>Q_CATGRID_filter_values_options</t>
        </is>
      </c>
      <c r="P1" t="inlineStr">
        <is>
          <t>Q_CATGRID_filter_values_local_options</t>
        </is>
      </c>
      <c r="R1" t="inlineStr">
        <is>
          <t>All_Questions_Value_Keys</t>
        </is>
      </c>
      <c r="S1" t="inlineStr">
        <is>
          <t>All_Questions_Value_Data_Names</t>
        </is>
      </c>
      <c r="T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  <c r="L2" t="inlineStr">
        <is>
          <t>(None)</t>
        </is>
      </c>
      <c r="M2" t="inlineStr">
        <is>
          <t>'_RawData'!$A$2:$A$11</t>
        </is>
      </c>
      <c r="N2" t="inlineStr">
        <is>
          <t>'_Options'!$E$2:$E$2</t>
        </is>
      </c>
      <c r="O2" t="inlineStr">
        <is>
          <t>(All)</t>
        </is>
      </c>
      <c r="P2" t="inlineStr">
        <is>
          <t>(Inherit)</t>
        </is>
      </c>
      <c r="R2" t="inlineStr">
        <is>
          <t>Q_CATGRID - Stakeholder Role By Function|IT / Technical: Decision maker</t>
        </is>
      </c>
      <c r="S2" t="inlineStr">
        <is>
          <t>'_RawData'!$B$2:$B$11</t>
        </is>
      </c>
      <c r="T2" t="inlineStr">
        <is>
          <t>Decision maker</t>
        </is>
      </c>
    </row>
    <row r="3">
      <c r="A3" t="inlineStr">
        <is>
          <t>Q_CATGRID - Stakeholder Role By Function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'_Options'!$O$2:$O$11</t>
        </is>
      </c>
      <c r="F3" t="inlineStr">
        <is>
          <t>Decision maker</t>
        </is>
      </c>
      <c r="G3" t="inlineStr">
        <is>
          <t>Decision maker</t>
        </is>
      </c>
      <c r="H3" t="inlineStr">
        <is>
          <t>Decision maker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  <c r="O3" t="inlineStr">
        <is>
          <t>IT / Technical: Decision maker</t>
        </is>
      </c>
      <c r="P3" t="inlineStr">
        <is>
          <t>(All)</t>
        </is>
      </c>
      <c r="R3" t="inlineStr">
        <is>
          <t>Q_CATGRID - Stakeholder Role By Function|IT / Technical: Influencer</t>
        </is>
      </c>
      <c r="S3" t="inlineStr">
        <is>
          <t>'_RawData'!$B$2:$B$11</t>
        </is>
      </c>
      <c r="T3" t="inlineStr">
        <is>
          <t>Influencer</t>
        </is>
      </c>
    </row>
    <row r="4">
      <c r="B4" t="inlineStr">
        <is>
          <t>Q_CATGRID - Stakeholder Role By Function</t>
        </is>
      </c>
      <c r="F4" t="inlineStr">
        <is>
          <t>Influencer</t>
        </is>
      </c>
      <c r="G4" t="inlineStr">
        <is>
          <t>Influencer</t>
        </is>
      </c>
      <c r="H4" t="inlineStr">
        <is>
          <t>Influencer</t>
        </is>
      </c>
      <c r="I4" t="inlineStr">
        <is>
          <t>Decision maker</t>
        </is>
      </c>
      <c r="J4" t="inlineStr">
        <is>
          <t>Decision maker</t>
        </is>
      </c>
      <c r="K4" t="inlineStr">
        <is>
          <t>Decision maker</t>
        </is>
      </c>
      <c r="O4" t="inlineStr">
        <is>
          <t>IT / Technical: Influencer</t>
        </is>
      </c>
      <c r="P4" t="inlineStr">
        <is>
          <t>IT / Technical: Decision maker</t>
        </is>
      </c>
      <c r="R4" t="inlineStr">
        <is>
          <t>Q_CATGRID - Stakeholder Role By Function|IT / Technical: Not involved</t>
        </is>
      </c>
      <c r="S4" t="inlineStr">
        <is>
          <t>'_RawData'!$B$2:$B$11</t>
        </is>
      </c>
      <c r="T4" t="inlineStr">
        <is>
          <t>Not involved</t>
        </is>
      </c>
    </row>
    <row r="5">
      <c r="F5" t="inlineStr">
        <is>
          <t>Not involved</t>
        </is>
      </c>
      <c r="G5" t="inlineStr">
        <is>
          <t>Not involved</t>
        </is>
      </c>
      <c r="H5" t="inlineStr">
        <is>
          <t>Not involved</t>
        </is>
      </c>
      <c r="I5" t="inlineStr">
        <is>
          <t>Influencer</t>
        </is>
      </c>
      <c r="J5" t="inlineStr">
        <is>
          <t>Influencer</t>
        </is>
      </c>
      <c r="K5" t="inlineStr">
        <is>
          <t>Influencer</t>
        </is>
      </c>
      <c r="O5" t="inlineStr">
        <is>
          <t>IT / Technical: Not involved</t>
        </is>
      </c>
      <c r="P5" t="inlineStr">
        <is>
          <t>IT / Technical: Influencer</t>
        </is>
      </c>
      <c r="R5" t="inlineStr">
        <is>
          <t>Q_CATGRID - Stakeholder Role By Function|Security: Decision maker</t>
        </is>
      </c>
      <c r="S5" t="inlineStr">
        <is>
          <t>'_RawData'!$C$2:$C$11</t>
        </is>
      </c>
      <c r="T5" t="inlineStr">
        <is>
          <t>Decision maker</t>
        </is>
      </c>
    </row>
    <row r="6">
      <c r="I6" t="inlineStr">
        <is>
          <t>Not involved</t>
        </is>
      </c>
      <c r="J6" t="inlineStr">
        <is>
          <t>Not involved</t>
        </is>
      </c>
      <c r="K6" t="inlineStr">
        <is>
          <t>Not involved</t>
        </is>
      </c>
      <c r="O6" t="inlineStr">
        <is>
          <t>Security: Decision maker</t>
        </is>
      </c>
      <c r="P6" t="inlineStr">
        <is>
          <t>IT / Technical: Not involved</t>
        </is>
      </c>
      <c r="R6" t="inlineStr">
        <is>
          <t>Q_CATGRID - Stakeholder Role By Function|Security: Influencer</t>
        </is>
      </c>
      <c r="S6" t="inlineStr">
        <is>
          <t>'_RawData'!$C$2:$C$11</t>
        </is>
      </c>
      <c r="T6" t="inlineStr">
        <is>
          <t>Influencer</t>
        </is>
      </c>
    </row>
    <row r="7">
      <c r="O7" t="inlineStr">
        <is>
          <t>Security: Influencer</t>
        </is>
      </c>
      <c r="P7" t="inlineStr">
        <is>
          <t>Security: Decision maker</t>
        </is>
      </c>
      <c r="R7" t="inlineStr">
        <is>
          <t>Q_CATGRID - Stakeholder Role By Function|Security: Not involved</t>
        </is>
      </c>
      <c r="S7" t="inlineStr">
        <is>
          <t>'_RawData'!$C$2:$C$11</t>
        </is>
      </c>
      <c r="T7" t="inlineStr">
        <is>
          <t>Not involved</t>
        </is>
      </c>
    </row>
    <row r="8">
      <c r="O8" t="inlineStr">
        <is>
          <t>Security: Not involved</t>
        </is>
      </c>
      <c r="P8" t="inlineStr">
        <is>
          <t>Security: Influencer</t>
        </is>
      </c>
      <c r="R8" t="inlineStr">
        <is>
          <t>Q_CATGRID - Stakeholder Role By Function|Human Resources: Decision maker</t>
        </is>
      </c>
      <c r="S8" t="inlineStr">
        <is>
          <t>'_RawData'!$D$2:$D$11</t>
        </is>
      </c>
      <c r="T8" t="inlineStr">
        <is>
          <t>Decision maker</t>
        </is>
      </c>
    </row>
    <row r="9">
      <c r="O9" t="inlineStr">
        <is>
          <t>Human Resources: Decision maker</t>
        </is>
      </c>
      <c r="P9" t="inlineStr">
        <is>
          <t>Security: Not involved</t>
        </is>
      </c>
      <c r="R9" t="inlineStr">
        <is>
          <t>Q_CATGRID - Stakeholder Role By Function|Human Resources: Influencer</t>
        </is>
      </c>
      <c r="S9" t="inlineStr">
        <is>
          <t>'_RawData'!$D$2:$D$11</t>
        </is>
      </c>
      <c r="T9" t="inlineStr">
        <is>
          <t>Influencer</t>
        </is>
      </c>
    </row>
    <row r="10">
      <c r="O10" t="inlineStr">
        <is>
          <t>Human Resources: Influencer</t>
        </is>
      </c>
      <c r="P10" t="inlineStr">
        <is>
          <t>Human Resources: Decision maker</t>
        </is>
      </c>
      <c r="R10" t="inlineStr">
        <is>
          <t>Q_CATGRID - Stakeholder Role By Function|Human Resources: Not involved</t>
        </is>
      </c>
      <c r="S10" t="inlineStr">
        <is>
          <t>'_RawData'!$D$2:$D$11</t>
        </is>
      </c>
      <c r="T10" t="inlineStr">
        <is>
          <t>Not involved</t>
        </is>
      </c>
    </row>
    <row r="11">
      <c r="O11" t="inlineStr">
        <is>
          <t>Human Resources: Not involved</t>
        </is>
      </c>
      <c r="P11" t="inlineStr">
        <is>
          <t>Human Resources: Influencer</t>
        </is>
      </c>
    </row>
    <row r="12">
      <c r="P12" t="inlineStr">
        <is>
          <t>Human Resources: Not involved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2" customWidth="1" min="3" max="3"/>
    <col width="20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[Q_CATGRID]</t>
        </is>
      </c>
      <c r="B2" t="inlineStr">
        <is>
          <t>Q_CATGRID</t>
        </is>
      </c>
      <c r="C2" t="inlineStr">
        <is>
          <t>Q_CATGRID - Stakeholder role by function</t>
        </is>
      </c>
      <c r="D2" t="inlineStr">
        <is>
          <t>GRID_SINGLE_SELECT</t>
        </is>
      </c>
      <c r="E2" t="inlineStr">
        <is>
          <t>Q_CATGRIDr1, Q_CATGRIDr2, Q_CATGRIDr3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Q_CATGRID</t>
        </is>
      </c>
      <c r="B2" t="inlineStr">
        <is>
          <t>Q_CATGRID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Q_CATGRID - Stakeholder role by function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IFERROR(INDEX(All_Questions_Value_Data_Names,MATCH(All_Questions_Q_CATGRID_F_Q&amp;"|"&amp;All_Questions_Q_CATGRID_F_V,All_Questions_Value_Keys,0)),IFERROR(INDEX(All_Questions_Data_Names,MATCH(All_Questions_Q_CATGRID_F_Q,All_Questions,0)),"'_RawData'!$A:$A"))</f>
        <v>respondent_id_data</v>
      </c>
      <c r="G13" t="str">
        <f>"|" &amp; SUBSTITUTE(All_Questions_Q_CATGRID_F_V, ", ", "|") &amp; "|"</f>
        <v>|(All)|</v>
      </c>
      <c r="H13" t="str">
        <f>IFERROR(INDEX(All_Questions_Value_Criteria,MATCH(All_Questions_Q_CATGRID_F_Q&amp;"|"&amp;All_Questions_Q_CATGRID_F_V,All_Questions_Value_Keys,0)),All_Questions_Q_CATGRID_F_V)</f>
        <v>(All)</v>
      </c>
    </row>
    <row r="14"/>
    <row r="15">
      <c r="A15" s="4" t="inlineStr">
        <is>
          <t>Sub-question ID</t>
        </is>
      </c>
      <c r="B15" s="4" t="inlineStr">
        <is>
          <t>Sub-question</t>
        </is>
      </c>
      <c r="C15" s="4" t="inlineStr">
        <is>
          <t>Not involved</t>
        </is>
      </c>
      <c r="D15" s="2" t="n"/>
      <c r="E15" s="4" t="inlineStr">
        <is>
          <t>Influencer</t>
        </is>
      </c>
      <c r="F15" s="2" t="n"/>
      <c r="G15" s="4" t="inlineStr">
        <is>
          <t>Decision maker</t>
        </is>
      </c>
      <c r="H15" s="2" t="n"/>
    </row>
    <row r="16">
      <c r="A16" s="2" t="inlineStr"/>
      <c r="B16" s="2" t="inlineStr"/>
      <c r="C16" s="4" t="inlineStr">
        <is>
          <t>Count</t>
        </is>
      </c>
      <c r="D16" s="4" t="inlineStr">
        <is>
          <t>%</t>
        </is>
      </c>
      <c r="E16" s="4" t="inlineStr">
        <is>
          <t>Count</t>
        </is>
      </c>
      <c r="F16" s="4" t="inlineStr">
        <is>
          <t>%</t>
        </is>
      </c>
      <c r="G16" s="4" t="inlineStr">
        <is>
          <t>Count</t>
        </is>
      </c>
      <c r="H16" s="4" t="inlineStr">
        <is>
          <t>%</t>
        </is>
      </c>
    </row>
    <row r="17">
      <c r="A17" s="14" t="inlineStr">
        <is>
          <t>Q_CATGRIDr1</t>
        </is>
      </c>
      <c r="B17" t="inlineStr">
        <is>
          <t>IT / Technical</t>
        </is>
      </c>
      <c r="C17">
        <f>COUNTIFS(Q_CATGRIDr1_data,"Not involved",passes_workbook_filters_data,1,passes_workbook_custom_filters_data,1,All_Questions_passes_local_filters_data,1,All_Questions_Q_CATGRID_F_passes_per_q_filter_data,1)</f>
        <v>3</v>
      </c>
      <c r="D17" s="7">
        <f>IFERROR(C17/10,0)</f>
        <v>0.3</v>
      </c>
      <c r="E17">
        <f>COUNTIFS(Q_CATGRIDr1_data,"Influencer",passes_workbook_filters_data,1,passes_workbook_custom_filters_data,1,All_Questions_passes_local_filters_data,1,All_Questions_Q_CATGRID_F_passes_per_q_filter_data,1)</f>
        <v>4</v>
      </c>
      <c r="F17" s="7">
        <f>IFERROR(E17/10,0)</f>
        <v>0.4</v>
      </c>
      <c r="G17">
        <f>COUNTIFS(Q_CATGRIDr1_data,"Decision maker",passes_workbook_filters_data,1,passes_workbook_custom_filters_data,1,All_Questions_passes_local_filters_data,1,All_Questions_Q_CATGRID_F_passes_per_q_filter_data,1)</f>
        <v>3</v>
      </c>
      <c r="H17" s="7">
        <f>IFERROR(G17/10,0)</f>
        <v>0.3</v>
      </c>
    </row>
    <row r="18">
      <c r="A18" s="14" t="inlineStr">
        <is>
          <t>Q_CATGRIDr2</t>
        </is>
      </c>
      <c r="B18" t="inlineStr">
        <is>
          <t>Security</t>
        </is>
      </c>
      <c r="C18">
        <f>COUNTIFS(Q_CATGRIDr2_data,"Not involved",passes_workbook_filters_data,1,passes_workbook_custom_filters_data,1,All_Questions_passes_local_filters_data,1,All_Questions_Q_CATGRID_F_passes_per_q_filter_data,1)</f>
        <v>4</v>
      </c>
      <c r="D18" s="7">
        <f>IFERROR(C18/10,0)</f>
        <v>0.4</v>
      </c>
      <c r="E18">
        <f>COUNTIFS(Q_CATGRIDr2_data,"Influencer",passes_workbook_filters_data,1,passes_workbook_custom_filters_data,1,All_Questions_passes_local_filters_data,1,All_Questions_Q_CATGRID_F_passes_per_q_filter_data,1)</f>
        <v>5</v>
      </c>
      <c r="F18" s="7">
        <f>IFERROR(E18/10,0)</f>
        <v>0.5</v>
      </c>
      <c r="G18">
        <f>COUNTIFS(Q_CATGRIDr2_data,"Decision maker",passes_workbook_filters_data,1,passes_workbook_custom_filters_data,1,All_Questions_passes_local_filters_data,1,All_Questions_Q_CATGRID_F_passes_per_q_filter_data,1)</f>
        <v>1</v>
      </c>
      <c r="H18" s="7">
        <f>IFERROR(G18/10,0)</f>
        <v>0.1</v>
      </c>
    </row>
    <row r="19">
      <c r="A19" s="14" t="inlineStr">
        <is>
          <t>Q_CATGRIDr3</t>
        </is>
      </c>
      <c r="B19" t="inlineStr">
        <is>
          <t>Human Resources</t>
        </is>
      </c>
      <c r="C19">
        <f>COUNTIFS(Q_CATGRIDr3_data,"Not involved",passes_workbook_filters_data,1,passes_workbook_custom_filters_data,1,All_Questions_passes_local_filters_data,1,All_Questions_Q_CATGRID_F_passes_per_q_filter_data,1)</f>
        <v>6</v>
      </c>
      <c r="D19" s="7">
        <f>IFERROR(C19/10,0)</f>
        <v>0.6</v>
      </c>
      <c r="E19">
        <f>COUNTIFS(Q_CATGRIDr3_data,"Influencer",passes_workbook_filters_data,1,passes_workbook_custom_filters_data,1,All_Questions_passes_local_filters_data,1,All_Questions_Q_CATGRID_F_passes_per_q_filter_data,1)</f>
        <v>2</v>
      </c>
      <c r="F19" s="7">
        <f>IFERROR(E19/10,0)</f>
        <v>0.2</v>
      </c>
      <c r="G19">
        <f>COUNTIFS(Q_CATGRIDr3_data,"Decision maker",passes_workbook_filters_data,1,passes_workbook_custom_filters_data,1,All_Questions_passes_local_filters_data,1,All_Questions_Q_CATGRID_F_passes_per_q_filter_data,1)</f>
        <v>2</v>
      </c>
      <c r="H19" s="7">
        <f>IFERROR(G19/10,0)</f>
        <v>0.2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E20" s="15" t="n"/>
      <c r="F20" s="15" t="n"/>
      <c r="G20" s="15" t="n"/>
      <c r="H20" s="15" t="n"/>
    </row>
    <row r="21">
      <c r="A21" s="4" t="inlineStr">
        <is>
          <t>Total responses</t>
        </is>
      </c>
      <c r="B21" s="4" t="n">
        <v>30</v>
      </c>
      <c r="C21" s="4" t="n"/>
      <c r="D21" s="4" t="n"/>
      <c r="E21" s="4" t="n"/>
      <c r="F21" s="4" t="n"/>
      <c r="G21" s="4" t="n"/>
      <c r="H21" s="4" t="n"/>
    </row>
  </sheetData>
  <mergeCells count="4">
    <mergeCell ref="E15:F15"/>
    <mergeCell ref="C15:D15"/>
    <mergeCell ref="A1:J1"/>
    <mergeCell ref="G15:H15"/>
  </mergeCells>
  <conditionalFormatting sqref="D17:D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7:F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7:H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6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=INDIRECT(IFERROR(INDEX(All_Questions_Options_Names,MATCH(All_Questions_Q_CATGRID_F_Q,All_Questions,0)),"'_Options'!$E$2:$E$2"))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2026-06-09T11:30:28Z</dcterms:created>
  <dcterms:modified xmlns:dcterms="http://purl.org/dc/terms/" xmlns:xsi="http://www.w3.org/2001/XMLSchema-instance" xsi:type="dcterms:W3CDTF">2026-06-09T11:30:29Z</dcterms:modified>
</cp:coreProperties>
</file>