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'_Options'!$G$2:$G$2</definedName>
    <definedName name="Q_NUM_EXPORT_local_options">'_Options'!$N$2:$N$3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CT">'All Questions'!$C$15</definedName>
    <definedName name="All_Questions_Q_NUM_EXPORT_F_Q">'All Questions'!$C$23</definedName>
    <definedName name="All_Questions_Q_NUM_EXPORT_F_V">'All Questions'!$E$23</definedName>
    <definedName name="All_Questions_Q_NUM_EXPORT_F_resolved_column">'All Questions'!$F$23</definedName>
    <definedName name="All_Questions_Q_NUM_EXPORT_F_wrapped">'All Questions'!$G$23</definedName>
    <definedName name="All_Questions_Q_NUM_EXPORT_CT">'All Questions'!$C$24</definedName>
    <definedName name="All_Questions_Q_GRID_EXPORT_F_Q">'All Questions'!$C$35</definedName>
    <definedName name="All_Questions_Q_GRID_EXPORT_F_V">'All Questions'!$E$35</definedName>
    <definedName name="All_Questions_Q_GRID_EXPORT_F_resolved_column">'All Questions'!$F$35</definedName>
    <definedName name="All_Questions_Q_GRID_EXPORT_F_wrapped">'All Questions'!$G$35</definedName>
    <definedName name="All_Questions_Q_GRID_EXPORT_CT">'All Questions'!$C$36</definedName>
    <definedName name="All_Questions_Q_VERY_LONG_SINGLE_SELECT_EXPORT_NAME_F_Q">'All Questions'!$C$44</definedName>
    <definedName name="All_Questions_Q_VERY_LONG_SINGLE_SELECT_EXPORT_NAME_F_V">'All Questions'!$E$44</definedName>
    <definedName name="All_Questions_Q_VERY_LONG_SINGLE_SELECT_EXPORT_NAME_F_resolved_column">'All Questions'!$F$44</definedName>
    <definedName name="All_Questions_Q_VERY_LONG_SINGLE_SELECT_EXPORT_NAME_F_wrapped">'All Questions'!$G$44</definedName>
    <definedName name="All_Questions_Q_VERY_LONG_SINGLE_SELECT_EXPORT_NAME_CT">'All Questions'!$C$45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I3" i="1"/>
  <c r="J3" i="1"/>
  <c r="K3" i="1"/>
  <c r="L3" i="1"/>
  <c r="M3" i="1"/>
  <c r="I4" i="1"/>
  <c r="J4" i="1"/>
  <c r="K4" i="1"/>
  <c r="L4" i="1"/>
  <c r="M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3" i="8"/>
  <c r="G23" i="8"/>
  <c r="B27" i="8"/>
  <c r="D27" i="8"/>
  <c r="B28" i="8"/>
  <c r="D28" i="8"/>
  <c r="B29" i="8"/>
  <c r="D29" i="8"/>
  <c r="D30" i="8"/>
  <c r="F35" i="8"/>
  <c r="G35" i="8"/>
  <c r="G38" i="8"/>
  <c r="H38" i="8"/>
  <c r="I38" i="8"/>
  <c r="J38" i="8"/>
  <c r="K38" i="8"/>
  <c r="L38" i="8"/>
  <c r="M38" i="8"/>
  <c r="N38" i="8"/>
  <c r="B39" i="8"/>
  <c r="C39" i="8"/>
  <c r="D39" i="8"/>
  <c r="G39" i="8"/>
  <c r="H39" i="8"/>
  <c r="I39" i="8"/>
  <c r="J39" i="8"/>
  <c r="K39" i="8"/>
  <c r="L39" i="8"/>
  <c r="M39" i="8"/>
  <c r="N39" i="8"/>
  <c r="O39" i="8"/>
  <c r="B40" i="8"/>
  <c r="C40" i="8"/>
  <c r="D40" i="8"/>
  <c r="G40" i="8"/>
  <c r="H40" i="8"/>
  <c r="I40" i="8"/>
  <c r="J40" i="8"/>
  <c r="K40" i="8"/>
  <c r="L40" i="8"/>
  <c r="M40" i="8"/>
  <c r="N40" i="8"/>
  <c r="O40" i="8"/>
  <c r="F44" i="8"/>
  <c r="G44" i="8"/>
  <c r="G47" i="8"/>
  <c r="H47" i="8"/>
  <c r="I47" i="8"/>
  <c r="J47" i="8"/>
  <c r="K47" i="8"/>
  <c r="L47" i="8"/>
  <c r="M47" i="8"/>
  <c r="N47" i="8"/>
  <c r="B48" i="8"/>
  <c r="C48" i="8"/>
  <c r="D48" i="8"/>
  <c r="G48" i="8"/>
  <c r="H48" i="8"/>
  <c r="I48" i="8"/>
  <c r="J48" i="8"/>
  <c r="K48" i="8"/>
  <c r="L48" i="8"/>
  <c r="M48" i="8"/>
  <c r="N48" i="8"/>
  <c r="O48" i="8"/>
  <c r="B49" i="8"/>
  <c r="C49" i="8"/>
  <c r="D49" i="8"/>
  <c r="G49" i="8"/>
  <c r="H49" i="8"/>
  <c r="I49" i="8"/>
  <c r="J49" i="8"/>
  <c r="K49" i="8"/>
  <c r="L49" i="8"/>
  <c r="M49" i="8"/>
  <c r="N49" i="8"/>
  <c r="O49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2" authorId="0" shapeId="0">
      <text>
        <t>Numeric export question</t>
      </text>
    </comment>
    <comment ref="A34" authorId="0" shapeId="0">
      <text>
        <t>Grid export question</t>
      </text>
    </comment>
    <comment ref="A43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19" headerRowCount="1">
  <autoFilter ref="A17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19" headerRowCount="1">
  <autoFilter ref="A17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6_1" displayName="T_All_Questions_26_1" ref="A26:D30" headerRowCount="1">
  <autoFilter ref="A26:D3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8_1" displayName="T_All_Questions_38_1" ref="A38:D40" headerRowCount="1">
  <autoFilter ref="A38:D4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7_1" displayName="T_All_Questions_47_1" ref="A47:D49" headerRowCount="1">
  <autoFilter ref="A47:D4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L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M2">
        <f>K2*L2*1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L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M3">
        <f>K3*L3*1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L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M4">
        <f>K4*L4*1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Q_SS_EXPORT - Single select export question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IF(F_Custom1_Q="(None)","respondent_id_data",F_Custom1_Q &amp; "_data")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IF(F_Custom2_Q="(None)","respondent_id_data",F_Custom2_Q &amp; "_data")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=INDIRECT(IF(F_Custom1_Q="(None)","None_options",F_Custom1_Q &amp; "_options"))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IF(Demographics_F_Custom1_Q_resolved="(None)","respondent_id_data",Demographics_F_Custom1_Q_resolved &amp; "_data")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IF(Demographics_F_Custom2_Q_resolved="(None)","respondent_id_data",Demographics_F_Custom2_Q_resolved &amp; "_data")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IF(Demographics_Q_SS_EXPORT_F_Q="(None)","respondent_id_data",Demographics_Q_SS_EXPORT_F_Q &amp; "_data")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>
        <f>IFERROR(INDEX(INDIRECT(Demographics_Q_SS_EXPORT_CT &amp; "_options"),2),"")</f>
        <v>0</v>
      </c>
      <c r="H17">
        <f>IFERROR(INDEX(INDIRECT(Demographics_Q_SS_EXPORT_CT &amp; "_options"),3),"")</f>
        <v>0</v>
      </c>
      <c r="I17">
        <f>IFERROR(INDEX(INDIRECT(Demographics_Q_SS_EXPORT_CT &amp; "_options"),4),"")</f>
        <v>0</v>
      </c>
      <c r="J17">
        <f>IFERROR(INDEX(INDIRECT(Demographics_Q_SS_EXPORT_CT &amp; "_options"),5),"")</f>
        <v>0</v>
      </c>
      <c r="K17">
        <f>IFERROR(INDEX(INDIRECT(Demographics_Q_SS_EXPORT_CT &amp; "_options"),6),"")</f>
        <v>0</v>
      </c>
      <c r="L17">
        <f>IFERROR(INDEX(INDIRECT(Demographics_Q_SS_EXPORT_CT &amp; "_options"),7),"")</f>
        <v>0</v>
      </c>
      <c r="M17">
        <f>IFERROR(INDEX(INDIRECT(Demographics_Q_SS_EXPORT_CT &amp; "_options"),8),"")</f>
        <v>0</v>
      </c>
      <c r="N17">
        <f>IFERROR(INDEX(INDIRECT(Demographics_Q_SS_EXPORT_CT &amp; "_options"),9),"")</f>
        <v>0</v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(Demographics_Q_SS_EXPORT_CT&lt;&gt;"(None)")*COUNTIFS(Q_SS_EXPORT_data,"Yes",passes_workbook_filters_data,1,passes_workbook_custom_filters_data,1,INDIRECT(Demographics_Q_SS_EXPORT_CT &amp; "_data"),G$17)</f>
        <v>0</v>
      </c>
      <c r="H18">
        <f>(Demographics_Q_SS_EXPORT_CT&lt;&gt;"(None)")*COUNTIFS(Q_SS_EXPORT_data,"Yes",passes_workbook_filters_data,1,passes_workbook_custom_filters_data,1,INDIRECT(Demographics_Q_SS_EXPORT_CT &amp; "_data"),H$17)</f>
        <v>0</v>
      </c>
      <c r="I18">
        <f>(Demographics_Q_SS_EXPORT_CT&lt;&gt;"(None)")*COUNTIFS(Q_SS_EXPORT_data,"Yes",passes_workbook_filters_data,1,passes_workbook_custom_filters_data,1,INDIRECT(Demographics_Q_SS_EXPORT_CT &amp; "_data"),I$17)</f>
        <v>0</v>
      </c>
      <c r="J18">
        <f>(Demographics_Q_SS_EXPORT_CT&lt;&gt;"(None)")*COUNTIFS(Q_SS_EXPORT_data,"Yes",passes_workbook_filters_data,1,passes_workbook_custom_filters_data,1,INDIRECT(Demographics_Q_SS_EXPORT_CT &amp; "_data"),J$17)</f>
        <v>0</v>
      </c>
      <c r="K18">
        <f>(Demographics_Q_SS_EXPORT_CT&lt;&gt;"(None)")*COUNTIFS(Q_SS_EXPORT_data,"Yes",passes_workbook_filters_data,1,passes_workbook_custom_filters_data,1,INDIRECT(Demographics_Q_SS_EXPORT_CT &amp; "_data"),K$17)</f>
        <v>0</v>
      </c>
      <c r="L18">
        <f>(Demographics_Q_SS_EXPORT_CT&lt;&gt;"(None)")*COUNTIFS(Q_SS_EXPORT_data,"Yes",passes_workbook_filters_data,1,passes_workbook_custom_filters_data,1,INDIRECT(Demographics_Q_SS_EXPORT_CT &amp; "_data"),L$17)</f>
        <v>0</v>
      </c>
      <c r="M18">
        <f>(Demographics_Q_SS_EXPORT_CT&lt;&gt;"(None)")*COUNTIFS(Q_SS_EXPORT_data,"Yes",passes_workbook_filters_data,1,passes_workbook_custom_filters_data,1,INDIRECT(Demographics_Q_SS_EXPORT_CT &amp; "_data"),M$17)</f>
        <v>0</v>
      </c>
      <c r="N18">
        <f>(Demographics_Q_SS_EXPORT_CT&lt;&gt;"(None)")*COUNTIFS(Q_SS_EXPORT_data,"Yes",passes_workbook_filters_data,1,passes_workbook_custom_filters_data,1,INDIRECT(Demographics_Q_SS_EXPORT_CT &amp; "_data"),N$17)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(Demographics_Q_SS_EXPORT_CT&lt;&gt;"(None)")*COUNTIFS(Q_SS_EXPORT_data,"No",passes_workbook_filters_data,1,passes_workbook_custom_filters_data,1,INDIRECT(Demographics_Q_SS_EXPORT_CT &amp; "_data"),G$17)</f>
        <v>0</v>
      </c>
      <c r="H19">
        <f>(Demographics_Q_SS_EXPORT_CT&lt;&gt;"(None)")*COUNTIFS(Q_SS_EXPORT_data,"No",passes_workbook_filters_data,1,passes_workbook_custom_filters_data,1,INDIRECT(Demographics_Q_SS_EXPORT_CT &amp; "_data"),H$17)</f>
        <v>0</v>
      </c>
      <c r="I19">
        <f>(Demographics_Q_SS_EXPORT_CT&lt;&gt;"(None)")*COUNTIFS(Q_SS_EXPORT_data,"No",passes_workbook_filters_data,1,passes_workbook_custom_filters_data,1,INDIRECT(Demographics_Q_SS_EXPORT_CT &amp; "_data"),I$17)</f>
        <v>0</v>
      </c>
      <c r="J19">
        <f>(Demographics_Q_SS_EXPORT_CT&lt;&gt;"(None)")*COUNTIFS(Q_SS_EXPORT_data,"No",passes_workbook_filters_data,1,passes_workbook_custom_filters_data,1,INDIRECT(Demographics_Q_SS_EXPORT_CT &amp; "_data"),J$17)</f>
        <v>0</v>
      </c>
      <c r="K19">
        <f>(Demographics_Q_SS_EXPORT_CT&lt;&gt;"(None)")*COUNTIFS(Q_SS_EXPORT_data,"No",passes_workbook_filters_data,1,passes_workbook_custom_filters_data,1,INDIRECT(Demographics_Q_SS_EXPORT_CT &amp; "_data"),K$17)</f>
        <v>0</v>
      </c>
      <c r="L19">
        <f>(Demographics_Q_SS_EXPORT_CT&lt;&gt;"(None)")*COUNTIFS(Q_SS_EXPORT_data,"No",passes_workbook_filters_data,1,passes_workbook_custom_filters_data,1,INDIRECT(Demographics_Q_SS_EXPORT_CT &amp; "_data"),L$17)</f>
        <v>0</v>
      </c>
      <c r="M19">
        <f>(Demographics_Q_SS_EXPORT_CT&lt;&gt;"(None)")*COUNTIFS(Q_SS_EXPORT_data,"No",passes_workbook_filters_data,1,passes_workbook_custom_filters_data,1,INDIRECT(Demographics_Q_SS_EXPORT_CT &amp; "_data"),M$17)</f>
        <v>0</v>
      </c>
      <c r="N19">
        <f>(Demographics_Q_SS_EXPORT_CT&lt;&gt;"(None)")*COUNTIFS(Q_SS_EXPORT_data,"No",passes_workbook_filters_data,1,passes_workbook_custom_filters_data,1,INDIRECT(Demographics_Q_SS_EXPORT_CT &amp; "_data"),N$17)</f>
        <v>0</v>
      </c>
      <c r="O19">
        <f>SUM(G19:N19)</f>
        <v>0</v>
      </c>
    </row>
  </sheetData>
  <mergeCells count="2">
    <mergeCell ref="A1:J1"/>
    <mergeCell ref="A13:J13"/>
  </mergeCells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=INDIRECT(IF(Demographics_F_Custom1_Q_resolved="(None)","None_options",Demographics_F_Custom1_Q_resolved &amp; "_local_options"))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=INDIRECT(IF(Demographics_F_Custom2_Q_resolved="(None)","None_options",Demographics_F_Custom2_Q_resolved &amp; "_local_options"))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=INDIRECT(IF(Demographics_Q_SS_EXPORT_F_Q="(None)","None_options",Demographics_Q_SS_EXPORT_F_Q &amp; "_options"))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IF(All_Questions_F_Custom1_Q_resolved="(None)","respondent_id_data",All_Questions_F_Custom1_Q_resolved &amp; "_data")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IF(All_Questions_F_Custom2_Q_resolved="(None)","respondent_id_data",All_Questions_F_Custom2_Q_resolved &amp; "_data")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IF(All_Questions_Q_MS_EXPORT_F_Q="(None)","respondent_id_data",All_Questions_Q_MS_EXPORT_F_Q &amp; "_data")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>
        <f>IFERROR(INDEX(INDIRECT(All_Questions_Q_MS_EXPORT_CT &amp; "_options"),2),"")</f>
        <v>0</v>
      </c>
      <c r="H17">
        <f>IFERROR(INDEX(INDIRECT(All_Questions_Q_MS_EXPORT_CT &amp; "_options"),3),"")</f>
        <v>0</v>
      </c>
      <c r="I17">
        <f>IFERROR(INDEX(INDIRECT(All_Questions_Q_MS_EXPORT_CT &amp; "_options"),4),"")</f>
        <v>0</v>
      </c>
      <c r="J17">
        <f>IFERROR(INDEX(INDIRECT(All_Questions_Q_MS_EXPORT_CT &amp; "_options"),5),"")</f>
        <v>0</v>
      </c>
      <c r="K17">
        <f>IFERROR(INDEX(INDIRECT(All_Questions_Q_MS_EXPORT_CT &amp; "_options"),6),"")</f>
        <v>0</v>
      </c>
      <c r="L17">
        <f>IFERROR(INDEX(INDIRECT(All_Questions_Q_MS_EXPORT_CT &amp; "_options"),7),"")</f>
        <v>0</v>
      </c>
      <c r="M17">
        <f>IFERROR(INDEX(INDIRECT(All_Questions_Q_MS_EXPORT_CT &amp; "_options"),8),"")</f>
        <v>0</v>
      </c>
      <c r="N17">
        <f>IFERROR(INDEX(INDIRECT(All_Questions_Q_MS_EXPORT_CT &amp; "_options"),9),"")</f>
        <v>0</v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(All_Questions_Q_MS_EXPORT_CT&lt;&gt;"(None)")*COUNTIFS(Q_MS_EXPORTr1_data,"Selected",passes_workbook_filters_data,1,passes_workbook_custom_filters_data,1,INDIRECT(All_Questions_Q_MS_EXPORT_CT &amp; "_data"),G$17)</f>
        <v>0</v>
      </c>
      <c r="H18">
        <f>(All_Questions_Q_MS_EXPORT_CT&lt;&gt;"(None)")*COUNTIFS(Q_MS_EXPORTr1_data,"Selected",passes_workbook_filters_data,1,passes_workbook_custom_filters_data,1,INDIRECT(All_Questions_Q_MS_EXPORT_CT &amp; "_data"),H$17)</f>
        <v>0</v>
      </c>
      <c r="I18">
        <f>(All_Questions_Q_MS_EXPORT_CT&lt;&gt;"(None)")*COUNTIFS(Q_MS_EXPORTr1_data,"Selected",passes_workbook_filters_data,1,passes_workbook_custom_filters_data,1,INDIRECT(All_Questions_Q_MS_EXPORT_CT &amp; "_data"),I$17)</f>
        <v>0</v>
      </c>
      <c r="J18">
        <f>(All_Questions_Q_MS_EXPORT_CT&lt;&gt;"(None)")*COUNTIFS(Q_MS_EXPORTr1_data,"Selected",passes_workbook_filters_data,1,passes_workbook_custom_filters_data,1,INDIRECT(All_Questions_Q_MS_EXPORT_CT &amp; "_data"),J$17)</f>
        <v>0</v>
      </c>
      <c r="K18">
        <f>(All_Questions_Q_MS_EXPORT_CT&lt;&gt;"(None)")*COUNTIFS(Q_MS_EXPORTr1_data,"Selected",passes_workbook_filters_data,1,passes_workbook_custom_filters_data,1,INDIRECT(All_Questions_Q_MS_EXPORT_CT &amp; "_data"),K$17)</f>
        <v>0</v>
      </c>
      <c r="L18">
        <f>(All_Questions_Q_MS_EXPORT_CT&lt;&gt;"(None)")*COUNTIFS(Q_MS_EXPORTr1_data,"Selected",passes_workbook_filters_data,1,passes_workbook_custom_filters_data,1,INDIRECT(All_Questions_Q_MS_EXPORT_CT &amp; "_data"),L$17)</f>
        <v>0</v>
      </c>
      <c r="M18">
        <f>(All_Questions_Q_MS_EXPORT_CT&lt;&gt;"(None)")*COUNTIFS(Q_MS_EXPORTr1_data,"Selected",passes_workbook_filters_data,1,passes_workbook_custom_filters_data,1,INDIRECT(All_Questions_Q_MS_EXPORT_CT &amp; "_data"),M$17)</f>
        <v>0</v>
      </c>
      <c r="N18">
        <f>(All_Questions_Q_MS_EXPORT_CT&lt;&gt;"(None)")*COUNTIFS(Q_MS_EXPORTr1_data,"Selected",passes_workbook_filters_data,1,passes_workbook_custom_filters_data,1,INDIRECT(All_Questions_Q_MS_EXPORT_CT &amp; "_data"),N$17)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(All_Questions_Q_MS_EXPORT_CT&lt;&gt;"(None)")*COUNTIFS(Q_MS_EXPORTr2_data,"Selected",passes_workbook_filters_data,1,passes_workbook_custom_filters_data,1,INDIRECT(All_Questions_Q_MS_EXPORT_CT &amp; "_data"),G$17)</f>
        <v>0</v>
      </c>
      <c r="H19">
        <f>(All_Questions_Q_MS_EXPORT_CT&lt;&gt;"(None)")*COUNTIFS(Q_MS_EXPORTr2_data,"Selected",passes_workbook_filters_data,1,passes_workbook_custom_filters_data,1,INDIRECT(All_Questions_Q_MS_EXPORT_CT &amp; "_data"),H$17)</f>
        <v>0</v>
      </c>
      <c r="I19">
        <f>(All_Questions_Q_MS_EXPORT_CT&lt;&gt;"(None)")*COUNTIFS(Q_MS_EXPORTr2_data,"Selected",passes_workbook_filters_data,1,passes_workbook_custom_filters_data,1,INDIRECT(All_Questions_Q_MS_EXPORT_CT &amp; "_data"),I$17)</f>
        <v>0</v>
      </c>
      <c r="J19">
        <f>(All_Questions_Q_MS_EXPORT_CT&lt;&gt;"(None)")*COUNTIFS(Q_MS_EXPORTr2_data,"Selected",passes_workbook_filters_data,1,passes_workbook_custom_filters_data,1,INDIRECT(All_Questions_Q_MS_EXPORT_CT &amp; "_data"),J$17)</f>
        <v>0</v>
      </c>
      <c r="K19">
        <f>(All_Questions_Q_MS_EXPORT_CT&lt;&gt;"(None)")*COUNTIFS(Q_MS_EXPORTr2_data,"Selected",passes_workbook_filters_data,1,passes_workbook_custom_filters_data,1,INDIRECT(All_Questions_Q_MS_EXPORT_CT &amp; "_data"),K$17)</f>
        <v>0</v>
      </c>
      <c r="L19">
        <f>(All_Questions_Q_MS_EXPORT_CT&lt;&gt;"(None)")*COUNTIFS(Q_MS_EXPORTr2_data,"Selected",passes_workbook_filters_data,1,passes_workbook_custom_filters_data,1,INDIRECT(All_Questions_Q_MS_EXPORT_CT &amp; "_data"),L$17)</f>
        <v>0</v>
      </c>
      <c r="M19">
        <f>(All_Questions_Q_MS_EXPORT_CT&lt;&gt;"(None)")*COUNTIFS(Q_MS_EXPORTr2_data,"Selected",passes_workbook_filters_data,1,passes_workbook_custom_filters_data,1,INDIRECT(All_Questions_Q_MS_EXPORT_CT &amp; "_data"),M$17)</f>
        <v>0</v>
      </c>
      <c r="N19">
        <f>(All_Questions_Q_MS_EXPORT_CT&lt;&gt;"(None)")*COUNTIFS(Q_MS_EXPORTr2_data,"Selected",passes_workbook_filters_data,1,passes_workbook_custom_filters_data,1,INDIRECT(All_Questions_Q_MS_EXPORT_CT &amp; "_data"),N$17)</f>
        <v>0</v>
      </c>
      <c r="O19">
        <f>SUM(G19:N19)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Q_NUM_EXPORT - Numeric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IF(All_Questions_Q_NUM_EXPORT_F_Q="(None)","respondent_id_data",All_Questions_Q_NUM_EXPORT_F_Q &amp; "_data")</f>
        <v>respondent_id_data</v>
      </c>
      <c r="G23" t="str">
        <f>"|" &amp; SUBSTITUTE(All_Questions_Q_NUM_EXPORT_F_V,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Metric</t>
        </is>
      </c>
      <c r="B26" s="4" t="inlineStr">
        <is>
          <t>Value</t>
        </is>
      </c>
      <c r="C26" s="4" t="inlineStr">
        <is>
          <t>Note</t>
        </is>
      </c>
      <c r="D26" s="4" t="inlineStr">
        <is>
          <t>Denominator</t>
        </is>
      </c>
    </row>
    <row r="27">
      <c r="A27" t="inlineStr">
        <is>
          <t>Mean</t>
        </is>
      </c>
      <c r="B27">
        <f>IFERROR(AVERAGEIFS(Q_NUM_EXPORT_data,passes_workbook_filters_data,1,passes_workbook_custom_filters_data,1),0)</f>
        <v>5.5</v>
      </c>
      <c r="D27">
        <f>COUNTIFS(Q_NUM_EXPORT_data,"&lt;&gt;",passes_workbook_filters_data,1,passes_workbook_custom_filters_data,1)</f>
        <v>10</v>
      </c>
    </row>
    <row r="28">
      <c r="A28" t="inlineStr">
        <is>
          <t>Min</t>
        </is>
      </c>
      <c r="B28">
        <f>IFERROR(MINIFS(Q_NUM_EXPORT_data,passes_workbook_filters_data,1,passes_workbook_custom_filters_data,1),0)</f>
        <v>1.0</v>
      </c>
      <c r="D28">
        <f>COUNTIFS(Q_NUM_EXPORT_data,"&lt;&gt;",passes_workbook_filters_data,1,passes_workbook_custom_filters_data,1)</f>
        <v>10</v>
      </c>
    </row>
    <row r="29">
      <c r="A29" t="inlineStr">
        <is>
          <t>Max</t>
        </is>
      </c>
      <c r="B29">
        <f>IFERROR(MAXIFS(Q_NUM_EXPORT_data,passes_workbook_filters_data,1,passes_workbook_custom_filters_data,1),0)</f>
        <v>10.0</v>
      </c>
      <c r="D29">
        <f>COUNTIFS(Q_NUM_EXPORT_data,"&lt;&gt;",passes_workbook_filters_data,1,passes_workbook_custom_filters_data,1)</f>
        <v>10</v>
      </c>
    </row>
    <row r="30">
      <c r="A30" t="inlineStr">
        <is>
          <t>Std</t>
        </is>
      </c>
      <c r="B30" t="n">
        <v>2.9</v>
      </c>
      <c r="C30" t="inlineStr">
        <is>
          <t>static baseline</t>
        </is>
      </c>
      <c r="D30">
        <f>COUNTIFS(Q_NUM_EXPORT_data,"&lt;&gt;",passes_workbook_filters_data,1,passes_workbook_custom_filters_data,1)</f>
        <v>10</v>
      </c>
    </row>
    <row r="31">
      <c r="A31" s="10" t="inlineStr">
        <is>
          <t>Median not available in filtered view - see static baseline in audit log.</t>
        </is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Q_GRID_EXPORT - Grid export question</t>
        </is>
      </c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IF(All_Questions_Q_GRID_EXPORT_F_Q="(None)","respondent_id_data",All_Questions_Q_GRID_EXPORT_F_Q &amp; "_data")</f>
        <v>respondent_id_data</v>
      </c>
      <c r="G35" t="str">
        <f>"|" &amp; SUBSTITUTE(All_Questions_Q_GRID_EXPORT_F_V,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5" t="inlineStr">
        <is>
          <t>Option \ Cross-tab</t>
        </is>
      </c>
      <c r="G38">
        <f>IFERROR(INDEX(INDIRECT(All_Questions_Q_GRID_EXPORT_CT &amp; "_options"),2),"")</f>
        <v>0</v>
      </c>
      <c r="H38">
        <f>IFERROR(INDEX(INDIRECT(All_Questions_Q_GRID_EXPORT_CT &amp; "_options"),3),"")</f>
        <v>0</v>
      </c>
      <c r="I38">
        <f>IFERROR(INDEX(INDIRECT(All_Questions_Q_GRID_EXPORT_CT &amp; "_options"),4),"")</f>
        <v>0</v>
      </c>
      <c r="J38">
        <f>IFERROR(INDEX(INDIRECT(All_Questions_Q_GRID_EXPORT_CT &amp; "_options"),5),"")</f>
        <v>0</v>
      </c>
      <c r="K38">
        <f>IFERROR(INDEX(INDIRECT(All_Questions_Q_GRID_EXPORT_CT &amp; "_options"),6),"")</f>
        <v>0</v>
      </c>
      <c r="L38">
        <f>IFERROR(INDEX(INDIRECT(All_Questions_Q_GRID_EXPORT_CT &amp; "_options"),7),"")</f>
        <v>0</v>
      </c>
      <c r="M38">
        <f>IFERROR(INDEX(INDIRECT(All_Questions_Q_GRID_EXPORT_CT &amp; "_options"),8),"")</f>
        <v>0</v>
      </c>
      <c r="N38">
        <f>IFERROR(INDEX(INDIRECT(All_Questions_Q_GRID_EXPORT_CT &amp; "_options"),9),"")</f>
        <v>0</v>
      </c>
      <c r="O38" s="5" t="inlineStr">
        <is>
          <t>TOTAL</t>
        </is>
      </c>
    </row>
    <row r="39">
      <c r="A39" t="inlineStr">
        <is>
          <t>Grid first row</t>
        </is>
      </c>
      <c r="B39">
        <f>COUNTIFS(Q_GRID_EXPORTr1_data,"Selected",passes_workbook_filters_data,1,passes_workbook_custom_filters_data,1)</f>
        <v>10</v>
      </c>
      <c r="C39" s="7">
        <f>IFERROR(B39/SUBTOTAL(9,B39:B40),0)</f>
        <v>0.5</v>
      </c>
      <c r="D39" s="14">
        <f>SUBTOTAL(9,B39:B40)</f>
        <v>20</v>
      </c>
      <c r="F39" t="inlineStr">
        <is>
          <t>Grid first row</t>
        </is>
      </c>
      <c r="G39">
        <f>(All_Questions_Q_GRID_EXPORT_CT&lt;&gt;"(None)")*COUNTIFS(Q_GRID_EXPORTr1_data,"Selected",passes_workbook_filters_data,1,passes_workbook_custom_filters_data,1,INDIRECT(All_Questions_Q_GRID_EXPORT_CT &amp; "_data"),G$38)</f>
        <v>0</v>
      </c>
      <c r="H39">
        <f>(All_Questions_Q_GRID_EXPORT_CT&lt;&gt;"(None)")*COUNTIFS(Q_GRID_EXPORTr1_data,"Selected",passes_workbook_filters_data,1,passes_workbook_custom_filters_data,1,INDIRECT(All_Questions_Q_GRID_EXPORT_CT &amp; "_data"),H$38)</f>
        <v>0</v>
      </c>
      <c r="I39">
        <f>(All_Questions_Q_GRID_EXPORT_CT&lt;&gt;"(None)")*COUNTIFS(Q_GRID_EXPORTr1_data,"Selected",passes_workbook_filters_data,1,passes_workbook_custom_filters_data,1,INDIRECT(All_Questions_Q_GRID_EXPORT_CT &amp; "_data"),I$38)</f>
        <v>0</v>
      </c>
      <c r="J39">
        <f>(All_Questions_Q_GRID_EXPORT_CT&lt;&gt;"(None)")*COUNTIFS(Q_GRID_EXPORTr1_data,"Selected",passes_workbook_filters_data,1,passes_workbook_custom_filters_data,1,INDIRECT(All_Questions_Q_GRID_EXPORT_CT &amp; "_data"),J$38)</f>
        <v>0</v>
      </c>
      <c r="K39">
        <f>(All_Questions_Q_GRID_EXPORT_CT&lt;&gt;"(None)")*COUNTIFS(Q_GRID_EXPORTr1_data,"Selected",passes_workbook_filters_data,1,passes_workbook_custom_filters_data,1,INDIRECT(All_Questions_Q_GRID_EXPORT_CT &amp; "_data"),K$38)</f>
        <v>0</v>
      </c>
      <c r="L39">
        <f>(All_Questions_Q_GRID_EXPORT_CT&lt;&gt;"(None)")*COUNTIFS(Q_GRID_EXPORTr1_data,"Selected",passes_workbook_filters_data,1,passes_workbook_custom_filters_data,1,INDIRECT(All_Questions_Q_GRID_EXPORT_CT &amp; "_data"),L$38)</f>
        <v>0</v>
      </c>
      <c r="M39">
        <f>(All_Questions_Q_GRID_EXPORT_CT&lt;&gt;"(None)")*COUNTIFS(Q_GRID_EXPORTr1_data,"Selected",passes_workbook_filters_data,1,passes_workbook_custom_filters_data,1,INDIRECT(All_Questions_Q_GRID_EXPORT_CT &amp; "_data"),M$38)</f>
        <v>0</v>
      </c>
      <c r="N39">
        <f>(All_Questions_Q_GRID_EXPORT_CT&lt;&gt;"(None)")*COUNTIFS(Q_GRID_EXPORTr1_data,"Selected",passes_workbook_filters_data,1,passes_workbook_custom_filters_data,1,INDIRECT(All_Questions_Q_GRID_EXPORT_CT &amp; "_data"),N$38)</f>
        <v>0</v>
      </c>
      <c r="O39">
        <f>SUM(G39:N39)</f>
        <v>0</v>
      </c>
    </row>
    <row r="40">
      <c r="A40" t="inlineStr">
        <is>
          <t>Grid second row</t>
        </is>
      </c>
      <c r="B40">
        <f>COUNTIFS(Q_GRID_EXPORTr2_data,"Selected",passes_workbook_filters_data,1,passes_workbook_custom_filters_data,1)</f>
        <v>10</v>
      </c>
      <c r="C40" s="7">
        <f>IFERROR(B40/SUBTOTAL(9,B39:B40),0)</f>
        <v>0.5</v>
      </c>
      <c r="D40" s="14">
        <f>SUBTOTAL(9,B39:B40)</f>
        <v>20</v>
      </c>
      <c r="F40" t="inlineStr">
        <is>
          <t>Grid second row</t>
        </is>
      </c>
      <c r="G40">
        <f>(All_Questions_Q_GRID_EXPORT_CT&lt;&gt;"(None)")*COUNTIFS(Q_GRID_EXPORTr2_data,"Selected",passes_workbook_filters_data,1,passes_workbook_custom_filters_data,1,INDIRECT(All_Questions_Q_GRID_EXPORT_CT &amp; "_data"),G$38)</f>
        <v>0</v>
      </c>
      <c r="H40">
        <f>(All_Questions_Q_GRID_EXPORT_CT&lt;&gt;"(None)")*COUNTIFS(Q_GRID_EXPORTr2_data,"Selected",passes_workbook_filters_data,1,passes_workbook_custom_filters_data,1,INDIRECT(All_Questions_Q_GRID_EXPORT_CT &amp; "_data"),H$38)</f>
        <v>0</v>
      </c>
      <c r="I40">
        <f>(All_Questions_Q_GRID_EXPORT_CT&lt;&gt;"(None)")*COUNTIFS(Q_GRID_EXPORTr2_data,"Selected",passes_workbook_filters_data,1,passes_workbook_custom_filters_data,1,INDIRECT(All_Questions_Q_GRID_EXPORT_CT &amp; "_data"),I$38)</f>
        <v>0</v>
      </c>
      <c r="J40">
        <f>(All_Questions_Q_GRID_EXPORT_CT&lt;&gt;"(None)")*COUNTIFS(Q_GRID_EXPORTr2_data,"Selected",passes_workbook_filters_data,1,passes_workbook_custom_filters_data,1,INDIRECT(All_Questions_Q_GRID_EXPORT_CT &amp; "_data"),J$38)</f>
        <v>0</v>
      </c>
      <c r="K40">
        <f>(All_Questions_Q_GRID_EXPORT_CT&lt;&gt;"(None)")*COUNTIFS(Q_GRID_EXPORTr2_data,"Selected",passes_workbook_filters_data,1,passes_workbook_custom_filters_data,1,INDIRECT(All_Questions_Q_GRID_EXPORT_CT &amp; "_data"),K$38)</f>
        <v>0</v>
      </c>
      <c r="L40">
        <f>(All_Questions_Q_GRID_EXPORT_CT&lt;&gt;"(None)")*COUNTIFS(Q_GRID_EXPORTr2_data,"Selected",passes_workbook_filters_data,1,passes_workbook_custom_filters_data,1,INDIRECT(All_Questions_Q_GRID_EXPORT_CT &amp; "_data"),L$38)</f>
        <v>0</v>
      </c>
      <c r="M40">
        <f>(All_Questions_Q_GRID_EXPORT_CT&lt;&gt;"(None)")*COUNTIFS(Q_GRID_EXPORTr2_data,"Selected",passes_workbook_filters_data,1,passes_workbook_custom_filters_data,1,INDIRECT(All_Questions_Q_GRID_EXPORT_CT &amp; "_data"),M$38)</f>
        <v>0</v>
      </c>
      <c r="N40">
        <f>(All_Questions_Q_GRID_EXPORT_CT&lt;&gt;"(None)")*COUNTIFS(Q_GRID_EXPORTr2_data,"Selected",passes_workbook_filters_data,1,passes_workbook_custom_filters_data,1,INDIRECT(All_Questions_Q_GRID_EXPORT_CT &amp; "_data"),N$38)</f>
        <v>0</v>
      </c>
      <c r="O40">
        <f>SUM(G40:N40)</f>
        <v>0</v>
      </c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</row>
    <row r="43">
      <c r="A43" s="12" t="inlineStr">
        <is>
          <t>Q_VERY_LONG_SINGLE_SELECT_EXPORT_NAME - Long sheet name export question</t>
        </is>
      </c>
    </row>
    <row r="44">
      <c r="A44" s="13" t="inlineStr">
        <is>
          <t>Per-question filter</t>
        </is>
      </c>
      <c r="B44" t="inlineStr">
        <is>
          <t>Filter Q</t>
        </is>
      </c>
      <c r="C44" t="inlineStr">
        <is>
          <t>(None)</t>
        </is>
      </c>
      <c r="D44" t="inlineStr">
        <is>
          <t>Value</t>
        </is>
      </c>
      <c r="E44" t="inlineStr">
        <is>
          <t>(All)</t>
        </is>
      </c>
      <c r="F44" t="str">
        <f>IF(All_Questions_Q_VERY_LONG_SINGLE_SELECT_EXPORT_NAME_F_Q="(None)","respondent_id_data",All_Questions_Q_VERY_LONG_SINGLE_SELECT_EXPORT_NAME_F_Q &amp; "_data")</f>
        <v>respondent_id_data</v>
      </c>
      <c r="G44" t="str">
        <f>"|" &amp; SUBSTITUTE(All_Questions_Q_VERY_LONG_SINGLE_SELECT_EXPORT_NAME_F_V, ", ", "|") &amp; "|"</f>
        <v>|(All)|</v>
      </c>
    </row>
    <row r="45">
      <c r="A45" s="13" t="inlineStr">
        <is>
          <t>Cross-tab by</t>
        </is>
      </c>
      <c r="C45" t="inlineStr">
        <is>
          <t>(None)</t>
        </is>
      </c>
    </row>
    <row r="47">
      <c r="A47" s="4" t="inlineStr">
        <is>
          <t>Option</t>
        </is>
      </c>
      <c r="B47" s="4" t="inlineStr">
        <is>
          <t>Count</t>
        </is>
      </c>
      <c r="C47" s="4" t="inlineStr">
        <is>
          <t>%</t>
        </is>
      </c>
      <c r="D47" s="4" t="inlineStr">
        <is>
          <t>Denominator</t>
        </is>
      </c>
      <c r="F47" s="5" t="inlineStr">
        <is>
          <t>Option \ Cross-tab</t>
        </is>
      </c>
      <c r="G47">
        <f>IFERROR(INDEX(INDIRECT(All_Questions_Q_VERY_LONG_SINGLE_SELECT_EXPORT_NAME_CT &amp; "_options"),2),"")</f>
        <v>0</v>
      </c>
      <c r="H47">
        <f>IFERROR(INDEX(INDIRECT(All_Questions_Q_VERY_LONG_SINGLE_SELECT_EXPORT_NAME_CT &amp; "_options"),3),"")</f>
        <v>0</v>
      </c>
      <c r="I47">
        <f>IFERROR(INDEX(INDIRECT(All_Questions_Q_VERY_LONG_SINGLE_SELECT_EXPORT_NAME_CT &amp; "_options"),4),"")</f>
        <v>0</v>
      </c>
      <c r="J47">
        <f>IFERROR(INDEX(INDIRECT(All_Questions_Q_VERY_LONG_SINGLE_SELECT_EXPORT_NAME_CT &amp; "_options"),5),"")</f>
        <v>0</v>
      </c>
      <c r="K47">
        <f>IFERROR(INDEX(INDIRECT(All_Questions_Q_VERY_LONG_SINGLE_SELECT_EXPORT_NAME_CT &amp; "_options"),6),"")</f>
        <v>0</v>
      </c>
      <c r="L47">
        <f>IFERROR(INDEX(INDIRECT(All_Questions_Q_VERY_LONG_SINGLE_SELECT_EXPORT_NAME_CT &amp; "_options"),7),"")</f>
        <v>0</v>
      </c>
      <c r="M47">
        <f>IFERROR(INDEX(INDIRECT(All_Questions_Q_VERY_LONG_SINGLE_SELECT_EXPORT_NAME_CT &amp; "_options"),8),"")</f>
        <v>0</v>
      </c>
      <c r="N47">
        <f>IFERROR(INDEX(INDIRECT(All_Questions_Q_VERY_LONG_SINGLE_SELECT_EXPORT_NAME_CT &amp; "_options"),9),"")</f>
        <v>0</v>
      </c>
      <c r="O47" s="5" t="inlineStr">
        <is>
          <t>TOTAL</t>
        </is>
      </c>
    </row>
    <row r="48">
      <c r="A48" t="inlineStr">
        <is>
          <t>A</t>
        </is>
      </c>
      <c r="B48">
        <f>COUNTIFS(Q_VERY_LONG_SINGLE_SELECT_EXPOR_data,"A",passes_workbook_filters_data,1,passes_workbook_custom_filters_data,1)</f>
        <v>7</v>
      </c>
      <c r="C48" s="7">
        <f>IFERROR(B48/SUBTOTAL(9,B48:B49),0)</f>
        <v>0.7</v>
      </c>
      <c r="D48" s="14">
        <f>SUBTOTAL(9,B48:B49)</f>
        <v>10</v>
      </c>
      <c r="F48" t="inlineStr">
        <is>
          <t>A</t>
        </is>
      </c>
      <c r="G48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"_data"),G$47)</f>
        <v>0</v>
      </c>
      <c r="H48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"_data"),H$47)</f>
        <v>0</v>
      </c>
      <c r="I48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"_data"),I$47)</f>
        <v>0</v>
      </c>
      <c r="J48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"_data"),J$47)</f>
        <v>0</v>
      </c>
      <c r="K48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"_data"),K$47)</f>
        <v>0</v>
      </c>
      <c r="L48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"_data"),L$47)</f>
        <v>0</v>
      </c>
      <c r="M48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"_data"),M$47)</f>
        <v>0</v>
      </c>
      <c r="N48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"_data"),N$47)</f>
        <v>0</v>
      </c>
      <c r="O48">
        <f>SUM(G48:N48)</f>
        <v>0</v>
      </c>
    </row>
    <row r="49">
      <c r="A49" t="inlineStr">
        <is>
          <t>B</t>
        </is>
      </c>
      <c r="B49">
        <f>COUNTIFS(Q_VERY_LONG_SINGLE_SELECT_EXPOR_data,"B",passes_workbook_filters_data,1,passes_workbook_custom_filters_data,1)</f>
        <v>3</v>
      </c>
      <c r="C49" s="7">
        <f>IFERROR(B49/SUBTOTAL(9,B48:B49),0)</f>
        <v>0.3</v>
      </c>
      <c r="D49" s="14">
        <f>SUBTOTAL(9,B48:B49)</f>
        <v>10</v>
      </c>
      <c r="F49" t="inlineStr">
        <is>
          <t>B</t>
        </is>
      </c>
      <c r="G49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"_data"),G$47)</f>
        <v>0</v>
      </c>
      <c r="H49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"_data"),H$47)</f>
        <v>0</v>
      </c>
      <c r="I49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"_data"),I$47)</f>
        <v>0</v>
      </c>
      <c r="J49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"_data"),J$47)</f>
        <v>0</v>
      </c>
      <c r="K49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"_data"),K$47)</f>
        <v>0</v>
      </c>
      <c r="L49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"_data"),L$47)</f>
        <v>0</v>
      </c>
      <c r="M49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"_data"),M$47)</f>
        <v>0</v>
      </c>
      <c r="N49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"_data"),N$47)</f>
        <v>0</v>
      </c>
      <c r="O49">
        <f>SUM(G49:N49)</f>
        <v>0</v>
      </c>
    </row>
  </sheetData>
  <mergeCells count="5">
    <mergeCell ref="A1:J1"/>
    <mergeCell ref="A22:J22"/>
    <mergeCell ref="A34:J34"/>
    <mergeCell ref="A43:J43"/>
    <mergeCell ref="A13:J13"/>
  </mergeCells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15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24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36" showDropDown="0" showInputMessage="0" showErrorMessage="0" allowBlank="1" type="list">
      <formula1>=All_Questions</formula1>
    </dataValidation>
    <dataValidation sqref="C44" showDropDown="0" showInputMessage="0" showErrorMessage="0" allowBlank="1" type="list">
      <formula1>=All_Questions</formula1>
    </dataValidation>
    <dataValidation sqref="E44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4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2026-05-15T05:25:51Z</dcterms:created>
  <dcterms:modified xmlns:dcterms="http://purl.org/dc/terms/" xmlns:xsi="http://www.w3.org/2001/XMLSchema-instance" xsi:type="dcterms:W3CDTF">2026-05-15T05:25:51Z</dcterms:modified>
</cp:coreProperties>
</file>