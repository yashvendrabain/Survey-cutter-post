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Theme_One_6_1" displayName="T_Theme_One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13_1" displayName="T_Theme_One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6_1" displayName="T_Theme_Two_6_1" ref="A6:D10" headerRowCount="1">
  <autoFilter ref="A6:D1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5" t="inlineStr">
        <is>
          <t>Theme One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5" t="inlineStr">
        <is>
          <t>Theme One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5" t="inlineStr">
        <is>
          <t>Theme Two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One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Two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Q_NUM_EXPORT - Numeric export question</t>
        </is>
      </c>
    </row>
    <row r="6">
      <c r="A6" s="3" t="inlineStr">
        <is>
          <t>Metric</t>
        </is>
      </c>
      <c r="B6" s="3" t="inlineStr">
        <is>
          <t>Value</t>
        </is>
      </c>
      <c r="C6" s="3" t="inlineStr">
        <is>
          <t>Note</t>
        </is>
      </c>
      <c r="D6" s="3" t="inlineStr">
        <is>
          <t>Denominator</t>
        </is>
      </c>
    </row>
    <row r="7">
      <c r="A7" t="inlineStr">
        <is>
          <t>Mean</t>
        </is>
      </c>
      <c r="B7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7">
        <f>COUNTIFS(INDIRECT(F_Custom1_resolved_column),F_Custom1_crit,INDIRECT(F_Custom2_resolved_column),F_Custom2_crit,INDIRECT(Q_NUM_EXPORT_F_resolved_column),Q_NUM_EXPORT_F_crit,Q_NUM_EXPORT_data,"&lt;&gt;")</f>
        <v/>
      </c>
    </row>
    <row r="8">
      <c r="A8" t="inlineStr">
        <is>
          <t>Min</t>
        </is>
      </c>
      <c r="B8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8">
        <f>COUNTIFS(INDIRECT(F_Custom1_resolved_column),F_Custom1_crit,INDIRECT(F_Custom2_resolved_column),F_Custom2_crit,INDIRECT(Q_NUM_EXPORT_F_resolved_column),Q_NUM_EXPORT_F_crit,Q_NUM_EXPORT_data,"&lt;&gt;")</f>
        <v/>
      </c>
    </row>
    <row r="9">
      <c r="A9" t="inlineStr">
        <is>
          <t>Max</t>
        </is>
      </c>
      <c r="B9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9">
        <f>COUNTIFS(INDIRECT(F_Custom1_resolved_column),F_Custom1_crit,INDIRECT(F_Custom2_resolved_column),F_Custom2_crit,INDIRECT(Q_NUM_EXPORT_F_resolved_column),Q_NUM_EXPORT_F_crit,Q_NUM_EXPORT_data,"&lt;&gt;")</f>
        <v/>
      </c>
    </row>
    <row r="10">
      <c r="A10" t="inlineStr">
        <is>
          <t>Std</t>
        </is>
      </c>
      <c r="B10" t="n">
        <v>2.9</v>
      </c>
      <c r="C10" t="inlineStr">
        <is>
          <t>static baseline</t>
        </is>
      </c>
      <c r="D10">
        <f>COUNTIFS(INDIRECT(F_Custom1_resolved_column),F_Custom1_crit,INDIRECT(F_Custom2_resolved_column),F_Custom2_crit,INDIRECT(Q_NUM_EXPORT_F_resolved_column),Q_NUM_EXPORT_F_crit,Q_NUM_EXPORT_data,"&lt;&gt;")</f>
        <v/>
      </c>
    </row>
    <row r="11">
      <c r="A11" s="12" t="inlineStr">
        <is>
          <t>Median not available in filtered view - see static baseline in audit log.</t>
        </is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Q_GRID_EXPORT - Grid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IFERROR(INDEX(INDIRECT(Q_GRID_EXPORT_CT &amp; "_options"),2),"")</f>
        <v/>
      </c>
      <c r="H6">
        <f>IFERROR(INDEX(INDIRECT(Q_GRID_EXPORT_CT &amp; "_options"),3),"")</f>
        <v/>
      </c>
      <c r="I6">
        <f>IFERROR(INDEX(INDIRECT(Q_GRID_EXPORT_CT &amp; "_options"),4),"")</f>
        <v/>
      </c>
      <c r="J6">
        <f>IFERROR(INDEX(INDIRECT(Q_GRID_EXPORT_CT &amp; "_options"),5),"")</f>
        <v/>
      </c>
      <c r="K6">
        <f>IFERROR(INDEX(INDIRECT(Q_GRID_EXPORT_CT &amp; "_options"),6),"")</f>
        <v/>
      </c>
      <c r="L6">
        <f>IFERROR(INDEX(INDIRECT(Q_GRID_EXPORT_CT &amp; "_options"),7),"")</f>
        <v/>
      </c>
      <c r="M6">
        <f>IFERROR(INDEX(INDIRECT(Q_GRID_EXPORT_CT &amp; "_options"),8),"")</f>
        <v/>
      </c>
      <c r="N6">
        <f>IFERROR(INDEX(INDIRECT(Q_GRID_EXPORT_CT &amp; "_options"),9),"")</f>
        <v/>
      </c>
      <c r="O6" s="4" t="inlineStr">
        <is>
          <t>TOTAL</t>
        </is>
      </c>
    </row>
    <row r="7">
      <c r="A7" t="inlineStr">
        <is>
          <t>Grid first row</t>
        </is>
      </c>
      <c r="B7">
        <f>COUNTIFS(INDIRECT(F_Custom1_resolved_column),F_Custom1_crit,INDIRECT(F_Custom2_resolved_column),F_Custom2_crit,INDIRECT(Q_GRID_EXPORT_F_resolved_column),Q_GRID_EXPORT_F_crit,Q_GRID_EXPORTr1_data,"Selected")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Grid first row</t>
        </is>
      </c>
      <c r="G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"_data"),G$6))</f>
        <v/>
      </c>
      <c r="H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"_data"),H$6))</f>
        <v/>
      </c>
      <c r="I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"_data"),I$6))</f>
        <v/>
      </c>
      <c r="J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"_data"),J$6))</f>
        <v/>
      </c>
      <c r="K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"_data"),K$6))</f>
        <v/>
      </c>
      <c r="L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"_data"),L$6))</f>
        <v/>
      </c>
      <c r="M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"_data"),M$6))</f>
        <v/>
      </c>
      <c r="N7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"_data"),N$6))</f>
        <v/>
      </c>
      <c r="O7">
        <f>SUM(G7:N7)</f>
        <v/>
      </c>
    </row>
    <row r="8">
      <c r="A8" t="inlineStr">
        <is>
          <t>Grid second row</t>
        </is>
      </c>
      <c r="B8">
        <f>COUNTIFS(INDIRECT(F_Custom1_resolved_column),F_Custom1_crit,INDIRECT(F_Custom2_resolved_column),F_Custom2_crit,INDIRECT(Q_GRID_EXPORT_F_resolved_column),Q_GRID_EXPORT_F_crit,Q_GRID_EXPORTr2_data,"Selected")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Grid second row</t>
        </is>
      </c>
      <c r="G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"_data"),G$6))</f>
        <v/>
      </c>
      <c r="H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"_data"),H$6))</f>
        <v/>
      </c>
      <c r="I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"_data"),I$6))</f>
        <v/>
      </c>
      <c r="J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"_data"),J$6))</f>
        <v/>
      </c>
      <c r="K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"_data"),K$6))</f>
        <v/>
      </c>
      <c r="L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"_data"),L$6))</f>
        <v/>
      </c>
      <c r="M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"_data"),M$6))</f>
        <v/>
      </c>
      <c r="N8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Q_VERY_LONG_SINGLE_SELECT_EXPORT_NAME - Long sheet name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IFERROR(INDEX(INDIRECT(Q_VERY_LONG_SINGLE_SELECT_EXPORT_NAME_CT &amp; "_options"),2),"")</f>
        <v/>
      </c>
      <c r="H13">
        <f>IFERROR(INDEX(INDIRECT(Q_VERY_LONG_SINGLE_SELECT_EXPORT_NAME_CT &amp; "_options"),3),"")</f>
        <v/>
      </c>
      <c r="I13">
        <f>IFERROR(INDEX(INDIRECT(Q_VERY_LONG_SINGLE_SELECT_EXPORT_NAME_CT &amp; "_options"),4),"")</f>
        <v/>
      </c>
      <c r="J13">
        <f>IFERROR(INDEX(INDIRECT(Q_VERY_LONG_SINGLE_SELECT_EXPORT_NAME_CT &amp; "_options"),5),"")</f>
        <v/>
      </c>
      <c r="K13">
        <f>IFERROR(INDEX(INDIRECT(Q_VERY_LONG_SINGLE_SELECT_EXPORT_NAME_CT &amp; "_options"),6),"")</f>
        <v/>
      </c>
      <c r="L13">
        <f>IFERROR(INDEX(INDIRECT(Q_VERY_LONG_SINGLE_SELECT_EXPORT_NAME_CT &amp; "_options"),7),"")</f>
        <v/>
      </c>
      <c r="M13">
        <f>IFERROR(INDEX(INDIRECT(Q_VERY_LONG_SINGLE_SELECT_EXPORT_NAME_CT &amp; "_options"),8),"")</f>
        <v/>
      </c>
      <c r="N13">
        <f>IFERROR(INDEX(INDIRECT(Q_VERY_LONG_SINGLE_SELECT_EXPORT_NAME_CT &amp; "_options"),9),"")</f>
        <v/>
      </c>
      <c r="O13" s="4" t="inlineStr">
        <is>
          <t>TOTAL</t>
        </is>
      </c>
    </row>
    <row r="14">
      <c r="A14" t="inlineStr">
        <is>
          <t>A</t>
        </is>
      </c>
      <c r="B14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14" s="6">
        <f>IFERROR(B14/SUBTOTAL(9,B14:B15),0)</f>
        <v/>
      </c>
      <c r="D14" s="11">
        <f>SUBTOTAL(9,B14:B15)</f>
        <v/>
      </c>
      <c r="F14" t="inlineStr">
        <is>
          <t>A</t>
        </is>
      </c>
      <c r="G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"_data"),G$13))</f>
        <v/>
      </c>
      <c r="H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"_data"),H$13))</f>
        <v/>
      </c>
      <c r="I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"_data"),I$13))</f>
        <v/>
      </c>
      <c r="J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"_data"),J$13))</f>
        <v/>
      </c>
      <c r="K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"_data"),K$13))</f>
        <v/>
      </c>
      <c r="L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"_data"),L$13))</f>
        <v/>
      </c>
      <c r="M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"_data"),M$13))</f>
        <v/>
      </c>
      <c r="N14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"_data"),N$13))</f>
        <v/>
      </c>
      <c r="O14">
        <f>SUM(G14:N14)</f>
        <v/>
      </c>
    </row>
    <row r="15">
      <c r="A15" t="inlineStr">
        <is>
          <t>B</t>
        </is>
      </c>
      <c r="B15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15" s="6">
        <f>IFERROR(B15/SUBTOTAL(9,B14:B15),0)</f>
        <v/>
      </c>
      <c r="D15" s="11">
        <f>SUBTOTAL(9,B14:B15)</f>
        <v/>
      </c>
      <c r="F15" t="inlineStr">
        <is>
          <t>B</t>
        </is>
      </c>
      <c r="G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"_data"),G$13))</f>
        <v/>
      </c>
      <c r="H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"_data"),H$13))</f>
        <v/>
      </c>
      <c r="I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"_data"),I$13))</f>
        <v/>
      </c>
      <c r="J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"_data"),J$13))</f>
        <v/>
      </c>
      <c r="K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"_data"),K$13))</f>
        <v/>
      </c>
      <c r="L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"_data"),L$13))</f>
        <v/>
      </c>
      <c r="M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"_data"),M$13))</f>
        <v/>
      </c>
      <c r="N15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"_data"),N$13))</f>
        <v/>
      </c>
      <c r="O15">
        <f>SUM(G15:N15)</f>
        <v/>
      </c>
    </row>
  </sheetData>
  <mergeCells count="3">
    <mergeCell ref="A1:J1"/>
    <mergeCell ref="A4:J4"/>
    <mergeCell ref="A11:J1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2026-05-13T19:23:31Z</dcterms:created>
  <dcterms:modified xmlns:dcterms="http://purl.org/dc/terms/" xmlns:xsi="http://www.w3.org/2001/XMLSchema-instance" xsi:type="dcterms:W3CDTF">2026-05-13T19:23:31Z</dcterms:modified>
</cp:coreProperties>
</file>