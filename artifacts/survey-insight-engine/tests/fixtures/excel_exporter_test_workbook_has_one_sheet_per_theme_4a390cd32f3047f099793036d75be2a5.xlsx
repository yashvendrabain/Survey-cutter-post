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tables/table3.xml" ContentType="application/vnd.openxmlformats-officedocument.spreadsheetml.table+xml"/>
  <ns0:Override PartName="/xl/worksheets/sheet9.xml" ContentType="application/vnd.openxmlformats-officedocument.spreadsheetml.worksheet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passes_per_q_filter_data">'_RawData'!$N$2:$N$11</definedName>
    <definedName name="Theme_One_Q_SS_EXPORT_CT">'Theme One'!$C$14</definedName>
    <definedName name="Theme_One_Q_MS_EXPORT_F_Q">'Theme One'!$C$23</definedName>
    <definedName name="Theme_One_Q_MS_EXPORT_F_V">'Theme One'!$E$23</definedName>
    <definedName name="Theme_One_Q_MS_EXPORT_F_resolved_column">'Theme One'!$F$23</definedName>
    <definedName name="Theme_One_Q_MS_EXPORT_F_wrapped">'Theme One'!$G$23</definedName>
    <definedName name="Theme_One_Q_MS_EXPORT_F_passes_per_q_filter_data">'_RawData'!$O$2:$O$11</definedName>
    <definedName name="Theme_One_Q_MS_EXPORT_CT">'Theme One'!$C$24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passes_local_filters_data">'_RawData'!$P$2:$P$11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passes_per_q_filter_data">'_RawData'!$Q$2:$Q$11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GRID_EXPORT_F_Q">'All Questions'!$C$13</definedName>
    <definedName name="All_Questions_Q_GRID_EXPORT_F_V">'All Questions'!$E$13</definedName>
    <definedName name="All_Questions_Q_GRID_EXPORT_F_resolved_column">'All Questions'!$F$13</definedName>
    <definedName name="All_Questions_Q_GRID_EXPORT_F_wrapped">'All Questions'!$G$13</definedName>
    <definedName name="All_Questions_Q_GRID_EXPORT_F_passes_per_q_filter_data">'_RawData'!$S$2:$S$11</definedName>
    <definedName name="All_Questions_Q_GRID_EXPORT_CT">'All Questions'!$C$14</definedName>
    <definedName name="All_Questions_Q_VERY_LONG_SINGLE_SELECT_EXPORT_NAME_F_Q">'All Questions'!$C$24</definedName>
    <definedName name="All_Questions_Q_VERY_LONG_SINGLE_SELECT_EXPORT_NAME_F_V">'All Questions'!$E$24</definedName>
    <definedName name="All_Questions_Q_VERY_LONG_SINGLE_SELECT_EXPORT_NAME_F_resolved_column">'All Questions'!$F$24</definedName>
    <definedName name="All_Questions_Q_VERY_LONG_SINGLE_SELECT_EXPORT_NAME_F_wrapped">'All Questions'!$G$24</definedName>
    <definedName name="All_Questions_Q_VERY_LONG_SINGLE_SELECT_EXPORT_NAME_F_passes_per_q_filter_data">'_RawData'!$T$2:$T$11</definedName>
    <definedName name="All_Questions_Q_VERY_LONG_SINGLE_SELECT_EXPORT_NAME_CT">'All Questions'!$C$25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C5" i="8"/>
  <c r="C6" i="8"/>
  <c r="D6" i="8"/>
  <c r="F6" i="8"/>
  <c r="C7" i="8"/>
  <c r="C8" i="8"/>
  <c r="D8" i="8"/>
  <c r="F8" i="8"/>
  <c r="F13" i="8"/>
  <c r="G13" i="8"/>
  <c r="B17" i="8"/>
  <c r="D17" i="8"/>
  <c r="B18" i="8"/>
  <c r="D18" i="8"/>
  <c r="B19" i="8"/>
  <c r="D19" i="8"/>
  <c r="D20" i="8"/>
  <c r="C5" i="9"/>
  <c r="C6" i="9"/>
  <c r="D6" i="9"/>
  <c r="F6" i="9"/>
  <c r="C7" i="9"/>
  <c r="C8" i="9"/>
  <c r="D8" i="9"/>
  <c r="F8" i="9"/>
  <c r="F13" i="9"/>
  <c r="G13" i="9"/>
  <c r="G16" i="9"/>
  <c r="H16" i="9"/>
  <c r="I16" i="9"/>
  <c r="J16" i="9"/>
  <c r="K16" i="9"/>
  <c r="L16" i="9"/>
  <c r="M16" i="9"/>
  <c r="N16" i="9"/>
  <c r="O16" i="9"/>
  <c r="P16" i="9"/>
  <c r="Q16" i="9"/>
  <c r="R16" i="9"/>
  <c r="B17" i="9"/>
  <c r="C17" i="9"/>
  <c r="D17" i="9"/>
  <c r="B18" i="9"/>
  <c r="C18" i="9"/>
  <c r="D18" i="9"/>
  <c r="G18" i="9"/>
  <c r="H18" i="9"/>
  <c r="I18" i="9"/>
  <c r="J18" i="9"/>
  <c r="K18" i="9"/>
  <c r="L18" i="9"/>
  <c r="M18" i="9"/>
  <c r="N18" i="9"/>
  <c r="O18" i="9"/>
  <c r="P18" i="9"/>
  <c r="Q18" i="9"/>
  <c r="R18" i="9"/>
  <c r="S18" i="9"/>
  <c r="G19" i="9"/>
  <c r="H19" i="9"/>
  <c r="I19" i="9"/>
  <c r="J19" i="9"/>
  <c r="K19" i="9"/>
  <c r="L19" i="9"/>
  <c r="M19" i="9"/>
  <c r="N19" i="9"/>
  <c r="O19" i="9"/>
  <c r="P19" i="9"/>
  <c r="Q19" i="9"/>
  <c r="R19" i="9"/>
  <c r="S19" i="9"/>
  <c r="S20" i="9"/>
  <c r="F24" i="9"/>
  <c r="G24" i="9"/>
  <c r="G27" i="9"/>
  <c r="H27" i="9"/>
  <c r="I27" i="9"/>
  <c r="J27" i="9"/>
  <c r="K27" i="9"/>
  <c r="L27" i="9"/>
  <c r="M27" i="9"/>
  <c r="N27" i="9"/>
  <c r="O27" i="9"/>
  <c r="P27" i="9"/>
  <c r="Q27" i="9"/>
  <c r="R27" i="9"/>
  <c r="B28" i="9"/>
  <c r="C28" i="9"/>
  <c r="D28" i="9"/>
  <c r="B29" i="9"/>
  <c r="C29" i="9"/>
  <c r="D29" i="9"/>
  <c r="G29" i="9"/>
  <c r="H29" i="9"/>
  <c r="I29" i="9"/>
  <c r="J29" i="9"/>
  <c r="K29" i="9"/>
  <c r="L29" i="9"/>
  <c r="M29" i="9"/>
  <c r="N29" i="9"/>
  <c r="O29" i="9"/>
  <c r="P29" i="9"/>
  <c r="Q29" i="9"/>
  <c r="R29" i="9"/>
  <c r="S29" i="9"/>
  <c r="G30" i="9"/>
  <c r="H30" i="9"/>
  <c r="I30" i="9"/>
  <c r="J30" i="9"/>
  <c r="K30" i="9"/>
  <c r="L30" i="9"/>
  <c r="M30" i="9"/>
  <c r="N30" i="9"/>
  <c r="O30" i="9"/>
  <c r="P30" i="9"/>
  <c r="Q30" i="9"/>
  <c r="R30" i="9"/>
  <c r="S30" i="9"/>
  <c r="S31" i="9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Theme_One_16_1" displayName="T_Theme_One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One_26_1" displayName="T_Theme_One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Theme_Two_16_1" displayName="T_Theme_Two_16_1" ref="A16:D20" headerRowCount="1">
  <autoFilter ref="A16:D2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27_1" displayName="T_All_Questions_27_1" ref="A27:D30" headerRowCount="1">
  <autoFilter ref="A27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Theme One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table" Target="/xl/tables/table5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Theme_One_Q_MS_EXPORT_F_passes_per_q_filter</t>
        </is>
      </c>
      <c r="P1" t="inlineStr">
        <is>
          <t>Theme_Two_passes_local_filters</t>
        </is>
      </c>
      <c r="Q1" t="inlineStr">
        <is>
          <t>Theme_Two_Q_NUM_EXPORT_F_passes_per_q_filter</t>
        </is>
      </c>
      <c r="R1" t="inlineStr">
        <is>
          <t>All_Questions_passes_local_filters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1)&amp;"|",Theme_One_Q_SS_EXPORT_F_wrapped)),1,0),0))*1</f>
        <v>1</v>
      </c>
      <c r="O2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1)&amp;"|",Theme_One_Q_MS_EXPORT_F_wrapped)),1,0),0))*1</f>
        <v>1</v>
      </c>
      <c r="P2">
        <f>1</f>
        <v>1</v>
      </c>
      <c r="Q2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1)&amp;"|",Theme_Two_Q_NUM_EXPORT_F_wrapped)),1,0),0))*1</f>
        <v>1</v>
      </c>
      <c r="R2">
        <f>1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2)&amp;"|",Theme_One_Q_SS_EXPORT_F_wrapped)),1,0),0))*1</f>
        <v>1</v>
      </c>
      <c r="O3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2)&amp;"|",Theme_One_Q_MS_EXPORT_F_wrapped)),1,0),0))*1</f>
        <v>1</v>
      </c>
      <c r="P3">
        <f>1</f>
        <v>1</v>
      </c>
      <c r="Q3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2)&amp;"|",Theme_Two_Q_NUM_EXPORT_F_wrapped)),1,0),0))*1</f>
        <v>1</v>
      </c>
      <c r="R3">
        <f>1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3)&amp;"|",Theme_One_Q_SS_EXPORT_F_wrapped)),1,0),0))*1</f>
        <v>1</v>
      </c>
      <c r="O4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3)&amp;"|",Theme_One_Q_MS_EXPORT_F_wrapped)),1,0),0))*1</f>
        <v>1</v>
      </c>
      <c r="P4">
        <f>1</f>
        <v>1</v>
      </c>
      <c r="Q4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3)&amp;"|",Theme_Two_Q_NUM_EXPORT_F_wrapped)),1,0),0))*1</f>
        <v>1</v>
      </c>
      <c r="R4">
        <f>1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4)&amp;"|",Theme_One_Q_SS_EXPORT_F_wrapped)),1,0),0))*1</f>
        <v>1</v>
      </c>
      <c r="O5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4)&amp;"|",Theme_One_Q_MS_EXPORT_F_wrapped)),1,0),0))*1</f>
        <v>1</v>
      </c>
      <c r="P5">
        <f>1</f>
        <v>1</v>
      </c>
      <c r="Q5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4)&amp;"|",Theme_Two_Q_NUM_EXPORT_F_wrapped)),1,0),0))*1</f>
        <v>1</v>
      </c>
      <c r="R5">
        <f>1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5)&amp;"|",Theme_One_Q_SS_EXPORT_F_wrapped)),1,0),0))*1</f>
        <v>1</v>
      </c>
      <c r="O6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5)&amp;"|",Theme_One_Q_MS_EXPORT_F_wrapped)),1,0),0))*1</f>
        <v>1</v>
      </c>
      <c r="P6">
        <f>1</f>
        <v>1</v>
      </c>
      <c r="Q6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5)&amp;"|",Theme_Two_Q_NUM_EXPORT_F_wrapped)),1,0),0))*1</f>
        <v>1</v>
      </c>
      <c r="R6">
        <f>1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6)&amp;"|",Theme_One_Q_SS_EXPORT_F_wrapped)),1,0),0))*1</f>
        <v>1</v>
      </c>
      <c r="O7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6)&amp;"|",Theme_One_Q_MS_EXPORT_F_wrapped)),1,0),0))*1</f>
        <v>1</v>
      </c>
      <c r="P7">
        <f>1</f>
        <v>1</v>
      </c>
      <c r="Q7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6)&amp;"|",Theme_Two_Q_NUM_EXPORT_F_wrapped)),1,0),0))*1</f>
        <v>1</v>
      </c>
      <c r="R7">
        <f>1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7)&amp;"|",Theme_One_Q_SS_EXPORT_F_wrapped)),1,0),0))*1</f>
        <v>1</v>
      </c>
      <c r="O8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7)&amp;"|",Theme_One_Q_MS_EXPORT_F_wrapped)),1,0),0))*1</f>
        <v>1</v>
      </c>
      <c r="P8">
        <f>1</f>
        <v>1</v>
      </c>
      <c r="Q8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7)&amp;"|",Theme_Two_Q_NUM_EXPORT_F_wrapped)),1,0),0))*1</f>
        <v>1</v>
      </c>
      <c r="R8">
        <f>1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8)&amp;"|",Theme_One_Q_SS_EXPORT_F_wrapped)),1,0),0))*1</f>
        <v>1</v>
      </c>
      <c r="O9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8)&amp;"|",Theme_One_Q_MS_EXPORT_F_wrapped)),1,0),0))*1</f>
        <v>1</v>
      </c>
      <c r="P9">
        <f>1</f>
        <v>1</v>
      </c>
      <c r="Q9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8)&amp;"|",Theme_Two_Q_NUM_EXPORT_F_wrapped)),1,0),0))*1</f>
        <v>1</v>
      </c>
      <c r="R9">
        <f>1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9)&amp;"|",Theme_One_Q_SS_EXPORT_F_wrapped)),1,0),0))*1</f>
        <v>1</v>
      </c>
      <c r="O10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9)&amp;"|",Theme_One_Q_MS_EXPORT_F_wrapped)),1,0),0))*1</f>
        <v>1</v>
      </c>
      <c r="P10">
        <f>1</f>
        <v>1</v>
      </c>
      <c r="Q10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9)&amp;"|",Theme_Two_Q_NUM_EXPORT_F_wrapped)),1,0),0))*1</f>
        <v>1</v>
      </c>
      <c r="R10">
        <f>1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10)&amp;"|",Theme_One_Q_SS_EXPORT_F_wrapped)),1,0),0))*1</f>
        <v>1</v>
      </c>
      <c r="O11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10)&amp;"|",Theme_One_Q_MS_EXPORT_F_wrapped)),1,0),0))*1</f>
        <v>1</v>
      </c>
      <c r="P11">
        <f>1</f>
        <v>1</v>
      </c>
      <c r="Q11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10)&amp;"|",Theme_Two_Q_NUM_EXPORT_F_wrapped)),1,0),0))*1</f>
        <v>1</v>
      </c>
      <c r="R11">
        <f>1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Theme One</t>
        </is>
      </c>
      <c r="E3" s="6" t="inlineStr">
        <is>
          <t>Theme One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IFERROR(INDEX(All_Questions_Data_Names,MATCH(Theme_One_F_Custom1_Q_resolved,All_Questions,0)),"'_RawData'!$A:$A")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IFERROR(INDEX(All_Questions_Data_Names,MATCH(Theme_One_F_Custom2_Q_resolved,All_Questions,0)),"'_RawData'!$A:$A")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IFERROR(INDEX(All_Questions_Data_Names,MATCH(Theme_One_Q_SS_EXPORT_F_Q,All_Questions,0)),"'_RawData'!$A:$A")</f>
        <v>respondent_id_data</v>
      </c>
      <c r="G13" t="str">
        <f>"|" &amp; SUBSTITUTE(Theme_One_Q_SS_EXPORT_F_V,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IF(Theme_One_Q_SS_EXPORT_CT="(None)","",IFERROR(INDEX(INDIRECT(IFERROR(INDEX(All_Questions_Options_Names,MATCH(Theme_One_Q_SS_EXPORT_CT,All_Questions,0)),"'_Options'!$E$2:$E$2")),2),""))</f>
        <v/>
      </c>
      <c r="H16" s="2" t="str">
        <f>IF(Theme_One_Q_SS_EXPORT_CT="(None)","",IFERROR(INDEX(INDIRECT(IFERROR(INDEX(All_Questions_Options_Names,MATCH(Theme_One_Q_SS_EXPORT_CT,All_Questions,0)),"'_Options'!$E$2:$E$2")),3),""))</f>
        <v/>
      </c>
      <c r="I16" s="2" t="str">
        <f>IF(Theme_One_Q_SS_EXPORT_CT="(None)","",IFERROR(INDEX(INDIRECT(IFERROR(INDEX(All_Questions_Options_Names,MATCH(Theme_One_Q_SS_EXPORT_CT,All_Questions,0)),"'_Options'!$E$2:$E$2")),4),""))</f>
        <v/>
      </c>
      <c r="J16" s="2" t="str">
        <f>IF(Theme_One_Q_SS_EXPORT_CT="(None)","",IFERROR(INDEX(INDIRECT(IFERROR(INDEX(All_Questions_Options_Names,MATCH(Theme_One_Q_SS_EXPORT_CT,All_Questions,0)),"'_Options'!$E$2:$E$2")),5),""))</f>
        <v/>
      </c>
      <c r="K16" s="2" t="str">
        <f>IF(Theme_One_Q_SS_EXPORT_CT="(None)","",IFERROR(INDEX(INDIRECT(IFERROR(INDEX(All_Questions_Options_Names,MATCH(Theme_One_Q_SS_EXPORT_CT,All_Questions,0)),"'_Options'!$E$2:$E$2")),6),""))</f>
        <v/>
      </c>
      <c r="L16" s="2" t="str">
        <f>IF(Theme_One_Q_SS_EXPORT_CT="(None)","",IFERROR(INDEX(INDIRECT(IFERROR(INDEX(All_Questions_Options_Names,MATCH(Theme_One_Q_SS_EXPORT_CT,All_Questions,0)),"'_Options'!$E$2:$E$2")),7),""))</f>
        <v/>
      </c>
      <c r="M16" s="2" t="str">
        <f>IF(Theme_One_Q_SS_EXPORT_CT="(None)","",IFERROR(INDEX(INDIRECT(IFERROR(INDEX(All_Questions_Options_Names,MATCH(Theme_One_Q_SS_EXPORT_CT,All_Questions,0)),"'_Options'!$E$2:$E$2")),8),""))</f>
        <v/>
      </c>
      <c r="N16" s="2" t="str">
        <f>IF(Theme_One_Q_SS_EXPORT_CT="(None)","",IFERROR(INDEX(INDIRECT(IFERROR(INDEX(All_Questions_Options_Names,MATCH(Theme_One_Q_SS_EXPORT_CT,All_Questions,0)),"'_Options'!$E$2:$E$2")),9),""))</f>
        <v/>
      </c>
      <c r="O16" s="2" t="str">
        <f>IF(Theme_One_Q_SS_EXPORT_CT="(None)","",IFERROR(INDEX(INDIRECT(IFERROR(INDEX(All_Questions_Options_Names,MATCH(Theme_One_Q_SS_EXPORT_CT,All_Questions,0)),"'_Options'!$E$2:$E$2")),10),""))</f>
        <v/>
      </c>
      <c r="P16" s="2" t="str">
        <f>IF(Theme_One_Q_SS_EXPORT_CT="(None)","",IFERROR(INDEX(INDIRECT(IFERROR(INDEX(All_Questions_Options_Names,MATCH(Theme_One_Q_SS_EXPORT_CT,All_Questions,0)),"'_Options'!$E$2:$E$2")),11),""))</f>
        <v/>
      </c>
      <c r="Q16" s="2" t="str">
        <f>IF(Theme_One_Q_SS_EXPORT_CT="(None)","",IFERROR(INDEX(INDIRECT(IFERROR(INDEX(All_Questions_Options_Names,MATCH(Theme_One_Q_SS_EXPORT_CT,All_Questions,0)),"'_Options'!$E$2:$E$2")),12),""))</f>
        <v/>
      </c>
      <c r="R16" s="2" t="str">
        <f>IF(Theme_One_Q_SS_EXPORT_CT="(None)","",IF(COUNTA(INDIRECT(IFERROR(INDEX(All_Questions_Options_Names,MATCH(Theme_One_Q_SS_EXPORT_CT,All_Questions,0)),"'_Options'!$E$2:$E$2")))-1&gt;11,"Other",IFERROR(INDEX(INDIRECT(IFERROR(INDEX(All_Questions_Options_Names,MATCH(Theme_One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Theme_One_Q_SS_EXPORT_CT="(None)",G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8">
        <f>IF(OR(Theme_One_Q_SS_EXPORT_CT="(None)",H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8">
        <f>IF(OR(Theme_One_Q_SS_EXPORT_CT="(None)",I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8">
        <f>IF(OR(Theme_One_Q_SS_EXPORT_CT="(None)",J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8">
        <f>IF(OR(Theme_One_Q_SS_EXPORT_CT="(None)",K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8">
        <f>IF(OR(Theme_One_Q_SS_EXPORT_CT="(None)",L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8">
        <f>IF(OR(Theme_One_Q_SS_EXPORT_CT="(None)",M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8">
        <f>IF(OR(Theme_One_Q_SS_EXPORT_CT="(None)",N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8">
        <f>IF(OR(Theme_One_Q_SS_EXPORT_CT="(None)",O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8">
        <f>IF(OR(Theme_One_Q_SS_EXPORT_CT="(None)",P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8">
        <f>IF(OR(Theme_One_Q_SS_EXPORT_CT="(None)",Q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8">
        <f>IF(OR(Theme_One_Q_SS_EXPORT_CT="(None)",R$16=""),"",IF(R$16="Other",COUNTIFS(Q_SS_EXPORT_data,"Yes",passes_workbook_filters_data,1,passes_workbook_custom_filters_data,1,Theme_One_passes_local_filters_data,1,Theme_One_Q_SS_EXPORT_F_passes_per_q_filter_data,1)-SUM(G18,H18,I18,J18,K18,L18,M18,N18,O18,P18,Q18)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8">
        <f>IF(Theme_One_Q_SS_EXPORT_CT="(None)","",COUNTIFS(Q_SS_EXPORT_data,"Yes",passes_workbook_filters_data,1,passes_workbook_custom_filters_data,1,Theme_One_passes_local_filters_data,1,Theme_One_Q_SS_EXPORT_F_passes_per_q_filter_data,1))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Theme_One_Q_SS_EXPORT_CT="(None)",G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9">
        <f>IF(OR(Theme_One_Q_SS_EXPORT_CT="(None)",H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9">
        <f>IF(OR(Theme_One_Q_SS_EXPORT_CT="(None)",I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9">
        <f>IF(OR(Theme_One_Q_SS_EXPORT_CT="(None)",J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9">
        <f>IF(OR(Theme_One_Q_SS_EXPORT_CT="(None)",K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9">
        <f>IF(OR(Theme_One_Q_SS_EXPORT_CT="(None)",L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9">
        <f>IF(OR(Theme_One_Q_SS_EXPORT_CT="(None)",M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9">
        <f>IF(OR(Theme_One_Q_SS_EXPORT_CT="(None)",N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9">
        <f>IF(OR(Theme_One_Q_SS_EXPORT_CT="(None)",O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9">
        <f>IF(OR(Theme_One_Q_SS_EXPORT_CT="(None)",P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9">
        <f>IF(OR(Theme_One_Q_SS_EXPORT_CT="(None)",Q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9">
        <f>IF(OR(Theme_One_Q_SS_EXPORT_CT="(None)",R$16=""),"",IF(R$16="Other",COUNTIFS(Q_SS_EXPORT_data,"No",passes_workbook_filters_data,1,passes_workbook_custom_filters_data,1,Theme_One_passes_local_filters_data,1,Theme_One_Q_SS_EXPORT_F_passes_per_q_filter_data,1)-SUM(G19,H19,I19,J19,K19,L19,M19,N19,O19,P19,Q19)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9">
        <f>IF(Theme_One_Q_SS_EXPORT_CT="(None)","",COUNTIFS(Q_SS_EXPORT_data,"No",passes_workbook_filters_data,1,passes_workbook_custom_filters_data,1,Theme_One_passes_local_filters_data,1,Theme_One_Q_SS_EXPORT_F_passes_per_q_filter_data,1))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IF(Theme_One_Q_SS_EXPORT_CT="(None)","",COUNTIFS(respondent_id_data,"&lt;&gt;",passes_workbook_filters_data,1,passes_workbook_custom_filters_data,1,Theme_One_passes_local_filters_data,1,Theme_One_Q_SS_EXPORT_F_passes_per_q_filter_data,1))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IFERROR(INDEX(All_Questions_Data_Names,MATCH(Theme_One_Q_MS_EXPORT_F_Q,All_Questions,0)),"'_RawData'!$A:$A")</f>
        <v>respondent_id_data</v>
      </c>
      <c r="G23" t="str">
        <f>"|" &amp; SUBSTITUTE(Theme_One_Q_MS_EXPORT_F_V,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IF(Theme_One_Q_MS_EXPORT_CT="(None)","",IFERROR(INDEX(INDIRECT(IFERROR(INDEX(All_Questions_Options_Names,MATCH(Theme_One_Q_MS_EXPORT_CT,All_Questions,0)),"'_Options'!$E$2:$E$2")),2),""))</f>
        <v/>
      </c>
      <c r="H26" s="2" t="str">
        <f>IF(Theme_One_Q_MS_EXPORT_CT="(None)","",IFERROR(INDEX(INDIRECT(IFERROR(INDEX(All_Questions_Options_Names,MATCH(Theme_One_Q_MS_EXPORT_CT,All_Questions,0)),"'_Options'!$E$2:$E$2")),3),""))</f>
        <v/>
      </c>
      <c r="I26" s="2" t="str">
        <f>IF(Theme_One_Q_MS_EXPORT_CT="(None)","",IFERROR(INDEX(INDIRECT(IFERROR(INDEX(All_Questions_Options_Names,MATCH(Theme_One_Q_MS_EXPORT_CT,All_Questions,0)),"'_Options'!$E$2:$E$2")),4),""))</f>
        <v/>
      </c>
      <c r="J26" s="2" t="str">
        <f>IF(Theme_One_Q_MS_EXPORT_CT="(None)","",IFERROR(INDEX(INDIRECT(IFERROR(INDEX(All_Questions_Options_Names,MATCH(Theme_One_Q_MS_EXPORT_CT,All_Questions,0)),"'_Options'!$E$2:$E$2")),5),""))</f>
        <v/>
      </c>
      <c r="K26" s="2" t="str">
        <f>IF(Theme_One_Q_MS_EXPORT_CT="(None)","",IFERROR(INDEX(INDIRECT(IFERROR(INDEX(All_Questions_Options_Names,MATCH(Theme_One_Q_MS_EXPORT_CT,All_Questions,0)),"'_Options'!$E$2:$E$2")),6),""))</f>
        <v/>
      </c>
      <c r="L26" s="2" t="str">
        <f>IF(Theme_One_Q_MS_EXPORT_CT="(None)","",IFERROR(INDEX(INDIRECT(IFERROR(INDEX(All_Questions_Options_Names,MATCH(Theme_One_Q_MS_EXPORT_CT,All_Questions,0)),"'_Options'!$E$2:$E$2")),7),""))</f>
        <v/>
      </c>
      <c r="M26" s="2" t="str">
        <f>IF(Theme_One_Q_MS_EXPORT_CT="(None)","",IFERROR(INDEX(INDIRECT(IFERROR(INDEX(All_Questions_Options_Names,MATCH(Theme_One_Q_MS_EXPORT_CT,All_Questions,0)),"'_Options'!$E$2:$E$2")),8),""))</f>
        <v/>
      </c>
      <c r="N26" s="2" t="str">
        <f>IF(Theme_One_Q_MS_EXPORT_CT="(None)","",IFERROR(INDEX(INDIRECT(IFERROR(INDEX(All_Questions_Options_Names,MATCH(Theme_One_Q_MS_EXPORT_CT,All_Questions,0)),"'_Options'!$E$2:$E$2")),9),""))</f>
        <v/>
      </c>
      <c r="O26" s="2" t="str">
        <f>IF(Theme_One_Q_MS_EXPORT_CT="(None)","",IFERROR(INDEX(INDIRECT(IFERROR(INDEX(All_Questions_Options_Names,MATCH(Theme_One_Q_MS_EXPORT_CT,All_Questions,0)),"'_Options'!$E$2:$E$2")),10),""))</f>
        <v/>
      </c>
      <c r="P26" s="2" t="str">
        <f>IF(Theme_One_Q_MS_EXPORT_CT="(None)","",IFERROR(INDEX(INDIRECT(IFERROR(INDEX(All_Questions_Options_Names,MATCH(Theme_One_Q_MS_EXPORT_CT,All_Questions,0)),"'_Options'!$E$2:$E$2")),11),""))</f>
        <v/>
      </c>
      <c r="Q26" s="2" t="str">
        <f>IF(Theme_One_Q_MS_EXPORT_CT="(None)","",IFERROR(INDEX(INDIRECT(IFERROR(INDEX(All_Questions_Options_Names,MATCH(Theme_One_Q_MS_EXPORT_CT,All_Questions,0)),"'_Options'!$E$2:$E$2")),12),""))</f>
        <v/>
      </c>
      <c r="R26" s="2" t="str">
        <f>IF(Theme_One_Q_MS_EXPORT_CT="(None)","",IF(COUNTA(INDIRECT(IFERROR(INDEX(All_Questions_Options_Names,MATCH(Theme_One_Q_MS_EXPORT_CT,All_Questions,0)),"'_Options'!$E$2:$E$2")))-1&gt;11,"Other",IFERROR(INDEX(INDIRECT(IFERROR(INDEX(All_Questions_Options_Names,MATCH(Theme_One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COUNTIFS(Q_MS_EXPORTr1_data,"Selected",passes_workbook_filters_data,1,passes_workbook_custom_filters_data,1,Theme_One_passes_local_filters_data,1,Theme_One_Q_MS_EXPORT_F_passes_per_q_filter_data,1)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COUNTIFS(Q_MS_EXPORTr2_data,"Selected",passes_workbook_filters_data,1,passes_workbook_custom_filters_data,1,Theme_One_passes_local_filters_data,1,Theme_One_Q_MS_EXPORT_F_passes_per_q_filter_data,1)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Theme_One_Q_MS_EXPORT_CT="(None)",G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G$26))</f>
        <v>0</v>
      </c>
      <c r="H28">
        <f>IF(OR(Theme_One_Q_MS_EXPORT_CT="(None)",H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H$26))</f>
        <v>0</v>
      </c>
      <c r="I28">
        <f>IF(OR(Theme_One_Q_MS_EXPORT_CT="(None)",I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I$26))</f>
        <v>0</v>
      </c>
      <c r="J28">
        <f>IF(OR(Theme_One_Q_MS_EXPORT_CT="(None)",J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J$26))</f>
        <v>0</v>
      </c>
      <c r="K28">
        <f>IF(OR(Theme_One_Q_MS_EXPORT_CT="(None)",K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K$26))</f>
        <v>0</v>
      </c>
      <c r="L28">
        <f>IF(OR(Theme_One_Q_MS_EXPORT_CT="(None)",L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L$26))</f>
        <v>0</v>
      </c>
      <c r="M28">
        <f>IF(OR(Theme_One_Q_MS_EXPORT_CT="(None)",M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M$26))</f>
        <v>0</v>
      </c>
      <c r="N28">
        <f>IF(OR(Theme_One_Q_MS_EXPORT_CT="(None)",N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N$26))</f>
        <v>0</v>
      </c>
      <c r="O28">
        <f>IF(OR(Theme_One_Q_MS_EXPORT_CT="(None)",O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O$26))</f>
        <v>0</v>
      </c>
      <c r="P28">
        <f>IF(OR(Theme_One_Q_MS_EXPORT_CT="(None)",P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P$26))</f>
        <v>0</v>
      </c>
      <c r="Q28">
        <f>IF(OR(Theme_One_Q_MS_EXPORT_CT="(None)",Q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Q$26))</f>
        <v>0</v>
      </c>
      <c r="R28">
        <f>IF(OR(Theme_One_Q_MS_EXPORT_CT="(None)",R$26=""),"",IF(R$26="Other",COUNTIFS(Q_MS_EXPORTr1_data,"Selected",passes_workbook_filters_data,1,passes_workbook_custom_filters_data,1,Theme_One_passes_local_filters_data,1,Theme_One_Q_MS_EXPORT_F_passes_per_q_filter_data,1)-SUM(G28,H28,I28,J28,K28,L28,M28,N28,O28,P28,Q28)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R$26)))</f>
        <v>0</v>
      </c>
      <c r="S28">
        <f>IF(Theme_One_Q_MS_EXPORT_CT="(None)","",COUNTIFS(Q_MS_EXPORTr1_data,"Selected",passes_workbook_filters_data,1,passes_workbook_custom_filters_data,1,Theme_One_passes_local_filters_data,1,Theme_One_Q_MS_EXPORT_F_passes_per_q_filter_data,1))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Theme_One_Q_MS_EXPORT_CT="(None)",G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G$26))</f>
        <v>0</v>
      </c>
      <c r="H29">
        <f>IF(OR(Theme_One_Q_MS_EXPORT_CT="(None)",H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H$26))</f>
        <v>0</v>
      </c>
      <c r="I29">
        <f>IF(OR(Theme_One_Q_MS_EXPORT_CT="(None)",I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I$26))</f>
        <v>0</v>
      </c>
      <c r="J29">
        <f>IF(OR(Theme_One_Q_MS_EXPORT_CT="(None)",J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J$26))</f>
        <v>0</v>
      </c>
      <c r="K29">
        <f>IF(OR(Theme_One_Q_MS_EXPORT_CT="(None)",K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K$26))</f>
        <v>0</v>
      </c>
      <c r="L29">
        <f>IF(OR(Theme_One_Q_MS_EXPORT_CT="(None)",L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L$26))</f>
        <v>0</v>
      </c>
      <c r="M29">
        <f>IF(OR(Theme_One_Q_MS_EXPORT_CT="(None)",M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M$26))</f>
        <v>0</v>
      </c>
      <c r="N29">
        <f>IF(OR(Theme_One_Q_MS_EXPORT_CT="(None)",N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N$26))</f>
        <v>0</v>
      </c>
      <c r="O29">
        <f>IF(OR(Theme_One_Q_MS_EXPORT_CT="(None)",O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O$26))</f>
        <v>0</v>
      </c>
      <c r="P29">
        <f>IF(OR(Theme_One_Q_MS_EXPORT_CT="(None)",P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P$26))</f>
        <v>0</v>
      </c>
      <c r="Q29">
        <f>IF(OR(Theme_One_Q_MS_EXPORT_CT="(None)",Q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Q$26))</f>
        <v>0</v>
      </c>
      <c r="R29">
        <f>IF(OR(Theme_One_Q_MS_EXPORT_CT="(None)",R$26=""),"",IF(R$26="Other",COUNTIFS(Q_MS_EXPORTr2_data,"Selected",passes_workbook_filters_data,1,passes_workbook_custom_filters_data,1,Theme_One_passes_local_filters_data,1,Theme_One_Q_MS_EXPORT_F_passes_per_q_filter_data,1)-SUM(G29,H29,I29,J29,K29,L29,M29,N29,O29,P29,Q29)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R$26)))</f>
        <v>0</v>
      </c>
      <c r="S29">
        <f>IF(Theme_One_Q_MS_EXPORT_CT="(None)","",COUNTIFS(Q_MS_EXPORTr2_data,"Selected",passes_workbook_filters_data,1,passes_workbook_custom_filters_data,1,Theme_One_passes_local_filters_data,1,Theme_One_Q_MS_EXPORT_F_passes_per_q_filter_data,1))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IF(Theme_One_Q_MS_EXPORT_CT="(None)","",COUNTIFS(respondent_id_data,"&lt;&gt;",passes_workbook_filters_data,1,passes_workbook_custom_filters_data,1,Theme_One_passes_local_filters_data,1,Theme_One_Q_MS_EXPORT_F_passes_per_q_filter_data,1))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=INDIRECT(IFERROR(INDEX(All_Questions_Options_Names,MATCH(Theme_One_F_Custom1_Q_resolved,All_Questions,0)),"'_Options'!$E$2:$E$2"))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=INDIRECT(IFERROR(INDEX(All_Questions_Options_Names,MATCH(Theme_One_F_Custom2_Q_resolved,All_Questions,0)),"'_Options'!$E$2:$E$2"))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=INDIRECT(IFERROR(INDEX(All_Questions_Options_Names,MATCH(Theme_One_Q_SS_EXPORT_F_Q,All_Questions,0)),"'_Options'!$E$2:$E$2"))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=INDIRECT(IFERROR(INDEX(All_Questions_Options_Names,MATCH(Theme_One_Q_MS_EXPORT_F_Q,All_Questions,0)),"'_Options'!$E$2:$E$2"))</formula1>
    </dataValidation>
    <dataValidation sqref="C2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IFERROR(INDEX(All_Questions_Data_Names,MATCH(Theme_Two_F_Custom1_Q_resolved,All_Questions,0)),"'_RawData'!$A:$A")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IFERROR(INDEX(All_Questions_Data_Names,MATCH(Theme_Two_F_Custom2_Q_resolved,All_Questions,0)),"'_RawData'!$A:$A")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IFERROR(INDEX(All_Questions_Data_Names,MATCH(Theme_Two_Q_NUM_EXPORT_F_Q,All_Questions,0)),"'_RawData'!$A:$A")</f>
        <v>respondent_id_data</v>
      </c>
      <c r="G13" t="str">
        <f>"|" &amp; SUBSTITUTE(Theme_Two_Q_NUM_EXPORT_F_V,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s="10" t="inlineStr">
        <is>
          <t>Median not available in filtered view - see static baseline in audit log.</t>
        </is>
      </c>
    </row>
  </sheetData>
  <mergeCells count="1">
    <mergeCell ref="A1:J1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=INDIRECT(IFERROR(INDEX(All_Questions_Options_Names,MATCH(Theme_Two_F_Custom1_Q_resolved,All_Questions,0)),"'_Options'!$E$2:$E$2"))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=INDIRECT(IFERROR(INDEX(All_Questions_Options_Names,MATCH(Theme_Two_F_Custom2_Q_resolved,All_Questions,0)),"'_Options'!$E$2:$E$2"))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=INDIRECT(IFERROR(INDEX(All_Questions_Options_Names,MATCH(Theme_Two_Q_NUM_EXPORT_F_Q,All_Questions,0)),"'_Options'!$E$2:$E$2"))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Q_GRID_EXPORT - Grid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IFERROR(INDEX(All_Questions_Data_Names,MATCH(All_Questions_Q_GRID_EXPORT_F_Q,All_Questions,0)),"'_RawData'!$A:$A")</f>
        <v>respondent_id_data</v>
      </c>
      <c r="G13" t="str">
        <f>"|" &amp; SUBSTITUTE(All_Questions_Q_GRID_EXPORT_F_V,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IF(All_Questions_Q_GRID_EXPORT_CT="(None)","",IFERROR(INDEX(INDIRECT(IFERROR(INDEX(All_Questions_Options_Names,MATCH(All_Questions_Q_GRID_EXPORT_CT,All_Questions,0)),"'_Options'!$E$2:$E$2")),2),""))</f>
        <v/>
      </c>
      <c r="H16" s="2" t="str">
        <f>IF(All_Questions_Q_GRID_EXPORT_CT="(None)","",IFERROR(INDEX(INDIRECT(IFERROR(INDEX(All_Questions_Options_Names,MATCH(All_Questions_Q_GRID_EXPORT_CT,All_Questions,0)),"'_Options'!$E$2:$E$2")),3),""))</f>
        <v/>
      </c>
      <c r="I16" s="2" t="str">
        <f>IF(All_Questions_Q_GRID_EXPORT_CT="(None)","",IFERROR(INDEX(INDIRECT(IFERROR(INDEX(All_Questions_Options_Names,MATCH(All_Questions_Q_GRID_EXPORT_CT,All_Questions,0)),"'_Options'!$E$2:$E$2")),4),""))</f>
        <v/>
      </c>
      <c r="J16" s="2" t="str">
        <f>IF(All_Questions_Q_GRID_EXPORT_CT="(None)","",IFERROR(INDEX(INDIRECT(IFERROR(INDEX(All_Questions_Options_Names,MATCH(All_Questions_Q_GRID_EXPORT_CT,All_Questions,0)),"'_Options'!$E$2:$E$2")),5),""))</f>
        <v/>
      </c>
      <c r="K16" s="2" t="str">
        <f>IF(All_Questions_Q_GRID_EXPORT_CT="(None)","",IFERROR(INDEX(INDIRECT(IFERROR(INDEX(All_Questions_Options_Names,MATCH(All_Questions_Q_GRID_EXPORT_CT,All_Questions,0)),"'_Options'!$E$2:$E$2")),6),""))</f>
        <v/>
      </c>
      <c r="L16" s="2" t="str">
        <f>IF(All_Questions_Q_GRID_EXPORT_CT="(None)","",IFERROR(INDEX(INDIRECT(IFERROR(INDEX(All_Questions_Options_Names,MATCH(All_Questions_Q_GRID_EXPORT_CT,All_Questions,0)),"'_Options'!$E$2:$E$2")),7),""))</f>
        <v/>
      </c>
      <c r="M16" s="2" t="str">
        <f>IF(All_Questions_Q_GRID_EXPORT_CT="(None)","",IFERROR(INDEX(INDIRECT(IFERROR(INDEX(All_Questions_Options_Names,MATCH(All_Questions_Q_GRID_EXPORT_CT,All_Questions,0)),"'_Options'!$E$2:$E$2")),8),""))</f>
        <v/>
      </c>
      <c r="N16" s="2" t="str">
        <f>IF(All_Questions_Q_GRID_EXPORT_CT="(None)","",IFERROR(INDEX(INDIRECT(IFERROR(INDEX(All_Questions_Options_Names,MATCH(All_Questions_Q_GRID_EXPORT_CT,All_Questions,0)),"'_Options'!$E$2:$E$2")),9),""))</f>
        <v/>
      </c>
      <c r="O16" s="2" t="str">
        <f>IF(All_Questions_Q_GRID_EXPORT_CT="(None)","",IFERROR(INDEX(INDIRECT(IFERROR(INDEX(All_Questions_Options_Names,MATCH(All_Questions_Q_GRID_EXPORT_CT,All_Questions,0)),"'_Options'!$E$2:$E$2")),10),""))</f>
        <v/>
      </c>
      <c r="P16" s="2" t="str">
        <f>IF(All_Questions_Q_GRID_EXPORT_CT="(None)","",IFERROR(INDEX(INDIRECT(IFERROR(INDEX(All_Questions_Options_Names,MATCH(All_Questions_Q_GRID_EXPORT_CT,All_Questions,0)),"'_Options'!$E$2:$E$2")),11),""))</f>
        <v/>
      </c>
      <c r="Q16" s="2" t="str">
        <f>IF(All_Questions_Q_GRID_EXPORT_CT="(None)","",IFERROR(INDEX(INDIRECT(IFERROR(INDEX(All_Questions_Options_Names,MATCH(All_Questions_Q_GRID_EXPORT_CT,All_Questions,0)),"'_Options'!$E$2:$E$2")),12),""))</f>
        <v/>
      </c>
      <c r="R16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16" s="4" t="inlineStr">
        <is>
          <t>Total</t>
        </is>
      </c>
    </row>
    <row r="17">
      <c r="A17" t="inlineStr">
        <is>
          <t>Grid first row</t>
        </is>
      </c>
      <c r="B17">
        <f>COUNTIFS(Q_GRID_EXPORTr1_data,"Selected",passes_workbook_filters_data,1,passes_workbook_custom_filters_data,1,All_Questions_passes_local_filters_data,1,All_Questions_Q_GRID_EXPORT_F_passes_per_q_filter_data,1)</f>
        <v>10</v>
      </c>
      <c r="C17" s="7">
        <f>IFERROR(B17/SUBTOTAL(9,B17:B18),0)</f>
        <v>0.5</v>
      </c>
      <c r="D17" s="14">
        <f>SUBTOTAL(9,B17:B18)</f>
        <v>20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Grid second row</t>
        </is>
      </c>
      <c r="B18">
        <f>COUNTIFS(Q_GRID_EXPORTr2_data,"Selected",passes_workbook_filters_data,1,passes_workbook_custom_filters_data,1,All_Questions_passes_local_filters_data,1,All_Questions_Q_GRID_EXPORT_F_passes_per_q_filter_data,1)</f>
        <v>10</v>
      </c>
      <c r="C18" s="7">
        <f>IFERROR(B18/SUBTOTAL(9,B17:B18),0)</f>
        <v>0.5</v>
      </c>
      <c r="D18" s="14">
        <f>SUBTOTAL(9,B17:B18)</f>
        <v>20</v>
      </c>
      <c r="F18" t="inlineStr">
        <is>
          <t>Grid first row</t>
        </is>
      </c>
      <c r="G18">
        <f>IF(OR(All_Questions_Q_GRID_EXPORT_CT="(None)",G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$16))</f>
        <v>0</v>
      </c>
      <c r="H18">
        <f>IF(OR(All_Questions_Q_GRID_EXPORT_CT="(None)",H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$16))</f>
        <v>0</v>
      </c>
      <c r="I18">
        <f>IF(OR(All_Questions_Q_GRID_EXPORT_CT="(None)",I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$16))</f>
        <v>0</v>
      </c>
      <c r="J18">
        <f>IF(OR(All_Questions_Q_GRID_EXPORT_CT="(None)",J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$16))</f>
        <v>0</v>
      </c>
      <c r="K18">
        <f>IF(OR(All_Questions_Q_GRID_EXPORT_CT="(None)",K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$16))</f>
        <v>0</v>
      </c>
      <c r="L18">
        <f>IF(OR(All_Questions_Q_GRID_EXPORT_CT="(None)",L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$16))</f>
        <v>0</v>
      </c>
      <c r="M18">
        <f>IF(OR(All_Questions_Q_GRID_EXPORT_CT="(None)",M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$16))</f>
        <v>0</v>
      </c>
      <c r="N18">
        <f>IF(OR(All_Questions_Q_GRID_EXPORT_CT="(None)",N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$16))</f>
        <v>0</v>
      </c>
      <c r="O18">
        <f>IF(OR(All_Questions_Q_GRID_EXPORT_CT="(None)",O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$16))</f>
        <v>0</v>
      </c>
      <c r="P18">
        <f>IF(OR(All_Questions_Q_GRID_EXPORT_CT="(None)",P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$16))</f>
        <v>0</v>
      </c>
      <c r="Q18">
        <f>IF(OR(All_Questions_Q_GRID_EXPORT_CT="(None)",Q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$16))</f>
        <v>0</v>
      </c>
      <c r="R18">
        <f>IF(OR(All_Questions_Q_GRID_EXPORT_CT="(None)",R$16=""),"",IF(R$16="Other",COUNTIFS(Q_GRID_EXPORTr1_data,"Selected",passes_workbook_filters_data,1,passes_workbook_custom_filters_data,1,All_Questions_passes_local_filters_data,1,All_Questions_Q_GRID_EXPORT_F_passes_per_q_filter_data,1)-SUM(G18,H18,I18,J18,K18,L18,M18,N18,O18,P18,Q18)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$16)))</f>
        <v>0</v>
      </c>
      <c r="S18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Grid second row</t>
        </is>
      </c>
      <c r="G19">
        <f>IF(OR(All_Questions_Q_GRID_EXPORT_CT="(None)",G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$16))</f>
        <v>0</v>
      </c>
      <c r="H19">
        <f>IF(OR(All_Questions_Q_GRID_EXPORT_CT="(None)",H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$16))</f>
        <v>0</v>
      </c>
      <c r="I19">
        <f>IF(OR(All_Questions_Q_GRID_EXPORT_CT="(None)",I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$16))</f>
        <v>0</v>
      </c>
      <c r="J19">
        <f>IF(OR(All_Questions_Q_GRID_EXPORT_CT="(None)",J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$16))</f>
        <v>0</v>
      </c>
      <c r="K19">
        <f>IF(OR(All_Questions_Q_GRID_EXPORT_CT="(None)",K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$16))</f>
        <v>0</v>
      </c>
      <c r="L19">
        <f>IF(OR(All_Questions_Q_GRID_EXPORT_CT="(None)",L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$16))</f>
        <v>0</v>
      </c>
      <c r="M19">
        <f>IF(OR(All_Questions_Q_GRID_EXPORT_CT="(None)",M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$16))</f>
        <v>0</v>
      </c>
      <c r="N19">
        <f>IF(OR(All_Questions_Q_GRID_EXPORT_CT="(None)",N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$16))</f>
        <v>0</v>
      </c>
      <c r="O19">
        <f>IF(OR(All_Questions_Q_GRID_EXPORT_CT="(None)",O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$16))</f>
        <v>0</v>
      </c>
      <c r="P19">
        <f>IF(OR(All_Questions_Q_GRID_EXPORT_CT="(None)",P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$16))</f>
        <v>0</v>
      </c>
      <c r="Q19">
        <f>IF(OR(All_Questions_Q_GRID_EXPORT_CT="(None)",Q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$16))</f>
        <v>0</v>
      </c>
      <c r="R19">
        <f>IF(OR(All_Questions_Q_GRID_EXPORT_CT="(None)",R$16=""),"",IF(R$16="Other",COUNTIFS(Q_GRID_EXPORTr2_data,"Selected",passes_workbook_filters_data,1,passes_workbook_custom_filters_data,1,All_Questions_passes_local_filters_data,1,All_Questions_Q_GRID_EXPORT_F_passes_per_q_filter_data,1)-SUM(G19,H19,I19,J19,K19,L19,M19,N19,O19,P19,Q19)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$16)))</f>
        <v>0</v>
      </c>
      <c r="S19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20">
      <c r="A20" s="4" t="inlineStr">
        <is>
          <t>Total responses</t>
        </is>
      </c>
      <c r="B20" s="4" t="n">
        <v>20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Q_VERY_LONG_SINGLE_SELECT_EXPORT_NAME - Long sheet name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IFERROR(INDEX(All_Questions_Data_Names,MATCH(All_Questions_Q_VERY_LONG_SINGLE_SELECT_EXPORT_NAME_F_Q,All_Questions,0)),"'_RawData'!$A:$A")</f>
        <v>respondent_id_data</v>
      </c>
      <c r="G24" t="str">
        <f>"|" &amp; SUBSTITUTE(All_Questions_Q_VERY_LONG_SINGLE_SELECT_EXPORT_NAME_F_V,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27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27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27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27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27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27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27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27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27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27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27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27" s="4" t="inlineStr">
        <is>
          <t>Total</t>
        </is>
      </c>
    </row>
    <row r="28">
      <c r="A28" t="inlineStr">
        <is>
          <t>A</t>
        </is>
      </c>
      <c r="B28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28" s="7">
        <f>IFERROR(B28/SUBTOTAL(9,B28:B29),0)</f>
        <v>0.7</v>
      </c>
      <c r="D28" s="14">
        <f>SUBTOTAL(9,B28:B29)</f>
        <v>10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B</t>
        </is>
      </c>
      <c r="B29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29" s="7">
        <f>IFERROR(B29/SUBTOTAL(9,B28:B29),0)</f>
        <v>0.3</v>
      </c>
      <c r="D29" s="14">
        <f>SUBTOTAL(9,B28:B29)</f>
        <v>10</v>
      </c>
      <c r="F29" t="inlineStr">
        <is>
          <t>A</t>
        </is>
      </c>
      <c r="G29">
        <f>IF(OR(All_Questions_Q_VERY_LONG_SINGLE_SELECT_EXPORT_NAME_CT="(None)",G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$27))</f>
        <v>0</v>
      </c>
      <c r="H29">
        <f>IF(OR(All_Questions_Q_VERY_LONG_SINGLE_SELECT_EXPORT_NAME_CT="(None)",H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$27))</f>
        <v>0</v>
      </c>
      <c r="I29">
        <f>IF(OR(All_Questions_Q_VERY_LONG_SINGLE_SELECT_EXPORT_NAME_CT="(None)",I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$27))</f>
        <v>0</v>
      </c>
      <c r="J29">
        <f>IF(OR(All_Questions_Q_VERY_LONG_SINGLE_SELECT_EXPORT_NAME_CT="(None)",J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$27))</f>
        <v>0</v>
      </c>
      <c r="K29">
        <f>IF(OR(All_Questions_Q_VERY_LONG_SINGLE_SELECT_EXPORT_NAME_CT="(None)",K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$27))</f>
        <v>0</v>
      </c>
      <c r="L29">
        <f>IF(OR(All_Questions_Q_VERY_LONG_SINGLE_SELECT_EXPORT_NAME_CT="(None)",L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$27))</f>
        <v>0</v>
      </c>
      <c r="M29">
        <f>IF(OR(All_Questions_Q_VERY_LONG_SINGLE_SELECT_EXPORT_NAME_CT="(None)",M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$27))</f>
        <v>0</v>
      </c>
      <c r="N29">
        <f>IF(OR(All_Questions_Q_VERY_LONG_SINGLE_SELECT_EXPORT_NAME_CT="(None)",N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$27))</f>
        <v>0</v>
      </c>
      <c r="O29">
        <f>IF(OR(All_Questions_Q_VERY_LONG_SINGLE_SELECT_EXPORT_NAME_CT="(None)",O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$27))</f>
        <v>0</v>
      </c>
      <c r="P29">
        <f>IF(OR(All_Questions_Q_VERY_LONG_SINGLE_SELECT_EXPORT_NAME_CT="(None)",P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$27))</f>
        <v>0</v>
      </c>
      <c r="Q29">
        <f>IF(OR(All_Questions_Q_VERY_LONG_SINGLE_SELECT_EXPORT_NAME_CT="(None)",Q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$27))</f>
        <v>0</v>
      </c>
      <c r="R29">
        <f>IF(OR(All_Questions_Q_VERY_LONG_SINGLE_SELECT_EXPORT_NAME_CT="(None)",R$27=""),"",IF(R$27="Other",COUNTIFS(Q_VERY_LONG_SINGLE_SELECT_EXPOR_data,"A",passes_workbook_filters_data,1,passes_workbook_custom_filters_data,1,All_Questions_passes_local_filters_data,1,All_Questions_Q_VERY_LONG_SINGLE_SELECT_EXPORT_NAME_F_passes_per_q_filter_data,1)-SUM(G29,H29,I29,J29,K29,L29,M29,N29,O29,P29,Q29)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$27)))</f>
        <v>0</v>
      </c>
      <c r="S29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B</t>
        </is>
      </c>
      <c r="G30">
        <f>IF(OR(All_Questions_Q_VERY_LONG_SINGLE_SELECT_EXPORT_NAME_CT="(None)",G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$27))</f>
        <v>0</v>
      </c>
      <c r="H30">
        <f>IF(OR(All_Questions_Q_VERY_LONG_SINGLE_SELECT_EXPORT_NAME_CT="(None)",H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$27))</f>
        <v>0</v>
      </c>
      <c r="I30">
        <f>IF(OR(All_Questions_Q_VERY_LONG_SINGLE_SELECT_EXPORT_NAME_CT="(None)",I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$27))</f>
        <v>0</v>
      </c>
      <c r="J30">
        <f>IF(OR(All_Questions_Q_VERY_LONG_SINGLE_SELECT_EXPORT_NAME_CT="(None)",J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$27))</f>
        <v>0</v>
      </c>
      <c r="K30">
        <f>IF(OR(All_Questions_Q_VERY_LONG_SINGLE_SELECT_EXPORT_NAME_CT="(None)",K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$27))</f>
        <v>0</v>
      </c>
      <c r="L30">
        <f>IF(OR(All_Questions_Q_VERY_LONG_SINGLE_SELECT_EXPORT_NAME_CT="(None)",L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$27))</f>
        <v>0</v>
      </c>
      <c r="M30">
        <f>IF(OR(All_Questions_Q_VERY_LONG_SINGLE_SELECT_EXPORT_NAME_CT="(None)",M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$27))</f>
        <v>0</v>
      </c>
      <c r="N30">
        <f>IF(OR(All_Questions_Q_VERY_LONG_SINGLE_SELECT_EXPORT_NAME_CT="(None)",N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$27))</f>
        <v>0</v>
      </c>
      <c r="O30">
        <f>IF(OR(All_Questions_Q_VERY_LONG_SINGLE_SELECT_EXPORT_NAME_CT="(None)",O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$27))</f>
        <v>0</v>
      </c>
      <c r="P30">
        <f>IF(OR(All_Questions_Q_VERY_LONG_SINGLE_SELECT_EXPORT_NAME_CT="(None)",P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$27))</f>
        <v>0</v>
      </c>
      <c r="Q30">
        <f>IF(OR(All_Questions_Q_VERY_LONG_SINGLE_SELECT_EXPORT_NAME_CT="(None)",Q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$27))</f>
        <v>0</v>
      </c>
      <c r="R30">
        <f>IF(OR(All_Questions_Q_VERY_LONG_SINGLE_SELECT_EXPORT_NAME_CT="(None)",R$27=""),"",IF(R$27="Other",COUNTIFS(Q_VERY_LONG_SINGLE_SELECT_EXPOR_data,"B",passes_workbook_filters_data,1,passes_workbook_custom_filters_data,1,All_Questions_passes_local_filters_data,1,All_Questions_Q_VERY_LONG_SINGLE_SELECT_EXPORT_NAME_F_passes_per_q_filter_data,1)-SUM(G30,H30,I30,J30,K30,L30,M30,N30,O30,P30,Q30)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$27)))</f>
        <v>0</v>
      </c>
      <c r="S30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31"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25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2026-06-02T06:34:40Z</dcterms:created>
  <dcterms:modified xmlns:dcterms="http://purl.org/dc/terms/" xmlns:xsi="http://www.w3.org/2001/XMLSchema-instance" xsi:type="dcterms:W3CDTF">2026-06-02T06:34:40Z</dcterms:modified>
</cp:coreProperties>
</file>