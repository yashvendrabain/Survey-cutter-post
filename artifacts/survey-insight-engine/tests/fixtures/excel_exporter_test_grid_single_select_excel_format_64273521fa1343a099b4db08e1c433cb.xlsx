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Run_Summary" sheetId="3" state="visible" r:id="rId3"/>
    <sheet xmlns:r="http://schemas.openxmlformats.org/officeDocument/2006/relationships" name="Question_Metadata" sheetId="4" state="visible" r:id="rId4"/>
    <sheet xmlns:r="http://schemas.openxmlformats.org/officeDocument/2006/relationships" name="Single_Cut_Index" sheetId="5" state="visible" r:id="rId5"/>
    <sheet xmlns:r="http://schemas.openxmlformats.org/officeDocument/2006/relationships" name="All Questions" sheetId="6" state="visible" r:id="rId6"/>
    <sheet xmlns:r="http://schemas.openxmlformats.org/officeDocument/2006/relationships" name="Calculation_Log" sheetId="7" state="visible" r:id="rId7"/>
    <sheet xmlns:r="http://schemas.openxmlformats.org/officeDocument/2006/relationships" name="Filter_Log" sheetId="8" state="visible" r:id="rId8"/>
    <sheet xmlns:r="http://schemas.openxmlformats.org/officeDocument/2006/relationships" name="Warnings" sheetId="9" state="visible" r:id="rId9"/>
  </sheets>
  <definedNames>
    <definedName name="respondent_id_data">'_RawData'!$A:$A</definedName>
    <definedName name="r1_data">'_RawData'!$B:$B</definedName>
    <definedName name="r2_data">'_RawData'!$C:$C</definedName>
    <definedName name="r3_data">'_RawData'!$D:$D</definedName>
    <definedName name="All_Questions">'_Options'!$A$2:$A$5</definedName>
    <definedName name="None_options">'_Options'!$B$2:$B$2</definedName>
    <definedName name="r1_options">'_Options'!$C$2:$C$3</definedName>
    <definedName name="r2_options">'_Options'!$D$2:$D$3</definedName>
    <definedName name="r3_options">'_Options'!$E$2:$E$3</definedName>
    <definedName name="F_Custom1_Q">'All Questions'!$B8</definedName>
    <definedName name="F_Custom1_V">'All Questions'!$D8</definedName>
    <definedName name="F_Custom2_Q">'All Questions'!$B9</definedName>
    <definedName name="F_Custom2_V">'All Questions'!$D9</definedName>
    <definedName name="Q_GRID_FORMAT_F_Q">'All Questions'!$B14</definedName>
    <definedName name="Q_GRID_FORMAT_F_V">'All Questions'!$D14</definedName>
    <definedName name="Q_GRID_FORMAT_CT">'All Questions'!$F14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164" fontId="0" fillId="0" borderId="0" pivotButton="0" quotePrefix="0" xfId="0"/>
    <xf numFmtId="0" fontId="3" fillId="3" borderId="0" applyAlignment="1" pivotButton="0" quotePrefix="0" xfId="0">
      <alignment vertical="center"/>
    </xf>
    <xf numFmtId="0" fontId="0" fillId="3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</row>
    <row r="32">
      <c r="A32" t="n">
        <v>31</v>
      </c>
      <c r="B32" t="inlineStr">
        <is>
          <t>Selected</t>
        </is>
      </c>
    </row>
    <row r="33">
      <c r="A33" t="n">
        <v>32</v>
      </c>
      <c r="B33" t="inlineStr">
        <is>
          <t>Selected</t>
        </is>
      </c>
    </row>
    <row r="34">
      <c r="A34" t="n">
        <v>33</v>
      </c>
      <c r="B34" t="inlineStr">
        <is>
          <t>Selected</t>
        </is>
      </c>
    </row>
    <row r="35">
      <c r="A35" t="n">
        <v>34</v>
      </c>
      <c r="B35" t="inlineStr">
        <is>
          <t>Selected</t>
        </is>
      </c>
    </row>
    <row r="36">
      <c r="A36" t="n">
        <v>35</v>
      </c>
      <c r="B36" t="inlineStr">
        <is>
          <t>Selected</t>
        </is>
      </c>
    </row>
    <row r="37">
      <c r="A37" t="n">
        <v>36</v>
      </c>
      <c r="B37" t="inlineStr">
        <is>
          <t>Selected</t>
        </is>
      </c>
    </row>
    <row r="38">
      <c r="A38" t="n">
        <v>37</v>
      </c>
      <c r="B38" t="inlineStr">
        <is>
          <t>Selected</t>
        </is>
      </c>
    </row>
    <row r="39">
      <c r="A39" t="n">
        <v>38</v>
      </c>
      <c r="B39" t="inlineStr">
        <is>
          <t>Selected</t>
        </is>
      </c>
    </row>
    <row r="40">
      <c r="A40" t="n">
        <v>39</v>
      </c>
      <c r="B40" t="inlineStr">
        <is>
          <t>Selected</t>
        </is>
      </c>
    </row>
    <row r="41">
      <c r="A41" t="n">
        <v>40</v>
      </c>
      <c r="B41" t="inlineStr">
        <is>
          <t>Selected</t>
        </is>
      </c>
    </row>
    <row r="42">
      <c r="A42" t="n">
        <v>41</v>
      </c>
      <c r="B42" t="inlineStr">
        <is>
          <t>Selected</t>
        </is>
      </c>
    </row>
    <row r="43">
      <c r="A43" t="n">
        <v>42</v>
      </c>
      <c r="B43" t="inlineStr">
        <is>
          <t>Selected</t>
        </is>
      </c>
    </row>
    <row r="44">
      <c r="A44" t="n">
        <v>43</v>
      </c>
      <c r="B44" t="inlineStr">
        <is>
          <t>Selected</t>
        </is>
      </c>
    </row>
    <row r="45">
      <c r="A45" t="n">
        <v>44</v>
      </c>
      <c r="B45" t="inlineStr">
        <is>
          <t>Selected</t>
        </is>
      </c>
    </row>
    <row r="46">
      <c r="A46" t="n">
        <v>45</v>
      </c>
      <c r="B46" t="inlineStr">
        <is>
          <t>Selected</t>
        </is>
      </c>
    </row>
    <row r="47">
      <c r="A47" t="n">
        <v>46</v>
      </c>
      <c r="B47" t="inlineStr">
        <is>
          <t>Selected</t>
        </is>
      </c>
    </row>
    <row r="48">
      <c r="A48" t="n">
        <v>47</v>
      </c>
      <c r="B48" t="inlineStr">
        <is>
          <t>Selected</t>
        </is>
      </c>
    </row>
    <row r="49">
      <c r="A49" t="n">
        <v>48</v>
      </c>
      <c r="B49" t="inlineStr">
        <is>
          <t>Selected</t>
        </is>
      </c>
    </row>
    <row r="50">
      <c r="A50" t="n">
        <v>49</v>
      </c>
      <c r="B50" t="inlineStr">
        <is>
          <t>Selected</t>
        </is>
      </c>
    </row>
    <row r="51">
      <c r="A51" t="n">
        <v>50</v>
      </c>
      <c r="B51" t="inlineStr">
        <is>
          <t>Selected</t>
        </is>
      </c>
    </row>
    <row r="52">
      <c r="A52" t="n">
        <v>51</v>
      </c>
    </row>
    <row r="53">
      <c r="A53" t="n">
        <v>52</v>
      </c>
    </row>
    <row r="54">
      <c r="A54" t="n">
        <v>53</v>
      </c>
    </row>
    <row r="55">
      <c r="A55" t="n">
        <v>54</v>
      </c>
    </row>
    <row r="56">
      <c r="A56" t="n">
        <v>55</v>
      </c>
    </row>
    <row r="57">
      <c r="A57" t="n">
        <v>56</v>
      </c>
    </row>
    <row r="58">
      <c r="A58" t="n">
        <v>57</v>
      </c>
    </row>
    <row r="59">
      <c r="A59" t="n">
        <v>58</v>
      </c>
    </row>
    <row r="60">
      <c r="A60" t="n">
        <v>59</v>
      </c>
    </row>
    <row r="61">
      <c r="A61" t="n">
        <v>60</v>
      </c>
    </row>
    <row r="62">
      <c r="A62" t="n">
        <v>61</v>
      </c>
    </row>
    <row r="63">
      <c r="A63" t="n">
        <v>62</v>
      </c>
    </row>
    <row r="64">
      <c r="A64" t="n">
        <v>63</v>
      </c>
    </row>
    <row r="65">
      <c r="A65" t="n">
        <v>64</v>
      </c>
    </row>
    <row r="66">
      <c r="A66" t="n">
        <v>65</v>
      </c>
    </row>
    <row r="67">
      <c r="A67" t="n">
        <v>66</v>
      </c>
    </row>
    <row r="68">
      <c r="A68" t="n">
        <v>67</v>
      </c>
    </row>
    <row r="69">
      <c r="A69" t="n">
        <v>68</v>
      </c>
    </row>
    <row r="70">
      <c r="A70" t="n">
        <v>69</v>
      </c>
    </row>
    <row r="71">
      <c r="A71" t="n">
        <v>70</v>
      </c>
    </row>
    <row r="72">
      <c r="A72" t="n">
        <v>71</v>
      </c>
    </row>
    <row r="73">
      <c r="A73" t="n">
        <v>72</v>
      </c>
    </row>
    <row r="74">
      <c r="A74" t="n">
        <v>73</v>
      </c>
    </row>
    <row r="75">
      <c r="A75" t="n">
        <v>74</v>
      </c>
    </row>
    <row r="76">
      <c r="A76" t="n">
        <v>75</v>
      </c>
    </row>
    <row r="77">
      <c r="A77" t="n">
        <v>76</v>
      </c>
    </row>
    <row r="78">
      <c r="A78" t="n">
        <v>77</v>
      </c>
    </row>
    <row r="79">
      <c r="A79" t="n">
        <v>78</v>
      </c>
    </row>
    <row r="80">
      <c r="A80" t="n">
        <v>79</v>
      </c>
    </row>
    <row r="81">
      <c r="A81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r1_options</t>
        </is>
      </c>
      <c r="D1" t="inlineStr">
        <is>
          <t>r2_options</t>
        </is>
      </c>
      <c r="E1" t="inlineStr">
        <is>
          <t>r3_options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</row>
    <row r="3">
      <c r="A3" t="inlineStr">
        <is>
          <t>r1</t>
        </is>
      </c>
      <c r="C3" t="inlineStr">
        <is>
          <t>Selected</t>
        </is>
      </c>
      <c r="D3" t="inlineStr">
        <is>
          <t>Selected</t>
        </is>
      </c>
      <c r="E3" t="inlineStr">
        <is>
          <t>Selected</t>
        </is>
      </c>
    </row>
    <row r="4">
      <c r="A4" t="inlineStr">
        <is>
          <t>r2</t>
        </is>
      </c>
    </row>
    <row r="5">
      <c r="A5" t="inlineStr">
        <is>
          <t>r3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Source datamap:</t>
        </is>
      </c>
      <c r="B1" t="inlineStr">
        <is>
          <t>datamap.xlsx</t>
        </is>
      </c>
    </row>
    <row r="2">
      <c r="A2" s="1" t="inlineStr">
        <is>
          <t>Source raw data:</t>
        </is>
      </c>
      <c r="B2" t="inlineStr">
        <is>
          <t>raw.csv</t>
        </is>
      </c>
    </row>
    <row r="3">
      <c r="A3" s="1" t="inlineStr">
        <is>
          <t>Run timestamp:</t>
        </is>
      </c>
      <c r="B3" t="inlineStr">
        <is>
          <t>2026-05-04T12:00:00+00:00</t>
        </is>
      </c>
    </row>
    <row r="4">
      <c r="A4" s="1" t="inlineStr">
        <is>
          <t>Total respondents:</t>
        </is>
      </c>
      <c r="B4" t="n">
        <v>80</v>
      </c>
    </row>
    <row r="5">
      <c r="A5" s="1" t="inlineStr">
        <is>
          <t>Total questions:</t>
        </is>
      </c>
      <c r="B5" t="n">
        <v>1</v>
      </c>
    </row>
    <row r="6">
      <c r="A6" s="1" t="inlineStr">
        <is>
          <t>Results produced:</t>
        </is>
      </c>
      <c r="B6" t="n">
        <v>1</v>
      </c>
    </row>
    <row r="7">
      <c r="A7" s="1" t="inlineStr">
        <is>
          <t>Questions skipped:</t>
        </is>
      </c>
      <c r="B7" t="n">
        <v>0</v>
      </c>
    </row>
    <row r="8">
      <c r="A8" s="1" t="inlineStr">
        <is>
          <t>Cross cuts produced:</t>
        </is>
      </c>
      <c r="B8" t="n">
        <v>0</v>
      </c>
    </row>
    <row r="9">
      <c r="A9" s="1" t="inlineStr">
        <is>
          <t>Cross cut skips:</t>
        </is>
      </c>
      <c r="B9" t="n">
        <v>0</v>
      </c>
    </row>
    <row r="10">
      <c r="A10" s="1" t="inlineStr">
        <is>
          <t>Audit log records:</t>
        </is>
      </c>
      <c r="B10" t="n">
        <v>0</v>
      </c>
    </row>
    <row r="11">
      <c r="A11" s="1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Question Text</t>
        </is>
      </c>
      <c r="D1" s="2" t="inlineStr">
        <is>
          <t>Type</t>
        </is>
      </c>
      <c r="E1" s="2" t="inlineStr">
        <is>
          <t>Raw Columns</t>
        </is>
      </c>
      <c r="F1" s="2" t="inlineStr">
        <is>
          <t>Options Count</t>
        </is>
      </c>
      <c r="G1" s="2" t="inlineStr">
        <is>
          <t>Analysis Eligible</t>
        </is>
      </c>
      <c r="H1" s="2" t="inlineStr">
        <is>
          <t>Demographic</t>
        </is>
      </c>
      <c r="I1" s="2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Type</t>
        </is>
      </c>
      <c r="D1" s="2" t="inlineStr">
        <is>
          <t>Theme</t>
        </is>
      </c>
      <c r="E1" s="2" t="inlineStr">
        <is>
          <t>Sheet Name</t>
        </is>
      </c>
      <c r="F1" s="2" t="inlineStr">
        <is>
          <t>Valid N</t>
        </is>
      </c>
      <c r="G1" s="2" t="inlineStr">
        <is>
          <t>Missing N</t>
        </is>
      </c>
      <c r="H1" s="2" t="inlineStr">
        <is>
          <t>Missing %</t>
        </is>
      </c>
      <c r="I1" s="2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3" t="inlineStr">
        <is>
          <t>All Questions</t>
        </is>
      </c>
      <c r="F2" t="n">
        <v>80</v>
      </c>
      <c r="G2" t="n">
        <v>0</v>
      </c>
      <c r="H2" s="4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All Questions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9" t="inlineStr">
        <is>
          <t>Q_GRID_FORMAT - Grid format question</t>
        </is>
      </c>
    </row>
    <row r="13">
      <c r="A13" s="10" t="inlineStr">
        <is>
          <t>Per-question filter</t>
        </is>
      </c>
      <c r="F13" s="10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Option</t>
        </is>
      </c>
      <c r="B16" s="2" t="inlineStr">
        <is>
          <t>Count</t>
        </is>
      </c>
      <c r="C16" s="2" t="inlineStr">
        <is>
          <t>%</t>
        </is>
      </c>
      <c r="D16" s="2" t="inlineStr">
        <is>
          <t>Denominator</t>
        </is>
      </c>
      <c r="F16" s="1" t="inlineStr">
        <is>
          <t>Option \ Cross-tab</t>
        </is>
      </c>
      <c r="G16">
        <f>IFERROR(INDEX(INDIRECT(Q_GRID_FORMAT_CT &amp; "_options"),2),"")</f>
        <v/>
      </c>
      <c r="H16">
        <f>IFERROR(INDEX(INDIRECT(Q_GRID_FORMAT_CT &amp; "_options"),3),"")</f>
        <v/>
      </c>
      <c r="I16">
        <f>IFERROR(INDEX(INDIRECT(Q_GRID_FORMAT_CT &amp; "_options"),4),"")</f>
        <v/>
      </c>
      <c r="J16">
        <f>IFERROR(INDEX(INDIRECT(Q_GRID_FORMAT_CT &amp; "_options"),5),"")</f>
        <v/>
      </c>
      <c r="K16">
        <f>IFERROR(INDEX(INDIRECT(Q_GRID_FORMAT_CT &amp; "_options"),6),"")</f>
        <v/>
      </c>
      <c r="L16">
        <f>IFERROR(INDEX(INDIRECT(Q_GRID_FORMAT_CT &amp; "_options"),7),"")</f>
        <v/>
      </c>
      <c r="M16">
        <f>IFERROR(INDEX(INDIRECT(Q_GRID_FORMAT_CT &amp; "_options"),8),"")</f>
        <v/>
      </c>
      <c r="N16">
        <f>IFERROR(INDEX(INDIRECT(Q_GRID_FORMAT_CT &amp; "_options"),9),"")</f>
        <v/>
      </c>
      <c r="O16" s="1" t="inlineStr">
        <is>
          <t>TOTAL</t>
        </is>
      </c>
    </row>
    <row r="17">
      <c r="A17" t="inlineStr">
        <is>
          <t>Option A</t>
        </is>
      </c>
      <c r="B1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"_data")),IF(F_Custom2_Q="(None)","&lt;&gt;",IF(F_Custom2_V="(All)","*",F_Custom2_V)),INDIRECT(IF(Q_GRID_FORMAT_F_Q="(None)","respondent_id_data",Q_GRID_FORMAT_F_Q &amp; "_data")),IF(Q_GRID_FORMAT_F_Q="(None)","&lt;&gt;",IF(Q_GRID_FORMAT_F_V="(All)","*",Q_GRID_FORMAT_F_V)),r1_data,"Selected")</f>
        <v/>
      </c>
      <c r="C17" s="4">
        <f>IFERROR(B17/SUBTOTAL(9,B17:B18),0)</f>
        <v/>
      </c>
      <c r="D17" s="11">
        <f>SUBTOTAL(9,B17:B18)</f>
        <v/>
      </c>
      <c r="F17" t="inlineStr">
        <is>
          <t>Option A</t>
        </is>
      </c>
      <c r="G17">
        <f>IF(Q_GRID_FORMAT_CT="(None)","",COUNTIFS(INDIRECT(IF(F_Custom1_Q="(None)","respondent_id_data",F_Custom1_Q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"_data")),IF(F_Custom2_Q="(None)","&lt;&gt;",IF(F_Custom2_V="(All)","*",F_Custom2_V)),INDIRECT(IF(Q_GRID_FORMAT_F_Q="(None)","respondent_id_data",Q_GRID_FORMAT_F_Q &amp; "_data")),IF(Q_GRID_FORMAT_F_Q="(None)","&lt;&gt;",IF(Q_GRID_FORMAT_F_V="(All)","*",Q_GRID_FORMAT_F_V)),r1_data,"Selected",INDIRECT(Q_GRID_FORMAT_CT &amp; "_data"),G$16))</f>
        <v/>
      </c>
      <c r="H17">
        <f>IF(Q_GRID_FORMAT_CT="(None)","",COUNTIFS(INDIRECT(IF(F_Custom1_Q="(None)","respondent_id_data",F_Custom1_Q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"_data")),IF(F_Custom2_Q="(None)","&lt;&gt;",IF(F_Custom2_V="(All)","*",F_Custom2_V)),INDIRECT(IF(Q_GRID_FORMAT_F_Q="(None)","respondent_id_data",Q_GRID_FORMAT_F_Q &amp; "_data")),IF(Q_GRID_FORMAT_F_Q="(None)","&lt;&gt;",IF(Q_GRID_FORMAT_F_V="(All)","*",Q_GRID_FORMAT_F_V)),r1_data,"Selected",INDIRECT(Q_GRID_FORMAT_CT &amp; "_data"),H$16))</f>
        <v/>
      </c>
      <c r="I17">
        <f>IF(Q_GRID_FORMAT_CT="(None)","",COUNTIFS(INDIRECT(IF(F_Custom1_Q="(None)","respondent_id_data",F_Custom1_Q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"_data")),IF(F_Custom2_Q="(None)","&lt;&gt;",IF(F_Custom2_V="(All)","*",F_Custom2_V)),INDIRECT(IF(Q_GRID_FORMAT_F_Q="(None)","respondent_id_data",Q_GRID_FORMAT_F_Q &amp; "_data")),IF(Q_GRID_FORMAT_F_Q="(None)","&lt;&gt;",IF(Q_GRID_FORMAT_F_V="(All)","*",Q_GRID_FORMAT_F_V)),r1_data,"Selected",INDIRECT(Q_GRID_FORMAT_CT &amp; "_data"),I$16))</f>
        <v/>
      </c>
      <c r="J17">
        <f>IF(Q_GRID_FORMAT_CT="(None)","",COUNTIFS(INDIRECT(IF(F_Custom1_Q="(None)","respondent_id_data",F_Custom1_Q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"_data")),IF(F_Custom2_Q="(None)","&lt;&gt;",IF(F_Custom2_V="(All)","*",F_Custom2_V)),INDIRECT(IF(Q_GRID_FORMAT_F_Q="(None)","respondent_id_data",Q_GRID_FORMAT_F_Q &amp; "_data")),IF(Q_GRID_FORMAT_F_Q="(None)","&lt;&gt;",IF(Q_GRID_FORMAT_F_V="(All)","*",Q_GRID_FORMAT_F_V)),r1_data,"Selected",INDIRECT(Q_GRID_FORMAT_CT &amp; "_data"),J$16))</f>
        <v/>
      </c>
      <c r="K17">
        <f>IF(Q_GRID_FORMAT_CT="(None)","",COUNTIFS(INDIRECT(IF(F_Custom1_Q="(None)","respondent_id_data",F_Custom1_Q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"_data")),IF(F_Custom2_Q="(None)","&lt;&gt;",IF(F_Custom2_V="(All)","*",F_Custom2_V)),INDIRECT(IF(Q_GRID_FORMAT_F_Q="(None)","respondent_id_data",Q_GRID_FORMAT_F_Q &amp; "_data")),IF(Q_GRID_FORMAT_F_Q="(None)","&lt;&gt;",IF(Q_GRID_FORMAT_F_V="(All)","*",Q_GRID_FORMAT_F_V)),r1_data,"Selected",INDIRECT(Q_GRID_FORMAT_CT &amp; "_data"),K$16))</f>
        <v/>
      </c>
      <c r="L17">
        <f>IF(Q_GRID_FORMAT_CT="(None)","",COUNTIFS(INDIRECT(IF(F_Custom1_Q="(None)","respondent_id_data",F_Custom1_Q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"_data")),IF(F_Custom2_Q="(None)","&lt;&gt;",IF(F_Custom2_V="(All)","*",F_Custom2_V)),INDIRECT(IF(Q_GRID_FORMAT_F_Q="(None)","respondent_id_data",Q_GRID_FORMAT_F_Q &amp; "_data")),IF(Q_GRID_FORMAT_F_Q="(None)","&lt;&gt;",IF(Q_GRID_FORMAT_F_V="(All)","*",Q_GRID_FORMAT_F_V)),r1_data,"Selected",INDIRECT(Q_GRID_FORMAT_CT &amp; "_data"),L$16))</f>
        <v/>
      </c>
      <c r="M17">
        <f>IF(Q_GRID_FORMAT_CT="(None)","",COUNTIFS(INDIRECT(IF(F_Custom1_Q="(None)","respondent_id_data",F_Custom1_Q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"_data")),IF(F_Custom2_Q="(None)","&lt;&gt;",IF(F_Custom2_V="(All)","*",F_Custom2_V)),INDIRECT(IF(Q_GRID_FORMAT_F_Q="(None)","respondent_id_data",Q_GRID_FORMAT_F_Q &amp; "_data")),IF(Q_GRID_FORMAT_F_Q="(None)","&lt;&gt;",IF(Q_GRID_FORMAT_F_V="(All)","*",Q_GRID_FORMAT_F_V)),r1_data,"Selected",INDIRECT(Q_GRID_FORMAT_CT &amp; "_data"),M$16))</f>
        <v/>
      </c>
      <c r="N17">
        <f>IF(Q_GRID_FORMAT_CT="(None)","",COUNTIFS(INDIRECT(IF(F_Custom1_Q="(None)","respondent_id_data",F_Custom1_Q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"_data")),IF(F_Custom2_Q="(None)","&lt;&gt;",IF(F_Custom2_V="(All)","*",F_Custom2_V)),INDIRECT(IF(Q_GRID_FORMAT_F_Q="(None)","respondent_id_data",Q_GRID_FORMAT_F_Q &amp; "_data")),IF(Q_GRID_FORMAT_F_Q="(None)","&lt;&gt;",IF(Q_GRID_FORMAT_F_V="(All)","*",Q_GRID_FORMAT_F_V)),r1_data,"Selected",INDIRECT(Q_GRID_FORMAT_CT &amp; "_data"),N$16))</f>
        <v/>
      </c>
      <c r="O17">
        <f>SUM(G17:N17)</f>
        <v/>
      </c>
    </row>
    <row r="18">
      <c r="A18" t="inlineStr">
        <is>
          <t>Option B</t>
        </is>
      </c>
      <c r="B1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"_data")),IF(F_Custom2_Q="(None)","&lt;&gt;",IF(F_Custom2_V="(All)","*",F_Custom2_V)),INDIRECT(IF(Q_GRID_FORMAT_F_Q="(None)","respondent_id_data",Q_GRID_FORMAT_F_Q &amp; "_data")),IF(Q_GRID_FORMAT_F_Q="(None)","&lt;&gt;",IF(Q_GRID_FORMAT_F_V="(All)","*",Q_GRID_FORMAT_F_V)),r2_data,"Selected")</f>
        <v/>
      </c>
      <c r="C18" s="4">
        <f>IFERROR(B18/SUBTOTAL(9,B17:B18),0)</f>
        <v/>
      </c>
      <c r="D18" s="11">
        <f>SUBTOTAL(9,B17:B18)</f>
        <v/>
      </c>
      <c r="F18" t="inlineStr">
        <is>
          <t>Option B</t>
        </is>
      </c>
      <c r="G18">
        <f>IF(Q_GRID_FORMAT_CT="(None)","",COUNTIFS(INDIRECT(IF(F_Custom1_Q="(None)","respondent_id_data",F_Custom1_Q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"_data")),IF(F_Custom2_Q="(None)","&lt;&gt;",IF(F_Custom2_V="(All)","*",F_Custom2_V)),INDIRECT(IF(Q_GRID_FORMAT_F_Q="(None)","respondent_id_data",Q_GRID_FORMAT_F_Q &amp; "_data")),IF(Q_GRID_FORMAT_F_Q="(None)","&lt;&gt;",IF(Q_GRID_FORMAT_F_V="(All)","*",Q_GRID_FORMAT_F_V)),r2_data,"Selected",INDIRECT(Q_GRID_FORMAT_CT &amp; "_data"),G$16))</f>
        <v/>
      </c>
      <c r="H18">
        <f>IF(Q_GRID_FORMAT_CT="(None)","",COUNTIFS(INDIRECT(IF(F_Custom1_Q="(None)","respondent_id_data",F_Custom1_Q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"_data")),IF(F_Custom2_Q="(None)","&lt;&gt;",IF(F_Custom2_V="(All)","*",F_Custom2_V)),INDIRECT(IF(Q_GRID_FORMAT_F_Q="(None)","respondent_id_data",Q_GRID_FORMAT_F_Q &amp; "_data")),IF(Q_GRID_FORMAT_F_Q="(None)","&lt;&gt;",IF(Q_GRID_FORMAT_F_V="(All)","*",Q_GRID_FORMAT_F_V)),r2_data,"Selected",INDIRECT(Q_GRID_FORMAT_CT &amp; "_data"),H$16))</f>
        <v/>
      </c>
      <c r="I18">
        <f>IF(Q_GRID_FORMAT_CT="(None)","",COUNTIFS(INDIRECT(IF(F_Custom1_Q="(None)","respondent_id_data",F_Custom1_Q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"_data")),IF(F_Custom2_Q="(None)","&lt;&gt;",IF(F_Custom2_V="(All)","*",F_Custom2_V)),INDIRECT(IF(Q_GRID_FORMAT_F_Q="(None)","respondent_id_data",Q_GRID_FORMAT_F_Q &amp; "_data")),IF(Q_GRID_FORMAT_F_Q="(None)","&lt;&gt;",IF(Q_GRID_FORMAT_F_V="(All)","*",Q_GRID_FORMAT_F_V)),r2_data,"Selected",INDIRECT(Q_GRID_FORMAT_CT &amp; "_data"),I$16))</f>
        <v/>
      </c>
      <c r="J18">
        <f>IF(Q_GRID_FORMAT_CT="(None)","",COUNTIFS(INDIRECT(IF(F_Custom1_Q="(None)","respondent_id_data",F_Custom1_Q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"_data")),IF(F_Custom2_Q="(None)","&lt;&gt;",IF(F_Custom2_V="(All)","*",F_Custom2_V)),INDIRECT(IF(Q_GRID_FORMAT_F_Q="(None)","respondent_id_data",Q_GRID_FORMAT_F_Q &amp; "_data")),IF(Q_GRID_FORMAT_F_Q="(None)","&lt;&gt;",IF(Q_GRID_FORMAT_F_V="(All)","*",Q_GRID_FORMAT_F_V)),r2_data,"Selected",INDIRECT(Q_GRID_FORMAT_CT &amp; "_data"),J$16))</f>
        <v/>
      </c>
      <c r="K18">
        <f>IF(Q_GRID_FORMAT_CT="(None)","",COUNTIFS(INDIRECT(IF(F_Custom1_Q="(None)","respondent_id_data",F_Custom1_Q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"_data")),IF(F_Custom2_Q="(None)","&lt;&gt;",IF(F_Custom2_V="(All)","*",F_Custom2_V)),INDIRECT(IF(Q_GRID_FORMAT_F_Q="(None)","respondent_id_data",Q_GRID_FORMAT_F_Q &amp; "_data")),IF(Q_GRID_FORMAT_F_Q="(None)","&lt;&gt;",IF(Q_GRID_FORMAT_F_V="(All)","*",Q_GRID_FORMAT_F_V)),r2_data,"Selected",INDIRECT(Q_GRID_FORMAT_CT &amp; "_data"),K$16))</f>
        <v/>
      </c>
      <c r="L18">
        <f>IF(Q_GRID_FORMAT_CT="(None)","",COUNTIFS(INDIRECT(IF(F_Custom1_Q="(None)","respondent_id_data",F_Custom1_Q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"_data")),IF(F_Custom2_Q="(None)","&lt;&gt;",IF(F_Custom2_V="(All)","*",F_Custom2_V)),INDIRECT(IF(Q_GRID_FORMAT_F_Q="(None)","respondent_id_data",Q_GRID_FORMAT_F_Q &amp; "_data")),IF(Q_GRID_FORMAT_F_Q="(None)","&lt;&gt;",IF(Q_GRID_FORMAT_F_V="(All)","*",Q_GRID_FORMAT_F_V)),r2_data,"Selected",INDIRECT(Q_GRID_FORMAT_CT &amp; "_data"),L$16))</f>
        <v/>
      </c>
      <c r="M18">
        <f>IF(Q_GRID_FORMAT_CT="(None)","",COUNTIFS(INDIRECT(IF(F_Custom1_Q="(None)","respondent_id_data",F_Custom1_Q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"_data")),IF(F_Custom2_Q="(None)","&lt;&gt;",IF(F_Custom2_V="(All)","*",F_Custom2_V)),INDIRECT(IF(Q_GRID_FORMAT_F_Q="(None)","respondent_id_data",Q_GRID_FORMAT_F_Q &amp; "_data")),IF(Q_GRID_FORMAT_F_Q="(None)","&lt;&gt;",IF(Q_GRID_FORMAT_F_V="(All)","*",Q_GRID_FORMAT_F_V)),r2_data,"Selected",INDIRECT(Q_GRID_FORMAT_CT &amp; "_data"),M$16))</f>
        <v/>
      </c>
      <c r="N18">
        <f>IF(Q_GRID_FORMAT_CT="(None)","",COUNTIFS(INDIRECT(IF(F_Custom1_Q="(None)","respondent_id_data",F_Custom1_Q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"_data")),IF(F_Custom2_Q="(None)","&lt;&gt;",IF(F_Custom2_V="(All)","*",F_Custom2_V)),INDIRECT(IF(Q_GRID_FORMAT_F_Q="(None)","respondent_id_data",Q_GRID_FORMAT_F_Q &amp; "_data")),IF(Q_GRID_FORMAT_F_Q="(None)","&lt;&gt;",IF(Q_GRID_FORMAT_F_V="(All)","*",Q_GRID_FORMAT_F_V)),r2_data,"Selected",INDIRECT(Q_GRID_FORMAT_CT &amp; "_data"),N$16))</f>
        <v/>
      </c>
      <c r="O18">
        <f>SUM(G18:N18)</f>
        <v/>
      </c>
    </row>
  </sheetData>
  <mergeCells count="2">
    <mergeCell ref="A1:J1"/>
    <mergeCell ref="A12:J12"/>
  </mergeCells>
  <dataValidations count="7"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=INDIRECT(IF(Q_GRID_FORMAT_F_Q="(None)","None_options",Q_GRID_FORMAT_F_Q &amp; "_options"))</formula1>
    </dataValidation>
    <dataValidation sqref="F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2" t="inlineStr">
        <is>
          <t>Output Sheet</t>
        </is>
      </c>
      <c r="B1" s="2" t="inlineStr">
        <is>
          <t>Metric Name</t>
        </is>
      </c>
      <c r="C1" s="2" t="inlineStr">
        <is>
          <t>Source Question</t>
        </is>
      </c>
      <c r="D1" s="2" t="inlineStr">
        <is>
          <t>Source Columns</t>
        </is>
      </c>
      <c r="E1" s="2" t="inlineStr">
        <is>
          <t>Filter</t>
        </is>
      </c>
      <c r="F1" s="2" t="inlineStr">
        <is>
          <t>Numerator</t>
        </is>
      </c>
      <c r="G1" s="2" t="inlineStr">
        <is>
          <t>Denominator</t>
        </is>
      </c>
      <c r="H1" s="2" t="inlineStr">
        <is>
          <t>Formula</t>
        </is>
      </c>
      <c r="I1" s="2" t="inlineStr">
        <is>
          <t>Value Raw</t>
        </is>
      </c>
      <c r="J1" s="2" t="inlineStr">
        <is>
          <t>Valid N</t>
        </is>
      </c>
      <c r="K1" s="2" t="inlineStr">
        <is>
          <t>Missing N</t>
        </is>
      </c>
      <c r="L1" s="2" t="inlineStr">
        <is>
          <t>Timestamp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2" t="inlineStr">
        <is>
          <t>Cross Cut ID</t>
        </is>
      </c>
      <c r="B1" s="2" t="inlineStr">
        <is>
          <t>Title</t>
        </is>
      </c>
      <c r="C1" s="2" t="inlineStr">
        <is>
          <t>Filter Expression</t>
        </is>
      </c>
      <c r="D1" s="2" t="inlineStr">
        <is>
          <t>Description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2" t="inlineStr">
        <is>
          <t>Source</t>
        </is>
      </c>
      <c r="B1" s="2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2026-05-13T16:01:33Z</dcterms:created>
  <dcterms:modified xmlns:dcterms="http://purl.org/dc/terms/" xmlns:xsi="http://www.w3.org/2001/XMLSchema-instance" xsi:type="dcterms:W3CDTF">2026-05-13T16:01:33Z</dcterms:modified>
</cp:coreProperties>
</file>