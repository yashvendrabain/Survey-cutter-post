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resolved_criteria">'All Questions'!$H$25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resolved_criteria">'All Questions'!$H$42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resolved_criteria">'All Questions'!$H$60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H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H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H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("|" &amp; SUBSTITUTE(Demographics_Q_SS_EXPORT_F_resolved_criteria, ", ", "|") &amp; "|"))),1,0),0))*1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("|" &amp; SUBSTITUTE(Demographics_Q_SS_EXPORT_F_resolved_criteria, ", ", "|") &amp; "|"))),1,0),0))*1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("|" &amp; SUBSTITUTE(Demographics_Q_SS_EXPORT_F_resolved_criteria, ", ", "|") &amp; "|"))),1,0),0))*1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("|" &amp; SUBSTITUTE(Demographics_Q_SS_EXPORT_F_resolved_criteria, ", ", "|") &amp; "|"))),1,0),0))*1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("|" &amp; SUBSTITUTE(Demographics_Q_SS_EXPORT_F_resolved_criteria, ", ", "|") &amp; "|"))),1,0),0))*1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("|" &amp; SUBSTITUTE(Demographics_Q_SS_EXPORT_F_resolved_criteria, ", ", "|") &amp; "|"))),1,0),0))*1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("|" &amp; SUBSTITUTE(Demographics_Q_SS_EXPORT_F_resolved_criteria, ", ", "|") &amp; "|"))),1,0),0))*1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In Which Country Are You Based?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In Which Country Are You Based?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IF(Demographics_Q_SS_EXPORT_CT="(None)","",IFERROR(INDEX(INDIRECT(IFERROR(INDEX(Cross_Tab_Questions_Options_Names,MATCH(Demographics_Q_SS_EXPORT_CT,Cross_Tab_Questions,0)),"'_Options'!$E$2:$E$2")),2),""))</f>
        <v/>
      </c>
      <c r="H17" s="2" t="str">
        <f>IF(Demographics_Q_SS_EXPORT_CT="(None)","",IFERROR(INDEX(INDIRECT(IFERROR(INDEX(Cross_Tab_Questions_Options_Names,MATCH(Demographics_Q_SS_EXPORT_CT,Cross_Tab_Questions,0)),"'_Options'!$E$2:$E$2")),3),""))</f>
        <v/>
      </c>
      <c r="I17" s="2" t="str">
        <f>IF(Demographics_Q_SS_EXPORT_CT="(None)","",IFERROR(INDEX(INDIRECT(IFERROR(INDEX(Cross_Tab_Questions_Options_Names,MATCH(Demographics_Q_SS_EXPORT_CT,Cross_Tab_Questions,0)),"'_Options'!$E$2:$E$2")),4),""))</f>
        <v/>
      </c>
      <c r="J17" s="2" t="str">
        <f>IF(Demographics_Q_SS_EXPORT_CT="(None)","",IFERROR(INDEX(INDIRECT(IFERROR(INDEX(Cross_Tab_Questions_Options_Names,MATCH(Demographics_Q_SS_EXPORT_CT,Cross_Tab_Questions,0)),"'_Options'!$E$2:$E$2")),5),""))</f>
        <v/>
      </c>
      <c r="K17" s="2" t="str">
        <f>IF(Demographics_Q_SS_EXPORT_CT="(None)","",IFERROR(INDEX(INDIRECT(IFERROR(INDEX(Cross_Tab_Questions_Options_Names,MATCH(Demographics_Q_SS_EXPORT_CT,Cross_Tab_Questions,0)),"'_Options'!$E$2:$E$2")),6),""))</f>
        <v/>
      </c>
      <c r="L17" s="2" t="str">
        <f>IF(Demographics_Q_SS_EXPORT_CT="(None)","",IFERROR(INDEX(INDIRECT(IFERROR(INDEX(Cross_Tab_Questions_Options_Names,MATCH(Demographics_Q_SS_EXPORT_CT,Cross_Tab_Questions,0)),"'_Options'!$E$2:$E$2")),7),""))</f>
        <v/>
      </c>
      <c r="M17" s="2" t="str">
        <f>IF(Demographics_Q_SS_EXPORT_CT="(None)","",IFERROR(INDEX(INDIRECT(IFERROR(INDEX(Cross_Tab_Questions_Options_Names,MATCH(Demographics_Q_SS_EXPORT_CT,Cross_Tab_Questions,0)),"'_Options'!$E$2:$E$2")),8),""))</f>
        <v/>
      </c>
      <c r="N17" s="2" t="str">
        <f>IF(Demographics_Q_SS_EXPORT_CT="(None)","",IFERROR(INDEX(INDIRECT(IFERROR(INDEX(Cross_Tab_Questions_Options_Names,MATCH(Demographics_Q_SS_EXPORT_CT,Cross_Tab_Questions,0)),"'_Options'!$E$2:$E$2")),9),""))</f>
        <v/>
      </c>
      <c r="O17" s="2" t="str">
        <f>IF(Demographics_Q_SS_EXPORT_CT="(None)","",IFERROR(INDEX(INDIRECT(IFERROR(INDEX(Cross_Tab_Questions_Options_Names,MATCH(Demographics_Q_SS_EXPORT_CT,Cross_Tab_Questions,0)),"'_Options'!$E$2:$E$2")),10),""))</f>
        <v/>
      </c>
      <c r="P17" s="2" t="str">
        <f>IF(Demographics_Q_SS_EXPORT_CT="(None)","",IFERROR(INDEX(INDIRECT(IFERROR(INDEX(Cross_Tab_Questions_Options_Names,MATCH(Demographics_Q_SS_EXPORT_CT,Cross_Tab_Questions,0)),"'_Options'!$E$2:$E$2")),11),""))</f>
        <v/>
      </c>
      <c r="Q17" s="2" t="str">
        <f>IF(Demographics_Q_SS_EXPORT_CT="(None)","",IFERROR(INDEX(INDIRECT(IFERROR(INDEX(Cross_Tab_Questions_Options_Names,MATCH(Demographics_Q_SS_EXPORT_CT,Cross_Tab_Questions,0)),"'_Options'!$E$2:$E$2")),12),""))</f>
        <v/>
      </c>
      <c r="R17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IF(All_Questions_Q_MS_EXPORT_CT="(None)","",IFERROR(INDEX(INDIRECT(IFERROR(INDEX(Cross_Tab_Questions_Options_Names,MATCH(All_Questions_Q_MS_EXPORT_CT,Cross_Tab_Questions,0)),"'_Options'!$E$2:$E$2")),2),""))</f>
        <v/>
      </c>
      <c r="H17" s="2" t="str">
        <f>IF(All_Questions_Q_MS_EXPORT_CT="(None)","",IFERROR(INDEX(INDIRECT(IFERROR(INDEX(Cross_Tab_Questions_Options_Names,MATCH(All_Questions_Q_MS_EXPORT_CT,Cross_Tab_Questions,0)),"'_Options'!$E$2:$E$2")),3),""))</f>
        <v/>
      </c>
      <c r="I17" s="2" t="str">
        <f>IF(All_Questions_Q_MS_EXPORT_CT="(None)","",IFERROR(INDEX(INDIRECT(IFERROR(INDEX(Cross_Tab_Questions_Options_Names,MATCH(All_Questions_Q_MS_EXPORT_CT,Cross_Tab_Questions,0)),"'_Options'!$E$2:$E$2")),4),""))</f>
        <v/>
      </c>
      <c r="J17" s="2" t="str">
        <f>IF(All_Questions_Q_MS_EXPORT_CT="(None)","",IFERROR(INDEX(INDIRECT(IFERROR(INDEX(Cross_Tab_Questions_Options_Names,MATCH(All_Questions_Q_MS_EXPORT_CT,Cross_Tab_Questions,0)),"'_Options'!$E$2:$E$2")),5),""))</f>
        <v/>
      </c>
      <c r="K17" s="2" t="str">
        <f>IF(All_Questions_Q_MS_EXPORT_CT="(None)","",IFERROR(INDEX(INDIRECT(IFERROR(INDEX(Cross_Tab_Questions_Options_Names,MATCH(All_Questions_Q_MS_EXPORT_CT,Cross_Tab_Questions,0)),"'_Options'!$E$2:$E$2")),6),""))</f>
        <v/>
      </c>
      <c r="L17" s="2" t="str">
        <f>IF(All_Questions_Q_MS_EXPORT_CT="(None)","",IFERROR(INDEX(INDIRECT(IFERROR(INDEX(Cross_Tab_Questions_Options_Names,MATCH(All_Questions_Q_MS_EXPORT_CT,Cross_Tab_Questions,0)),"'_Options'!$E$2:$E$2")),7),""))</f>
        <v/>
      </c>
      <c r="M17" s="2" t="str">
        <f>IF(All_Questions_Q_MS_EXPORT_CT="(None)","",IFERROR(INDEX(INDIRECT(IFERROR(INDEX(Cross_Tab_Questions_Options_Names,MATCH(All_Questions_Q_MS_EXPORT_CT,Cross_Tab_Questions,0)),"'_Options'!$E$2:$E$2")),8),""))</f>
        <v/>
      </c>
      <c r="N17" s="2" t="str">
        <f>IF(All_Questions_Q_MS_EXPORT_CT="(None)","",IFERROR(INDEX(INDIRECT(IFERROR(INDEX(Cross_Tab_Questions_Options_Names,MATCH(All_Questions_Q_MS_EXPORT_CT,Cross_Tab_Questions,0)),"'_Options'!$E$2:$E$2")),9),""))</f>
        <v/>
      </c>
      <c r="O17" s="2" t="str">
        <f>IF(All_Questions_Q_MS_EXPORT_CT="(None)","",IFERROR(INDEX(INDIRECT(IFERROR(INDEX(Cross_Tab_Questions_Options_Names,MATCH(All_Questions_Q_MS_EXPORT_CT,Cross_Tab_Questions,0)),"'_Options'!$E$2:$E$2")),10),""))</f>
        <v/>
      </c>
      <c r="P17" s="2" t="str">
        <f>IF(All_Questions_Q_MS_EXPORT_CT="(None)","",IFERROR(INDEX(INDIRECT(IFERROR(INDEX(Cross_Tab_Questions_Options_Names,MATCH(All_Questions_Q_MS_EXPORT_CT,Cross_Tab_Questions,0)),"'_Options'!$E$2:$E$2")),11),""))</f>
        <v/>
      </c>
      <c r="Q17" s="2" t="str">
        <f>IF(All_Questions_Q_MS_EXPORT_CT="(None)","",IFERROR(INDEX(INDIRECT(IFERROR(INDEX(Cross_Tab_Questions_Options_Names,MATCH(All_Questions_Q_MS_EXPORT_CT,Cross_Tab_Questions,0)),"'_Options'!$E$2:$E$2")),12),""))</f>
        <v/>
      </c>
      <c r="R1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25" t="str">
        <f>"|" &amp; SUBSTITUTE(All_Questions_Q_NUM_EXPORT_F_V, ", ", "|") &amp; "|"</f>
        <v>|(All)|</v>
      </c>
      <c r="H25" t="str">
        <f>IFERROR(INDEX(All_Questions_Value_Criteria,MATCH(All_Questions_Q_NUM_EXPORT_F_Q&amp;"|"&amp;All_Questions_Q_NUM_EXPORT_F_V,All_Questions_Value_Keys,0)),All_Questions_Q_NUM_EXPORT_F_V)</f>
        <v>(All)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IF(All_Questions_Q_NUM_EXPORT_CT="(None)","",IFERROR(INDEX(INDIRECT(IFERROR(INDEX(Cross_Tab_Questions_Options_Names,MATCH(All_Questions_Q_NUM_EXPORT_CT,Cross_Tab_Questions,0)),"'_Options'!$E$2:$E$2")),2),""))</f>
        <v/>
      </c>
      <c r="H35" s="2" t="str">
        <f>IF(All_Questions_Q_NUM_EXPORT_CT="(None)","",IFERROR(INDEX(INDIRECT(IFERROR(INDEX(Cross_Tab_Questions_Options_Names,MATCH(All_Questions_Q_NUM_EXPORT_CT,Cross_Tab_Questions,0)),"'_Options'!$E$2:$E$2")),3),""))</f>
        <v/>
      </c>
      <c r="I35" s="2" t="str">
        <f>IF(All_Questions_Q_NUM_EXPORT_CT="(None)","",IFERROR(INDEX(INDIRECT(IFERROR(INDEX(Cross_Tab_Questions_Options_Names,MATCH(All_Questions_Q_NUM_EXPORT_CT,Cross_Tab_Questions,0)),"'_Options'!$E$2:$E$2")),4),""))</f>
        <v/>
      </c>
      <c r="J35" s="2" t="str">
        <f>IF(All_Questions_Q_NUM_EXPORT_CT="(None)","",IFERROR(INDEX(INDIRECT(IFERROR(INDEX(Cross_Tab_Questions_Options_Names,MATCH(All_Questions_Q_NUM_EXPORT_CT,Cross_Tab_Questions,0)),"'_Options'!$E$2:$E$2")),5),""))</f>
        <v/>
      </c>
      <c r="K35" s="2" t="str">
        <f>IF(All_Questions_Q_NUM_EXPORT_CT="(None)","",IFERROR(INDEX(INDIRECT(IFERROR(INDEX(Cross_Tab_Questions_Options_Names,MATCH(All_Questions_Q_NUM_EXPORT_CT,Cross_Tab_Questions,0)),"'_Options'!$E$2:$E$2")),6),""))</f>
        <v/>
      </c>
      <c r="L35" s="2" t="str">
        <f>IF(All_Questions_Q_NUM_EXPORT_CT="(None)","",IFERROR(INDEX(INDIRECT(IFERROR(INDEX(Cross_Tab_Questions_Options_Names,MATCH(All_Questions_Q_NUM_EXPORT_CT,Cross_Tab_Questions,0)),"'_Options'!$E$2:$E$2")),7),""))</f>
        <v/>
      </c>
      <c r="M35" s="2" t="str">
        <f>IF(All_Questions_Q_NUM_EXPORT_CT="(None)","",IFERROR(INDEX(INDIRECT(IFERROR(INDEX(Cross_Tab_Questions_Options_Names,MATCH(All_Questions_Q_NUM_EXPORT_CT,Cross_Tab_Questions,0)),"'_Options'!$E$2:$E$2")),8),""))</f>
        <v/>
      </c>
      <c r="N35" s="2" t="str">
        <f>IF(All_Questions_Q_NUM_EXPORT_CT="(None)","",IFERROR(INDEX(INDIRECT(IFERROR(INDEX(Cross_Tab_Questions_Options_Names,MATCH(All_Questions_Q_NUM_EXPORT_CT,Cross_Tab_Questions,0)),"'_Options'!$E$2:$E$2")),9),""))</f>
        <v/>
      </c>
      <c r="O3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3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3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3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2" t="str">
        <f>"|" &amp; SUBSTITUTE(All_Questions_Q_GRID_EXPORT_F_V, ", ", "|") &amp; "|"</f>
        <v>|(All)|</v>
      </c>
      <c r="H42" t="str">
        <f>IFERROR(INDEX(All_Questions_Value_Criteria,MATCH(All_Questions_Q_GRID_EXPORT_F_Q&amp;"|"&amp;All_Questions_Q_GRID_EXPORT_F_V,All_Questions_Value_Keys,0)),All_Questions_Q_GRID_EXPORT_F_V)</f>
        <v>(All)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5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5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5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5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5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5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5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5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5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5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5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60" t="str">
        <f>"|" &amp; SUBSTITUTE(All_Questions_Q_VERY_LONG_SINGLE_SELECT_EXPORT_NAME_F_V, ", ", "|") &amp; "|"</f>
        <v>|(All)|</v>
      </c>
      <c r="H6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6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6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=Cross_Tab_Questions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=Cross_Tab_Questions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2026-06-08T13:42:42.504919+00:00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2026-06-08T13:42:42.505011+00:00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2026-06-08T13:42:42.505059+00:00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2026-06-08T13:42:42.505103+00:00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2026-06-08T13:42:42.505144+00:00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2026-06-08T13:42:42.505183+00:00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2026-06-08T13:42:42.505223+00:00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2026-06-08T13:42:42.505292+00:00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2026-06-08T13:42:42.505347+00:00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2026-06-08T13:42:42.505391+00:00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2026-06-08T13:42:42.505431+00:00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2026-06-08T13:42:42.505481+00:00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2026-06-08T13:42:42.505553+00:00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2026-06-08T13:42:42.505593+00:00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2026-06-08T13:42:42.505631+00:00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2026-06-08T13:42:42.505671+00:00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2026-06-08T13:42:42.505711+00:00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2026-06-08T13:42:42.505751+00:00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2026-06-08T13:42:42.505791+00:00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2026-06-08T13:42:42.505831+00:00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2026-06-08T13:42:42.505869+00:00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2026-06-08T13:42:42.505908+00:00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2026-06-08T13:42:42.505971+00:00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2026-06-08T13:42:42.506028+00:00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2026-06-08T13:42:42.511056+00:00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2026-06-08T13:42:42.511099+00:00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2026-06-08T13:42:42.511130+00:00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2026-06-08T13:42:42.511160+00:00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2026-06-08T13:42:42.511189+00:00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2026-06-08T13:42:42.511216+00:00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2026-06-08T13:42:42.511241+00:00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2026-06-08T13:42:42.511293+00:00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2026-06-08T13:42:42.511332+00:00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2026-06-08T13:42:42.511362+00:00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2026-06-08T13:42:42.511390+00:00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2026-06-08T13:42:42.511427+00:00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2026-06-08T13:42:42Z</dcterms:created>
  <dcterms:modified xmlns:dcterms="http://purl.org/dc/terms/" xmlns:xsi="http://www.w3.org/2001/XMLSchema-instance" xsi:type="dcterms:W3CDTF">2026-06-08T13:42:42Z</dcterms:modified>
</cp:coreProperties>
</file>