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'_RawData'!$T$2:$T$11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'_RawData'!$U$2:$U$11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'_RawData'!$V$2:$V$11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  <c r="F46" i="8"/>
  <c r="G46" i="8"/>
  <c r="G49" i="8"/>
  <c r="H49" i="8"/>
  <c r="I49" i="8"/>
  <c r="J49" i="8"/>
  <c r="K49" i="8"/>
  <c r="L49" i="8"/>
  <c r="M49" i="8"/>
  <c r="N49" i="8"/>
  <c r="B50" i="8"/>
  <c r="C50" i="8"/>
  <c r="D50" i="8"/>
  <c r="G50" i="8"/>
  <c r="H50" i="8"/>
  <c r="I50" i="8"/>
  <c r="J50" i="8"/>
  <c r="K50" i="8"/>
  <c r="L50" i="8"/>
  <c r="M50" i="8"/>
  <c r="N50" i="8"/>
  <c r="O50" i="8"/>
  <c r="B51" i="8"/>
  <c r="C51" i="8"/>
  <c r="D51" i="8"/>
  <c r="G51" i="8"/>
  <c r="H51" i="8"/>
  <c r="I51" i="8"/>
  <c r="J51" i="8"/>
  <c r="K51" i="8"/>
  <c r="L51" i="8"/>
  <c r="M51" i="8"/>
  <c r="N51" i="8"/>
  <c r="O5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3" authorId="0" shapeId="0">
      <text>
        <t>Numeric export question</t>
      </text>
    </comment>
    <comment ref="A35" authorId="0" shapeId="0">
      <text>
        <t>Grid export question</t>
      </text>
    </comment>
    <comment ref="A4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IFERROR(INDEX(INDIRECT(XLOOKUP(Demographics_Q_SS_EXPORT_CT,All_Questions,All_Questions_Options_Names,"None_options")),2),"")</f>
        <v/>
      </c>
      <c r="H17" t="str">
        <f>IFERROR(INDEX(INDIRECT(XLOOKUP(Demographics_Q_SS_EXPORT_CT,All_Questions,All_Questions_Options_Names,"None_options")),3),"")</f>
        <v/>
      </c>
      <c r="I17" t="str">
        <f>IFERROR(INDEX(INDIRECT(XLOOKUP(Demographics_Q_SS_EXPORT_CT,All_Questions,All_Questions_Options_Names,"None_options")),4),"")</f>
        <v/>
      </c>
      <c r="J17" t="str">
        <f>IFERROR(INDEX(INDIRECT(XLOOKUP(Demographics_Q_SS_EXPORT_CT,All_Questions,All_Questions_Options_Names,"None_options")),5),"")</f>
        <v/>
      </c>
      <c r="K17" t="str">
        <f>IFERROR(INDEX(INDIRECT(XLOOKUP(Demographics_Q_SS_EXPORT_CT,All_Questions,All_Questions_Options_Names,"None_options")),6),"")</f>
        <v/>
      </c>
      <c r="L17" t="str">
        <f>IFERROR(INDEX(INDIRECT(XLOOKUP(Demographics_Q_SS_EXPORT_CT,All_Questions,All_Questions_Options_Names,"None_options")),7),"")</f>
        <v/>
      </c>
      <c r="M17" t="str">
        <f>IFERROR(INDEX(INDIRECT(XLOOKUP(Demographics_Q_SS_EXPORT_CT,All_Questions,All_Questions_Options_Names,"None_options")),8),"")</f>
        <v/>
      </c>
      <c r="N17" t="str">
        <f>IFERROR(INDEX(INDIRECT(XLOOKUP(Demographics_Q_SS_EXPORT_CT,All_Questions,All_Questions_Options_Names,"None_options")),9),"")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IFERROR(INDEX(INDIRECT(XLOOKUP(All_Questions_Q_MS_EXPORT_CT,All_Questions,All_Questions_Options_Names,"None_options")),2),"")</f>
        <v/>
      </c>
      <c r="H17" t="str">
        <f>IFERROR(INDEX(INDIRECT(XLOOKUP(All_Questions_Q_MS_EXPORT_CT,All_Questions,All_Questions_Options_Names,"None_options")),3),"")</f>
        <v/>
      </c>
      <c r="I17" t="str">
        <f>IFERROR(INDEX(INDIRECT(XLOOKUP(All_Questions_Q_MS_EXPORT_CT,All_Questions,All_Questions_Options_Names,"None_options")),4),"")</f>
        <v/>
      </c>
      <c r="J17" t="str">
        <f>IFERROR(INDEX(INDIRECT(XLOOKUP(All_Questions_Q_MS_EXPORT_CT,All_Questions,All_Questions_Options_Names,"None_options")),5),"")</f>
        <v/>
      </c>
      <c r="K17" t="str">
        <f>IFERROR(INDEX(INDIRECT(XLOOKUP(All_Questions_Q_MS_EXPORT_CT,All_Questions,All_Questions_Options_Names,"None_options")),6),"")</f>
        <v/>
      </c>
      <c r="L17" t="str">
        <f>IFERROR(INDEX(INDIRECT(XLOOKUP(All_Questions_Q_MS_EXPORT_CT,All_Questions,All_Questions_Options_Names,"None_options")),7),"")</f>
        <v/>
      </c>
      <c r="M17" t="str">
        <f>IFERROR(INDEX(INDIRECT(XLOOKUP(All_Questions_Q_MS_EXPORT_CT,All_Questions,All_Questions_Options_Names,"None_options")),8),"")</f>
        <v/>
      </c>
      <c r="N17" t="str">
        <f>IFERROR(INDEX(INDIRECT(XLOOKUP(All_Questions_Q_MS_EXPORT_CT,All_Questions,All_Questions_Options_Names,"None_options")),9),"")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Q_NUM_EXPORT - Numeric Export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Q_GRID_EXPORT - Grid Export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IFERROR(INDEX(INDIRECT(XLOOKUP(All_Questions_Q_GRID_EXPORT_CT,All_Questions,All_Questions_Options_Names,"None_options")),2),"")</f>
        <v/>
      </c>
      <c r="H39" t="str">
        <f>IFERROR(INDEX(INDIRECT(XLOOKUP(All_Questions_Q_GRID_EXPORT_CT,All_Questions,All_Questions_Options_Names,"None_options")),3),"")</f>
        <v/>
      </c>
      <c r="I39" t="str">
        <f>IFERROR(INDEX(INDIRECT(XLOOKUP(All_Questions_Q_GRID_EXPORT_CT,All_Questions,All_Questions_Options_Names,"None_options")),4),"")</f>
        <v/>
      </c>
      <c r="J39" t="str">
        <f>IFERROR(INDEX(INDIRECT(XLOOKUP(All_Questions_Q_GRID_EXPORT_CT,All_Questions,All_Questions_Options_Names,"None_options")),5),"")</f>
        <v/>
      </c>
      <c r="K39" t="str">
        <f>IFERROR(INDEX(INDIRECT(XLOOKUP(All_Questions_Q_GRID_EXPORT_CT,All_Questions,All_Questions_Options_Names,"None_options")),6),"")</f>
        <v/>
      </c>
      <c r="L39" t="str">
        <f>IFERROR(INDEX(INDIRECT(XLOOKUP(All_Questions_Q_GRID_EXPORT_CT,All_Questions,All_Questions_Options_Names,"None_options")),7),"")</f>
        <v/>
      </c>
      <c r="M39" t="str">
        <f>IFERROR(INDEX(INDIRECT(XLOOKUP(All_Questions_Q_GRID_EXPORT_CT,All_Questions,All_Questions_Options_Names,"None_options")),8),"")</f>
        <v/>
      </c>
      <c r="N39" t="str">
        <f>IFERROR(INDEX(INDIRECT(XLOOKUP(All_Questions_Q_GRID_EXPORT_CT,All_Questions,All_Questions_Options_Names,"None_options")),9),"")</f>
        <v/>
      </c>
      <c r="O39" s="5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t="inlineStr">
        <is>
          <t>Grid first row</t>
        </is>
      </c>
      <c r="G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0">
        <f>SUM(G40:N40)</f>
        <v>0</v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second row</t>
        </is>
      </c>
      <c r="G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1">
        <f>SUM(G41:N41)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Q_VERY_LONG_SINGLE_SELECT_EXPORT_NAME - Long Name Single Select Export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IFERROR(INDEX(INDIRECT(XLOOKUP(All_Questions_Q_VERY_LONG_SINGLE_SELECT_EXPORT_NAME_CT,All_Questions,All_Questions_Options_Names,"None_options")),2),"")</f>
        <v/>
      </c>
      <c r="H49" t="str">
        <f>IFERROR(INDEX(INDIRECT(XLOOKUP(All_Questions_Q_VERY_LONG_SINGLE_SELECT_EXPORT_NAME_CT,All_Questions,All_Questions_Options_Names,"None_options")),3),"")</f>
        <v/>
      </c>
      <c r="I49" t="str">
        <f>IFERROR(INDEX(INDIRECT(XLOOKUP(All_Questions_Q_VERY_LONG_SINGLE_SELECT_EXPORT_NAME_CT,All_Questions,All_Questions_Options_Names,"None_options")),4),"")</f>
        <v/>
      </c>
      <c r="J49" t="str">
        <f>IFERROR(INDEX(INDIRECT(XLOOKUP(All_Questions_Q_VERY_LONG_SINGLE_SELECT_EXPORT_NAME_CT,All_Questions,All_Questions_Options_Names,"None_options")),5),"")</f>
        <v/>
      </c>
      <c r="K49" t="str">
        <f>IFERROR(INDEX(INDIRECT(XLOOKUP(All_Questions_Q_VERY_LONG_SINGLE_SELECT_EXPORT_NAME_CT,All_Questions,All_Questions_Options_Names,"None_options")),6),"")</f>
        <v/>
      </c>
      <c r="L49" t="str">
        <f>IFERROR(INDEX(INDIRECT(XLOOKUP(All_Questions_Q_VERY_LONG_SINGLE_SELECT_EXPORT_NAME_CT,All_Questions,All_Questions_Options_Names,"None_options")),7),"")</f>
        <v/>
      </c>
      <c r="M49" t="str">
        <f>IFERROR(INDEX(INDIRECT(XLOOKUP(All_Questions_Q_VERY_LONG_SINGLE_SELECT_EXPORT_NAME_CT,All_Questions,All_Questions_Options_Names,"None_options")),8),"")</f>
        <v/>
      </c>
      <c r="N49" t="str">
        <f>IFERROR(INDEX(INDIRECT(XLOOKUP(All_Questions_Q_VERY_LONG_SINGLE_SELECT_EXPORT_NAME_CT,All_Questions,All_Questions_Options_Names,"None_options")),9),"")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t="inlineStr">
        <is>
          <t>A</t>
        </is>
      </c>
      <c r="G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0">
        <f>SUM(G50:N50)</f>
        <v>0</v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B</t>
        </is>
      </c>
      <c r="G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1">
        <f>SUM(G51:N51)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N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2026-05-17T13:37:23Z</dcterms:created>
  <dcterms:modified xmlns:dcterms="http://purl.org/dc/terms/" xmlns:xsi="http://www.w3.org/2001/XMLSchema-instance" xsi:type="dcterms:W3CDTF">2026-05-17T13:37:23Z</dcterms:modified>
</cp:coreProperties>
</file>