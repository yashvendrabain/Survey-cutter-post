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resolved_criteria">'Demographics'!$H$26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IF(Demographics_Q4_CT="(None)","",IFERROR(INDEX(INDIRECT(IFERROR(INDEX(Cross_Tab_Questions_Options_Names,MATCH(Demographics_Q4_CT,Cross_Tab_Questions,0)),"'_Options'!$E$2:$E$2")),2),""))</f>
        <v/>
      </c>
      <c r="H18" s="2" t="str">
        <f>IF(Demographics_Q4_CT="(None)","",IFERROR(INDEX(INDIRECT(IFERROR(INDEX(Cross_Tab_Questions_Options_Names,MATCH(Demographics_Q4_CT,Cross_Tab_Questions,0)),"'_Options'!$E$2:$E$2")),3),""))</f>
        <v/>
      </c>
      <c r="I18" s="2" t="str">
        <f>IF(Demographics_Q4_CT="(None)","",IFERROR(INDEX(INDIRECT(IFERROR(INDEX(Cross_Tab_Questions_Options_Names,MATCH(Demographics_Q4_CT,Cross_Tab_Questions,0)),"'_Options'!$E$2:$E$2")),4),""))</f>
        <v/>
      </c>
      <c r="J18" s="2" t="str">
        <f>IF(Demographics_Q4_CT="(None)","",IFERROR(INDEX(INDIRECT(IFERROR(INDEX(Cross_Tab_Questions_Options_Names,MATCH(Demographics_Q4_CT,Cross_Tab_Questions,0)),"'_Options'!$E$2:$E$2")),5),""))</f>
        <v/>
      </c>
      <c r="K18" s="2" t="str">
        <f>IF(Demographics_Q4_CT="(None)","",IFERROR(INDEX(INDIRECT(IFERROR(INDEX(Cross_Tab_Questions_Options_Names,MATCH(Demographics_Q4_CT,Cross_Tab_Questions,0)),"'_Options'!$E$2:$E$2")),6),""))</f>
        <v/>
      </c>
      <c r="L18" s="2" t="str">
        <f>IF(Demographics_Q4_CT="(None)","",IFERROR(INDEX(INDIRECT(IFERROR(INDEX(Cross_Tab_Questions_Options_Names,MATCH(Demographics_Q4_CT,Cross_Tab_Questions,0)),"'_Options'!$E$2:$E$2")),7),""))</f>
        <v/>
      </c>
      <c r="M18" s="2" t="str">
        <f>IF(Demographics_Q4_CT="(None)","",IFERROR(INDEX(INDIRECT(IFERROR(INDEX(Cross_Tab_Questions_Options_Names,MATCH(Demographics_Q4_CT,Cross_Tab_Questions,0)),"'_Options'!$E$2:$E$2")),8),""))</f>
        <v/>
      </c>
      <c r="N18" s="2" t="str">
        <f>IF(Demographics_Q4_CT="(None)","",IFERROR(INDEX(INDIRECT(IFERROR(INDEX(Cross_Tab_Questions_Options_Names,MATCH(Demographics_Q4_CT,Cross_Tab_Questions,0)),"'_Options'!$E$2:$E$2")),9),""))</f>
        <v/>
      </c>
      <c r="O18" s="2" t="str">
        <f>IF(Demographics_Q4_CT="(None)","",IFERROR(INDEX(INDIRECT(IFERROR(INDEX(Cross_Tab_Questions_Options_Names,MATCH(Demographics_Q4_CT,Cross_Tab_Questions,0)),"'_Options'!$E$2:$E$2")),10),""))</f>
        <v/>
      </c>
      <c r="P18" s="2" t="str">
        <f>IF(Demographics_Q4_CT="(None)","",IFERROR(INDEX(INDIRECT(IFERROR(INDEX(Cross_Tab_Questions_Options_Names,MATCH(Demographics_Q4_CT,Cross_Tab_Questions,0)),"'_Options'!$E$2:$E$2")),11),""))</f>
        <v/>
      </c>
      <c r="Q18" s="2" t="str">
        <f>IF(Demographics_Q4_CT="(None)","",IFERROR(INDEX(INDIRECT(IFERROR(INDEX(Cross_Tab_Questions_Options_Names,MATCH(Demographics_Q4_CT,Cross_Tab_Questions,0)),"'_Options'!$E$2:$E$2")),12),""))</f>
        <v/>
      </c>
      <c r="R18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26" t="str">
        <f>"|" &amp; SUBSTITUTE(Demographics_Q14_F_V, ", ", "|") &amp; "|"</f>
        <v>|(All)|</v>
      </c>
      <c r="H26" t="str">
        <f>IFERROR(INDEX(All_Questions_Value_Criteria,MATCH(Demographics_Q14_F_Q&amp;"|"&amp;Demographics_Q14_F_V,All_Questions_Value_Keys,0)),Demographics_Q14_F_V)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IF(Demographics_Q14_CT="(None)","",IFERROR(INDEX(INDIRECT(IFERROR(INDEX(Cross_Tab_Questions_Options_Names,MATCH(Demographics_Q14_CT,Cross_Tab_Questions,0)),"'_Options'!$E$2:$E$2")),2),""))</f>
        <v/>
      </c>
      <c r="H29" s="2" t="str">
        <f>IF(Demographics_Q14_CT="(None)","",IFERROR(INDEX(INDIRECT(IFERROR(INDEX(Cross_Tab_Questions_Options_Names,MATCH(Demographics_Q14_CT,Cross_Tab_Questions,0)),"'_Options'!$E$2:$E$2")),3),""))</f>
        <v/>
      </c>
      <c r="I29" s="2" t="str">
        <f>IF(Demographics_Q14_CT="(None)","",IFERROR(INDEX(INDIRECT(IFERROR(INDEX(Cross_Tab_Questions_Options_Names,MATCH(Demographics_Q14_CT,Cross_Tab_Questions,0)),"'_Options'!$E$2:$E$2")),4),""))</f>
        <v/>
      </c>
      <c r="J29" s="2" t="str">
        <f>IF(Demographics_Q14_CT="(None)","",IFERROR(INDEX(INDIRECT(IFERROR(INDEX(Cross_Tab_Questions_Options_Names,MATCH(Demographics_Q14_CT,Cross_Tab_Questions,0)),"'_Options'!$E$2:$E$2")),5),""))</f>
        <v/>
      </c>
      <c r="K29" s="2" t="str">
        <f>IF(Demographics_Q14_CT="(None)","",IFERROR(INDEX(INDIRECT(IFERROR(INDEX(Cross_Tab_Questions_Options_Names,MATCH(Demographics_Q14_CT,Cross_Tab_Questions,0)),"'_Options'!$E$2:$E$2")),6),""))</f>
        <v/>
      </c>
      <c r="L29" s="2" t="str">
        <f>IF(Demographics_Q14_CT="(None)","",IFERROR(INDEX(INDIRECT(IFERROR(INDEX(Cross_Tab_Questions_Options_Names,MATCH(Demographics_Q14_CT,Cross_Tab_Questions,0)),"'_Options'!$E$2:$E$2")),7),""))</f>
        <v/>
      </c>
      <c r="M29" s="2" t="str">
        <f>IF(Demographics_Q14_CT="(None)","",IFERROR(INDEX(INDIRECT(IFERROR(INDEX(Cross_Tab_Questions_Options_Names,MATCH(Demographics_Q14_CT,Cross_Tab_Questions,0)),"'_Options'!$E$2:$E$2")),8),""))</f>
        <v/>
      </c>
      <c r="N29" s="2" t="str">
        <f>IF(Demographics_Q14_CT="(None)","",IFERROR(INDEX(INDIRECT(IFERROR(INDEX(Cross_Tab_Questions_Options_Names,MATCH(Demographics_Q14_CT,Cross_Tab_Questions,0)),"'_Options'!$E$2:$E$2")),9),""))</f>
        <v/>
      </c>
      <c r="O29" s="2" t="str">
        <f>IF(Demographics_Q14_CT="(None)","",IFERROR(INDEX(INDIRECT(IFERROR(INDEX(Cross_Tab_Questions_Options_Names,MATCH(Demographics_Q14_CT,Cross_Tab_Questions,0)),"'_Options'!$E$2:$E$2")),10),""))</f>
        <v/>
      </c>
      <c r="P29" s="2" t="str">
        <f>IF(Demographics_Q14_CT="(None)","",IFERROR(INDEX(INDIRECT(IFERROR(INDEX(Cross_Tab_Questions_Options_Names,MATCH(Demographics_Q14_CT,Cross_Tab_Questions,0)),"'_Options'!$E$2:$E$2")),11),""))</f>
        <v/>
      </c>
      <c r="Q29" s="2" t="str">
        <f>IF(Demographics_Q14_CT="(None)","",IFERROR(INDEX(INDIRECT(IFERROR(INDEX(Cross_Tab_Questions_Options_Names,MATCH(Demographics_Q14_CT,Cross_Tab_Questions,0)),"'_Options'!$E$2:$E$2")),12),""))</f>
        <v/>
      </c>
      <c r="R2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2026-06-09T06:55:36Z</dcterms:created>
  <dcterms:modified xmlns:dcterms="http://purl.org/dc/terms/" xmlns:xsi="http://www.w3.org/2001/XMLSchema-instance" xsi:type="dcterms:W3CDTF">2026-06-09T06:55:36Z</dcterms:modified>
</cp:coreProperties>
</file>