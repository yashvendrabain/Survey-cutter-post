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1r1c1_data">'_RawData'!$B$2:$B$5</definedName>
    <definedName name="Q1r1c2_data">'_RawData'!$C$2:$C$5</definedName>
    <definedName name="Q1r2c1_data">'_RawData'!$D$2:$D$5</definedName>
    <definedName name="Q1r2c2_data">'_RawData'!$E$2:$E$5</definedName>
    <definedName name="Q1r3c1_data">'_RawData'!$F$2:$F$5</definedName>
    <definedName name="Q1r3c2_data">'_RawData'!$G$2:$G$5</definedName>
    <definedName name="All_Questions">'_Options'!$A$2:$A$2</definedName>
    <definedName name="All_Questions_Local">'_Options'!$B$2:$B$3</definedName>
    <definedName name="None_options">'_Options'!$E$2:$E$2</definedName>
    <definedName name="Q1r1c1_options">'_Options'!$F$2:$F$4</definedName>
    <definedName name="Q1r1c1_local_options">'_Options'!$L$2:$L$5</definedName>
    <definedName name="Q1r1c2_options">'_Options'!$G$2:$G$4</definedName>
    <definedName name="Q1r1c2_local_options">'_Options'!$M$2:$M$5</definedName>
    <definedName name="Q1r2c1_options">'_Options'!$H$2:$H$4</definedName>
    <definedName name="Q1r2c1_local_options">'_Options'!$N$2:$N$5</definedName>
    <definedName name="Q1r2c2_options">'_Options'!$I$2:$I$4</definedName>
    <definedName name="Q1r2c2_local_options">'_Options'!$O$2:$O$5</definedName>
    <definedName name="Q1r3c1_options">'_Options'!$J$2:$J$4</definedName>
    <definedName name="Q1r3c1_local_options">'_Options'!$P$2:$P$5</definedName>
    <definedName name="Q1r3c2_options">'_Options'!$K$2:$K$4</definedName>
    <definedName name="Q1r3c2_local_options">'_Options'!$Q$2:$Q$5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'_RawData'!$H$2:$H$5</definedName>
    <definedName name="F_Custom1_match_data">'_RawData'!$I$2:$I$5</definedName>
    <definedName name="F_Custom2_match_data">'_RawData'!$J$2:$J$5</definedName>
    <definedName name="passes_workbook_custom_filters_data">'_RawData'!$K$2:$K$5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'_RawData'!$L$2:$L$5</definedName>
    <definedName name="All_Questions_Q1_F_Q">'All Questions'!$C$13</definedName>
    <definedName name="All_Questions_Q1_F_V">'All Questions'!$E$13</definedName>
    <definedName name="All_Questions_Q1_F_resolved_column">'All Questions'!$F$13</definedName>
    <definedName name="All_Questions_Q1_F_wrapped">'All Questions'!$G$13</definedName>
    <definedName name="All_Questions_Q1_F_passes_per_q_filter_data">'_RawData'!$M$2:$M$5</definedName>
    <definedName name="All_Questions_Q1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F18" i="7"/>
  <c r="H18" i="7"/>
  <c r="J18" i="7"/>
  <c r="K18" i="7"/>
  <c r="C19" i="7"/>
  <c r="D19" i="7"/>
  <c r="F19" i="7"/>
  <c r="H19" i="7"/>
  <c r="J19" i="7"/>
  <c r="K19" i="7"/>
  <c r="C20" i="7"/>
  <c r="D20" i="7"/>
  <c r="F20" i="7"/>
  <c r="H20" i="7"/>
  <c r="J20" i="7"/>
  <c r="K20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Q1r1c1</t>
        </is>
      </c>
      <c r="C1" t="inlineStr">
        <is>
          <t>Q1r1c2</t>
        </is>
      </c>
      <c r="D1" t="inlineStr">
        <is>
          <t>Q1r2c1</t>
        </is>
      </c>
      <c r="E1" t="inlineStr">
        <is>
          <t>Q1r2c2</t>
        </is>
      </c>
      <c r="F1" t="inlineStr">
        <is>
          <t>Q1r3c1</t>
        </is>
      </c>
      <c r="G1" t="inlineStr">
        <is>
          <t>Q1r3c2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All_Questions_Q1_F_passes_per_q_filter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 t="inlineStr">
        <is>
          <t>9</t>
        </is>
      </c>
      <c r="E2" t="inlineStr">
        <is>
          <t>7</t>
        </is>
      </c>
      <c r="F2" t="inlineStr">
        <is>
          <t>8</t>
        </is>
      </c>
      <c r="G2" t="inlineStr">
        <is>
          <t>6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1_F_Q="(None)",All_Questions_Q1_F_Q="",ISBLANK(All_Questions_Q1_F_Q),All_Questions_Q1_F_V="(All)",All_Questions_Q1_F_V="",ISBLANK(All_Questions_Q1_F_V)),1,IFERROR(IF(ISNUMBER(SEARCH("|"&amp;INDEX(INDIRECT(All_Questions_Q1_F_resolved_column),1)&amp;"|",All_Questions_Q1_F_wrapped)),1,0),0))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 t="inlineStr">
        <is>
          <t>9</t>
        </is>
      </c>
      <c r="E3" t="inlineStr">
        <is>
          <t>7</t>
        </is>
      </c>
      <c r="F3" t="inlineStr">
        <is>
          <t>8</t>
        </is>
      </c>
      <c r="G3" t="inlineStr">
        <is>
          <t>6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1_F_Q="(None)",All_Questions_Q1_F_Q="",ISBLANK(All_Questions_Q1_F_Q),All_Questions_Q1_F_V="(All)",All_Questions_Q1_F_V="",ISBLANK(All_Questions_Q1_F_V)),1,IFERROR(IF(ISNUMBER(SEARCH("|"&amp;INDEX(INDIRECT(All_Questions_Q1_F_resolved_column),2)&amp;"|",All_Questions_Q1_F_wrapped)),1,0),0))</f>
        <v>1</v>
      </c>
    </row>
    <row r="4">
      <c r="A4" t="n">
        <v>3</v>
      </c>
      <c r="B4" t="inlineStr">
        <is>
          <t>8</t>
        </is>
      </c>
      <c r="C4" t="inlineStr">
        <is>
          <t>7</t>
        </is>
      </c>
      <c r="D4" t="inlineStr">
        <is>
          <t>9</t>
        </is>
      </c>
      <c r="E4" t="inlineStr">
        <is>
          <t>7</t>
        </is>
      </c>
      <c r="F4" t="inlineStr">
        <is>
          <t>8</t>
        </is>
      </c>
      <c r="G4" t="inlineStr">
        <is>
          <t>6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1_F_Q="(None)",All_Questions_Q1_F_Q="",ISBLANK(All_Questions_Q1_F_Q),All_Questions_Q1_F_V="(All)",All_Questions_Q1_F_V="",ISBLANK(All_Questions_Q1_F_V)),1,IFERROR(IF(ISNUMBER(SEARCH("|"&amp;INDEX(INDIRECT(All_Questions_Q1_F_resolved_column),3)&amp;"|",All_Questions_Q1_F_wrapped)),1,0),0))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 t="inlineStr">
        <is>
          <t>8</t>
        </is>
      </c>
      <c r="E5" t="inlineStr">
        <is>
          <t>6</t>
        </is>
      </c>
      <c r="F5" t="inlineStr">
        <is>
          <t>7</t>
        </is>
      </c>
      <c r="G5" t="inlineStr">
        <is>
          <t>5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1_F_Q="(None)",All_Questions_Q1_F_Q="",ISBLANK(All_Questions_Q1_F_Q),All_Questions_Q1_F_V="(All)",All_Questions_Q1_F_V="",ISBLANK(All_Questions_Q1_F_V)),1,IFERROR(IF(ISNUMBER(SEARCH("|"&amp;INDEX(INDIRECT(All_Questions_Q1_F_resolved_column),4)&amp;"|",All_Questions_Q1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Q1r1c1_options</t>
        </is>
      </c>
      <c r="G1" t="inlineStr">
        <is>
          <t>Q1r1c2_options</t>
        </is>
      </c>
      <c r="H1" t="inlineStr">
        <is>
          <t>Q1r2c1_options</t>
        </is>
      </c>
      <c r="I1" t="inlineStr">
        <is>
          <t>Q1r2c2_options</t>
        </is>
      </c>
      <c r="J1" t="inlineStr">
        <is>
          <t>Q1r3c1_options</t>
        </is>
      </c>
      <c r="K1" t="inlineStr">
        <is>
          <t>Q1r3c2_options</t>
        </is>
      </c>
      <c r="L1" t="inlineStr">
        <is>
          <t>Q1r1c1_local_options</t>
        </is>
      </c>
      <c r="M1" t="inlineStr">
        <is>
          <t>Q1r1c2_local_options</t>
        </is>
      </c>
      <c r="N1" t="inlineStr">
        <is>
          <t>Q1r2c1_local_options</t>
        </is>
      </c>
      <c r="O1" t="inlineStr">
        <is>
          <t>Q1r2c2_local_options</t>
        </is>
      </c>
      <c r="P1" t="inlineStr">
        <is>
          <t>Q1r3c1_local_options</t>
        </is>
      </c>
      <c r="Q1" t="inlineStr">
        <is>
          <t>Q1r3c2_local_options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9</t>
        </is>
      </c>
      <c r="I3" t="inlineStr">
        <is>
          <t>7</t>
        </is>
      </c>
      <c r="J3" t="inlineStr">
        <is>
          <t>8</t>
        </is>
      </c>
      <c r="K3" t="inlineStr">
        <is>
          <t>6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8</t>
        </is>
      </c>
      <c r="I4" t="inlineStr">
        <is>
          <t>6</t>
        </is>
      </c>
      <c r="J4" t="inlineStr">
        <is>
          <t>7</t>
        </is>
      </c>
      <c r="K4" t="inlineStr">
        <is>
          <t>5</t>
        </is>
      </c>
      <c r="L4" t="inlineStr">
        <is>
          <t>8</t>
        </is>
      </c>
      <c r="M4" t="inlineStr">
        <is>
          <t>6</t>
        </is>
      </c>
      <c r="N4" t="inlineStr">
        <is>
          <t>9</t>
        </is>
      </c>
      <c r="O4" t="inlineStr">
        <is>
          <t>7</t>
        </is>
      </c>
      <c r="P4" t="inlineStr">
        <is>
          <t>8</t>
        </is>
      </c>
      <c r="Q4" t="inlineStr">
        <is>
          <t>6</t>
        </is>
      </c>
    </row>
    <row r="5">
      <c r="L5" t="inlineStr">
        <is>
          <t>9</t>
        </is>
      </c>
      <c r="M5" t="inlineStr">
        <is>
          <t>7</t>
        </is>
      </c>
      <c r="N5" t="inlineStr">
        <is>
          <t>8</t>
        </is>
      </c>
      <c r="O5" t="inlineStr">
        <is>
          <t>6</t>
        </is>
      </c>
      <c r="P5" t="inlineStr">
        <is>
          <t>7</t>
        </is>
      </c>
      <c r="Q5" t="inlineStr">
        <is>
          <t>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34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2026-05-21T07:13:21.857572+00:00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1" customWidth="1" min="3" max="3"/>
    <col width="20" customWidth="1" min="4" max="4"/>
    <col width="48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[Q1]</t>
        </is>
      </c>
      <c r="B2" t="inlineStr">
        <is>
          <t>Q1</t>
        </is>
      </c>
      <c r="C2" t="inlineStr">
        <is>
          <t>Rate each vendor attribute from 1 to 10</t>
        </is>
      </c>
      <c r="D2" t="inlineStr">
        <is>
          <t>GRID_SINGLE_SELECT</t>
        </is>
      </c>
      <c r="E2" t="inlineStr">
        <is>
          <t>Q1r1c1, Q1r1c2, Q1r2c1, Q1r2c2, Q1r3c1, Q1r3c2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Q1 - Rate each vendor attribute from 1 to 10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IFERROR(INDEX(All_Questions_Data_Names,MATCH(All_Questions_Q1_F_Q,All_Questions,0)),"'_RawData'!$A:$A")</f>
        <v>respondent_id_data</v>
      </c>
      <c r="G13" t="str">
        <f>"|" &amp; SUBSTITUTE(All_Questions_Q1_F_V,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Winner - All</t>
        </is>
      </c>
      <c r="G16" s="2" t="n"/>
      <c r="H16" s="4" t="inlineStr">
        <is>
          <t>Other considered vendor</t>
        </is>
      </c>
      <c r="I16" s="2" t="n"/>
      <c r="J16" s="4" t="inlineStr">
        <is>
          <t>Delta</t>
        </is>
      </c>
      <c r="K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  <c r="H17" s="4" t="inlineStr">
        <is>
          <t>Mean</t>
        </is>
      </c>
      <c r="I17" s="4" t="inlineStr">
        <is>
          <t>Median</t>
        </is>
      </c>
      <c r="J17" s="4" t="inlineStr">
        <is>
          <t>Mean</t>
        </is>
      </c>
      <c r="K17" s="4" t="inlineStr">
        <is>
          <t>Median</t>
        </is>
      </c>
    </row>
    <row r="18">
      <c r="A18" s="14" t="inlineStr">
        <is>
          <t>Q1r1</t>
        </is>
      </c>
      <c r="B18" t="inlineStr">
        <is>
          <t>Implementation speed</t>
        </is>
      </c>
      <c r="C18">
        <f>COUNTIFS(Q1r1c1_data,"&lt;&gt;",passes_workbook_filters_data,1,passes_workbook_custom_filters_data,1,All_Questions_passes_local_filters_data,1,All_Questions_Q1_F_passes_per_q_filter_data,1)</f>
        <v>4</v>
      </c>
      <c r="D18" s="7">
        <f>IFERROR(C18/COUNTIFS(respondent_id_data,"&lt;&gt;",passes_workbook_filters_data,1,passes_workbook_custom_filters_data,1,All_Questions_passes_local_filters_data,1,All_Questions_Q1_F_passes_per_q_filter_data,1),0)</f>
        <v>1.0</v>
      </c>
      <c r="F18" s="15">
        <f>IFERROR(AVERAGEIFS(Q1r1c1_data,passes_workbook_filters_data,1,passes_workbook_custom_filters_data,1,All_Questions_passes_local_filters_data,1,All_Questions_Q1_F_passes_per_q_filter_data,1),0)</f>
        <v>8.2</v>
      </c>
      <c r="G18" s="15" t="n">
        <v>8</v>
      </c>
      <c r="H18" s="15">
        <f>IFERROR(AVERAGEIFS(Q1r1c2_data,passes_workbook_filters_data,1,passes_workbook_custom_filters_data,1,All_Questions_passes_local_filters_data,1,All_Questions_Q1_F_passes_per_q_filter_data,1),0)</f>
        <v>6.5</v>
      </c>
      <c r="I18" s="15" t="n">
        <v>6.5</v>
      </c>
      <c r="J18" s="15">
        <f>ROUND(F18-H18,1)</f>
        <v>1.7</v>
      </c>
      <c r="K18" s="15">
        <f>ROUND(G18-I18,1)</f>
        <v>1.5</v>
      </c>
    </row>
    <row r="19">
      <c r="A19" s="14" t="inlineStr">
        <is>
          <t>Q1r2</t>
        </is>
      </c>
      <c r="B19" t="inlineStr">
        <is>
          <t>Integration fit</t>
        </is>
      </c>
      <c r="C19">
        <f>COUNTIFS(Q1r2c1_data,"&lt;&gt;",passes_workbook_filters_data,1,passes_workbook_custom_filters_data,1,All_Questions_passes_local_filters_data,1,All_Questions_Q1_F_passes_per_q_filter_data,1)</f>
        <v>4</v>
      </c>
      <c r="D19" s="7">
        <f>IFERROR(C19/COUNTIFS(respondent_id_data,"&lt;&gt;",passes_workbook_filters_data,1,passes_workbook_custom_filters_data,1,All_Questions_passes_local_filters_data,1,All_Questions_Q1_F_passes_per_q_filter_data,1),0)</f>
        <v>1.0</v>
      </c>
      <c r="F19" s="15">
        <f>IFERROR(AVERAGEIFS(Q1r2c1_data,passes_workbook_filters_data,1,passes_workbook_custom_filters_data,1,All_Questions_passes_local_filters_data,1,All_Questions_Q1_F_passes_per_q_filter_data,1),0)</f>
        <v>8.8</v>
      </c>
      <c r="G19" s="15" t="n">
        <v>9</v>
      </c>
      <c r="H19" s="15">
        <f>IFERROR(AVERAGEIFS(Q1r2c2_data,passes_workbook_filters_data,1,passes_workbook_custom_filters_data,1,All_Questions_passes_local_filters_data,1,All_Questions_Q1_F_passes_per_q_filter_data,1),0)</f>
        <v>6.8</v>
      </c>
      <c r="I19" s="15" t="n">
        <v>7</v>
      </c>
      <c r="J19" s="15">
        <f>ROUND(F19-H19,1)</f>
        <v>2.0</v>
      </c>
      <c r="K19" s="15">
        <f>ROUND(G19-I19,1)</f>
        <v>2.0</v>
      </c>
    </row>
    <row r="20">
      <c r="A20" s="14" t="inlineStr">
        <is>
          <t>Q1r3</t>
        </is>
      </c>
      <c r="B20" t="inlineStr">
        <is>
          <t>Efficiency gains</t>
        </is>
      </c>
      <c r="C20">
        <f>COUNTIFS(Q1r3c1_data,"&lt;&gt;",passes_workbook_filters_data,1,passes_workbook_custom_filters_data,1,All_Questions_passes_local_filters_data,1,All_Questions_Q1_F_passes_per_q_filter_data,1)</f>
        <v>4</v>
      </c>
      <c r="D20" s="7">
        <f>IFERROR(C20/COUNTIFS(respondent_id_data,"&lt;&gt;",passes_workbook_filters_data,1,passes_workbook_custom_filters_data,1,All_Questions_passes_local_filters_data,1,All_Questions_Q1_F_passes_per_q_filter_data,1),0)</f>
        <v>1.0</v>
      </c>
      <c r="F20" s="15">
        <f>IFERROR(AVERAGEIFS(Q1r3c1_data,passes_workbook_filters_data,1,passes_workbook_custom_filters_data,1,All_Questions_passes_local_filters_data,1,All_Questions_Q1_F_passes_per_q_filter_data,1),0)</f>
        <v>7.8</v>
      </c>
      <c r="G20" s="15" t="n">
        <v>8</v>
      </c>
      <c r="H20" s="15">
        <f>IFERROR(AVERAGEIFS(Q1r3c2_data,passes_workbook_filters_data,1,passes_workbook_custom_filters_data,1,All_Questions_passes_local_filters_data,1,All_Questions_Q1_F_passes_per_q_filter_data,1),0)</f>
        <v>5.8</v>
      </c>
      <c r="I20" s="15" t="n">
        <v>6</v>
      </c>
      <c r="J20" s="15">
        <f>ROUND(F20-H20,1)</f>
        <v>2.0</v>
      </c>
      <c r="K20" s="15">
        <f>ROUND(G20-I20,1)</f>
        <v>2.0</v>
      </c>
    </row>
    <row r="21">
      <c r="A21" s="16" t="inlineStr">
        <is>
          <t>Total respondents</t>
        </is>
      </c>
      <c r="B21" s="16" t="n">
        <v>4</v>
      </c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</row>
  </sheetData>
  <mergeCells count="4">
    <mergeCell ref="H16:I16"/>
    <mergeCell ref="F16:G16"/>
    <mergeCell ref="A1:J1"/>
    <mergeCell ref="J16:K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=INDIRECT(IFERROR(INDEX(All_Questions_Options_Names,MATCH(All_Questions_Q1_F_Q,All_Questions,0)),"'_Options'!$E$2:$E$2"))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2026-05-21T07:13:21Z</dcterms:created>
  <dcterms:modified xmlns:dcterms="http://purl.org/dc/terms/" xmlns:xsi="http://www.w3.org/2001/XMLSchema-instance" xsi:type="dcterms:W3CDTF">2026-05-21T07:13:23Z</dcterms:modified>
</cp:coreProperties>
</file>