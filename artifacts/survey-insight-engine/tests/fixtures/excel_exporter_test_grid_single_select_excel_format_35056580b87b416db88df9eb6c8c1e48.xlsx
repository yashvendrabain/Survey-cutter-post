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  <row r="20">
      <c r="A20" s="4" t="inlineStr">
        <is>
          <t>Total responses</t>
        </is>
      </c>
      <c r="B20" s="4" t="n">
        <v>80</v>
      </c>
      <c r="C20" s="4" t="n"/>
      <c r="D20" s="4" t="n"/>
    </row>
    <row r="21"/>
    <row r="22">
      <c r="F22" s="4" t="inlineStr">
        <is>
          <t>Option</t>
        </is>
      </c>
      <c r="G22" s="2" t="str">
        <f>IF(All_Questions_Q_GRID_FORMAT_CT="(None)","",IFERROR(INDEX(INDIRECT(IFERROR(INDEX(Cross_Tab_Questions_Options_Names,MATCH(All_Questions_Q_GRID_FORMAT_CT,Cross_Tab_Questions,0)),"'_Options'!$E$2:$E$2")),2),""))</f>
        <v/>
      </c>
      <c r="H22" s="2" t="str">
        <f>IF(All_Questions_Q_GRID_FORMAT_CT="(None)","",IFERROR(INDEX(INDIRECT(IFERROR(INDEX(Cross_Tab_Questions_Options_Names,MATCH(All_Questions_Q_GRID_FORMAT_CT,Cross_Tab_Questions,0)),"'_Options'!$E$2:$E$2")),3),""))</f>
        <v/>
      </c>
      <c r="I22" s="2" t="str">
        <f>IF(All_Questions_Q_GRID_FORMAT_CT="(None)","",IFERROR(INDEX(INDIRECT(IFERROR(INDEX(Cross_Tab_Questions_Options_Names,MATCH(All_Questions_Q_GRID_FORMAT_CT,Cross_Tab_Questions,0)),"'_Options'!$E$2:$E$2")),4),""))</f>
        <v/>
      </c>
      <c r="J22" s="2" t="str">
        <f>IF(All_Questions_Q_GRID_FORMAT_CT="(None)","",IFERROR(INDEX(INDIRECT(IFERROR(INDEX(Cross_Tab_Questions_Options_Names,MATCH(All_Questions_Q_GRID_FORMAT_CT,Cross_Tab_Questions,0)),"'_Options'!$E$2:$E$2")),5),""))</f>
        <v/>
      </c>
      <c r="K22" s="2" t="str">
        <f>IF(All_Questions_Q_GRID_FORMAT_CT="(None)","",IFERROR(INDEX(INDIRECT(IFERROR(INDEX(Cross_Tab_Questions_Options_Names,MATCH(All_Questions_Q_GRID_FORMAT_CT,Cross_Tab_Questions,0)),"'_Options'!$E$2:$E$2")),6),""))</f>
        <v/>
      </c>
      <c r="L22" s="2" t="str">
        <f>IF(All_Questions_Q_GRID_FORMAT_CT="(None)","",IFERROR(INDEX(INDIRECT(IFERROR(INDEX(Cross_Tab_Questions_Options_Names,MATCH(All_Questions_Q_GRID_FORMAT_CT,Cross_Tab_Questions,0)),"'_Options'!$E$2:$E$2")),7),""))</f>
        <v/>
      </c>
      <c r="M22" s="2" t="str">
        <f>IF(All_Questions_Q_GRID_FORMAT_CT="(None)","",IFERROR(INDEX(INDIRECT(IFERROR(INDEX(Cross_Tab_Questions_Options_Names,MATCH(All_Questions_Q_GRID_FORMAT_CT,Cross_Tab_Questions,0)),"'_Options'!$E$2:$E$2")),8),""))</f>
        <v/>
      </c>
      <c r="N22" s="2" t="str">
        <f>IF(All_Questions_Q_GRID_FORMAT_CT="(None)","",IFERROR(INDEX(INDIRECT(IFERROR(INDEX(Cross_Tab_Questions_Options_Names,MATCH(All_Questions_Q_GRID_FORMAT_CT,Cross_Tab_Questions,0)),"'_Options'!$E$2:$E$2")),9),""))</f>
        <v/>
      </c>
      <c r="O22" s="2" t="str">
        <f>IF(All_Questions_Q_GRID_FORMAT_CT="(None)","",IFERROR(INDEX(INDIRECT(IFERROR(INDEX(Cross_Tab_Questions_Options_Names,MATCH(All_Questions_Q_GRID_FORMAT_CT,Cross_Tab_Questions,0)),"'_Options'!$E$2:$E$2")),10),""))</f>
        <v/>
      </c>
      <c r="P22" s="2" t="str">
        <f>IF(All_Questions_Q_GRID_FORMAT_CT="(None)","",IFERROR(INDEX(INDIRECT(IFERROR(INDEX(Cross_Tab_Questions_Options_Names,MATCH(All_Questions_Q_GRID_FORMAT_CT,Cross_Tab_Questions,0)),"'_Options'!$E$2:$E$2")),11),""))</f>
        <v/>
      </c>
      <c r="Q22" s="2" t="str">
        <f>IF(All_Questions_Q_GRID_FORMAT_CT="(None)","",IFERROR(INDEX(INDIRECT(IFERROR(INDEX(Cross_Tab_Questions_Options_Names,MATCH(All_Questions_Q_GRID_FORMAT_CT,Cross_Tab_Questions,0)),"'_Options'!$E$2:$E$2")),12),""))</f>
        <v/>
      </c>
      <c r="R22" s="2" t="str">
        <f>IF(All_Questions_Q_GRID_FORMAT_CT="(None)","",IF(COUNTA(INDIRECT(IFERROR(INDEX(Cross_Tab_Questions_Options_Names,MATCH(All_Questions_Q_GRID_FORMAT_CT,Cross_Tab_Questions,0)),"'_Options'!$E$2:$E$2")))-1&gt;11,"Other",IFERROR(INDEX(INDIRECT(IFERROR(INDEX(Cross_Tab_Questions_Options_Names,MATCH(All_Questions_Q_GRID_FORMAT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  <c r="O23" s="4" t="inlineStr">
        <is>
          <t># of resp</t>
        </is>
      </c>
      <c r="P23" s="4" t="inlineStr">
        <is>
          <t># of resp</t>
        </is>
      </c>
      <c r="Q23" s="4" t="inlineStr">
        <is>
          <t># of resp</t>
        </is>
      </c>
      <c r="R23" s="4" t="inlineStr">
        <is>
          <t># of resp</t>
        </is>
      </c>
      <c r="S23" s="4" t="inlineStr">
        <is>
          <t># of resp</t>
        </is>
      </c>
    </row>
    <row r="24">
      <c r="F24" t="inlineStr">
        <is>
          <t>Option A</t>
        </is>
      </c>
      <c r="G24" s="14">
        <f>IF(OR(All_Questions_Q_GRID_FORMAT_CT="(None)",G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4" s="14">
        <f>IF(OR(All_Questions_Q_GRID_FORMAT_CT="(None)",H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4" s="14">
        <f>IF(OR(All_Questions_Q_GRID_FORMAT_CT="(None)",I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4" s="14">
        <f>IF(OR(All_Questions_Q_GRID_FORMAT_CT="(None)",J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4" s="14">
        <f>IF(OR(All_Questions_Q_GRID_FORMAT_CT="(None)",K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4" s="14">
        <f>IF(OR(All_Questions_Q_GRID_FORMAT_CT="(None)",L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4" s="14">
        <f>IF(OR(All_Questions_Q_GRID_FORMAT_CT="(None)",M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4" s="14">
        <f>IF(OR(All_Questions_Q_GRID_FORMAT_CT="(None)",N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4" s="14">
        <f>IF(OR(All_Questions_Q_GRID_FORMAT_CT="(None)",O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4" s="14">
        <f>IF(OR(All_Questions_Q_GRID_FORMAT_CT="(None)",P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4" s="14">
        <f>IF(OR(All_Questions_Q_GRID_FORMAT_CT="(None)",Q$22=""),""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4" s="14">
        <f>IF(OR(All_Questions_Q_GRID_FORMAT_CT="(None)",R$22=""),"",IF(R$22="Other",COUNTIFS(r1_data,"Selected",passes_workbook_filters_data,1,passes_workbook_custom_filters_data,1,All_Questions_passes_local_filters_data,1,All_Questions_Q_GRID_FORMAT_F_passes_per_q_filter_data,1)-SUM(G24,H24,I24,J24,K24,L24,M24,N24,O24,P24,Q24),COUNTIFS(r1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4" s="14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25">
      <c r="F25" t="inlineStr">
        <is>
          <t>Option B</t>
        </is>
      </c>
      <c r="G25" s="14">
        <f>IF(OR(All_Questions_Q_GRID_FORMAT_CT="(None)",G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G$22))</f>
        <v>0</v>
      </c>
      <c r="H25" s="14">
        <f>IF(OR(All_Questions_Q_GRID_FORMAT_CT="(None)",H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H$22))</f>
        <v>0</v>
      </c>
      <c r="I25" s="14">
        <f>IF(OR(All_Questions_Q_GRID_FORMAT_CT="(None)",I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I$22))</f>
        <v>0</v>
      </c>
      <c r="J25" s="14">
        <f>IF(OR(All_Questions_Q_GRID_FORMAT_CT="(None)",J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J$22))</f>
        <v>0</v>
      </c>
      <c r="K25" s="14">
        <f>IF(OR(All_Questions_Q_GRID_FORMAT_CT="(None)",K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K$22))</f>
        <v>0</v>
      </c>
      <c r="L25" s="14">
        <f>IF(OR(All_Questions_Q_GRID_FORMAT_CT="(None)",L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L$22))</f>
        <v>0</v>
      </c>
      <c r="M25" s="14">
        <f>IF(OR(All_Questions_Q_GRID_FORMAT_CT="(None)",M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M$22))</f>
        <v>0</v>
      </c>
      <c r="N25" s="14">
        <f>IF(OR(All_Questions_Q_GRID_FORMAT_CT="(None)",N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N$22))</f>
        <v>0</v>
      </c>
      <c r="O25" s="14">
        <f>IF(OR(All_Questions_Q_GRID_FORMAT_CT="(None)",O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O$22))</f>
        <v>0</v>
      </c>
      <c r="P25" s="14">
        <f>IF(OR(All_Questions_Q_GRID_FORMAT_CT="(None)",P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P$22))</f>
        <v>0</v>
      </c>
      <c r="Q25" s="14">
        <f>IF(OR(All_Questions_Q_GRID_FORMAT_CT="(None)",Q$22=""),""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Q$22))</f>
        <v>0</v>
      </c>
      <c r="R25" s="14">
        <f>IF(OR(All_Questions_Q_GRID_FORMAT_CT="(None)",R$22=""),"",IF(R$22="Other",COUNTIFS(r2_data,"Selected",passes_workbook_filters_data,1,passes_workbook_custom_filters_data,1,All_Questions_passes_local_filters_data,1,All_Questions_Q_GRID_FORMAT_F_passes_per_q_filter_data,1)-SUM(G25,H25,I25,J25,K25,L25,M25,N25,O25,P25,Q25),COUNTIFS(r2_data,"Selected",passes_workbook_filters_data,1,passes_workbook_custom_filters_data,1,All_Questions_passes_local_filters_data,1,All_Questions_Q_GRID_FORMAT_F_passes_per_q_filter_data,1,INDIRECT(IFERROR(INDEX(Cross_Tab_Questions_Data_Names,MATCH(All_Questions_Q_GRID_FORMAT_CT,Cross_Tab_Questions,0)),"'_RawData'!$A:$A")),R$22)))</f>
        <v>0</v>
      </c>
      <c r="S25" s="14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2026-06-08T13:42:53Z</dcterms:created>
  <dcterms:modified xmlns:dcterms="http://purl.org/dc/terms/" xmlns:xsi="http://www.w3.org/2001/XMLSchema-instance" xsi:type="dcterms:W3CDTF">2026-06-08T13:42:53Z</dcterms:modified>
</cp:coreProperties>
</file>