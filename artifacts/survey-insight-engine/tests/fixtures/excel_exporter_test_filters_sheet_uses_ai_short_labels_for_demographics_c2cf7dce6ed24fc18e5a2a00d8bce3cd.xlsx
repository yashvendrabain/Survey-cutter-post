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I18" i="7"/>
  <c r="K18" i="7"/>
  <c r="M18" i="7"/>
  <c r="O18" i="7"/>
  <c r="Q18" i="7"/>
  <c r="S18" i="7"/>
  <c r="U18" i="7"/>
  <c r="W18" i="7"/>
  <c r="Y18" i="7"/>
  <c r="AA18" i="7"/>
  <c r="AC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E22" i="7"/>
  <c r="F25" i="7"/>
  <c r="G25" i="7"/>
  <c r="G28" i="7"/>
  <c r="I28" i="7"/>
  <c r="K28" i="7"/>
  <c r="M28" i="7"/>
  <c r="O28" i="7"/>
  <c r="Q28" i="7"/>
  <c r="S28" i="7"/>
  <c r="U28" i="7"/>
  <c r="W28" i="7"/>
  <c r="Y28" i="7"/>
  <c r="AA28" i="7"/>
  <c r="AC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E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Org Size</t>
        </is>
      </c>
      <c r="B3" t="inlineStr">
        <is>
          <t>(None)</t>
        </is>
      </c>
      <c r="C3" t="inlineStr">
        <is>
          <t>Q4_data</t>
        </is>
      </c>
      <c r="D3" t="inlineStr">
        <is>
          <t>Q4_options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Org Age</t>
        </is>
      </c>
      <c r="B4" t="inlineStr">
        <is>
          <t>Q4 - Org Size</t>
        </is>
      </c>
      <c r="C4" t="inlineStr">
        <is>
          <t>Q14_data</t>
        </is>
      </c>
      <c r="D4" t="inlineStr">
        <is>
          <t>Q14_options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Org Age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XLOOKUP(Demographics_Q4_F_Q,All_Questions,All_Questions_Data_Names,"respondent_id_data")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IF(Demographics_Q4_CT="(None)","",IFERROR(INDEX(INDIRECT(XLOOKUP(Demographics_Q4_CT,All_Questions,All_Questions_Options_Names,"None_options")),2),""))</f>
        <v/>
      </c>
      <c r="H18" s="2" t="n"/>
      <c r="I18" s="2" t="str">
        <f>IF(Demographics_Q4_CT="(None)","",IFERROR(INDEX(INDIRECT(XLOOKUP(Demographics_Q4_CT,All_Questions,All_Questions_Options_Names,"None_options")),3),""))</f>
        <v/>
      </c>
      <c r="J18" s="2" t="n"/>
      <c r="K18" s="2" t="str">
        <f>IF(Demographics_Q4_CT="(None)","",IFERROR(INDEX(INDIRECT(XLOOKUP(Demographics_Q4_CT,All_Questions,All_Questions_Options_Names,"None_options")),4),""))</f>
        <v/>
      </c>
      <c r="L18" s="2" t="n"/>
      <c r="M18" s="2" t="str">
        <f>IF(Demographics_Q4_CT="(None)","",IFERROR(INDEX(INDIRECT(XLOOKUP(Demographics_Q4_CT,All_Questions,All_Questions_Options_Names,"None_options")),5),""))</f>
        <v/>
      </c>
      <c r="N18" s="2" t="n"/>
      <c r="O18" s="2" t="str">
        <f>IF(Demographics_Q4_CT="(None)","",IFERROR(INDEX(INDIRECT(XLOOKUP(Demographics_Q4_CT,All_Questions,All_Questions_Options_Names,"None_options")),6),""))</f>
        <v/>
      </c>
      <c r="P18" s="2" t="n"/>
      <c r="Q18" s="2" t="str">
        <f>IF(Demographics_Q4_CT="(None)","",IFERROR(INDEX(INDIRECT(XLOOKUP(Demographics_Q4_CT,All_Questions,All_Questions_Options_Names,"None_options")),7),""))</f>
        <v/>
      </c>
      <c r="R18" s="2" t="n"/>
      <c r="S18" s="2" t="str">
        <f>IF(Demographics_Q4_CT="(None)","",IFERROR(INDEX(INDIRECT(XLOOKUP(Demographics_Q4_CT,All_Questions,All_Questions_Options_Names,"None_options")),8),""))</f>
        <v/>
      </c>
      <c r="T18" s="2" t="n"/>
      <c r="U18" s="2" t="str">
        <f>IF(Demographics_Q4_CT="(None)","",IFERROR(INDEX(INDIRECT(XLOOKUP(Demographics_Q4_CT,All_Questions,All_Questions_Options_Names,"None_options")),9),""))</f>
        <v/>
      </c>
      <c r="V18" s="2" t="n"/>
      <c r="W18" s="2" t="str">
        <f>IF(Demographics_Q4_CT="(None)","",IFERROR(INDEX(INDIRECT(XLOOKUP(Demographics_Q4_CT,All_Questions,All_Questions_Options_Names,"None_options")),10),""))</f>
        <v/>
      </c>
      <c r="X18" s="2" t="n"/>
      <c r="Y18" s="2" t="str">
        <f>IF(Demographics_Q4_CT="(None)","",IFERROR(INDEX(INDIRECT(XLOOKUP(Demographics_Q4_CT,All_Questions,All_Questions_Options_Names,"None_options")),11),""))</f>
        <v/>
      </c>
      <c r="Z18" s="2" t="n"/>
      <c r="AA18" s="2" t="str">
        <f>IF(Demographics_Q4_CT="(None)","",IFERROR(INDEX(INDIRECT(XLOOKUP(Demographics_Q4_CT,All_Questions,All_Questions_Options_Names,"None_options")),12),""))</f>
        <v/>
      </c>
      <c r="AB18" s="2" t="n"/>
      <c r="AC18" s="2" t="str">
        <f>IF(Demographics_Q4_CT="(None)","",IF(COUNTA(INDIRECT(XLOOKUP(Demographics_Q4_CT,All_Questions,All_Questions_Options_Names,"None_options")))-1&gt;11,"Other",IFERROR(INDEX(INDIRECT(XLOOKUP(Demographics_Q4_CT,All_Questions,All_Questions_Options_Names,"None_options")),13),"")))</f>
        <v/>
      </c>
      <c r="AD18" s="2" t="n"/>
      <c r="AE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% of resp</t>
        </is>
      </c>
      <c r="I19" s="4" t="inlineStr">
        <is>
          <t># of resp</t>
        </is>
      </c>
      <c r="J19" s="4" t="inlineStr">
        <is>
          <t>% of resp</t>
        </is>
      </c>
      <c r="K19" s="4" t="inlineStr">
        <is>
          <t># of resp</t>
        </is>
      </c>
      <c r="L19" s="4" t="inlineStr">
        <is>
          <t>% of resp</t>
        </is>
      </c>
      <c r="M19" s="4" t="inlineStr">
        <is>
          <t># of resp</t>
        </is>
      </c>
      <c r="N19" s="4" t="inlineStr">
        <is>
          <t>% of resp</t>
        </is>
      </c>
      <c r="O19" s="4" t="inlineStr">
        <is>
          <t># of resp</t>
        </is>
      </c>
      <c r="P19" s="4" t="inlineStr">
        <is>
          <t>% of resp</t>
        </is>
      </c>
      <c r="Q19" s="4" t="inlineStr">
        <is>
          <t># of resp</t>
        </is>
      </c>
      <c r="R19" s="4" t="inlineStr">
        <is>
          <t>% of resp</t>
        </is>
      </c>
      <c r="S19" s="4" t="inlineStr">
        <is>
          <t># of resp</t>
        </is>
      </c>
      <c r="T19" s="4" t="inlineStr">
        <is>
          <t>% of resp</t>
        </is>
      </c>
      <c r="U19" s="4" t="inlineStr">
        <is>
          <t># of resp</t>
        </is>
      </c>
      <c r="V19" s="4" t="inlineStr">
        <is>
          <t>% of resp</t>
        </is>
      </c>
      <c r="W19" s="4" t="inlineStr">
        <is>
          <t># of resp</t>
        </is>
      </c>
      <c r="X19" s="4" t="inlineStr">
        <is>
          <t>% of resp</t>
        </is>
      </c>
      <c r="Y19" s="4" t="inlineStr">
        <is>
          <t># of resp</t>
        </is>
      </c>
      <c r="Z19" s="4" t="inlineStr">
        <is>
          <t>% of resp</t>
        </is>
      </c>
      <c r="AA19" s="4" t="inlineStr">
        <is>
          <t># of resp</t>
        </is>
      </c>
      <c r="AB19" s="4" t="inlineStr">
        <is>
          <t>% of resp</t>
        </is>
      </c>
      <c r="AC19" s="4" t="inlineStr">
        <is>
          <t># of resp</t>
        </is>
      </c>
      <c r="AD19" s="4" t="inlineStr">
        <is>
          <t>% of resp</t>
        </is>
      </c>
      <c r="AE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XLOOKUP(Demographics_Q4_CT,All_Questions,All_Questions_Data_Names,"respondent_id_data")),G$18))</f>
        <v>0</v>
      </c>
      <c r="H20" s="7">
        <f>IFERROR(G20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G$18)),0)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XLOOKUP(Demographics_Q4_CT,All_Questions,All_Questions_Data_Names,"respondent_id_data")),I$18))</f>
        <v>0</v>
      </c>
      <c r="J20" s="7">
        <f>IFERROR(I20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I$18)),0)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XLOOKUP(Demographics_Q4_CT,All_Questions,All_Questions_Data_Names,"respondent_id_data")),K$18))</f>
        <v>0</v>
      </c>
      <c r="L20" s="7">
        <f>IFERROR(K20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K$18)),0)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XLOOKUP(Demographics_Q4_CT,All_Questions,All_Questions_Data_Names,"respondent_id_data")),M$18))</f>
        <v>0</v>
      </c>
      <c r="N20" s="7">
        <f>IFERROR(M20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M$18)),0)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XLOOKUP(Demographics_Q4_CT,All_Questions,All_Questions_Data_Names,"respondent_id_data")),O$18))</f>
        <v>0</v>
      </c>
      <c r="P20" s="7">
        <f>IFERROR(O20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O$18)),0)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XLOOKUP(Demographics_Q4_CT,All_Questions,All_Questions_Data_Names,"respondent_id_data")),Q$18))</f>
        <v>0</v>
      </c>
      <c r="R20" s="7">
        <f>IFERROR(Q20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Q$18)),0)</f>
        <v>0</v>
      </c>
      <c r="S20">
        <f>IF(OR(Demographics_Q4_CT="(None)",S$18=""),"",COUNTIFS(Q4_data,"Small",passes_workbook_filters_data,1,passes_workbook_custom_filters_data,1,Demographics_passes_local_filters_data,1,Demographics_Q4_F_passes_per_q_filter_data,1,INDIRECT(XLOOKUP(Demographics_Q4_CT,All_Questions,All_Questions_Data_Names,"respondent_id_data")),S$18))</f>
        <v>0</v>
      </c>
      <c r="T20" s="7">
        <f>IFERROR(S20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S$18)),0)</f>
        <v>0</v>
      </c>
      <c r="U20">
        <f>IF(OR(Demographics_Q4_CT="(None)",U$18=""),"",COUNTIFS(Q4_data,"Small",passes_workbook_filters_data,1,passes_workbook_custom_filters_data,1,Demographics_passes_local_filters_data,1,Demographics_Q4_F_passes_per_q_filter_data,1,INDIRECT(XLOOKUP(Demographics_Q4_CT,All_Questions,All_Questions_Data_Names,"respondent_id_data")),U$18))</f>
        <v>0</v>
      </c>
      <c r="V20" s="7">
        <f>IFERROR(U20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U$18)),0)</f>
        <v>0</v>
      </c>
      <c r="W20">
        <f>IF(OR(Demographics_Q4_CT="(None)",W$18=""),"",COUNTIFS(Q4_data,"Small",passes_workbook_filters_data,1,passes_workbook_custom_filters_data,1,Demographics_passes_local_filters_data,1,Demographics_Q4_F_passes_per_q_filter_data,1,INDIRECT(XLOOKUP(Demographics_Q4_CT,All_Questions,All_Questions_Data_Names,"respondent_id_data")),W$18))</f>
        <v>0</v>
      </c>
      <c r="X20" s="7">
        <f>IFERROR(W20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W$18)),0)</f>
        <v>0</v>
      </c>
      <c r="Y20">
        <f>IF(OR(Demographics_Q4_CT="(None)",Y$18=""),"",COUNTIFS(Q4_data,"Small",passes_workbook_filters_data,1,passes_workbook_custom_filters_data,1,Demographics_passes_local_filters_data,1,Demographics_Q4_F_passes_per_q_filter_data,1,INDIRECT(XLOOKUP(Demographics_Q4_CT,All_Questions,All_Questions_Data_Names,"respondent_id_data")),Y$18))</f>
        <v>0</v>
      </c>
      <c r="Z20" s="7">
        <f>IFERROR(Y20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Y$18)),0)</f>
        <v>0</v>
      </c>
      <c r="AA20">
        <f>IF(OR(Demographics_Q4_CT="(None)",AA$18=""),"",COUNTIFS(Q4_data,"Small",passes_workbook_filters_data,1,passes_workbook_custom_filters_data,1,Demographics_passes_local_filters_data,1,Demographics_Q4_F_passes_per_q_filter_data,1,INDIRECT(XLOOKUP(Demographics_Q4_CT,All_Questions,All_Questions_Data_Names,"respondent_id_data")),AA$18))</f>
        <v>0</v>
      </c>
      <c r="AB20" s="7">
        <f>IFERROR(AA20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AA$18)),0)</f>
        <v>0</v>
      </c>
      <c r="AC20">
        <f>IF(OR(Demographics_Q4_CT="(None)",AC$18=""),"",IF(AC$18="Other",COUNTIFS(Q4_data,"Small",passes_workbook_filters_data,1,passes_workbook_custom_filters_data,1,Demographics_passes_local_filters_data,1,Demographics_Q4_F_passes_per_q_filter_data,1)-SUM(G20,I20,K20,M20,O20,Q20,S20,U20,W20,Y20,AA20),COUNTIFS(Q4_data,"Small",passes_workbook_filters_data,1,passes_workbook_custom_filters_data,1,Demographics_passes_local_filters_data,1,Demographics_Q4_F_passes_per_q_filter_data,1,INDIRECT(XLOOKUP(Demographics_Q4_CT,All_Questions,All_Questions_Data_Names,"respondent_id_data")),AC$18)))</f>
        <v>0</v>
      </c>
      <c r="AD20" s="7">
        <f>IFERROR(AC20/(IF(AC$18="Other",COUNTIFS(respondent_id_data,"&lt;&gt;",passes_workbook_filters_data,1,passes_workbook_custom_filters_data,1,Demographics_passes_local_filters_data,1,Demographics_Q4_F_passes_per_q_filter_data,1)-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G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I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K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M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O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Q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S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U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W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Y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AA$18)),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AC$18))),0)</f>
        <v>0</v>
      </c>
      <c r="AE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XLOOKUP(Demographics_Q4_CT,All_Questions,All_Questions_Data_Names,"respondent_id_data")),G$18))</f>
        <v>0</v>
      </c>
      <c r="H21" s="7">
        <f>IFERROR(G21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G$18)),0)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XLOOKUP(Demographics_Q4_CT,All_Questions,All_Questions_Data_Names,"respondent_id_data")),I$18))</f>
        <v>0</v>
      </c>
      <c r="J21" s="7">
        <f>IFERROR(I21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I$18)),0)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XLOOKUP(Demographics_Q4_CT,All_Questions,All_Questions_Data_Names,"respondent_id_data")),K$18))</f>
        <v>0</v>
      </c>
      <c r="L21" s="7">
        <f>IFERROR(K21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K$18)),0)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XLOOKUP(Demographics_Q4_CT,All_Questions,All_Questions_Data_Names,"respondent_id_data")),M$18))</f>
        <v>0</v>
      </c>
      <c r="N21" s="7">
        <f>IFERROR(M21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M$18)),0)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XLOOKUP(Demographics_Q4_CT,All_Questions,All_Questions_Data_Names,"respondent_id_data")),O$18))</f>
        <v>0</v>
      </c>
      <c r="P21" s="7">
        <f>IFERROR(O21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O$18)),0)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XLOOKUP(Demographics_Q4_CT,All_Questions,All_Questions_Data_Names,"respondent_id_data")),Q$18))</f>
        <v>0</v>
      </c>
      <c r="R21" s="7">
        <f>IFERROR(Q21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Q$18)),0)</f>
        <v>0</v>
      </c>
      <c r="S21">
        <f>IF(OR(Demographics_Q4_CT="(None)",S$18=""),"",COUNTIFS(Q4_data,"Large",passes_workbook_filters_data,1,passes_workbook_custom_filters_data,1,Demographics_passes_local_filters_data,1,Demographics_Q4_F_passes_per_q_filter_data,1,INDIRECT(XLOOKUP(Demographics_Q4_CT,All_Questions,All_Questions_Data_Names,"respondent_id_data")),S$18))</f>
        <v>0</v>
      </c>
      <c r="T21" s="7">
        <f>IFERROR(S21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S$18)),0)</f>
        <v>0</v>
      </c>
      <c r="U21">
        <f>IF(OR(Demographics_Q4_CT="(None)",U$18=""),"",COUNTIFS(Q4_data,"Large",passes_workbook_filters_data,1,passes_workbook_custom_filters_data,1,Demographics_passes_local_filters_data,1,Demographics_Q4_F_passes_per_q_filter_data,1,INDIRECT(XLOOKUP(Demographics_Q4_CT,All_Questions,All_Questions_Data_Names,"respondent_id_data")),U$18))</f>
        <v>0</v>
      </c>
      <c r="V21" s="7">
        <f>IFERROR(U21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U$18)),0)</f>
        <v>0</v>
      </c>
      <c r="W21">
        <f>IF(OR(Demographics_Q4_CT="(None)",W$18=""),"",COUNTIFS(Q4_data,"Large",passes_workbook_filters_data,1,passes_workbook_custom_filters_data,1,Demographics_passes_local_filters_data,1,Demographics_Q4_F_passes_per_q_filter_data,1,INDIRECT(XLOOKUP(Demographics_Q4_CT,All_Questions,All_Questions_Data_Names,"respondent_id_data")),W$18))</f>
        <v>0</v>
      </c>
      <c r="X21" s="7">
        <f>IFERROR(W21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W$18)),0)</f>
        <v>0</v>
      </c>
      <c r="Y21">
        <f>IF(OR(Demographics_Q4_CT="(None)",Y$18=""),"",COUNTIFS(Q4_data,"Large",passes_workbook_filters_data,1,passes_workbook_custom_filters_data,1,Demographics_passes_local_filters_data,1,Demographics_Q4_F_passes_per_q_filter_data,1,INDIRECT(XLOOKUP(Demographics_Q4_CT,All_Questions,All_Questions_Data_Names,"respondent_id_data")),Y$18))</f>
        <v>0</v>
      </c>
      <c r="Z21" s="7">
        <f>IFERROR(Y21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Y$18)),0)</f>
        <v>0</v>
      </c>
      <c r="AA21">
        <f>IF(OR(Demographics_Q4_CT="(None)",AA$18=""),"",COUNTIFS(Q4_data,"Large",passes_workbook_filters_data,1,passes_workbook_custom_filters_data,1,Demographics_passes_local_filters_data,1,Demographics_Q4_F_passes_per_q_filter_data,1,INDIRECT(XLOOKUP(Demographics_Q4_CT,All_Questions,All_Questions_Data_Names,"respondent_id_data")),AA$18))</f>
        <v>0</v>
      </c>
      <c r="AB21" s="7">
        <f>IFERROR(AA21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AA$18)),0)</f>
        <v>0</v>
      </c>
      <c r="AC21">
        <f>IF(OR(Demographics_Q4_CT="(None)",AC$18=""),"",IF(AC$18="Other",COUNTIFS(Q4_data,"Large",passes_workbook_filters_data,1,passes_workbook_custom_filters_data,1,Demographics_passes_local_filters_data,1,Demographics_Q4_F_passes_per_q_filter_data,1)-SUM(G21,I21,K21,M21,O21,Q21,S21,U21,W21,Y21,AA21),COUNTIFS(Q4_data,"Large",passes_workbook_filters_data,1,passes_workbook_custom_filters_data,1,Demographics_passes_local_filters_data,1,Demographics_Q4_F_passes_per_q_filter_data,1,INDIRECT(XLOOKUP(Demographics_Q4_CT,All_Questions,All_Questions_Data_Names,"respondent_id_data")),AC$18)))</f>
        <v>0</v>
      </c>
      <c r="AD21" s="7">
        <f>IFERROR(AC21/(IF(AC$18="Other",COUNTIFS(respondent_id_data,"&lt;&gt;",passes_workbook_filters_data,1,passes_workbook_custom_filters_data,1,Demographics_passes_local_filters_data,1,Demographics_Q4_F_passes_per_q_filter_data,1)-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G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I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K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M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O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Q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S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U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W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Y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AA$18)),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AC$18))),0)</f>
        <v>0</v>
      </c>
      <c r="AE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XLOOKUP(Demographics_Q14_F_Q,All_Questions,All_Questions_Data_Names,"respondent_id_data")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IF(Demographics_Q14_CT="(None)","",IFERROR(INDEX(INDIRECT(XLOOKUP(Demographics_Q14_CT,All_Questions,All_Questions_Options_Names,"None_options")),2),""))</f>
        <v/>
      </c>
      <c r="H28" s="2" t="n"/>
      <c r="I28" s="2" t="str">
        <f>IF(Demographics_Q14_CT="(None)","",IFERROR(INDEX(INDIRECT(XLOOKUP(Demographics_Q14_CT,All_Questions,All_Questions_Options_Names,"None_options")),3),""))</f>
        <v/>
      </c>
      <c r="J28" s="2" t="n"/>
      <c r="K28" s="2" t="str">
        <f>IF(Demographics_Q14_CT="(None)","",IFERROR(INDEX(INDIRECT(XLOOKUP(Demographics_Q14_CT,All_Questions,All_Questions_Options_Names,"None_options")),4),""))</f>
        <v/>
      </c>
      <c r="L28" s="2" t="n"/>
      <c r="M28" s="2" t="str">
        <f>IF(Demographics_Q14_CT="(None)","",IFERROR(INDEX(INDIRECT(XLOOKUP(Demographics_Q14_CT,All_Questions,All_Questions_Options_Names,"None_options")),5),""))</f>
        <v/>
      </c>
      <c r="N28" s="2" t="n"/>
      <c r="O28" s="2" t="str">
        <f>IF(Demographics_Q14_CT="(None)","",IFERROR(INDEX(INDIRECT(XLOOKUP(Demographics_Q14_CT,All_Questions,All_Questions_Options_Names,"None_options")),6),""))</f>
        <v/>
      </c>
      <c r="P28" s="2" t="n"/>
      <c r="Q28" s="2" t="str">
        <f>IF(Demographics_Q14_CT="(None)","",IFERROR(INDEX(INDIRECT(XLOOKUP(Demographics_Q14_CT,All_Questions,All_Questions_Options_Names,"None_options")),7),""))</f>
        <v/>
      </c>
      <c r="R28" s="2" t="n"/>
      <c r="S28" s="2" t="str">
        <f>IF(Demographics_Q14_CT="(None)","",IFERROR(INDEX(INDIRECT(XLOOKUP(Demographics_Q14_CT,All_Questions,All_Questions_Options_Names,"None_options")),8),""))</f>
        <v/>
      </c>
      <c r="T28" s="2" t="n"/>
      <c r="U28" s="2" t="str">
        <f>IF(Demographics_Q14_CT="(None)","",IFERROR(INDEX(INDIRECT(XLOOKUP(Demographics_Q14_CT,All_Questions,All_Questions_Options_Names,"None_options")),9),""))</f>
        <v/>
      </c>
      <c r="V28" s="2" t="n"/>
      <c r="W28" s="2" t="str">
        <f>IF(Demographics_Q14_CT="(None)","",IFERROR(INDEX(INDIRECT(XLOOKUP(Demographics_Q14_CT,All_Questions,All_Questions_Options_Names,"None_options")),10),""))</f>
        <v/>
      </c>
      <c r="X28" s="2" t="n"/>
      <c r="Y28" s="2" t="str">
        <f>IF(Demographics_Q14_CT="(None)","",IFERROR(INDEX(INDIRECT(XLOOKUP(Demographics_Q14_CT,All_Questions,All_Questions_Options_Names,"None_options")),11),""))</f>
        <v/>
      </c>
      <c r="Z28" s="2" t="n"/>
      <c r="AA28" s="2" t="str">
        <f>IF(Demographics_Q14_CT="(None)","",IFERROR(INDEX(INDIRECT(XLOOKUP(Demographics_Q14_CT,All_Questions,All_Questions_Options_Names,"None_options")),12),""))</f>
        <v/>
      </c>
      <c r="AB28" s="2" t="n"/>
      <c r="AC28" s="2" t="str">
        <f>IF(Demographics_Q14_CT="(None)","",IF(COUNTA(INDIRECT(XLOOKUP(Demographics_Q14_CT,All_Questions,All_Questions_Options_Names,"None_options")))-1&gt;11,"Other",IFERROR(INDEX(INDIRECT(XLOOKUP(Demographics_Q14_CT,All_Questions,All_Questions_Options_Names,"None_options")),13),"")))</f>
        <v/>
      </c>
      <c r="AD28" s="2" t="n"/>
      <c r="AE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% of resp</t>
        </is>
      </c>
      <c r="I29" s="4" t="inlineStr">
        <is>
          <t># of resp</t>
        </is>
      </c>
      <c r="J29" s="4" t="inlineStr">
        <is>
          <t>% of resp</t>
        </is>
      </c>
      <c r="K29" s="4" t="inlineStr">
        <is>
          <t># of resp</t>
        </is>
      </c>
      <c r="L29" s="4" t="inlineStr">
        <is>
          <t>% of resp</t>
        </is>
      </c>
      <c r="M29" s="4" t="inlineStr">
        <is>
          <t># of resp</t>
        </is>
      </c>
      <c r="N29" s="4" t="inlineStr">
        <is>
          <t>% of resp</t>
        </is>
      </c>
      <c r="O29" s="4" t="inlineStr">
        <is>
          <t># of resp</t>
        </is>
      </c>
      <c r="P29" s="4" t="inlineStr">
        <is>
          <t>% of resp</t>
        </is>
      </c>
      <c r="Q29" s="4" t="inlineStr">
        <is>
          <t># of resp</t>
        </is>
      </c>
      <c r="R29" s="4" t="inlineStr">
        <is>
          <t>% of resp</t>
        </is>
      </c>
      <c r="S29" s="4" t="inlineStr">
        <is>
          <t># of resp</t>
        </is>
      </c>
      <c r="T29" s="4" t="inlineStr">
        <is>
          <t>% of resp</t>
        </is>
      </c>
      <c r="U29" s="4" t="inlineStr">
        <is>
          <t># of resp</t>
        </is>
      </c>
      <c r="V29" s="4" t="inlineStr">
        <is>
          <t>% of resp</t>
        </is>
      </c>
      <c r="W29" s="4" t="inlineStr">
        <is>
          <t># of resp</t>
        </is>
      </c>
      <c r="X29" s="4" t="inlineStr">
        <is>
          <t>% of resp</t>
        </is>
      </c>
      <c r="Y29" s="4" t="inlineStr">
        <is>
          <t># of resp</t>
        </is>
      </c>
      <c r="Z29" s="4" t="inlineStr">
        <is>
          <t>% of resp</t>
        </is>
      </c>
      <c r="AA29" s="4" t="inlineStr">
        <is>
          <t># of resp</t>
        </is>
      </c>
      <c r="AB29" s="4" t="inlineStr">
        <is>
          <t>% of resp</t>
        </is>
      </c>
      <c r="AC29" s="4" t="inlineStr">
        <is>
          <t># of resp</t>
        </is>
      </c>
      <c r="AD29" s="4" t="inlineStr">
        <is>
          <t>% of resp</t>
        </is>
      </c>
      <c r="AE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G$28))</f>
        <v>0</v>
      </c>
      <c r="H30" s="7">
        <f>IFERROR(G30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G$28)),0)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I$28))</f>
        <v>0</v>
      </c>
      <c r="J30" s="7">
        <f>IFERROR(I30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I$28)),0)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K$28))</f>
        <v>0</v>
      </c>
      <c r="L30" s="7">
        <f>IFERROR(K30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K$28)),0)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M$28))</f>
        <v>0</v>
      </c>
      <c r="N30" s="7">
        <f>IFERROR(M30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M$28)),0)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O$28))</f>
        <v>0</v>
      </c>
      <c r="P30" s="7">
        <f>IFERROR(O30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O$28)),0)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Q$28))</f>
        <v>0</v>
      </c>
      <c r="R30" s="7">
        <f>IFERROR(Q30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Q$28)),0)</f>
        <v>0</v>
      </c>
      <c r="S30">
        <f>IF(OR(Demographics_Q14_CT="(None)",S$28=""),""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S$28))</f>
        <v>0</v>
      </c>
      <c r="T30" s="7">
        <f>IFERROR(S30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S$28)),0)</f>
        <v>0</v>
      </c>
      <c r="U30">
        <f>IF(OR(Demographics_Q14_CT="(None)",U$28=""),""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U$28))</f>
        <v>0</v>
      </c>
      <c r="V30" s="7">
        <f>IFERROR(U30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U$28)),0)</f>
        <v>0</v>
      </c>
      <c r="W30">
        <f>IF(OR(Demographics_Q14_CT="(None)",W$28=""),""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W$28))</f>
        <v>0</v>
      </c>
      <c r="X30" s="7">
        <f>IFERROR(W30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W$28)),0)</f>
        <v>0</v>
      </c>
      <c r="Y30">
        <f>IF(OR(Demographics_Q14_CT="(None)",Y$28=""),""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Y$28))</f>
        <v>0</v>
      </c>
      <c r="Z30" s="7">
        <f>IFERROR(Y30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Y$28)),0)</f>
        <v>0</v>
      </c>
      <c r="AA30">
        <f>IF(OR(Demographics_Q14_CT="(None)",AA$28=""),""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AA$28))</f>
        <v>0</v>
      </c>
      <c r="AB30" s="7">
        <f>IFERROR(AA30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AA$28)),0)</f>
        <v>0</v>
      </c>
      <c r="AC30">
        <f>IF(OR(Demographics_Q14_CT="(None)",AC$28=""),"",IF(AC$28="Other",COUNTIFS(Q14_data,"New",passes_workbook_filters_data,1,passes_workbook_custom_filters_data,1,Demographics_passes_local_filters_data,1,Demographics_Q14_F_passes_per_q_filter_data,1)-SUM(G30,I30,K30,M30,O30,Q30,S30,U30,W30,Y30,AA30)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AC$28)))</f>
        <v>0</v>
      </c>
      <c r="AD30" s="7">
        <f>IFERROR(AC30/(IF(AC$28="Other",COUNTIFS(respondent_id_data,"&lt;&gt;",passes_workbook_filters_data,1,passes_workbook_custom_filters_data,1,Demographics_passes_local_filters_data,1,Demographics_Q14_F_passes_per_q_filter_data,1)-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G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I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K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M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O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Q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S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U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W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Y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AA$28)),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AC$28))),0)</f>
        <v>0</v>
      </c>
      <c r="AE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G$28))</f>
        <v>0</v>
      </c>
      <c r="H31" s="7">
        <f>IFERROR(G31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G$28)),0)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I$28))</f>
        <v>0</v>
      </c>
      <c r="J31" s="7">
        <f>IFERROR(I31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I$28)),0)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K$28))</f>
        <v>0</v>
      </c>
      <c r="L31" s="7">
        <f>IFERROR(K31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K$28)),0)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M$28))</f>
        <v>0</v>
      </c>
      <c r="N31" s="7">
        <f>IFERROR(M31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M$28)),0)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O$28))</f>
        <v>0</v>
      </c>
      <c r="P31" s="7">
        <f>IFERROR(O31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O$28)),0)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Q$28))</f>
        <v>0</v>
      </c>
      <c r="R31" s="7">
        <f>IFERROR(Q31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Q$28)),0)</f>
        <v>0</v>
      </c>
      <c r="S31">
        <f>IF(OR(Demographics_Q14_CT="(None)",S$28=""),""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S$28))</f>
        <v>0</v>
      </c>
      <c r="T31" s="7">
        <f>IFERROR(S31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S$28)),0)</f>
        <v>0</v>
      </c>
      <c r="U31">
        <f>IF(OR(Demographics_Q14_CT="(None)",U$28=""),""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U$28))</f>
        <v>0</v>
      </c>
      <c r="V31" s="7">
        <f>IFERROR(U31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U$28)),0)</f>
        <v>0</v>
      </c>
      <c r="W31">
        <f>IF(OR(Demographics_Q14_CT="(None)",W$28=""),""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W$28))</f>
        <v>0</v>
      </c>
      <c r="X31" s="7">
        <f>IFERROR(W31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W$28)),0)</f>
        <v>0</v>
      </c>
      <c r="Y31">
        <f>IF(OR(Demographics_Q14_CT="(None)",Y$28=""),""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Y$28))</f>
        <v>0</v>
      </c>
      <c r="Z31" s="7">
        <f>IFERROR(Y31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Y$28)),0)</f>
        <v>0</v>
      </c>
      <c r="AA31">
        <f>IF(OR(Demographics_Q14_CT="(None)",AA$28=""),""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AA$28))</f>
        <v>0</v>
      </c>
      <c r="AB31" s="7">
        <f>IFERROR(AA31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AA$28)),0)</f>
        <v>0</v>
      </c>
      <c r="AC31">
        <f>IF(OR(Demographics_Q14_CT="(None)",AC$28=""),"",IF(AC$28="Other",COUNTIFS(Q14_data,"Established",passes_workbook_filters_data,1,passes_workbook_custom_filters_data,1,Demographics_passes_local_filters_data,1,Demographics_Q14_F_passes_per_q_filter_data,1)-SUM(G31,I31,K31,M31,O31,Q31,S31,U31,W31,Y31,AA31)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AC$28)))</f>
        <v>0</v>
      </c>
      <c r="AD31" s="7">
        <f>IFERROR(AC31/(IF(AC$28="Other",COUNTIFS(respondent_id_data,"&lt;&gt;",passes_workbook_filters_data,1,passes_workbook_custom_filters_data,1,Demographics_passes_local_filters_data,1,Demographics_Q14_F_passes_per_q_filter_data,1)-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G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I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K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M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O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Q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S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U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W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Y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AA$28)),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AC$28))),0)</f>
        <v>0</v>
      </c>
      <c r="AE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25">
    <mergeCell ref="O28:P28"/>
    <mergeCell ref="AA28:AB28"/>
    <mergeCell ref="Q28:R28"/>
    <mergeCell ref="O18:P18"/>
    <mergeCell ref="AC28:AD28"/>
    <mergeCell ref="Q18:R18"/>
    <mergeCell ref="S18:T18"/>
    <mergeCell ref="AC18:AD18"/>
    <mergeCell ref="G28:H28"/>
    <mergeCell ref="S28:T28"/>
    <mergeCell ref="I28:J28"/>
    <mergeCell ref="G18:H18"/>
    <mergeCell ref="I18:J18"/>
    <mergeCell ref="A1:J1"/>
    <mergeCell ref="M28:N28"/>
    <mergeCell ref="Y28:Z28"/>
    <mergeCell ref="U28:V28"/>
    <mergeCell ref="M18:N18"/>
    <mergeCell ref="U18:V18"/>
    <mergeCell ref="W18:X18"/>
    <mergeCell ref="Y18:Z18"/>
    <mergeCell ref="AA18:AB18"/>
    <mergeCell ref="K28:L28"/>
    <mergeCell ref="W28:X28"/>
    <mergeCell ref="K18:L18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0:T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0:V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0:X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0:Z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0:AB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0:AD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30:T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30:V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30:X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30:Z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30:AB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30:AD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=INDIRECT(XLOOKUP(Demographics_Q4_F_Q,All_Questions,All_Questions_Options_Names,"None_options"))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=INDIRECT(XLOOKUP(Demographics_Q14_F_Q,All_Questions,All_Questions_Options_Names,"None_options"))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2026-05-18T11:02:13Z</dcterms:created>
  <dcterms:modified xmlns:dcterms="http://purl.org/dc/terms/" xmlns:xsi="http://www.w3.org/2001/XMLSchema-instance" xsi:type="dcterms:W3CDTF">2026-05-18T11:02:13Z</dcterms:modified>
</cp:coreProperties>
</file>