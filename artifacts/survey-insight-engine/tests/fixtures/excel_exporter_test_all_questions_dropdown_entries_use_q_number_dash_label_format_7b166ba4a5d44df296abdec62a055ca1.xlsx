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'_RawData'!$A$2:$A$5</definedName>
    <definedName name="Q1_data">'_RawData'!$B$2:$B$5</definedName>
    <definedName name="Q2_data">'_RawData'!$C$2:$C$5</definedName>
    <definedName name="Q3r1_data">'_RawData'!$D$2:$D$5</definedName>
    <definedName name="All_Questions">'_Options'!$A$2:$A$4</definedName>
    <definedName name="All_Questions_Local">'_Options'!$B$2:$B$5</definedName>
    <definedName name="None_options">'_Options'!$E$2:$E$2</definedName>
    <definedName name="Q1_options">'_Options'!$F$2:$F$5</definedName>
    <definedName name="Q1_local_options">'_Options'!$I$2:$I$6</definedName>
    <definedName name="Q2_options">'_Options'!$G$2:$G$4</definedName>
    <definedName name="Q2_local_options">'_Options'!$J$2:$J$5</definedName>
    <definedName name="Q3r1_options">'_Options'!$H$2:$H$3</definedName>
    <definedName name="Q3r1_local_options">'_Options'!$K$2:$K$4</definedName>
    <definedName name="All_Questions_Data_Names">'_Options'!$C$2:$C$4</definedName>
    <definedName name="All_Questions_Options_Names">'_Options'!$D$2:$D$4</definedName>
    <definedName name="F_Q1">'Filters'!$B$4</definedName>
    <definedName name="F_Q1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Q1_match_data">'_RawData'!$E$2:$E$5</definedName>
    <definedName name="passes_workbook_filters_data">'_RawData'!$F$2:$F$5</definedName>
    <definedName name="F_Custom1_match_data">'_RawData'!$G$2:$G$5</definedName>
    <definedName name="F_Custom2_match_data">'_RawData'!$H$2:$H$5</definedName>
    <definedName name="passes_workbook_custom_filters_data">'_RawData'!$I$2:$I$5</definedName>
    <definedName name="Demographics_F_Q1">'Demographics'!$B$5</definedName>
    <definedName name="Demographics_F_Q1_resolved">'Demographics'!$C$5</definedName>
    <definedName name="Demographics_F_Q1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Q1_local_match_data">'_RawData'!$J$2:$J$5</definedName>
    <definedName name="Demographics_passes_local_filters_data">'_RawData'!$K$2:$K$5</definedName>
    <definedName name="Demographics_Q1_F_Q">'Demographics'!$C$14</definedName>
    <definedName name="Demographics_Q1_F_V">'Demographics'!$E$14</definedName>
    <definedName name="Demographics_Q1_F_resolved_column">'Demographics'!$F$14</definedName>
    <definedName name="Demographics_Q1_F_wrapped">'Demographics'!$G$14</definedName>
    <definedName name="Demographics_Q1_F_passes_per_q_filter_data">'_RawData'!$L$2:$L$5</definedName>
    <definedName name="Demographics_Q1_CT">'Demographics'!$C$15</definedName>
    <definedName name="All_Questions_F_Q1">'All Questions'!$B$5</definedName>
    <definedName name="All_Questions_F_Q1_resolved">'All Questions'!$C$5</definedName>
    <definedName name="All_Questions_F_Q1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Q1_local_match_data">'_RawData'!$M$2:$M$5</definedName>
    <definedName name="All_Questions_passes_local_filters_data">'_RawData'!$N$2:$N$5</definedName>
    <definedName name="All_Questions_Q2_F_Q">'All Questions'!$C$14</definedName>
    <definedName name="All_Questions_Q2_F_V">'All Questions'!$E$14</definedName>
    <definedName name="All_Questions_Q2_F_resolved_column">'All Questions'!$F$14</definedName>
    <definedName name="All_Questions_Q2_F_wrapped">'All Questions'!$G$14</definedName>
    <definedName name="All_Questions_Q2_F_passes_per_q_filter_data">'_RawData'!$O$2:$O$5</definedName>
    <definedName name="All_Questions_Q2_CT">'All Questions'!$C$15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K2" i="1"/>
  <c r="L2" i="1"/>
  <c r="M2" i="1"/>
  <c r="N2" i="1"/>
  <c r="O2" i="1"/>
  <c r="E3" i="1"/>
  <c r="F3" i="1"/>
  <c r="G3" i="1"/>
  <c r="H3" i="1"/>
  <c r="I3" i="1"/>
  <c r="J3" i="1"/>
  <c r="K3" i="1"/>
  <c r="L3" i="1"/>
  <c r="M3" i="1"/>
  <c r="N3" i="1"/>
  <c r="O3" i="1"/>
  <c r="E4" i="1"/>
  <c r="F4" i="1"/>
  <c r="G4" i="1"/>
  <c r="H4" i="1"/>
  <c r="I4" i="1"/>
  <c r="J4" i="1"/>
  <c r="K4" i="1"/>
  <c r="L4" i="1"/>
  <c r="M4" i="1"/>
  <c r="N4" i="1"/>
  <c r="O4" i="1"/>
  <c r="E5" i="1"/>
  <c r="F5" i="1"/>
  <c r="G5" i="1"/>
  <c r="H5" i="1"/>
  <c r="I5" i="1"/>
  <c r="J5" i="1"/>
  <c r="K5" i="1"/>
  <c r="L5" i="1"/>
  <c r="M5" i="1"/>
  <c r="N5" i="1"/>
  <c r="O5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In which country do you currently work?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In which country do you currently work?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In which country do you currently work?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</t>
        </is>
      </c>
      <c r="C1" t="inlineStr">
        <is>
          <t>Q2</t>
        </is>
      </c>
      <c r="D1" t="inlineStr">
        <is>
          <t>Q3r1</t>
        </is>
      </c>
      <c r="E1" t="inlineStr">
        <is>
          <t>F_Q1_match</t>
        </is>
      </c>
      <c r="F1" t="inlineStr">
        <is>
          <t>passes_workbook_filters</t>
        </is>
      </c>
      <c r="G1" t="inlineStr">
        <is>
          <t>F_Custom1_match</t>
        </is>
      </c>
      <c r="H1" t="inlineStr">
        <is>
          <t>F_Custom2_match</t>
        </is>
      </c>
      <c r="I1" t="inlineStr">
        <is>
          <t>passes_workbook_custom_filters</t>
        </is>
      </c>
      <c r="J1" t="inlineStr">
        <is>
          <t>Demographics_F_Q1_local_match</t>
        </is>
      </c>
      <c r="K1" t="inlineStr">
        <is>
          <t>Demographics_passes_local_filters</t>
        </is>
      </c>
      <c r="L1" t="inlineStr">
        <is>
          <t>Demographics_Q1_F_passes_per_q_filter</t>
        </is>
      </c>
      <c r="M1" t="inlineStr">
        <is>
          <t>All_Questions_F_Q1_local_match</t>
        </is>
      </c>
      <c r="N1" t="inlineStr">
        <is>
          <t>All_Questions_passes_local_filters</t>
        </is>
      </c>
      <c r="O1" t="inlineStr">
        <is>
          <t>All_Questions_Q2_F_passes_per_q_filter</t>
        </is>
      </c>
    </row>
    <row r="2">
      <c r="A2" t="n">
        <v>1</v>
      </c>
      <c r="B2" t="inlineStr">
        <is>
          <t>United States</t>
        </is>
      </c>
      <c r="C2" t="inlineStr">
        <is>
          <t>Version 2</t>
        </is>
      </c>
      <c r="E2">
        <f>(((F_Q1="(All)")+(F_Q1="")+ISBLANK(F_Q1)+ISNUMBER(SEARCH("|"&amp;B2&amp;"|",F_Q1_wrapped)))&gt;0)*1</f>
        <v>1</v>
      </c>
      <c r="F2">
        <f>E2*1</f>
        <v>1</v>
      </c>
      <c r="G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H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I2">
        <f>G2*H2*1</f>
        <v>1</v>
      </c>
      <c r="J2">
        <f>(((Demographics_F_Q1_resolved="(All)")+(Demographics_F_Q1_resolved="")+ISBLANK(Demographics_F_Q1_resolved)+ISNUMBER(SEARCH("|"&amp;B2&amp;"|",Demographics_F_Q1_wrapped)))&gt;0)*1</f>
        <v>1</v>
      </c>
      <c r="K2">
        <f>J2*1</f>
        <v>1</v>
      </c>
      <c r="L2">
        <f>IF(OR(Demographics_Q1_F_Q="(None)",Demographics_Q1_F_Q="",ISBLANK(Demographics_Q1_F_Q),Demographics_Q1_F_V="(All)",Demographics_Q1_F_V="",ISBLANK(Demographics_Q1_F_V)),1,IFERROR(IF(ISNUMBER(SEARCH("|"&amp;INDEX(INDIRECT(Demographics_Q1_F_resolved_column),1)&amp;"|",Demographics_Q1_F_wrapped)),1,0),0))*1</f>
        <v>1</v>
      </c>
      <c r="M2">
        <f>(((All_Questions_F_Q1_resolved="(All)")+(All_Questions_F_Q1_resolved="")+ISBLANK(All_Questions_F_Q1_resolved)+ISNUMBER(SEARCH("|"&amp;B2&amp;"|",All_Questions_F_Q1_wrapped)))&gt;0)*1</f>
        <v>1</v>
      </c>
      <c r="N2">
        <f>M2*1</f>
        <v>1</v>
      </c>
      <c r="O2">
        <f>IF(OR(All_Questions_Q2_F_Q="(None)",All_Questions_Q2_F_Q="",ISBLANK(All_Questions_Q2_F_Q),All_Questions_Q2_F_V="(All)",All_Questions_Q2_F_V="",ISBLANK(All_Questions_Q2_F_V)),1,IFERROR(IF(ISNUMBER(SEARCH("|"&amp;INDEX(INDIRECT(All_Questions_Q2_F_resolved_column),1)&amp;"|",All_Questions_Q2_F_wrapped)),1,0),0))*1</f>
        <v>1</v>
      </c>
    </row>
    <row r="3">
      <c r="A3" t="n">
        <v>2</v>
      </c>
      <c r="B3" t="inlineStr">
        <is>
          <t>United States</t>
        </is>
      </c>
      <c r="C3" t="inlineStr">
        <is>
          <t>Version 2</t>
        </is>
      </c>
      <c r="E3">
        <f>(((F_Q1="(All)")+(F_Q1="")+ISBLANK(F_Q1)+ISNUMBER(SEARCH("|"&amp;B3&amp;"|",F_Q1_wrapped)))&gt;0)*1</f>
        <v>1</v>
      </c>
      <c r="F3">
        <f>E3*1</f>
        <v>1</v>
      </c>
      <c r="G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H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I3">
        <f>G3*H3*1</f>
        <v>1</v>
      </c>
      <c r="J3">
        <f>(((Demographics_F_Q1_resolved="(All)")+(Demographics_F_Q1_resolved="")+ISBLANK(Demographics_F_Q1_resolved)+ISNUMBER(SEARCH("|"&amp;B3&amp;"|",Demographics_F_Q1_wrapped)))&gt;0)*1</f>
        <v>1</v>
      </c>
      <c r="K3">
        <f>J3*1</f>
        <v>1</v>
      </c>
      <c r="L3">
        <f>IF(OR(Demographics_Q1_F_Q="(None)",Demographics_Q1_F_Q="",ISBLANK(Demographics_Q1_F_Q),Demographics_Q1_F_V="(All)",Demographics_Q1_F_V="",ISBLANK(Demographics_Q1_F_V)),1,IFERROR(IF(ISNUMBER(SEARCH("|"&amp;INDEX(INDIRECT(Demographics_Q1_F_resolved_column),2)&amp;"|",Demographics_Q1_F_wrapped)),1,0),0))*1</f>
        <v>1</v>
      </c>
      <c r="M3">
        <f>(((All_Questions_F_Q1_resolved="(All)")+(All_Questions_F_Q1_resolved="")+ISBLANK(All_Questions_F_Q1_resolved)+ISNUMBER(SEARCH("|"&amp;B3&amp;"|",All_Questions_F_Q1_wrapped)))&gt;0)*1</f>
        <v>1</v>
      </c>
      <c r="N3">
        <f>M3*1</f>
        <v>1</v>
      </c>
      <c r="O3">
        <f>IF(OR(All_Questions_Q2_F_Q="(None)",All_Questions_Q2_F_Q="",ISBLANK(All_Questions_Q2_F_Q),All_Questions_Q2_F_V="(All)",All_Questions_Q2_F_V="",ISBLANK(All_Questions_Q2_F_V)),1,IFERROR(IF(ISNUMBER(SEARCH("|"&amp;INDEX(INDIRECT(All_Questions_Q2_F_resolved_column),2)&amp;"|",All_Questions_Q2_F_wrapped)),1,0),0))*1</f>
        <v>1</v>
      </c>
    </row>
    <row r="4">
      <c r="A4" t="n">
        <v>3</v>
      </c>
      <c r="B4" t="inlineStr">
        <is>
          <t>Canada</t>
        </is>
      </c>
      <c r="C4" t="inlineStr">
        <is>
          <t>Version 3</t>
        </is>
      </c>
      <c r="E4">
        <f>(((F_Q1="(All)")+(F_Q1="")+ISBLANK(F_Q1)+ISNUMBER(SEARCH("|"&amp;B4&amp;"|",F_Q1_wrapped)))&gt;0)*1</f>
        <v>1</v>
      </c>
      <c r="F4">
        <f>E4*1</f>
        <v>1</v>
      </c>
      <c r="G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H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I4">
        <f>G4*H4*1</f>
        <v>1</v>
      </c>
      <c r="J4">
        <f>(((Demographics_F_Q1_resolved="(All)")+(Demographics_F_Q1_resolved="")+ISBLANK(Demographics_F_Q1_resolved)+ISNUMBER(SEARCH("|"&amp;B4&amp;"|",Demographics_F_Q1_wrapped)))&gt;0)*1</f>
        <v>1</v>
      </c>
      <c r="K4">
        <f>J4*1</f>
        <v>1</v>
      </c>
      <c r="L4">
        <f>IF(OR(Demographics_Q1_F_Q="(None)",Demographics_Q1_F_Q="",ISBLANK(Demographics_Q1_F_Q),Demographics_Q1_F_V="(All)",Demographics_Q1_F_V="",ISBLANK(Demographics_Q1_F_V)),1,IFERROR(IF(ISNUMBER(SEARCH("|"&amp;INDEX(INDIRECT(Demographics_Q1_F_resolved_column),3)&amp;"|",Demographics_Q1_F_wrapped)),1,0),0))*1</f>
        <v>1</v>
      </c>
      <c r="M4">
        <f>(((All_Questions_F_Q1_resolved="(All)")+(All_Questions_F_Q1_resolved="")+ISBLANK(All_Questions_F_Q1_resolved)+ISNUMBER(SEARCH("|"&amp;B4&amp;"|",All_Questions_F_Q1_wrapped)))&gt;0)*1</f>
        <v>1</v>
      </c>
      <c r="N4">
        <f>M4*1</f>
        <v>1</v>
      </c>
      <c r="O4">
        <f>IF(OR(All_Questions_Q2_F_Q="(None)",All_Questions_Q2_F_Q="",ISBLANK(All_Questions_Q2_F_Q),All_Questions_Q2_F_V="(All)",All_Questions_Q2_F_V="",ISBLANK(All_Questions_Q2_F_V)),1,IFERROR(IF(ISNUMBER(SEARCH("|"&amp;INDEX(INDIRECT(All_Questions_Q2_F_resolved_column),3)&amp;"|",All_Questions_Q2_F_wrapped)),1,0),0))*1</f>
        <v>1</v>
      </c>
    </row>
    <row r="5">
      <c r="A5" t="n">
        <v>4</v>
      </c>
      <c r="B5" t="inlineStr">
        <is>
          <t>India</t>
        </is>
      </c>
      <c r="C5" t="inlineStr">
        <is>
          <t>Version 3</t>
        </is>
      </c>
      <c r="E5">
        <f>(((F_Q1="(All)")+(F_Q1="")+ISBLANK(F_Q1)+ISNUMBER(SEARCH("|"&amp;B5&amp;"|",F_Q1_wrapped)))&gt;0)*1</f>
        <v>1</v>
      </c>
      <c r="F5">
        <f>E5*1</f>
        <v>1</v>
      </c>
      <c r="G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H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I5">
        <f>G5*H5*1</f>
        <v>1</v>
      </c>
      <c r="J5">
        <f>(((Demographics_F_Q1_resolved="(All)")+(Demographics_F_Q1_resolved="")+ISBLANK(Demographics_F_Q1_resolved)+ISNUMBER(SEARCH("|"&amp;B5&amp;"|",Demographics_F_Q1_wrapped)))&gt;0)*1</f>
        <v>1</v>
      </c>
      <c r="K5">
        <f>J5*1</f>
        <v>1</v>
      </c>
      <c r="L5">
        <f>IF(OR(Demographics_Q1_F_Q="(None)",Demographics_Q1_F_Q="",ISBLANK(Demographics_Q1_F_Q),Demographics_Q1_F_V="(All)",Demographics_Q1_F_V="",ISBLANK(Demographics_Q1_F_V)),1,IFERROR(IF(ISNUMBER(SEARCH("|"&amp;INDEX(INDIRECT(Demographics_Q1_F_resolved_column),4)&amp;"|",Demographics_Q1_F_wrapped)),1,0),0))*1</f>
        <v>1</v>
      </c>
      <c r="M5">
        <f>(((All_Questions_F_Q1_resolved="(All)")+(All_Questions_F_Q1_resolved="")+ISBLANK(All_Questions_F_Q1_resolved)+ISNUMBER(SEARCH("|"&amp;B5&amp;"|",All_Questions_F_Q1_wrapped)))&gt;0)*1</f>
        <v>1</v>
      </c>
      <c r="N5">
        <f>M5*1</f>
        <v>1</v>
      </c>
      <c r="O5">
        <f>IF(OR(All_Questions_Q2_F_Q="(None)",All_Questions_Q2_F_Q="",ISBLANK(All_Questions_Q2_F_Q),All_Questions_Q2_F_V="(All)",All_Questions_Q2_F_V="",ISBLANK(All_Questions_Q2_F_V)),1,IFERROR(IF(ISNUMBER(SEARCH("|"&amp;INDEX(INDIRECT(All_Questions_Q2_F_resolved_column),4)&amp;"|",All_Questions_Q2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Q1_options</t>
        </is>
      </c>
      <c r="G1" t="inlineStr">
        <is>
          <t>Q2_options</t>
        </is>
      </c>
      <c r="H1" t="inlineStr">
        <is>
          <t>Q3r1_options</t>
        </is>
      </c>
      <c r="I1" t="inlineStr">
        <is>
          <t>Q1_local_options</t>
        </is>
      </c>
      <c r="J1" t="inlineStr">
        <is>
          <t>Q2_local_options</t>
        </is>
      </c>
      <c r="K1" t="inlineStr">
        <is>
          <t>Q3r1_local_options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A3" t="inlineStr">
        <is>
          <t>Q1 - Country</t>
        </is>
      </c>
      <c r="B3" t="inlineStr">
        <is>
          <t>(None)</t>
        </is>
      </c>
      <c r="C3" t="inlineStr">
        <is>
          <t>'_RawData'!$B$2:$B$5</t>
        </is>
      </c>
      <c r="D3" t="inlineStr">
        <is>
          <t>'_Options'!$F$2:$F$5</t>
        </is>
      </c>
      <c r="F3" t="inlineStr">
        <is>
          <t>United States</t>
        </is>
      </c>
      <c r="G3" t="inlineStr">
        <is>
          <t>Version 2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A4" t="inlineStr">
        <is>
          <t>Q2 - Survey Version</t>
        </is>
      </c>
      <c r="B4" t="inlineStr">
        <is>
          <t>Q1 - Country</t>
        </is>
      </c>
      <c r="C4" t="inlineStr">
        <is>
          <t>'_RawData'!$C$2:$C$5</t>
        </is>
      </c>
      <c r="D4" t="inlineStr">
        <is>
          <t>'_Options'!$G$2:$G$4</t>
        </is>
      </c>
      <c r="F4" t="inlineStr">
        <is>
          <t>Canada</t>
        </is>
      </c>
      <c r="G4" t="inlineStr">
        <is>
          <t>Version 3</t>
        </is>
      </c>
      <c r="I4" t="inlineStr">
        <is>
          <t>United States</t>
        </is>
      </c>
      <c r="J4" t="inlineStr">
        <is>
          <t>Version 2</t>
        </is>
      </c>
      <c r="K4" t="inlineStr">
        <is>
          <t>Selected</t>
        </is>
      </c>
    </row>
    <row r="5">
      <c r="B5" t="inlineStr">
        <is>
          <t>Q2 - Survey Version</t>
        </is>
      </c>
      <c r="F5" t="inlineStr">
        <is>
          <t>India</t>
        </is>
      </c>
      <c r="I5" t="inlineStr">
        <is>
          <t>Canada</t>
        </is>
      </c>
      <c r="J5" t="inlineStr">
        <is>
          <t>Version 3</t>
        </is>
      </c>
    </row>
    <row r="6">
      <c r="I6" t="inlineStr">
        <is>
          <t>India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Country</t>
        </is>
      </c>
      <c r="B4" t="inlineStr">
        <is>
          <t>(All)</t>
        </is>
      </c>
      <c r="C4" t="str">
        <f>"|" &amp; SUBSTITUTE(F_Q1, ", ", "|") &amp; "|"</f>
        <v>|(All)|</v>
      </c>
      <c r="D4" t="inlineStr">
        <is>
          <t>United States, Canada, India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=Q1_options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3</v>
      </c>
    </row>
    <row r="6">
      <c r="A6" s="5" t="inlineStr">
        <is>
          <t>Results produced:</t>
        </is>
      </c>
      <c r="B6" t="n">
        <v>2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6" customWidth="1" min="3" max="3"/>
    <col width="21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[Q1]</t>
        </is>
      </c>
      <c r="B2" t="inlineStr">
        <is>
          <t>Q1</t>
        </is>
      </c>
      <c r="C2" t="inlineStr">
        <is>
          <t>In which country do you currently work?</t>
        </is>
      </c>
      <c r="D2" t="inlineStr">
        <is>
          <t>SINGLE_SELECT</t>
        </is>
      </c>
      <c r="E2" t="inlineStr">
        <is>
          <t>Q1</t>
        </is>
      </c>
      <c r="F2" t="n">
        <v>3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[Q2]</t>
        </is>
      </c>
      <c r="B3" t="inlineStr">
        <is>
          <t>Q2</t>
        </is>
      </c>
      <c r="C3" t="inlineStr">
        <is>
          <t>Which survey version did the respondent see?</t>
        </is>
      </c>
      <c r="D3" t="inlineStr">
        <is>
          <t>SINGLE_SELECT</t>
        </is>
      </c>
      <c r="E3" t="inlineStr">
        <is>
          <t>Q2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[Q3]</t>
        </is>
      </c>
      <c r="B4" t="inlineStr">
        <is>
          <t>Q3</t>
        </is>
      </c>
      <c r="C4" t="inlineStr">
        <is>
          <t>Which terms apply?</t>
        </is>
      </c>
      <c r="D4" t="inlineStr">
        <is>
          <t>MULTI_SELECT_BINARY</t>
        </is>
      </c>
      <c r="E4" t="inlineStr">
        <is>
          <t>Q3r1</t>
        </is>
      </c>
      <c r="F4" t="n">
        <v>1</v>
      </c>
      <c r="G4" t="inlineStr">
        <is>
          <t>Yes</t>
        </is>
      </c>
      <c r="H4" t="inlineStr">
        <is>
          <t>No</t>
        </is>
      </c>
      <c r="I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4</v>
      </c>
      <c r="G2" t="n">
        <v>0</v>
      </c>
      <c r="H2" s="7" t="n">
        <v>0</v>
      </c>
      <c r="I2" t="inlineStr"/>
    </row>
    <row r="3">
      <c r="A3" t="inlineStr">
        <is>
          <t>Q2</t>
        </is>
      </c>
      <c r="B3" t="inlineStr">
        <is>
          <t>Q2</t>
        </is>
      </c>
      <c r="C3" t="inlineStr">
        <is>
          <t>SINGLE_SELECT</t>
        </is>
      </c>
      <c r="D3" t="inlineStr">
        <is>
          <t>All Questions</t>
        </is>
      </c>
      <c r="E3" s="6" t="inlineStr">
        <is>
          <t>All Questions</t>
        </is>
      </c>
      <c r="F3" t="n">
        <v>4</v>
      </c>
      <c r="G3" t="n">
        <v>0</v>
      </c>
      <c r="H3" s="7" t="n">
        <v>0</v>
      </c>
      <c r="I3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IF(Demographics_F_Q1="(Inherit)",F_Q1,Demographics_F_Q1)</f>
        <v>(All)</v>
      </c>
      <c r="D5" t="str">
        <f>"|" &amp; SUBSTITUTE(Demographics_F_Q1_resolved, ", ", "|") &amp; "|"</f>
        <v>|(All)|</v>
      </c>
      <c r="E5" t="inlineStr">
        <is>
          <t>United States, Canada, India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Q1 - In which country do you currently work?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IFERROR(INDEX(All_Questions_Data_Names,MATCH(Demographics_Q1_F_Q,All_Questions,0)),"'_RawData'!$A:$A")</f>
        <v>respondent_id_data</v>
      </c>
      <c r="G14" t="str">
        <f>"|" &amp; SUBSTITUTE(Demographics_Q1_F_V,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IF(Demographics_Q1_CT="(None)","",IFERROR(INDEX(INDIRECT(IFERROR(INDEX(All_Questions_Options_Names,MATCH(Demographics_Q1_CT,All_Questions,0)),"'_Options'!$E$2:$E$2")),2),""))</f>
        <v/>
      </c>
      <c r="H17" s="2" t="str">
        <f>IF(Demographics_Q1_CT="(None)","",IFERROR(INDEX(INDIRECT(IFERROR(INDEX(All_Questions_Options_Names,MATCH(Demographics_Q1_CT,All_Questions,0)),"'_Options'!$E$2:$E$2")),3),""))</f>
        <v/>
      </c>
      <c r="I17" s="2" t="str">
        <f>IF(Demographics_Q1_CT="(None)","",IFERROR(INDEX(INDIRECT(IFERROR(INDEX(All_Questions_Options_Names,MATCH(Demographics_Q1_CT,All_Questions,0)),"'_Options'!$E$2:$E$2")),4),""))</f>
        <v/>
      </c>
      <c r="J17" s="2" t="str">
        <f>IF(Demographics_Q1_CT="(None)","",IFERROR(INDEX(INDIRECT(IFERROR(INDEX(All_Questions_Options_Names,MATCH(Demographics_Q1_CT,All_Questions,0)),"'_Options'!$E$2:$E$2")),5),""))</f>
        <v/>
      </c>
      <c r="K17" s="2" t="str">
        <f>IF(Demographics_Q1_CT="(None)","",IFERROR(INDEX(INDIRECT(IFERROR(INDEX(All_Questions_Options_Names,MATCH(Demographics_Q1_CT,All_Questions,0)),"'_Options'!$E$2:$E$2")),6),""))</f>
        <v/>
      </c>
      <c r="L17" s="2" t="str">
        <f>IF(Demographics_Q1_CT="(None)","",IFERROR(INDEX(INDIRECT(IFERROR(INDEX(All_Questions_Options_Names,MATCH(Demographics_Q1_CT,All_Questions,0)),"'_Options'!$E$2:$E$2")),7),""))</f>
        <v/>
      </c>
      <c r="M17" s="2" t="str">
        <f>IF(Demographics_Q1_CT="(None)","",IFERROR(INDEX(INDIRECT(IFERROR(INDEX(All_Questions_Options_Names,MATCH(Demographics_Q1_CT,All_Questions,0)),"'_Options'!$E$2:$E$2")),8),""))</f>
        <v/>
      </c>
      <c r="N17" s="2" t="str">
        <f>IF(Demographics_Q1_CT="(None)","",IFERROR(INDEX(INDIRECT(IFERROR(INDEX(All_Questions_Options_Names,MATCH(Demographics_Q1_CT,All_Questions,0)),"'_Options'!$E$2:$E$2")),9),""))</f>
        <v/>
      </c>
      <c r="O17" s="2" t="str">
        <f>IF(Demographics_Q1_CT="(None)","",IFERROR(INDEX(INDIRECT(IFERROR(INDEX(All_Questions_Options_Names,MATCH(Demographics_Q1_CT,All_Questions,0)),"'_Options'!$E$2:$E$2")),10),""))</f>
        <v/>
      </c>
      <c r="P17" s="2" t="str">
        <f>IF(Demographics_Q1_CT="(None)","",IFERROR(INDEX(INDIRECT(IFERROR(INDEX(All_Questions_Options_Names,MATCH(Demographics_Q1_CT,All_Questions,0)),"'_Options'!$E$2:$E$2")),11),""))</f>
        <v/>
      </c>
      <c r="Q17" s="2" t="str">
        <f>IF(Demographics_Q1_CT="(None)","",IFERROR(INDEX(INDIRECT(IFERROR(INDEX(All_Questions_Options_Names,MATCH(Demographics_Q1_CT,All_Questions,0)),"'_Options'!$E$2:$E$2")),12),""))</f>
        <v/>
      </c>
      <c r="R17" s="2" t="str">
        <f>IF(Demographics_Q1_CT="(None)","",IF(COUNTA(INDIRECT(IFERROR(INDEX(All_Questions_Options_Names,MATCH(Demographics_Q1_CT,All_Questions,0)),"'_Options'!$E$2:$E$2")))-1&gt;11,"Other",IFERROR(INDEX(INDIRECT(IFERROR(INDEX(All_Questions_Options_Names,MATCH(Demographics_Q1_CT,All_Questions,0)),"'_Options'!$E$2:$E$2")),13),"")))</f>
        <v/>
      </c>
      <c r="S17" s="4" t="inlineStr">
        <is>
          <t>Total</t>
        </is>
      </c>
    </row>
    <row r="18">
      <c r="A18" t="inlineStr">
        <is>
          <t>United States</t>
        </is>
      </c>
      <c r="B18">
        <f>COUNTIFS(Q1_data,"United States",passes_workbook_filters_data,1,passes_workbook_custom_filters_data,1,Demographics_passes_local_filters_data,1,Demographics_Q1_F_passes_per_q_filter_data,1)</f>
        <v>2</v>
      </c>
      <c r="C18" s="7">
        <f>IFERROR(B18/SUBTOTAL(9,B18:B20),0)</f>
        <v>0.5</v>
      </c>
      <c r="D18" s="14">
        <f>SUBTOTAL(9,B18:B20)</f>
        <v>4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Canada</t>
        </is>
      </c>
      <c r="B19">
        <f>COUNTIFS(Q1_data,"Canada",passes_workbook_filters_data,1,passes_workbook_custom_filters_data,1,Demographics_passes_local_filters_data,1,Demographics_Q1_F_passes_per_q_filter_data,1)</f>
        <v>1</v>
      </c>
      <c r="C19" s="7">
        <f>IFERROR(B19/SUBTOTAL(9,B18:B20),0)</f>
        <v>0.25</v>
      </c>
      <c r="D19" s="14">
        <f>SUBTOTAL(9,B18:B20)</f>
        <v>4</v>
      </c>
      <c r="F19" t="inlineStr">
        <is>
          <t>United States</t>
        </is>
      </c>
      <c r="G19">
        <f>IF(OR(Demographics_Q1_CT="(None)",G$17=""),"",COUNTIFS(Q1_data,"United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G$17))</f>
        <v>0</v>
      </c>
      <c r="H19">
        <f>IF(OR(Demographics_Q1_CT="(None)",H$17=""),"",COUNTIFS(Q1_data,"United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H$17))</f>
        <v>0</v>
      </c>
      <c r="I19">
        <f>IF(OR(Demographics_Q1_CT="(None)",I$17=""),"",COUNTIFS(Q1_data,"United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I$17))</f>
        <v>0</v>
      </c>
      <c r="J19">
        <f>IF(OR(Demographics_Q1_CT="(None)",J$17=""),"",COUNTIFS(Q1_data,"United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J$17))</f>
        <v>0</v>
      </c>
      <c r="K19">
        <f>IF(OR(Demographics_Q1_CT="(None)",K$17=""),"",COUNTIFS(Q1_data,"United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K$17))</f>
        <v>0</v>
      </c>
      <c r="L19">
        <f>IF(OR(Demographics_Q1_CT="(None)",L$17=""),"",COUNTIFS(Q1_data,"United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L$17))</f>
        <v>0</v>
      </c>
      <c r="M19">
        <f>IF(OR(Demographics_Q1_CT="(None)",M$17=""),"",COUNTIFS(Q1_data,"United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M$17))</f>
        <v>0</v>
      </c>
      <c r="N19">
        <f>IF(OR(Demographics_Q1_CT="(None)",N$17=""),"",COUNTIFS(Q1_data,"United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N$17))</f>
        <v>0</v>
      </c>
      <c r="O19">
        <f>IF(OR(Demographics_Q1_CT="(None)",O$17=""),"",COUNTIFS(Q1_data,"United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O$17))</f>
        <v>0</v>
      </c>
      <c r="P19">
        <f>IF(OR(Demographics_Q1_CT="(None)",P$17=""),"",COUNTIFS(Q1_data,"United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P$17))</f>
        <v>0</v>
      </c>
      <c r="Q19">
        <f>IF(OR(Demographics_Q1_CT="(None)",Q$17=""),"",COUNTIFS(Q1_data,"United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Q$17))</f>
        <v>0</v>
      </c>
      <c r="R19">
        <f>IF(OR(Demographics_Q1_CT="(None)",R$17=""),"",IF(R$17="Other",COUNTIFS(Q1_data,"United States",passes_workbook_filters_data,1,passes_workbook_custom_filters_data,1,Demographics_passes_local_filters_data,1,Demographics_Q1_F_passes_per_q_filter_data,1)-SUM(G19,H19,I19,J19,K19,L19,M19,N19,O19,P19,Q19),COUNTIFS(Q1_data,"United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R$17)))</f>
        <v>0</v>
      </c>
      <c r="S19">
        <f>IF(Demographics_Q1_CT="(None)","",COUNTIFS(Q1_data,"United States",passes_workbook_filters_data,1,passes_workbook_custom_filters_data,1,Demographics_passes_local_filters_data,1,Demographics_Q1_F_passes_per_q_filter_data,1))</f>
        <v>0</v>
      </c>
    </row>
    <row r="20">
      <c r="A20" t="inlineStr">
        <is>
          <t>India</t>
        </is>
      </c>
      <c r="B20">
        <f>COUNTIFS(Q1_data,"India",passes_workbook_filters_data,1,passes_workbook_custom_filters_data,1,Demographics_passes_local_filters_data,1,Demographics_Q1_F_passes_per_q_filter_data,1)</f>
        <v>1</v>
      </c>
      <c r="C20" s="7">
        <f>IFERROR(B20/SUBTOTAL(9,B18:B20),0)</f>
        <v>0.25</v>
      </c>
      <c r="D20" s="14">
        <f>SUBTOTAL(9,B18:B20)</f>
        <v>4</v>
      </c>
      <c r="F20" t="inlineStr">
        <is>
          <t>Canada</t>
        </is>
      </c>
      <c r="G20">
        <f>IF(OR(Demographics_Q1_CT="(None)",G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G$17))</f>
        <v>0</v>
      </c>
      <c r="H20">
        <f>IF(OR(Demographics_Q1_CT="(None)",H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H$17))</f>
        <v>0</v>
      </c>
      <c r="I20">
        <f>IF(OR(Demographics_Q1_CT="(None)",I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I$17))</f>
        <v>0</v>
      </c>
      <c r="J20">
        <f>IF(OR(Demographics_Q1_CT="(None)",J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J$17))</f>
        <v>0</v>
      </c>
      <c r="K20">
        <f>IF(OR(Demographics_Q1_CT="(None)",K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K$17))</f>
        <v>0</v>
      </c>
      <c r="L20">
        <f>IF(OR(Demographics_Q1_CT="(None)",L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L$17))</f>
        <v>0</v>
      </c>
      <c r="M20">
        <f>IF(OR(Demographics_Q1_CT="(None)",M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M$17))</f>
        <v>0</v>
      </c>
      <c r="N20">
        <f>IF(OR(Demographics_Q1_CT="(None)",N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N$17))</f>
        <v>0</v>
      </c>
      <c r="O20">
        <f>IF(OR(Demographics_Q1_CT="(None)",O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O$17))</f>
        <v>0</v>
      </c>
      <c r="P20">
        <f>IF(OR(Demographics_Q1_CT="(None)",P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P$17))</f>
        <v>0</v>
      </c>
      <c r="Q20">
        <f>IF(OR(Demographics_Q1_CT="(None)",Q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Q$17))</f>
        <v>0</v>
      </c>
      <c r="R20">
        <f>IF(OR(Demographics_Q1_CT="(None)",R$17=""),"",IF(R$17="Other",COUNTIFS(Q1_data,"Canada",passes_workbook_filters_data,1,passes_workbook_custom_filters_data,1,Demographics_passes_local_filters_data,1,Demographics_Q1_F_passes_per_q_filter_data,1)-SUM(G20,H20,I20,J20,K20,L20,M20,N20,O20,P20,Q20)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R$17)))</f>
        <v>0</v>
      </c>
      <c r="S20">
        <f>IF(Demographics_Q1_CT="(None)","",COUNTIFS(Q1_data,"Canada",passes_workbook_filters_data,1,passes_workbook_custom_filters_data,1,Demographics_passes_local_filters_data,1,Demographics_Q1_F_passes_per_q_filter_data,1))</f>
        <v>0</v>
      </c>
    </row>
    <row r="21">
      <c r="A21" s="15" t="inlineStr">
        <is>
          <t>Total respondents</t>
        </is>
      </c>
      <c r="B21" s="15" t="n">
        <v>4</v>
      </c>
      <c r="C21" s="15" t="n"/>
      <c r="D21" s="15" t="n"/>
      <c r="F21" t="inlineStr">
        <is>
          <t>India</t>
        </is>
      </c>
      <c r="G21">
        <f>IF(OR(Demographics_Q1_CT="(None)",G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G$17))</f>
        <v>0</v>
      </c>
      <c r="H21">
        <f>IF(OR(Demographics_Q1_CT="(None)",H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H$17))</f>
        <v>0</v>
      </c>
      <c r="I21">
        <f>IF(OR(Demographics_Q1_CT="(None)",I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I$17))</f>
        <v>0</v>
      </c>
      <c r="J21">
        <f>IF(OR(Demographics_Q1_CT="(None)",J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J$17))</f>
        <v>0</v>
      </c>
      <c r="K21">
        <f>IF(OR(Demographics_Q1_CT="(None)",K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K$17))</f>
        <v>0</v>
      </c>
      <c r="L21">
        <f>IF(OR(Demographics_Q1_CT="(None)",L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L$17))</f>
        <v>0</v>
      </c>
      <c r="M21">
        <f>IF(OR(Demographics_Q1_CT="(None)",M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M$17))</f>
        <v>0</v>
      </c>
      <c r="N21">
        <f>IF(OR(Demographics_Q1_CT="(None)",N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N$17))</f>
        <v>0</v>
      </c>
      <c r="O21">
        <f>IF(OR(Demographics_Q1_CT="(None)",O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O$17))</f>
        <v>0</v>
      </c>
      <c r="P21">
        <f>IF(OR(Demographics_Q1_CT="(None)",P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P$17))</f>
        <v>0</v>
      </c>
      <c r="Q21">
        <f>IF(OR(Demographics_Q1_CT="(None)",Q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Q$17))</f>
        <v>0</v>
      </c>
      <c r="R21">
        <f>IF(OR(Demographics_Q1_CT="(None)",R$17=""),"",IF(R$17="Other",COUNTIFS(Q1_data,"India",passes_workbook_filters_data,1,passes_workbook_custom_filters_data,1,Demographics_passes_local_filters_data,1,Demographics_Q1_F_passes_per_q_filter_data,1)-SUM(G21,H21,I21,J21,K21,L21,M21,N21,O21,P21,Q21)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R$17)))</f>
        <v>0</v>
      </c>
      <c r="S21">
        <f>IF(Demographics_Q1_CT="(None)","",COUNTIFS(Q1_data,"India",passes_workbook_filters_data,1,passes_workbook_custom_filters_data,1,Demographics_passes_local_filters_data,1,Demographics_Q1_F_passes_per_q_filter_data,1))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IF(Demographics_Q1_CT="(None)","",COUNTIFS(respondent_id_data,"&lt;&gt;",passes_workbook_filters_data,1,passes_workbook_custom_filters_data,1,Demographics_passes_local_filters_data,1,Demographics_Q1_F_passes_per_q_filter_data,1))</f>
        <v>0</v>
      </c>
    </row>
  </sheetData>
  <mergeCells count="1">
    <mergeCell ref="A1:J1"/>
  </mergeCells>
  <conditionalFormatting sqref="B18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=Q1_local_options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=INDIRECT(IFERROR(INDEX(All_Questions_Options_Names,MATCH(Demographics_Q1_F_Q,All_Questions,0)),"'_Options'!$E$2:$E$2"))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IF(All_Questions_F_Q1="(Inherit)",F_Q1,All_Questions_F_Q1)</f>
        <v>(All)</v>
      </c>
      <c r="D5" t="str">
        <f>"|" &amp; SUBSTITUTE(All_Questions_F_Q1_resolved, ", ", "|") &amp; "|"</f>
        <v>|(All)|</v>
      </c>
      <c r="E5" t="inlineStr">
        <is>
          <t>United States, Canada, India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Q2 - Which survey version did the respondent see?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IFERROR(INDEX(All_Questions_Data_Names,MATCH(All_Questions_Q2_F_Q,All_Questions,0)),"'_RawData'!$A:$A")</f>
        <v>respondent_id_data</v>
      </c>
      <c r="G14" t="str">
        <f>"|" &amp; SUBSTITUTE(All_Questions_Q2_F_V,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IF(All_Questions_Q2_CT="(None)","",IFERROR(INDEX(INDIRECT(IFERROR(INDEX(All_Questions_Options_Names,MATCH(All_Questions_Q2_CT,All_Questions,0)),"'_Options'!$E$2:$E$2")),2),""))</f>
        <v/>
      </c>
      <c r="H17" s="2" t="str">
        <f>IF(All_Questions_Q2_CT="(None)","",IFERROR(INDEX(INDIRECT(IFERROR(INDEX(All_Questions_Options_Names,MATCH(All_Questions_Q2_CT,All_Questions,0)),"'_Options'!$E$2:$E$2")),3),""))</f>
        <v/>
      </c>
      <c r="I17" s="2" t="str">
        <f>IF(All_Questions_Q2_CT="(None)","",IFERROR(INDEX(INDIRECT(IFERROR(INDEX(All_Questions_Options_Names,MATCH(All_Questions_Q2_CT,All_Questions,0)),"'_Options'!$E$2:$E$2")),4),""))</f>
        <v/>
      </c>
      <c r="J17" s="2" t="str">
        <f>IF(All_Questions_Q2_CT="(None)","",IFERROR(INDEX(INDIRECT(IFERROR(INDEX(All_Questions_Options_Names,MATCH(All_Questions_Q2_CT,All_Questions,0)),"'_Options'!$E$2:$E$2")),5),""))</f>
        <v/>
      </c>
      <c r="K17" s="2" t="str">
        <f>IF(All_Questions_Q2_CT="(None)","",IFERROR(INDEX(INDIRECT(IFERROR(INDEX(All_Questions_Options_Names,MATCH(All_Questions_Q2_CT,All_Questions,0)),"'_Options'!$E$2:$E$2")),6),""))</f>
        <v/>
      </c>
      <c r="L17" s="2" t="str">
        <f>IF(All_Questions_Q2_CT="(None)","",IFERROR(INDEX(INDIRECT(IFERROR(INDEX(All_Questions_Options_Names,MATCH(All_Questions_Q2_CT,All_Questions,0)),"'_Options'!$E$2:$E$2")),7),""))</f>
        <v/>
      </c>
      <c r="M17" s="2" t="str">
        <f>IF(All_Questions_Q2_CT="(None)","",IFERROR(INDEX(INDIRECT(IFERROR(INDEX(All_Questions_Options_Names,MATCH(All_Questions_Q2_CT,All_Questions,0)),"'_Options'!$E$2:$E$2")),8),""))</f>
        <v/>
      </c>
      <c r="N17" s="2" t="str">
        <f>IF(All_Questions_Q2_CT="(None)","",IFERROR(INDEX(INDIRECT(IFERROR(INDEX(All_Questions_Options_Names,MATCH(All_Questions_Q2_CT,All_Questions,0)),"'_Options'!$E$2:$E$2")),9),""))</f>
        <v/>
      </c>
      <c r="O17" s="2" t="str">
        <f>IF(All_Questions_Q2_CT="(None)","",IFERROR(INDEX(INDIRECT(IFERROR(INDEX(All_Questions_Options_Names,MATCH(All_Questions_Q2_CT,All_Questions,0)),"'_Options'!$E$2:$E$2")),10),""))</f>
        <v/>
      </c>
      <c r="P17" s="2" t="str">
        <f>IF(All_Questions_Q2_CT="(None)","",IFERROR(INDEX(INDIRECT(IFERROR(INDEX(All_Questions_Options_Names,MATCH(All_Questions_Q2_CT,All_Questions,0)),"'_Options'!$E$2:$E$2")),11),""))</f>
        <v/>
      </c>
      <c r="Q17" s="2" t="str">
        <f>IF(All_Questions_Q2_CT="(None)","",IFERROR(INDEX(INDIRECT(IFERROR(INDEX(All_Questions_Options_Names,MATCH(All_Questions_Q2_CT,All_Questions,0)),"'_Options'!$E$2:$E$2")),12),""))</f>
        <v/>
      </c>
      <c r="R17" s="2" t="str">
        <f>IF(All_Questions_Q2_CT="(None)","",IF(COUNTA(INDIRECT(IFERROR(INDEX(All_Questions_Options_Names,MATCH(All_Questions_Q2_CT,All_Questions,0)),"'_Options'!$E$2:$E$2")))-1&gt;11,"Other",IFERROR(INDEX(INDIRECT(IFERROR(INDEX(All_Questions_Options_Names,MATCH(All_Questions_Q2_CT,All_Questions,0)),"'_Options'!$E$2:$E$2")),13),"")))</f>
        <v/>
      </c>
      <c r="S17" s="4" t="inlineStr">
        <is>
          <t>Total</t>
        </is>
      </c>
    </row>
    <row r="18">
      <c r="A18" t="inlineStr">
        <is>
          <t>Version 2</t>
        </is>
      </c>
      <c r="B18">
        <f>COUNTIFS(Q2_data,"Version 2",passes_workbook_filters_data,1,passes_workbook_custom_filters_data,1,All_Questions_passes_local_filters_data,1,All_Questions_Q2_F_passes_per_q_filter_data,1)</f>
        <v>2</v>
      </c>
      <c r="C18" s="7">
        <f>IFERROR(B18/SUBTOTAL(9,B18:B19),0)</f>
        <v>0.5</v>
      </c>
      <c r="D18" s="14">
        <f>SUBTOTAL(9,B18:B19)</f>
        <v>4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Version 3</t>
        </is>
      </c>
      <c r="B19">
        <f>COUNTIFS(Q2_data,"Version 3",passes_workbook_filters_data,1,passes_workbook_custom_filters_data,1,All_Questions_passes_local_filters_data,1,All_Questions_Q2_F_passes_per_q_filter_data,1)</f>
        <v>2</v>
      </c>
      <c r="C19" s="7">
        <f>IFERROR(B19/SUBTOTAL(9,B18:B19),0)</f>
        <v>0.5</v>
      </c>
      <c r="D19" s="14">
        <f>SUBTOTAL(9,B18:B19)</f>
        <v>4</v>
      </c>
      <c r="F19" t="inlineStr">
        <is>
          <t>Version 2</t>
        </is>
      </c>
      <c r="G19">
        <f>IF(OR(All_Questions_Q2_CT="(None)",G$17=""),"",COUNTIFS(Q2_data,"Version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2",passes_workbook_filters_data,1,passes_workbook_custom_filters_data,1,All_Questions_passes_local_filters_data,1,All_Questions_Q2_F_passes_per_q_filter_data,1,INDIRECT(IFERROR(INDEX(All_Questions_Data_Names,MATCH(All_Questions_Q2_CT,All_Questions,0)),"'_RawData'!$A:$A")),G$17))</f>
        <v>0</v>
      </c>
      <c r="H19">
        <f>IF(OR(All_Questions_Q2_CT="(None)",H$17=""),"",COUNTIFS(Q2_data,"Version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2",passes_workbook_filters_data,1,passes_workbook_custom_filters_data,1,All_Questions_passes_local_filters_data,1,All_Questions_Q2_F_passes_per_q_filter_data,1,INDIRECT(IFERROR(INDEX(All_Questions_Data_Names,MATCH(All_Questions_Q2_CT,All_Questions,0)),"'_RawData'!$A:$A")),H$17))</f>
        <v>0</v>
      </c>
      <c r="I19">
        <f>IF(OR(All_Questions_Q2_CT="(None)",I$17=""),"",COUNTIFS(Q2_data,"Version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2",passes_workbook_filters_data,1,passes_workbook_custom_filters_data,1,All_Questions_passes_local_filters_data,1,All_Questions_Q2_F_passes_per_q_filter_data,1,INDIRECT(IFERROR(INDEX(All_Questions_Data_Names,MATCH(All_Questions_Q2_CT,All_Questions,0)),"'_RawData'!$A:$A")),I$17))</f>
        <v>0</v>
      </c>
      <c r="J19">
        <f>IF(OR(All_Questions_Q2_CT="(None)",J$17=""),"",COUNTIFS(Q2_data,"Version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2",passes_workbook_filters_data,1,passes_workbook_custom_filters_data,1,All_Questions_passes_local_filters_data,1,All_Questions_Q2_F_passes_per_q_filter_data,1,INDIRECT(IFERROR(INDEX(All_Questions_Data_Names,MATCH(All_Questions_Q2_CT,All_Questions,0)),"'_RawData'!$A:$A")),J$17))</f>
        <v>0</v>
      </c>
      <c r="K19">
        <f>IF(OR(All_Questions_Q2_CT="(None)",K$17=""),"",COUNTIFS(Q2_data,"Version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2",passes_workbook_filters_data,1,passes_workbook_custom_filters_data,1,All_Questions_passes_local_filters_data,1,All_Questions_Q2_F_passes_per_q_filter_data,1,INDIRECT(IFERROR(INDEX(All_Questions_Data_Names,MATCH(All_Questions_Q2_CT,All_Questions,0)),"'_RawData'!$A:$A")),K$17))</f>
        <v>0</v>
      </c>
      <c r="L19">
        <f>IF(OR(All_Questions_Q2_CT="(None)",L$17=""),"",COUNTIFS(Q2_data,"Version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2",passes_workbook_filters_data,1,passes_workbook_custom_filters_data,1,All_Questions_passes_local_filters_data,1,All_Questions_Q2_F_passes_per_q_filter_data,1,INDIRECT(IFERROR(INDEX(All_Questions_Data_Names,MATCH(All_Questions_Q2_CT,All_Questions,0)),"'_RawData'!$A:$A")),L$17))</f>
        <v>0</v>
      </c>
      <c r="M19">
        <f>IF(OR(All_Questions_Q2_CT="(None)",M$17=""),"",COUNTIFS(Q2_data,"Version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2",passes_workbook_filters_data,1,passes_workbook_custom_filters_data,1,All_Questions_passes_local_filters_data,1,All_Questions_Q2_F_passes_per_q_filter_data,1,INDIRECT(IFERROR(INDEX(All_Questions_Data_Names,MATCH(All_Questions_Q2_CT,All_Questions,0)),"'_RawData'!$A:$A")),M$17))</f>
        <v>0</v>
      </c>
      <c r="N19">
        <f>IF(OR(All_Questions_Q2_CT="(None)",N$17=""),"",COUNTIFS(Q2_data,"Version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2",passes_workbook_filters_data,1,passes_workbook_custom_filters_data,1,All_Questions_passes_local_filters_data,1,All_Questions_Q2_F_passes_per_q_filter_data,1,INDIRECT(IFERROR(INDEX(All_Questions_Data_Names,MATCH(All_Questions_Q2_CT,All_Questions,0)),"'_RawData'!$A:$A")),N$17))</f>
        <v>0</v>
      </c>
      <c r="O19">
        <f>IF(OR(All_Questions_Q2_CT="(None)",O$17=""),"",COUNTIFS(Q2_data,"Version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2",passes_workbook_filters_data,1,passes_workbook_custom_filters_data,1,All_Questions_passes_local_filters_data,1,All_Questions_Q2_F_passes_per_q_filter_data,1,INDIRECT(IFERROR(INDEX(All_Questions_Data_Names,MATCH(All_Questions_Q2_CT,All_Questions,0)),"'_RawData'!$A:$A")),O$17))</f>
        <v>0</v>
      </c>
      <c r="P19">
        <f>IF(OR(All_Questions_Q2_CT="(None)",P$17=""),"",COUNTIFS(Q2_data,"Version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2",passes_workbook_filters_data,1,passes_workbook_custom_filters_data,1,All_Questions_passes_local_filters_data,1,All_Questions_Q2_F_passes_per_q_filter_data,1,INDIRECT(IFERROR(INDEX(All_Questions_Data_Names,MATCH(All_Questions_Q2_CT,All_Questions,0)),"'_RawData'!$A:$A")),P$17))</f>
        <v>0</v>
      </c>
      <c r="Q19">
        <f>IF(OR(All_Questions_Q2_CT="(None)",Q$17=""),"",COUNTIFS(Q2_data,"Version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2",passes_workbook_filters_data,1,passes_workbook_custom_filters_data,1,All_Questions_passes_local_filters_data,1,All_Questions_Q2_F_passes_per_q_filter_data,1,INDIRECT(IFERROR(INDEX(All_Questions_Data_Names,MATCH(All_Questions_Q2_CT,All_Questions,0)),"'_RawData'!$A:$A")),Q$17))</f>
        <v>0</v>
      </c>
      <c r="R19">
        <f>IF(OR(All_Questions_Q2_CT="(None)",R$17=""),"",IF(R$17="Other",COUNTIFS(Q2_data,"Version 2",passes_workbook_filters_data,1,passes_workbook_custom_filters_data,1,All_Questions_passes_local_filters_data,1,All_Questions_Q2_F_passes_per_q_filter_data,1)-SUM(G19,H19,I19,J19,K19,L19,M19,N19,O19,P19,Q19),COUNTIFS(Q2_data,"Version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R$17)))</f>
        <v>0</v>
      </c>
      <c r="S19">
        <f>IF(All_Questions_Q2_CT="(None)","",COUNTIFS(Q2_data,"Version 2",passes_workbook_filters_data,1,passes_workbook_custom_filters_data,1,All_Questions_passes_local_filters_data,1,All_Questions_Q2_F_passes_per_q_filter_data,1))</f>
        <v>0</v>
      </c>
    </row>
    <row r="20">
      <c r="A20" s="15" t="inlineStr">
        <is>
          <t>Total respondents</t>
        </is>
      </c>
      <c r="B20" s="15" t="n">
        <v>4</v>
      </c>
      <c r="C20" s="15" t="n"/>
      <c r="D20" s="15" t="n"/>
      <c r="F20" t="inlineStr">
        <is>
          <t>Version 3</t>
        </is>
      </c>
      <c r="G20">
        <f>IF(OR(All_Questions_Q2_CT="(None)",G$17=""),"",COUNTIFS(Q2_data,"Version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3",passes_workbook_filters_data,1,passes_workbook_custom_filters_data,1,All_Questions_passes_local_filters_data,1,All_Questions_Q2_F_passes_per_q_filter_data,1,INDIRECT(IFERROR(INDEX(All_Questions_Data_Names,MATCH(All_Questions_Q2_CT,All_Questions,0)),"'_RawData'!$A:$A")),G$17))</f>
        <v>0</v>
      </c>
      <c r="H20">
        <f>IF(OR(All_Questions_Q2_CT="(None)",H$17=""),"",COUNTIFS(Q2_data,"Version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3",passes_workbook_filters_data,1,passes_workbook_custom_filters_data,1,All_Questions_passes_local_filters_data,1,All_Questions_Q2_F_passes_per_q_filter_data,1,INDIRECT(IFERROR(INDEX(All_Questions_Data_Names,MATCH(All_Questions_Q2_CT,All_Questions,0)),"'_RawData'!$A:$A")),H$17))</f>
        <v>0</v>
      </c>
      <c r="I20">
        <f>IF(OR(All_Questions_Q2_CT="(None)",I$17=""),"",COUNTIFS(Q2_data,"Version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3",passes_workbook_filters_data,1,passes_workbook_custom_filters_data,1,All_Questions_passes_local_filters_data,1,All_Questions_Q2_F_passes_per_q_filter_data,1,INDIRECT(IFERROR(INDEX(All_Questions_Data_Names,MATCH(All_Questions_Q2_CT,All_Questions,0)),"'_RawData'!$A:$A")),I$17))</f>
        <v>0</v>
      </c>
      <c r="J20">
        <f>IF(OR(All_Questions_Q2_CT="(None)",J$17=""),"",COUNTIFS(Q2_data,"Version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3",passes_workbook_filters_data,1,passes_workbook_custom_filters_data,1,All_Questions_passes_local_filters_data,1,All_Questions_Q2_F_passes_per_q_filter_data,1,INDIRECT(IFERROR(INDEX(All_Questions_Data_Names,MATCH(All_Questions_Q2_CT,All_Questions,0)),"'_RawData'!$A:$A")),J$17))</f>
        <v>0</v>
      </c>
      <c r="K20">
        <f>IF(OR(All_Questions_Q2_CT="(None)",K$17=""),"",COUNTIFS(Q2_data,"Version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3",passes_workbook_filters_data,1,passes_workbook_custom_filters_data,1,All_Questions_passes_local_filters_data,1,All_Questions_Q2_F_passes_per_q_filter_data,1,INDIRECT(IFERROR(INDEX(All_Questions_Data_Names,MATCH(All_Questions_Q2_CT,All_Questions,0)),"'_RawData'!$A:$A")),K$17))</f>
        <v>0</v>
      </c>
      <c r="L20">
        <f>IF(OR(All_Questions_Q2_CT="(None)",L$17=""),"",COUNTIFS(Q2_data,"Version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3",passes_workbook_filters_data,1,passes_workbook_custom_filters_data,1,All_Questions_passes_local_filters_data,1,All_Questions_Q2_F_passes_per_q_filter_data,1,INDIRECT(IFERROR(INDEX(All_Questions_Data_Names,MATCH(All_Questions_Q2_CT,All_Questions,0)),"'_RawData'!$A:$A")),L$17))</f>
        <v>0</v>
      </c>
      <c r="M20">
        <f>IF(OR(All_Questions_Q2_CT="(None)",M$17=""),"",COUNTIFS(Q2_data,"Version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3",passes_workbook_filters_data,1,passes_workbook_custom_filters_data,1,All_Questions_passes_local_filters_data,1,All_Questions_Q2_F_passes_per_q_filter_data,1,INDIRECT(IFERROR(INDEX(All_Questions_Data_Names,MATCH(All_Questions_Q2_CT,All_Questions,0)),"'_RawData'!$A:$A")),M$17))</f>
        <v>0</v>
      </c>
      <c r="N20">
        <f>IF(OR(All_Questions_Q2_CT="(None)",N$17=""),"",COUNTIFS(Q2_data,"Version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3",passes_workbook_filters_data,1,passes_workbook_custom_filters_data,1,All_Questions_passes_local_filters_data,1,All_Questions_Q2_F_passes_per_q_filter_data,1,INDIRECT(IFERROR(INDEX(All_Questions_Data_Names,MATCH(All_Questions_Q2_CT,All_Questions,0)),"'_RawData'!$A:$A")),N$17))</f>
        <v>0</v>
      </c>
      <c r="O20">
        <f>IF(OR(All_Questions_Q2_CT="(None)",O$17=""),"",COUNTIFS(Q2_data,"Version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3",passes_workbook_filters_data,1,passes_workbook_custom_filters_data,1,All_Questions_passes_local_filters_data,1,All_Questions_Q2_F_passes_per_q_filter_data,1,INDIRECT(IFERROR(INDEX(All_Questions_Data_Names,MATCH(All_Questions_Q2_CT,All_Questions,0)),"'_RawData'!$A:$A")),O$17))</f>
        <v>0</v>
      </c>
      <c r="P20">
        <f>IF(OR(All_Questions_Q2_CT="(None)",P$17=""),"",COUNTIFS(Q2_data,"Version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3",passes_workbook_filters_data,1,passes_workbook_custom_filters_data,1,All_Questions_passes_local_filters_data,1,All_Questions_Q2_F_passes_per_q_filter_data,1,INDIRECT(IFERROR(INDEX(All_Questions_Data_Names,MATCH(All_Questions_Q2_CT,All_Questions,0)),"'_RawData'!$A:$A")),P$17))</f>
        <v>0</v>
      </c>
      <c r="Q20">
        <f>IF(OR(All_Questions_Q2_CT="(None)",Q$17=""),"",COUNTIFS(Q2_data,"Version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3",passes_workbook_filters_data,1,passes_workbook_custom_filters_data,1,All_Questions_passes_local_filters_data,1,All_Questions_Q2_F_passes_per_q_filter_data,1,INDIRECT(IFERROR(INDEX(All_Questions_Data_Names,MATCH(All_Questions_Q2_CT,All_Questions,0)),"'_RawData'!$A:$A")),Q$17))</f>
        <v>0</v>
      </c>
      <c r="R20">
        <f>IF(OR(All_Questions_Q2_CT="(None)",R$17=""),"",IF(R$17="Other",COUNTIFS(Q2_data,"Version 3",passes_workbook_filters_data,1,passes_workbook_custom_filters_data,1,All_Questions_passes_local_filters_data,1,All_Questions_Q2_F_passes_per_q_filter_data,1)-SUM(G20,H20,I20,J20,K20,L20,M20,N20,O20,P20,Q20),COUNTIFS(Q2_data,"Version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R$17)))</f>
        <v>0</v>
      </c>
      <c r="S20">
        <f>IF(All_Questions_Q2_CT="(None)","",COUNTIFS(Q2_data,"Version 3",passes_workbook_filters_data,1,passes_workbook_custom_filters_data,1,All_Questions_passes_local_filters_data,1,All_Questions_Q2_F_passes_per_q_filter_data,1))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IF(All_Questions_Q2_CT="(None)","",COUNTIFS(respondent_id_data,"&lt;&gt;",passes_workbook_filters_data,1,passes_workbook_custom_filters_data,1,All_Questions_passes_local_filters_data,1,All_Questions_Q2_F_passes_per_q_filter_data,1))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=Q1_local_options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=INDIRECT(IFERROR(INDEX(All_Questions_Options_Names,MATCH(All_Questions_Q2_F_Q,All_Questions,0)),"'_Options'!$E$2:$E$2"))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2026-05-29T14:26:16Z</dcterms:created>
  <dcterms:modified xmlns:dcterms="http://purl.org/dc/terms/" xmlns:xsi="http://www.w3.org/2001/XMLSchema-instance" xsi:type="dcterms:W3CDTF">2026-05-29T14:26:16Z</dcterms:modified>
</cp:coreProperties>
</file>