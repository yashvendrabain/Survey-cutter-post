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Questions'!$C$25</definedName>
    <definedName name="All_Questions_Q_VERY_LONG_SINGLE_SELECT_EXPORT_NAME_F_V">'All Questions'!$E$25</definedName>
    <definedName name="All_Questions_Q_VERY_LONG_SINGLE_SELECT_EXPORT_NAME_F_resolved_column">'All Questions'!$F$25</definedName>
    <definedName name="All_Questions_Q_VERY_LONG_SINGLE_SELECT_EXPORT_NAME_F_wrapped">'All Questions'!$G$25</definedName>
    <definedName name="All_Questions_Q_VERY_LONG_SINGLE_SELECT_EXPORT_NAME_F_passes_per_q_filter_data">'_RawData'!$T$2:$T$11</definedName>
    <definedName name="All_Questions_Q_VERY_LONG_SINGLE_SELECT_EXPORT_NAME_CT">'All Questions'!$C$26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C18" i="9"/>
  <c r="D18" i="9"/>
  <c r="E18" i="9"/>
  <c r="F18" i="9"/>
  <c r="C19" i="9"/>
  <c r="D19" i="9"/>
  <c r="E19" i="9"/>
  <c r="F19" i="9"/>
  <c r="F25" i="9"/>
  <c r="G25" i="9"/>
  <c r="G28" i="9"/>
  <c r="H28" i="9"/>
  <c r="I28" i="9"/>
  <c r="J28" i="9"/>
  <c r="K28" i="9"/>
  <c r="L28" i="9"/>
  <c r="M28" i="9"/>
  <c r="N28" i="9"/>
  <c r="O28" i="9"/>
  <c r="P28" i="9"/>
  <c r="Q28" i="9"/>
  <c r="R28" i="9"/>
  <c r="B29" i="9"/>
  <c r="C29" i="9"/>
  <c r="D29" i="9"/>
  <c r="B30" i="9"/>
  <c r="C30" i="9"/>
  <c r="D30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G31" i="9"/>
  <c r="H31" i="9"/>
  <c r="I31" i="9"/>
  <c r="J31" i="9"/>
  <c r="K31" i="9"/>
  <c r="L31" i="9"/>
  <c r="M31" i="9"/>
  <c r="N31" i="9"/>
  <c r="O31" i="9"/>
  <c r="P31" i="9"/>
  <c r="Q31" i="9"/>
  <c r="R31" i="9"/>
  <c r="S31" i="9"/>
  <c r="S32" i="9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8_1" displayName="T_All_Question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*1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*1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*1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*1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*1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*1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*1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*1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*1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*1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IFERROR(INDEX(All_Questions_Data_Names,MATCH(Theme_One_Q_MS_EXPORT_F_Q,All_Questions,0)),"'_RawData'!$A:$A")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IF(Theme_One_Q_MS_EXPORT_CT="(None)","",IFERROR(INDEX(INDIRECT(IFERROR(INDEX(All_Questions_Options_Names,MATCH(Theme_One_Q_MS_EXPORT_CT,All_Questions,0)),"'_Options'!$E$2:$E$2")),2),""))</f>
        <v/>
      </c>
      <c r="H26" s="2" t="str">
        <f>IF(Theme_One_Q_MS_EXPORT_CT="(None)","",IFERROR(INDEX(INDIRECT(IFERROR(INDEX(All_Questions_Options_Names,MATCH(Theme_One_Q_MS_EXPORT_CT,All_Questions,0)),"'_Options'!$E$2:$E$2")),3),""))</f>
        <v/>
      </c>
      <c r="I26" s="2" t="str">
        <f>IF(Theme_One_Q_MS_EXPORT_CT="(None)","",IFERROR(INDEX(INDIRECT(IFERROR(INDEX(All_Questions_Options_Names,MATCH(Theme_One_Q_MS_EXPORT_CT,All_Questions,0)),"'_Options'!$E$2:$E$2")),4),""))</f>
        <v/>
      </c>
      <c r="J26" s="2" t="str">
        <f>IF(Theme_One_Q_MS_EXPORT_CT="(None)","",IFERROR(INDEX(INDIRECT(IFERROR(INDEX(All_Questions_Options_Names,MATCH(Theme_One_Q_MS_EXPORT_CT,All_Questions,0)),"'_Options'!$E$2:$E$2")),5),""))</f>
        <v/>
      </c>
      <c r="K26" s="2" t="str">
        <f>IF(Theme_One_Q_MS_EXPORT_CT="(None)","",IFERROR(INDEX(INDIRECT(IFERROR(INDEX(All_Questions_Options_Names,MATCH(Theme_One_Q_MS_EXPORT_CT,All_Questions,0)),"'_Options'!$E$2:$E$2")),6),""))</f>
        <v/>
      </c>
      <c r="L26" s="2" t="str">
        <f>IF(Theme_One_Q_MS_EXPORT_CT="(None)","",IFERROR(INDEX(INDIRECT(IFERROR(INDEX(All_Questions_Options_Names,MATCH(Theme_One_Q_MS_EXPORT_CT,All_Questions,0)),"'_Options'!$E$2:$E$2")),7),""))</f>
        <v/>
      </c>
      <c r="M26" s="2" t="str">
        <f>IF(Theme_One_Q_MS_EXPORT_CT="(None)","",IFERROR(INDEX(INDIRECT(IFERROR(INDEX(All_Questions_Options_Names,MATCH(Theme_One_Q_MS_EXPORT_CT,All_Questions,0)),"'_Options'!$E$2:$E$2")),8),""))</f>
        <v/>
      </c>
      <c r="N26" s="2" t="str">
        <f>IF(Theme_One_Q_MS_EXPORT_CT="(None)","",IFERROR(INDEX(INDIRECT(IFERROR(INDEX(All_Questions_Options_Names,MATCH(Theme_One_Q_MS_EXPORT_CT,All_Questions,0)),"'_Options'!$E$2:$E$2")),9),""))</f>
        <v/>
      </c>
      <c r="O26" s="2" t="str">
        <f>IF(Theme_One_Q_MS_EXPORT_CT="(None)","",IFERROR(INDEX(INDIRECT(IFERROR(INDEX(All_Questions_Options_Names,MATCH(Theme_One_Q_MS_EXPORT_CT,All_Questions,0)),"'_Options'!$E$2:$E$2")),10),""))</f>
        <v/>
      </c>
      <c r="P26" s="2" t="str">
        <f>IF(Theme_One_Q_MS_EXPORT_CT="(None)","",IFERROR(INDEX(INDIRECT(IFERROR(INDEX(All_Questions_Options_Names,MATCH(Theme_One_Q_MS_EXPORT_CT,All_Questions,0)),"'_Options'!$E$2:$E$2")),11),""))</f>
        <v/>
      </c>
      <c r="Q26" s="2" t="str">
        <f>IF(Theme_One_Q_MS_EXPORT_CT="(None)","",IFERROR(INDEX(INDIRECT(IFERROR(INDEX(All_Questions_Options_Names,MATCH(Theme_One_Q_MS_EXPORT_CT,All_Questions,0)),"'_Options'!$E$2:$E$2")),12),""))</f>
        <v/>
      </c>
      <c r="R26" s="2" t="str">
        <f>IF(Theme_One_Q_MS_EXPORT_CT="(None)","",IF(COUNTA(INDIRECT(IFERROR(INDEX(All_Questions_Options_Names,MATCH(Theme_One_Q_MS_EXPORT_CT,All_Questions,0)),"'_Options'!$E$2:$E$2")))-1&gt;11,"Other",IFERROR(INDEX(INDIRECT(IFERROR(INDEX(All_Questions_Options_Names,MATCH(Theme_One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8">
        <f>IF(OR(Theme_One_Q_MS_EXPORT_CT="(None)",H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8">
        <f>IF(OR(Theme_One_Q_MS_EXPORT_CT="(None)",J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8">
        <f>IF(OR(Theme_One_Q_MS_EXPORT_CT="(None)",L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8">
        <f>IF(OR(Theme_One_Q_MS_EXPORT_CT="(None)",N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8">
        <f>IF(OR(Theme_One_Q_MS_EXPORT_CT="(None)",P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8">
        <f>IF(OR(Theme_One_Q_MS_EXPORT_CT="(None)",R$26=""),"",IF(R$26="Other",COUNTIFS(Q_MS_EXPORTr1_data,"Selected",passes_workbook_filters_data,1,passes_workbook_custom_filters_data,1,Theme_One_passes_local_filters_data,1,Theme_One_Q_MS_EXPORT_F_passes_per_q_filter_data,1)-SUM(G28,H28,I28,J28,K28,L28,M28,N28,O28,P28,Q28),COUNTIFS(Q_MS_EXPORTr1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G$26))</f>
        <v>0</v>
      </c>
      <c r="H29">
        <f>IF(OR(Theme_One_Q_MS_EXPORT_CT="(None)",H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H$26)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I$26))</f>
        <v>0</v>
      </c>
      <c r="J29">
        <f>IF(OR(Theme_One_Q_MS_EXPORT_CT="(None)",J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J$26)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K$26))</f>
        <v>0</v>
      </c>
      <c r="L29">
        <f>IF(OR(Theme_One_Q_MS_EXPORT_CT="(None)",L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L$26)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M$26))</f>
        <v>0</v>
      </c>
      <c r="N29">
        <f>IF(OR(Theme_One_Q_MS_EXPORT_CT="(None)",N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N$26)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O$26))</f>
        <v>0</v>
      </c>
      <c r="P29">
        <f>IF(OR(Theme_One_Q_MS_EXPORT_CT="(None)",P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P$26)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Q$26))</f>
        <v>0</v>
      </c>
      <c r="R29">
        <f>IF(OR(Theme_One_Q_MS_EXPORT_CT="(None)",R$26=""),"",IF(R$26="Other",COUNTIFS(Q_MS_EXPORTr2_data,"Selected",passes_workbook_filters_data,1,passes_workbook_custom_filters_data,1,Theme_One_passes_local_filters_data,1,Theme_One_Q_MS_EXPORT_F_passes_per_q_filter_data,1)-SUM(G29,H29,I29,J29,K29,L29,M29,N29,O29,P29,Q29),COUNTIFS(Q_MS_EXPORTr2_data,"Selected",passes_workbook_filters_data,1,passes_workbook_custom_filters_data,1,Theme_One_passes_local_filters_data,1,Theme_One_Q_MS_EXPORT_F_passes_per_q_filter_data,1,INDIRECT(IFERROR(INDEX(All_Questions_Data_Names,MATCH(Theme_One_Q_MS_EXPORT_CT,All_Questions,0)),"'_RawData'!$A:$A")),R$26)))</f>
        <v>0</v>
      </c>
      <c r="S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=INDIRECT(IFERROR(INDEX(All_Questions_Options_Names,MATCH(Theme_One_Q_MS_EXPORT_F_Q,All_Questions,0)),"'_Options'!$E$2:$E$2"))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IFERROR(INDEX(All_Questions_Data_Names,MATCH(All_Questions_Q_GRID_EXPORT_F_Q,All_Questions,0)),"'_RawData'!$A:$A")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High</t>
        </is>
      </c>
      <c r="D16" s="2" t="n"/>
      <c r="E16" s="4" t="inlineStr">
        <is>
          <t>Low</t>
        </is>
      </c>
      <c r="F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</row>
    <row r="18">
      <c r="A18" s="16" t="inlineStr">
        <is>
          <t>Q_GRID_EXPORTr1</t>
        </is>
      </c>
      <c r="B18" t="inlineStr">
        <is>
          <t>Grid first row</t>
        </is>
      </c>
      <c r="C18">
        <f>COUNTIFS(Q_GRID_EXPORTr1_data,"High",passes_workbook_filters_data,1,passes_workbook_custom_filters_data,1,All_Questions_passes_local_filters_data,1,All_Questions_Q_GRID_EXPORT_F_passes_per_q_filter_data,1)</f>
        <v>6</v>
      </c>
      <c r="D18" s="7">
        <f>IFERROR(C18/10,0)</f>
        <v>0.6</v>
      </c>
      <c r="E18">
        <f>COUNTIFS(Q_GRID_EXPORTr1_data,"Low",passes_workbook_filters_data,1,passes_workbook_custom_filters_data,1,All_Questions_passes_local_filters_data,1,All_Questions_Q_GRID_EXPORT_F_passes_per_q_filter_data,1)</f>
        <v>4</v>
      </c>
      <c r="F18" s="7">
        <f>IFERROR(E18/10,0)</f>
        <v>0.4</v>
      </c>
    </row>
    <row r="19">
      <c r="A19" s="16" t="inlineStr">
        <is>
          <t>Q_GRID_EXPORTr2</t>
        </is>
      </c>
      <c r="B19" t="inlineStr">
        <is>
          <t>Grid second row</t>
        </is>
      </c>
      <c r="C19">
        <f>COUNTIFS(Q_GRID_EXPORTr2_data,"High",passes_workbook_filters_data,1,passes_workbook_custom_filters_data,1,All_Questions_passes_local_filters_data,1,All_Questions_Q_GRID_EXPORT_F_passes_per_q_filter_data,1)</f>
        <v>5</v>
      </c>
      <c r="D19" s="7">
        <f>IFERROR(C19/10,0)</f>
        <v>0.5</v>
      </c>
      <c r="E19">
        <f>COUNTIFS(Q_GRID_EXPORTr2_data,"Low",passes_workbook_filters_data,1,passes_workbook_custom_filters_data,1,All_Questions_passes_local_filters_data,1,All_Questions_Q_GRID_EXPORT_F_passes_per_q_filter_data,1)</f>
        <v>5</v>
      </c>
      <c r="F19" s="7">
        <f>IFERROR(E19/10,0)</f>
        <v>0.5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E20" s="15" t="n"/>
      <c r="F20" s="15" t="n"/>
    </row>
    <row r="21">
      <c r="A21" s="4" t="inlineStr">
        <is>
          <t>Total responses</t>
        </is>
      </c>
      <c r="B21" s="4" t="n">
        <v>20</v>
      </c>
      <c r="C21" s="4" t="n"/>
      <c r="D21" s="4" t="n"/>
      <c r="E21" s="4" t="n"/>
      <c r="F21" s="4" t="n"/>
    </row>
    <row r="22"/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Q_VERY_LONG_SINGLE_SELECT_EXPORT_NAME - Long sheet name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IFERROR(INDEX(All_Questions_Data_Names,MATCH(All_Questions_Q_VERY_LONG_SINGLE_SELECT_EXPORT_NAME_F_Q,All_Questions,0)),"'_RawData'!$A:$A")</f>
        <v>respondent_id_data</v>
      </c>
      <c r="G25" t="str">
        <f>"|" &amp; SUBSTITUTE(All_Questions_Q_VERY_LONG_SINGLE_SELECT_EXPORT_NAME_F_V,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7"/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4" t="inlineStr">
        <is>
          <t>Option</t>
        </is>
      </c>
      <c r="G2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2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2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2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2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2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2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2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2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2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2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2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28" s="4" t="inlineStr">
        <is>
          <t>Total</t>
        </is>
      </c>
    </row>
    <row r="29">
      <c r="A29" t="inlineStr">
        <is>
          <t>A</t>
        </is>
      </c>
      <c r="B2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9" s="7">
        <f>IFERROR(B29/SUBTOTAL(9,B29:B30),0)</f>
        <v>0.7</v>
      </c>
      <c r="D29" s="14">
        <f>SUBTOTAL(9,B29:B30)</f>
        <v>10</v>
      </c>
      <c r="F29" s="4" t="inlineStr"/>
      <c r="G29" s="4" t="inlineStr">
        <is>
          <t># of resp</t>
        </is>
      </c>
      <c r="H29" s="4" t="inlineStr">
        <is>
          <t># of resp</t>
        </is>
      </c>
      <c r="I29" s="4" t="inlineStr">
        <is>
          <t># of resp</t>
        </is>
      </c>
      <c r="J29" s="4" t="inlineStr">
        <is>
          <t># of resp</t>
        </is>
      </c>
      <c r="K29" s="4" t="inlineStr">
        <is>
          <t># of resp</t>
        </is>
      </c>
      <c r="L29" s="4" t="inlineStr">
        <is>
          <t># of resp</t>
        </is>
      </c>
      <c r="M29" s="4" t="inlineStr">
        <is>
          <t># of resp</t>
        </is>
      </c>
      <c r="N29" s="4" t="inlineStr">
        <is>
          <t># of resp</t>
        </is>
      </c>
      <c r="O29" s="4" t="inlineStr">
        <is>
          <t># of resp</t>
        </is>
      </c>
      <c r="P29" s="4" t="inlineStr">
        <is>
          <t># of resp</t>
        </is>
      </c>
      <c r="Q29" s="4" t="inlineStr">
        <is>
          <t># of resp</t>
        </is>
      </c>
      <c r="R29" s="4" t="inlineStr">
        <is>
          <t># of resp</t>
        </is>
      </c>
      <c r="S29" s="4" t="inlineStr">
        <is>
          <t># of resp</t>
        </is>
      </c>
    </row>
    <row r="30">
      <c r="A30" t="inlineStr">
        <is>
          <t>B</t>
        </is>
      </c>
      <c r="B3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30" s="7">
        <f>IFERROR(B30/SUBTOTAL(9,B29:B30),0)</f>
        <v>0.3</v>
      </c>
      <c r="D30" s="14">
        <f>SUBTOTAL(9,B29:B30)</f>
        <v>10</v>
      </c>
      <c r="F30" t="inlineStr">
        <is>
          <t>A</t>
        </is>
      </c>
      <c r="G30">
        <f>IF(OR(All_Questions_Q_VERY_LONG_SINGLE_SELECT_EXPORT_NAME_CT="(None)",G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0">
        <f>IF(OR(All_Questions_Q_VERY_LONG_SINGLE_SELECT_EXPORT_NAME_CT="(None)",H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0">
        <f>IF(OR(All_Questions_Q_VERY_LONG_SINGLE_SELECT_EXPORT_NAME_CT="(None)",I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0">
        <f>IF(OR(All_Questions_Q_VERY_LONG_SINGLE_SELECT_EXPORT_NAME_CT="(None)",J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0">
        <f>IF(OR(All_Questions_Q_VERY_LONG_SINGLE_SELECT_EXPORT_NAME_CT="(None)",K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0">
        <f>IF(OR(All_Questions_Q_VERY_LONG_SINGLE_SELECT_EXPORT_NAME_CT="(None)",L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0">
        <f>IF(OR(All_Questions_Q_VERY_LONG_SINGLE_SELECT_EXPORT_NAME_CT="(None)",M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0">
        <f>IF(OR(All_Questions_Q_VERY_LONG_SINGLE_SELECT_EXPORT_NAME_CT="(None)",N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0">
        <f>IF(OR(All_Questions_Q_VERY_LONG_SINGLE_SELECT_EXPORT_NAME_CT="(None)",O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0">
        <f>IF(OR(All_Questions_Q_VERY_LONG_SINGLE_SELECT_EXPORT_NAME_CT="(None)",P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0">
        <f>IF(OR(All_Questions_Q_VERY_LONG_SINGLE_SELECT_EXPORT_NAME_CT="(None)",Q$28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0">
        <f>IF(OR(All_Questions_Q_VERY_LONG_SINGLE_SELECT_EXPORT_NAME_CT="(None)",R$28=""),"",IF(R$28="Other",COUNTIFS(Q_VERY_LONG_SINGLE_SELECT_EXPOR_data,"A",passes_workbook_filters_data,1,passes_workbook_custom_filters_data,1,All_Questions_passes_local_filters_data,1,All_Questions_Q_VERY_LONG_SINGLE_SELECT_EXPORT_NAME_F_passes_per_q_filter_data,1)-SUM(G30,H30,I30,J30,K30,L30,M30,N30,O30,P30,Q30)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31">
      <c r="A31" s="15" t="inlineStr">
        <is>
          <t>Total respondents</t>
        </is>
      </c>
      <c r="B31" s="15" t="n">
        <v>10</v>
      </c>
      <c r="C31" s="15" t="n"/>
      <c r="D31" s="15" t="n"/>
      <c r="F31" t="inlineStr">
        <is>
          <t>B</t>
        </is>
      </c>
      <c r="G31">
        <f>IF(OR(All_Questions_Q_VERY_LONG_SINGLE_SELECT_EXPORT_NAME_CT="(None)",G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$28))</f>
        <v>0</v>
      </c>
      <c r="H31">
        <f>IF(OR(All_Questions_Q_VERY_LONG_SINGLE_SELECT_EXPORT_NAME_CT="(None)",H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$28))</f>
        <v>0</v>
      </c>
      <c r="I31">
        <f>IF(OR(All_Questions_Q_VERY_LONG_SINGLE_SELECT_EXPORT_NAME_CT="(None)",I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$28))</f>
        <v>0</v>
      </c>
      <c r="J31">
        <f>IF(OR(All_Questions_Q_VERY_LONG_SINGLE_SELECT_EXPORT_NAME_CT="(None)",J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$28))</f>
        <v>0</v>
      </c>
      <c r="K31">
        <f>IF(OR(All_Questions_Q_VERY_LONG_SINGLE_SELECT_EXPORT_NAME_CT="(None)",K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$28))</f>
        <v>0</v>
      </c>
      <c r="L31">
        <f>IF(OR(All_Questions_Q_VERY_LONG_SINGLE_SELECT_EXPORT_NAME_CT="(None)",L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$28))</f>
        <v>0</v>
      </c>
      <c r="M31">
        <f>IF(OR(All_Questions_Q_VERY_LONG_SINGLE_SELECT_EXPORT_NAME_CT="(None)",M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$28))</f>
        <v>0</v>
      </c>
      <c r="N31">
        <f>IF(OR(All_Questions_Q_VERY_LONG_SINGLE_SELECT_EXPORT_NAME_CT="(None)",N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$28))</f>
        <v>0</v>
      </c>
      <c r="O31">
        <f>IF(OR(All_Questions_Q_VERY_LONG_SINGLE_SELECT_EXPORT_NAME_CT="(None)",O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$28))</f>
        <v>0</v>
      </c>
      <c r="P31">
        <f>IF(OR(All_Questions_Q_VERY_LONG_SINGLE_SELECT_EXPORT_NAME_CT="(None)",P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$28))</f>
        <v>0</v>
      </c>
      <c r="Q31">
        <f>IF(OR(All_Questions_Q_VERY_LONG_SINGLE_SELECT_EXPORT_NAME_CT="(None)",Q$28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$28))</f>
        <v>0</v>
      </c>
      <c r="R31">
        <f>IF(OR(All_Questions_Q_VERY_LONG_SINGLE_SELECT_EXPORT_NAME_CT="(None)",R$28=""),"",IF(R$28="Other",COUNTIFS(Q_VERY_LONG_SINGLE_SELECT_EXPOR_data,"B",passes_workbook_filters_data,1,passes_workbook_custom_filters_data,1,All_Questions_passes_local_filters_data,1,All_Questions_Q_VERY_LONG_SINGLE_SELECT_EXPORT_NAME_F_passes_per_q_filter_data,1)-SUM(G31,H31,I31,J31,K31,L31,M31,N31,O31,P31,Q31)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$28)))</f>
        <v>0</v>
      </c>
      <c r="S3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2">
      <c r="F32" s="4" t="inlineStr">
        <is>
          <t>Total respondents</t>
        </is>
      </c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2" t="n"/>
      <c r="R32" s="2" t="n"/>
      <c r="S3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A1:J1"/>
    <mergeCell ref="E16:F16"/>
    <mergeCell ref="C16:D16"/>
  </mergeCells>
  <conditionalFormatting sqref="D18:D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0:G3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30:H3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30:I3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30:J3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30:K3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30:L3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30:M3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30:N3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0:O31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30:P31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30:Q31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30:R31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2026-06-03T16:44:25Z</dcterms:created>
  <dcterms:modified xmlns:dcterms="http://purl.org/dc/terms/" xmlns:xsi="http://www.w3.org/2001/XMLSchema-instance" xsi:type="dcterms:W3CDTF">2026-06-03T16:44:26Z</dcterms:modified>
</cp:coreProperties>
</file>