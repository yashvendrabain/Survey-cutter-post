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I16" i="7"/>
  <c r="K16" i="7"/>
  <c r="M16" i="7"/>
  <c r="O16" i="7"/>
  <c r="Q16" i="7"/>
  <c r="S16" i="7"/>
  <c r="U16" i="7"/>
  <c r="W16" i="7"/>
  <c r="Y16" i="7"/>
  <c r="AA16" i="7"/>
  <c r="AC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T18" i="7"/>
  <c r="U18" i="7"/>
  <c r="V18" i="7"/>
  <c r="W18" i="7"/>
  <c r="X18" i="7"/>
  <c r="Y18" i="7"/>
  <c r="Z18" i="7"/>
  <c r="AA18" i="7"/>
  <c r="AB18" i="7"/>
  <c r="AC18" i="7"/>
  <c r="AD18" i="7"/>
  <c r="AE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T19" i="7"/>
  <c r="U19" i="7"/>
  <c r="V19" i="7"/>
  <c r="W19" i="7"/>
  <c r="X19" i="7"/>
  <c r="Y19" i="7"/>
  <c r="Z19" i="7"/>
  <c r="AA19" i="7"/>
  <c r="AB19" i="7"/>
  <c r="AC19" i="7"/>
  <c r="AD19" i="7"/>
  <c r="AE19" i="7"/>
  <c r="AE20" i="7"/>
  <c r="F23" i="7"/>
  <c r="G23" i="7"/>
  <c r="G26" i="7"/>
  <c r="I26" i="7"/>
  <c r="K26" i="7"/>
  <c r="M26" i="7"/>
  <c r="O26" i="7"/>
  <c r="Q26" i="7"/>
  <c r="S26" i="7"/>
  <c r="U26" i="7"/>
  <c r="W26" i="7"/>
  <c r="Y26" i="7"/>
  <c r="AA26" i="7"/>
  <c r="AC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T28" i="7"/>
  <c r="U28" i="7"/>
  <c r="V28" i="7"/>
  <c r="W28" i="7"/>
  <c r="X28" i="7"/>
  <c r="Y28" i="7"/>
  <c r="Z28" i="7"/>
  <c r="AA28" i="7"/>
  <c r="AB28" i="7"/>
  <c r="AC28" i="7"/>
  <c r="AD28" i="7"/>
  <c r="AE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T29" i="7"/>
  <c r="U29" i="7"/>
  <c r="V29" i="7"/>
  <c r="W29" i="7"/>
  <c r="X29" i="7"/>
  <c r="Y29" i="7"/>
  <c r="Z29" i="7"/>
  <c r="AA29" i="7"/>
  <c r="AB29" i="7"/>
  <c r="AC29" i="7"/>
  <c r="AD29" i="7"/>
  <c r="AE29" i="7"/>
  <c r="AE30" i="7"/>
  <c r="F33" i="7"/>
  <c r="G33" i="7"/>
  <c r="B37" i="7"/>
  <c r="D37" i="7"/>
  <c r="B38" i="7"/>
  <c r="D38" i="7"/>
  <c r="B39" i="7"/>
  <c r="D39" i="7"/>
  <c r="D40" i="7"/>
  <c r="F45" i="7"/>
  <c r="G45" i="7"/>
  <c r="G48" i="7"/>
  <c r="I48" i="7"/>
  <c r="K48" i="7"/>
  <c r="M48" i="7"/>
  <c r="O48" i="7"/>
  <c r="Q48" i="7"/>
  <c r="S48" i="7"/>
  <c r="U48" i="7"/>
  <c r="W48" i="7"/>
  <c r="Y48" i="7"/>
  <c r="AA48" i="7"/>
  <c r="AC48" i="7"/>
  <c r="B49" i="7"/>
  <c r="C49" i="7"/>
  <c r="D49" i="7"/>
  <c r="B50" i="7"/>
  <c r="C50" i="7"/>
  <c r="D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T50" i="7"/>
  <c r="U50" i="7"/>
  <c r="V50" i="7"/>
  <c r="W50" i="7"/>
  <c r="X50" i="7"/>
  <c r="Y50" i="7"/>
  <c r="Z50" i="7"/>
  <c r="AA50" i="7"/>
  <c r="AB50" i="7"/>
  <c r="AC50" i="7"/>
  <c r="AD50" i="7"/>
  <c r="AE50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T51" i="7"/>
  <c r="U51" i="7"/>
  <c r="V51" i="7"/>
  <c r="W51" i="7"/>
  <c r="X51" i="7"/>
  <c r="Y51" i="7"/>
  <c r="Z51" i="7"/>
  <c r="AA51" i="7"/>
  <c r="AB51" i="7"/>
  <c r="AC51" i="7"/>
  <c r="AD51" i="7"/>
  <c r="AE51" i="7"/>
  <c r="AE52" i="7"/>
  <c r="F55" i="7"/>
  <c r="G55" i="7"/>
  <c r="G58" i="7"/>
  <c r="I58" i="7"/>
  <c r="K58" i="7"/>
  <c r="M58" i="7"/>
  <c r="O58" i="7"/>
  <c r="Q58" i="7"/>
  <c r="S58" i="7"/>
  <c r="U58" i="7"/>
  <c r="W58" i="7"/>
  <c r="Y58" i="7"/>
  <c r="AA58" i="7"/>
  <c r="AC58" i="7"/>
  <c r="B59" i="7"/>
  <c r="C59" i="7"/>
  <c r="D59" i="7"/>
  <c r="B60" i="7"/>
  <c r="C60" i="7"/>
  <c r="D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T60" i="7"/>
  <c r="U60" i="7"/>
  <c r="V60" i="7"/>
  <c r="W60" i="7"/>
  <c r="X60" i="7"/>
  <c r="Y60" i="7"/>
  <c r="Z60" i="7"/>
  <c r="AA60" i="7"/>
  <c r="AB60" i="7"/>
  <c r="AC60" i="7"/>
  <c r="AD60" i="7"/>
  <c r="AE60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T61" i="7"/>
  <c r="U61" i="7"/>
  <c r="V61" i="7"/>
  <c r="W61" i="7"/>
  <c r="X61" i="7"/>
  <c r="Y61" i="7"/>
  <c r="Z61" i="7"/>
  <c r="AA61" i="7"/>
  <c r="AB61" i="7"/>
  <c r="AC61" i="7"/>
  <c r="AD61" i="7"/>
  <c r="AE61" i="7"/>
  <c r="AE6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IF(All_Questions_Q_SS_EXPORT_CT="(None)","",IFERROR(INDEX(INDIRECT(XLOOKUP(All_Questions_Q_SS_EXPORT_CT,All_Questions,All_Questions_Options_Names,"None_options")),2),""))</f>
        <v/>
      </c>
      <c r="H16" s="2" t="n"/>
      <c r="I16" s="2" t="str">
        <f>IF(All_Questions_Q_SS_EXPORT_CT="(None)","",IFERROR(INDEX(INDIRECT(XLOOKUP(All_Questions_Q_SS_EXPORT_CT,All_Questions,All_Questions_Options_Names,"None_options")),3),""))</f>
        <v/>
      </c>
      <c r="J16" s="2" t="n"/>
      <c r="K16" s="2" t="str">
        <f>IF(All_Questions_Q_SS_EXPORT_CT="(None)","",IFERROR(INDEX(INDIRECT(XLOOKUP(All_Questions_Q_SS_EXPORT_CT,All_Questions,All_Questions_Options_Names,"None_options")),4),""))</f>
        <v/>
      </c>
      <c r="L16" s="2" t="n"/>
      <c r="M16" s="2" t="str">
        <f>IF(All_Questions_Q_SS_EXPORT_CT="(None)","",IFERROR(INDEX(INDIRECT(XLOOKUP(All_Questions_Q_SS_EXPORT_CT,All_Questions,All_Questions_Options_Names,"None_options")),5),""))</f>
        <v/>
      </c>
      <c r="N16" s="2" t="n"/>
      <c r="O16" s="2" t="str">
        <f>IF(All_Questions_Q_SS_EXPORT_CT="(None)","",IFERROR(INDEX(INDIRECT(XLOOKUP(All_Questions_Q_SS_EXPORT_CT,All_Questions,All_Questions_Options_Names,"None_options")),6),""))</f>
        <v/>
      </c>
      <c r="P16" s="2" t="n"/>
      <c r="Q16" s="2" t="str">
        <f>IF(All_Questions_Q_SS_EXPORT_CT="(None)","",IFERROR(INDEX(INDIRECT(XLOOKUP(All_Questions_Q_SS_EXPORT_CT,All_Questions,All_Questions_Options_Names,"None_options")),7),""))</f>
        <v/>
      </c>
      <c r="R16" s="2" t="n"/>
      <c r="S16" s="2" t="str">
        <f>IF(All_Questions_Q_SS_EXPORT_CT="(None)","",IFERROR(INDEX(INDIRECT(XLOOKUP(All_Questions_Q_SS_EXPORT_CT,All_Questions,All_Questions_Options_Names,"None_options")),8),""))</f>
        <v/>
      </c>
      <c r="T16" s="2" t="n"/>
      <c r="U16" s="2" t="str">
        <f>IF(All_Questions_Q_SS_EXPORT_CT="(None)","",IFERROR(INDEX(INDIRECT(XLOOKUP(All_Questions_Q_SS_EXPORT_CT,All_Questions,All_Questions_Options_Names,"None_options")),9),""))</f>
        <v/>
      </c>
      <c r="V16" s="2" t="n"/>
      <c r="W16" s="2" t="str">
        <f>IF(All_Questions_Q_SS_EXPORT_CT="(None)","",IFERROR(INDEX(INDIRECT(XLOOKUP(All_Questions_Q_SS_EXPORT_CT,All_Questions,All_Questions_Options_Names,"None_options")),10),""))</f>
        <v/>
      </c>
      <c r="X16" s="2" t="n"/>
      <c r="Y16" s="2" t="str">
        <f>IF(All_Questions_Q_SS_EXPORT_CT="(None)","",IFERROR(INDEX(INDIRECT(XLOOKUP(All_Questions_Q_SS_EXPORT_CT,All_Questions,All_Questions_Options_Names,"None_options")),11),""))</f>
        <v/>
      </c>
      <c r="Z16" s="2" t="n"/>
      <c r="AA16" s="2" t="str">
        <f>IF(All_Questions_Q_SS_EXPORT_CT="(None)","",IFERROR(INDEX(INDIRECT(XLOOKUP(All_Questions_Q_SS_EXPORT_CT,All_Questions,All_Questions_Options_Names,"None_options")),12),""))</f>
        <v/>
      </c>
      <c r="AB16" s="2" t="n"/>
      <c r="AC16" s="2" t="str">
        <f>IF(All_Questions_Q_SS_EXPORT_CT="(None)","",IF(COUNTA(INDIRECT(XLOOKUP(All_Questions_Q_SS_EXPORT_CT,All_Questions,All_Questions_Options_Names,"None_options")))-1&gt;11,"Other",IFERROR(INDEX(INDIRECT(XLOOKUP(All_Questions_Q_SS_EXPORT_CT,All_Questions,All_Questions_Options_Names,"None_options")),13),"")))</f>
        <v/>
      </c>
      <c r="AD16" s="2" t="n"/>
      <c r="AE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% of resp</t>
        </is>
      </c>
      <c r="I17" s="4" t="inlineStr">
        <is>
          <t># of resp</t>
        </is>
      </c>
      <c r="J17" s="4" t="inlineStr">
        <is>
          <t>% of resp</t>
        </is>
      </c>
      <c r="K17" s="4" t="inlineStr">
        <is>
          <t># of resp</t>
        </is>
      </c>
      <c r="L17" s="4" t="inlineStr">
        <is>
          <t>% of resp</t>
        </is>
      </c>
      <c r="M17" s="4" t="inlineStr">
        <is>
          <t># of resp</t>
        </is>
      </c>
      <c r="N17" s="4" t="inlineStr">
        <is>
          <t>% of resp</t>
        </is>
      </c>
      <c r="O17" s="4" t="inlineStr">
        <is>
          <t># of resp</t>
        </is>
      </c>
      <c r="P17" s="4" t="inlineStr">
        <is>
          <t>% of resp</t>
        </is>
      </c>
      <c r="Q17" s="4" t="inlineStr">
        <is>
          <t># of resp</t>
        </is>
      </c>
      <c r="R17" s="4" t="inlineStr">
        <is>
          <t>% of resp</t>
        </is>
      </c>
      <c r="S17" s="4" t="inlineStr">
        <is>
          <t># of resp</t>
        </is>
      </c>
      <c r="T17" s="4" t="inlineStr">
        <is>
          <t>% of resp</t>
        </is>
      </c>
      <c r="U17" s="4" t="inlineStr">
        <is>
          <t># of resp</t>
        </is>
      </c>
      <c r="V17" s="4" t="inlineStr">
        <is>
          <t>% of resp</t>
        </is>
      </c>
      <c r="W17" s="4" t="inlineStr">
        <is>
          <t># of resp</t>
        </is>
      </c>
      <c r="X17" s="4" t="inlineStr">
        <is>
          <t>% of resp</t>
        </is>
      </c>
      <c r="Y17" s="4" t="inlineStr">
        <is>
          <t># of resp</t>
        </is>
      </c>
      <c r="Z17" s="4" t="inlineStr">
        <is>
          <t>% of resp</t>
        </is>
      </c>
      <c r="AA17" s="4" t="inlineStr">
        <is>
          <t># of resp</t>
        </is>
      </c>
      <c r="AB17" s="4" t="inlineStr">
        <is>
          <t>% of resp</t>
        </is>
      </c>
      <c r="AC17" s="4" t="inlineStr">
        <is>
          <t># of resp</t>
        </is>
      </c>
      <c r="AD17" s="4" t="inlineStr">
        <is>
          <t>% of resp</t>
        </is>
      </c>
      <c r="AE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8" s="7">
        <f>IFERROR(G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8" s="7">
        <f>IFERROR(I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8" s="7">
        <f>IFERROR(K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8" s="7">
        <f>IFERROR(M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8" s="7">
        <f>IFERROR(O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8" s="7">
        <f>IFERROR(Q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8">
        <f>IF(OR(All_Questions_Q_SS_EXPORT_CT="(None)",S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8" s="7">
        <f>IFERROR(S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8">
        <f>IF(OR(All_Questions_Q_SS_EXPORT_CT="(None)",U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8" s="7">
        <f>IFERROR(U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8">
        <f>IF(OR(All_Questions_Q_SS_EXPORT_CT="(None)",W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8" s="7">
        <f>IFERROR(W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8">
        <f>IF(OR(All_Questions_Q_SS_EXPORT_CT="(None)",Y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8" s="7">
        <f>IFERROR(Y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8">
        <f>IF(OR(All_Questions_Q_SS_EXPORT_CT="(None)",AA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8" s="7">
        <f>IFERROR(AA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8">
        <f>IF(OR(All_Questions_Q_SS_EXPORT_CT="(None)",AC$16=""),"",IF(AC$16="Other",COUNTIFS(Q_SS_EXPORT_data,"Yes",passes_workbook_filters_data,1,passes_workbook_custom_filters_data,1,All_Questions_passes_local_filters_data,1,All_Questions_Q_SS_EXPORT_F_passes_per_q_filter_data,1)-SUM(G18,I18,K18,M18,O18,Q18,S18,U18,W18,Y18,AA18)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8" s="7">
        <f>IFERROR(AC18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9" s="7">
        <f>IFERROR(G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9" s="7">
        <f>IFERROR(I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9" s="7">
        <f>IFERROR(K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9" s="7">
        <f>IFERROR(M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9" s="7">
        <f>IFERROR(O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9" s="7">
        <f>IFERROR(Q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9">
        <f>IF(OR(All_Questions_Q_SS_EXPORT_CT="(None)",S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9" s="7">
        <f>IFERROR(S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9">
        <f>IF(OR(All_Questions_Q_SS_EXPORT_CT="(None)",U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9" s="7">
        <f>IFERROR(U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9">
        <f>IF(OR(All_Questions_Q_SS_EXPORT_CT="(None)",W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9" s="7">
        <f>IFERROR(W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9">
        <f>IF(OR(All_Questions_Q_SS_EXPORT_CT="(None)",Y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9" s="7">
        <f>IFERROR(Y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9">
        <f>IF(OR(All_Questions_Q_SS_EXPORT_CT="(None)",AA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9" s="7">
        <f>IFERROR(AA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9">
        <f>IF(OR(All_Questions_Q_SS_EXPORT_CT="(None)",AC$16=""),"",IF(AC$16="Other",COUNTIFS(Q_SS_EXPORT_data,"No",passes_workbook_filters_data,1,passes_workbook_custom_filters_data,1,All_Questions_passes_local_filters_data,1,All_Questions_Q_SS_EXPORT_F_passes_per_q_filter_data,1)-SUM(G19,I19,K19,M19,O19,Q19,S19,U19,W19,Y19,AA19)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9" s="7">
        <f>IFERROR(AC19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IF(All_Questions_Q_MS_EXPORT_CT="(None)","",IFERROR(INDEX(INDIRECT(XLOOKUP(All_Questions_Q_MS_EXPORT_CT,All_Questions,All_Questions_Options_Names,"None_options")),2),""))</f>
        <v/>
      </c>
      <c r="H26" s="2" t="n"/>
      <c r="I26" s="2" t="str">
        <f>IF(All_Questions_Q_MS_EXPORT_CT="(None)","",IFERROR(INDEX(INDIRECT(XLOOKUP(All_Questions_Q_MS_EXPORT_CT,All_Questions,All_Questions_Options_Names,"None_options")),3),""))</f>
        <v/>
      </c>
      <c r="J26" s="2" t="n"/>
      <c r="K26" s="2" t="str">
        <f>IF(All_Questions_Q_MS_EXPORT_CT="(None)","",IFERROR(INDEX(INDIRECT(XLOOKUP(All_Questions_Q_MS_EXPORT_CT,All_Questions,All_Questions_Options_Names,"None_options")),4),""))</f>
        <v/>
      </c>
      <c r="L26" s="2" t="n"/>
      <c r="M26" s="2" t="str">
        <f>IF(All_Questions_Q_MS_EXPORT_CT="(None)","",IFERROR(INDEX(INDIRECT(XLOOKUP(All_Questions_Q_MS_EXPORT_CT,All_Questions,All_Questions_Options_Names,"None_options")),5),""))</f>
        <v/>
      </c>
      <c r="N26" s="2" t="n"/>
      <c r="O26" s="2" t="str">
        <f>IF(All_Questions_Q_MS_EXPORT_CT="(None)","",IFERROR(INDEX(INDIRECT(XLOOKUP(All_Questions_Q_MS_EXPORT_CT,All_Questions,All_Questions_Options_Names,"None_options")),6),""))</f>
        <v/>
      </c>
      <c r="P26" s="2" t="n"/>
      <c r="Q26" s="2" t="str">
        <f>IF(All_Questions_Q_MS_EXPORT_CT="(None)","",IFERROR(INDEX(INDIRECT(XLOOKUP(All_Questions_Q_MS_EXPORT_CT,All_Questions,All_Questions_Options_Names,"None_options")),7),""))</f>
        <v/>
      </c>
      <c r="R26" s="2" t="n"/>
      <c r="S26" s="2" t="str">
        <f>IF(All_Questions_Q_MS_EXPORT_CT="(None)","",IFERROR(INDEX(INDIRECT(XLOOKUP(All_Questions_Q_MS_EXPORT_CT,All_Questions,All_Questions_Options_Names,"None_options")),8),""))</f>
        <v/>
      </c>
      <c r="T26" s="2" t="n"/>
      <c r="U26" s="2" t="str">
        <f>IF(All_Questions_Q_MS_EXPORT_CT="(None)","",IFERROR(INDEX(INDIRECT(XLOOKUP(All_Questions_Q_MS_EXPORT_CT,All_Questions,All_Questions_Options_Names,"None_options")),9),""))</f>
        <v/>
      </c>
      <c r="V26" s="2" t="n"/>
      <c r="W26" s="2" t="str">
        <f>IF(All_Questions_Q_MS_EXPORT_CT="(None)","",IFERROR(INDEX(INDIRECT(XLOOKUP(All_Questions_Q_MS_EXPORT_CT,All_Questions,All_Questions_Options_Names,"None_options")),10),""))</f>
        <v/>
      </c>
      <c r="X26" s="2" t="n"/>
      <c r="Y26" s="2" t="str">
        <f>IF(All_Questions_Q_MS_EXPORT_CT="(None)","",IFERROR(INDEX(INDIRECT(XLOOKUP(All_Questions_Q_MS_EXPORT_CT,All_Questions,All_Questions_Options_Names,"None_options")),11),""))</f>
        <v/>
      </c>
      <c r="Z26" s="2" t="n"/>
      <c r="AA26" s="2" t="str">
        <f>IF(All_Questions_Q_MS_EXPORT_CT="(None)","",IFERROR(INDEX(INDIRECT(XLOOKUP(All_Questions_Q_MS_EXPORT_CT,All_Questions,All_Questions_Options_Names,"None_options")),12),""))</f>
        <v/>
      </c>
      <c r="AB26" s="2" t="n"/>
      <c r="AC26" s="2" t="str">
        <f>IF(All_Questions_Q_MS_EXPORT_CT="(None)","",IF(COUNTA(INDIRECT(XLOOKUP(All_Questions_Q_MS_EXPORT_CT,All_Questions,All_Questions_Options_Names,"None_options")))-1&gt;11,"Other",IFERROR(INDEX(INDIRECT(XLOOKUP(All_Questions_Q_MS_EXPORT_CT,All_Questions,All_Questions_Options_Names,"None_options")),13),"")))</f>
        <v/>
      </c>
      <c r="AD26" s="2" t="n"/>
      <c r="AE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% of resp</t>
        </is>
      </c>
      <c r="I27" s="4" t="inlineStr">
        <is>
          <t># of resp</t>
        </is>
      </c>
      <c r="J27" s="4" t="inlineStr">
        <is>
          <t>% of resp</t>
        </is>
      </c>
      <c r="K27" s="4" t="inlineStr">
        <is>
          <t># of resp</t>
        </is>
      </c>
      <c r="L27" s="4" t="inlineStr">
        <is>
          <t>% of resp</t>
        </is>
      </c>
      <c r="M27" s="4" t="inlineStr">
        <is>
          <t># of resp</t>
        </is>
      </c>
      <c r="N27" s="4" t="inlineStr">
        <is>
          <t>% of resp</t>
        </is>
      </c>
      <c r="O27" s="4" t="inlineStr">
        <is>
          <t># of resp</t>
        </is>
      </c>
      <c r="P27" s="4" t="inlineStr">
        <is>
          <t>% of resp</t>
        </is>
      </c>
      <c r="Q27" s="4" t="inlineStr">
        <is>
          <t># of resp</t>
        </is>
      </c>
      <c r="R27" s="4" t="inlineStr">
        <is>
          <t>% of resp</t>
        </is>
      </c>
      <c r="S27" s="4" t="inlineStr">
        <is>
          <t># of resp</t>
        </is>
      </c>
      <c r="T27" s="4" t="inlineStr">
        <is>
          <t>% of resp</t>
        </is>
      </c>
      <c r="U27" s="4" t="inlineStr">
        <is>
          <t># of resp</t>
        </is>
      </c>
      <c r="V27" s="4" t="inlineStr">
        <is>
          <t>% of resp</t>
        </is>
      </c>
      <c r="W27" s="4" t="inlineStr">
        <is>
          <t># of resp</t>
        </is>
      </c>
      <c r="X27" s="4" t="inlineStr">
        <is>
          <t>% of resp</t>
        </is>
      </c>
      <c r="Y27" s="4" t="inlineStr">
        <is>
          <t># of resp</t>
        </is>
      </c>
      <c r="Z27" s="4" t="inlineStr">
        <is>
          <t>% of resp</t>
        </is>
      </c>
      <c r="AA27" s="4" t="inlineStr">
        <is>
          <t># of resp</t>
        </is>
      </c>
      <c r="AB27" s="4" t="inlineStr">
        <is>
          <t>% of resp</t>
        </is>
      </c>
      <c r="AC27" s="4" t="inlineStr">
        <is>
          <t># of resp</t>
        </is>
      </c>
      <c r="AD27" s="4" t="inlineStr">
        <is>
          <t>% of resp</t>
        </is>
      </c>
      <c r="AE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8" s="7">
        <f>IFERROR(G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8" s="7">
        <f>IFERROR(I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8" s="7">
        <f>IFERROR(K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8" s="7">
        <f>IFERROR(M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8" s="7">
        <f>IFERROR(O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8" s="7">
        <f>IFERROR(Q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8">
        <f>IF(OR(All_Questions_Q_MS_EXPORT_CT="(None)",S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8" s="7">
        <f>IFERROR(S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8">
        <f>IF(OR(All_Questions_Q_MS_EXPORT_CT="(None)",U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8" s="7">
        <f>IFERROR(U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8">
        <f>IF(OR(All_Questions_Q_MS_EXPORT_CT="(None)",W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8" s="7">
        <f>IFERROR(W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8">
        <f>IF(OR(All_Questions_Q_MS_EXPORT_CT="(None)",Y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8" s="7">
        <f>IFERROR(Y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8">
        <f>IF(OR(All_Questions_Q_MS_EXPORT_CT="(None)",AA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8" s="7">
        <f>IFERROR(AA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8">
        <f>IF(OR(All_Questions_Q_MS_EXPORT_CT="(None)",AC$26=""),"",IF(AC$26="Other",COUNTIFS(Q_MS_EXPORTr1_data,"Selected",passes_workbook_filters_data,1,passes_workbook_custom_filters_data,1,All_Questions_passes_local_filters_data,1,All_Questions_Q_MS_EXPORT_F_passes_per_q_filter_data,1)-SUM(G28,I28,K28,M28,O28,Q28,S28,U28,W28,Y28,AA28)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8" s="7">
        <f>IFERROR(AC28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9" s="7">
        <f>IFERROR(G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9" s="7">
        <f>IFERROR(I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9" s="7">
        <f>IFERROR(K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9" s="7">
        <f>IFERROR(M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9" s="7">
        <f>IFERROR(O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9" s="7">
        <f>IFERROR(Q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9">
        <f>IF(OR(All_Questions_Q_MS_EXPORT_CT="(None)",S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9" s="7">
        <f>IFERROR(S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9">
        <f>IF(OR(All_Questions_Q_MS_EXPORT_CT="(None)",U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9" s="7">
        <f>IFERROR(U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9">
        <f>IF(OR(All_Questions_Q_MS_EXPORT_CT="(None)",W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9" s="7">
        <f>IFERROR(W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9">
        <f>IF(OR(All_Questions_Q_MS_EXPORT_CT="(None)",Y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9" s="7">
        <f>IFERROR(Y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9">
        <f>IF(OR(All_Questions_Q_MS_EXPORT_CT="(None)",AA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9" s="7">
        <f>IFERROR(AA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9">
        <f>IF(OR(All_Questions_Q_MS_EXPORT_CT="(None)",AC$26=""),"",IF(AC$26="Other",COUNTIFS(Q_MS_EXPORTr2_data,"Selected",passes_workbook_filters_data,1,passes_workbook_custom_filters_data,1,All_Questions_passes_local_filters_data,1,All_Questions_Q_MS_EXPORT_F_passes_per_q_filter_data,1)-SUM(G29,I29,K29,M29,O29,Q29,S29,U29,W29,Y29,AA29)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9" s="7">
        <f>IFERROR(AC29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4" t="inlineStr">
        <is>
          <t>Option</t>
        </is>
      </c>
      <c r="G48" s="2" t="str">
        <f>IF(All_Questions_Q_GRID_EXPORT_CT="(None)","",IFERROR(INDEX(INDIRECT(XLOOKUP(All_Questions_Q_GRID_EXPORT_CT,All_Questions,All_Questions_Options_Names,"None_options")),2),""))</f>
        <v/>
      </c>
      <c r="H48" s="2" t="n"/>
      <c r="I48" s="2" t="str">
        <f>IF(All_Questions_Q_GRID_EXPORT_CT="(None)","",IFERROR(INDEX(INDIRECT(XLOOKUP(All_Questions_Q_GRID_EXPORT_CT,All_Questions,All_Questions_Options_Names,"None_options")),3),""))</f>
        <v/>
      </c>
      <c r="J48" s="2" t="n"/>
      <c r="K48" s="2" t="str">
        <f>IF(All_Questions_Q_GRID_EXPORT_CT="(None)","",IFERROR(INDEX(INDIRECT(XLOOKUP(All_Questions_Q_GRID_EXPORT_CT,All_Questions,All_Questions_Options_Names,"None_options")),4),""))</f>
        <v/>
      </c>
      <c r="L48" s="2" t="n"/>
      <c r="M48" s="2" t="str">
        <f>IF(All_Questions_Q_GRID_EXPORT_CT="(None)","",IFERROR(INDEX(INDIRECT(XLOOKUP(All_Questions_Q_GRID_EXPORT_CT,All_Questions,All_Questions_Options_Names,"None_options")),5),""))</f>
        <v/>
      </c>
      <c r="N48" s="2" t="n"/>
      <c r="O48" s="2" t="str">
        <f>IF(All_Questions_Q_GRID_EXPORT_CT="(None)","",IFERROR(INDEX(INDIRECT(XLOOKUP(All_Questions_Q_GRID_EXPORT_CT,All_Questions,All_Questions_Options_Names,"None_options")),6),""))</f>
        <v/>
      </c>
      <c r="P48" s="2" t="n"/>
      <c r="Q48" s="2" t="str">
        <f>IF(All_Questions_Q_GRID_EXPORT_CT="(None)","",IFERROR(INDEX(INDIRECT(XLOOKUP(All_Questions_Q_GRID_EXPORT_CT,All_Questions,All_Questions_Options_Names,"None_options")),7),""))</f>
        <v/>
      </c>
      <c r="R48" s="2" t="n"/>
      <c r="S48" s="2" t="str">
        <f>IF(All_Questions_Q_GRID_EXPORT_CT="(None)","",IFERROR(INDEX(INDIRECT(XLOOKUP(All_Questions_Q_GRID_EXPORT_CT,All_Questions,All_Questions_Options_Names,"None_options")),8),""))</f>
        <v/>
      </c>
      <c r="T48" s="2" t="n"/>
      <c r="U48" s="2" t="str">
        <f>IF(All_Questions_Q_GRID_EXPORT_CT="(None)","",IFERROR(INDEX(INDIRECT(XLOOKUP(All_Questions_Q_GRID_EXPORT_CT,All_Questions,All_Questions_Options_Names,"None_options")),9),""))</f>
        <v/>
      </c>
      <c r="V48" s="2" t="n"/>
      <c r="W48" s="2" t="str">
        <f>IF(All_Questions_Q_GRID_EXPORT_CT="(None)","",IFERROR(INDEX(INDIRECT(XLOOKUP(All_Questions_Q_GRID_EXPORT_CT,All_Questions,All_Questions_Options_Names,"None_options")),10),""))</f>
        <v/>
      </c>
      <c r="X48" s="2" t="n"/>
      <c r="Y48" s="2" t="str">
        <f>IF(All_Questions_Q_GRID_EXPORT_CT="(None)","",IFERROR(INDEX(INDIRECT(XLOOKUP(All_Questions_Q_GRID_EXPORT_CT,All_Questions,All_Questions_Options_Names,"None_options")),11),""))</f>
        <v/>
      </c>
      <c r="Z48" s="2" t="n"/>
      <c r="AA48" s="2" t="str">
        <f>IF(All_Questions_Q_GRID_EXPORT_CT="(None)","",IFERROR(INDEX(INDIRECT(XLOOKUP(All_Questions_Q_GRID_EXPORT_CT,All_Questions,All_Questions_Options_Names,"None_options")),12),""))</f>
        <v/>
      </c>
      <c r="AB48" s="2" t="n"/>
      <c r="AC48" s="2" t="str">
        <f>IF(All_Questions_Q_GRID_EXPORT_CT="(None)","",IF(COUNTA(INDIRECT(XLOOKUP(All_Questions_Q_GRID_EXPORT_CT,All_Questions,All_Questions_Options_Names,"None_options")))-1&gt;11,"Other",IFERROR(INDEX(INDIRECT(XLOOKUP(All_Questions_Q_GRID_EXPORT_CT,All_Questions,All_Questions_Options_Names,"None_options")),13),"")))</f>
        <v/>
      </c>
      <c r="AD48" s="2" t="n"/>
      <c r="AE48" s="4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s="4" t="inlineStr"/>
      <c r="G49" s="4" t="inlineStr">
        <is>
          <t># of resp</t>
        </is>
      </c>
      <c r="H49" s="4" t="inlineStr">
        <is>
          <t>% of resp</t>
        </is>
      </c>
      <c r="I49" s="4" t="inlineStr">
        <is>
          <t># of resp</t>
        </is>
      </c>
      <c r="J49" s="4" t="inlineStr">
        <is>
          <t>% of resp</t>
        </is>
      </c>
      <c r="K49" s="4" t="inlineStr">
        <is>
          <t># of resp</t>
        </is>
      </c>
      <c r="L49" s="4" t="inlineStr">
        <is>
          <t>% of resp</t>
        </is>
      </c>
      <c r="M49" s="4" t="inlineStr">
        <is>
          <t># of resp</t>
        </is>
      </c>
      <c r="N49" s="4" t="inlineStr">
        <is>
          <t>% of resp</t>
        </is>
      </c>
      <c r="O49" s="4" t="inlineStr">
        <is>
          <t># of resp</t>
        </is>
      </c>
      <c r="P49" s="4" t="inlineStr">
        <is>
          <t>% of resp</t>
        </is>
      </c>
      <c r="Q49" s="4" t="inlineStr">
        <is>
          <t># of resp</t>
        </is>
      </c>
      <c r="R49" s="4" t="inlineStr">
        <is>
          <t>% of resp</t>
        </is>
      </c>
      <c r="S49" s="4" t="inlineStr">
        <is>
          <t># of resp</t>
        </is>
      </c>
      <c r="T49" s="4" t="inlineStr">
        <is>
          <t>% of resp</t>
        </is>
      </c>
      <c r="U49" s="4" t="inlineStr">
        <is>
          <t># of resp</t>
        </is>
      </c>
      <c r="V49" s="4" t="inlineStr">
        <is>
          <t>% of resp</t>
        </is>
      </c>
      <c r="W49" s="4" t="inlineStr">
        <is>
          <t># of resp</t>
        </is>
      </c>
      <c r="X49" s="4" t="inlineStr">
        <is>
          <t>% of resp</t>
        </is>
      </c>
      <c r="Y49" s="4" t="inlineStr">
        <is>
          <t># of resp</t>
        </is>
      </c>
      <c r="Z49" s="4" t="inlineStr">
        <is>
          <t>% of resp</t>
        </is>
      </c>
      <c r="AA49" s="4" t="inlineStr">
        <is>
          <t># of resp</t>
        </is>
      </c>
      <c r="AB49" s="4" t="inlineStr">
        <is>
          <t>% of resp</t>
        </is>
      </c>
      <c r="AC49" s="4" t="inlineStr">
        <is>
          <t># of resp</t>
        </is>
      </c>
      <c r="AD49" s="4" t="inlineStr">
        <is>
          <t>% of resp</t>
        </is>
      </c>
      <c r="AE49" s="4" t="inlineStr">
        <is>
          <t># of resp</t>
        </is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first row</t>
        </is>
      </c>
      <c r="G50">
        <f>IF(OR(All_Questions_Q_GRID_EXPORT_CT="(None)",G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0" s="7">
        <f>IFERROR(G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0">
        <f>IF(OR(All_Questions_Q_GRID_EXPORT_CT="(None)",I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0" s="7">
        <f>IFERROR(I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0">
        <f>IF(OR(All_Questions_Q_GRID_EXPORT_CT="(None)",K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0" s="7">
        <f>IFERROR(K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0">
        <f>IF(OR(All_Questions_Q_GRID_EXPORT_CT="(None)",M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0" s="7">
        <f>IFERROR(M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0">
        <f>IF(OR(All_Questions_Q_GRID_EXPORT_CT="(None)",O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0" s="7">
        <f>IFERROR(O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0">
        <f>IF(OR(All_Questions_Q_GRID_EXPORT_CT="(None)",Q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0" s="7">
        <f>IFERROR(Q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0">
        <f>IF(OR(All_Questions_Q_GRID_EXPORT_CT="(None)",S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0" s="7">
        <f>IFERROR(S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0">
        <f>IF(OR(All_Questions_Q_GRID_EXPORT_CT="(None)",U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0" s="7">
        <f>IFERROR(U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0">
        <f>IF(OR(All_Questions_Q_GRID_EXPORT_CT="(None)",W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0" s="7">
        <f>IFERROR(W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0">
        <f>IF(OR(All_Questions_Q_GRID_EXPORT_CT="(None)",Y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0" s="7">
        <f>IFERROR(Y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0">
        <f>IF(OR(All_Questions_Q_GRID_EXPORT_CT="(None)",AA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0" s="7">
        <f>IFERROR(AA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0">
        <f>IF(OR(All_Questions_Q_GRID_EXPORT_CT="(None)",AC$48=""),"",IF(AC$48="Other",COUNTIFS(Q_GRID_EXPORTr1_data,"Selected",passes_workbook_filters_data,1,passes_workbook_custom_filters_data,1,All_Questions_passes_local_filters_data,1,All_Questions_Q_GRID_EXPORT_F_passes_per_q_filter_data,1)-SUM(G50,I50,K50,M50,O50,Q50,S50,U50,W50,Y50,AA50)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0" s="7">
        <f>IFERROR(AC50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0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  <c r="F51" t="inlineStr">
        <is>
          <t>Grid second row</t>
        </is>
      </c>
      <c r="G51">
        <f>IF(OR(All_Questions_Q_GRID_EXPORT_CT="(None)",G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1" s="7">
        <f>IFERROR(G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1">
        <f>IF(OR(All_Questions_Q_GRID_EXPORT_CT="(None)",I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1" s="7">
        <f>IFERROR(I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1">
        <f>IF(OR(All_Questions_Q_GRID_EXPORT_CT="(None)",K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1" s="7">
        <f>IFERROR(K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1">
        <f>IF(OR(All_Questions_Q_GRID_EXPORT_CT="(None)",M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1" s="7">
        <f>IFERROR(M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1">
        <f>IF(OR(All_Questions_Q_GRID_EXPORT_CT="(None)",O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1" s="7">
        <f>IFERROR(O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1">
        <f>IF(OR(All_Questions_Q_GRID_EXPORT_CT="(None)",Q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1" s="7">
        <f>IFERROR(Q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1">
        <f>IF(OR(All_Questions_Q_GRID_EXPORT_CT="(None)",S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1" s="7">
        <f>IFERROR(S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1">
        <f>IF(OR(All_Questions_Q_GRID_EXPORT_CT="(None)",U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1" s="7">
        <f>IFERROR(U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1">
        <f>IF(OR(All_Questions_Q_GRID_EXPORT_CT="(None)",W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1" s="7">
        <f>IFERROR(W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1">
        <f>IF(OR(All_Questions_Q_GRID_EXPORT_CT="(None)",Y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1" s="7">
        <f>IFERROR(Y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1">
        <f>IF(OR(All_Questions_Q_GRID_EXPORT_CT="(None)",AA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1" s="7">
        <f>IFERROR(AA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1">
        <f>IF(OR(All_Questions_Q_GRID_EXPORT_CT="(None)",AC$48=""),"",IF(AC$48="Other",COUNTIFS(Q_GRID_EXPORTr2_data,"Selected",passes_workbook_filters_data,1,passes_workbook_custom_filters_data,1,All_Questions_passes_local_filters_data,1,All_Questions_Q_GRID_EXPORT_F_passes_per_q_filter_data,1)-SUM(G51,I51,K51,M51,O51,Q51,S51,U51,W51,Y51,AA51)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1" s="7">
        <f>IFERROR(AC51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1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2">
      <c r="F52" s="4" t="inlineStr">
        <is>
          <t>Total respondents</t>
        </is>
      </c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4" t="inlineStr">
        <is>
          <t>Option</t>
        </is>
      </c>
      <c r="G58" s="2" t="str">
        <f>IF(All_Questions_Q_VERY_LONG_SINGLE_SELECT_EXPORT_NAME_CT="(None)","",IFERROR(INDEX(INDIRECT(XLOOKUP(All_Questions_Q_VERY_LONG_SINGLE_SELECT_EXPORT_NAME_CT,All_Questions,All_Questions_Options_Names,"None_options")),2),""))</f>
        <v/>
      </c>
      <c r="H58" s="2" t="n"/>
      <c r="I58" s="2" t="str">
        <f>IF(All_Questions_Q_VERY_LONG_SINGLE_SELECT_EXPORT_NAME_CT="(None)","",IFERROR(INDEX(INDIRECT(XLOOKUP(All_Questions_Q_VERY_LONG_SINGLE_SELECT_EXPORT_NAME_CT,All_Questions,All_Questions_Options_Names,"None_options")),3),""))</f>
        <v/>
      </c>
      <c r="J58" s="2" t="n"/>
      <c r="K58" s="2" t="str">
        <f>IF(All_Questions_Q_VERY_LONG_SINGLE_SELECT_EXPORT_NAME_CT="(None)","",IFERROR(INDEX(INDIRECT(XLOOKUP(All_Questions_Q_VERY_LONG_SINGLE_SELECT_EXPORT_NAME_CT,All_Questions,All_Questions_Options_Names,"None_options")),4),""))</f>
        <v/>
      </c>
      <c r="L58" s="2" t="n"/>
      <c r="M58" s="2" t="str">
        <f>IF(All_Questions_Q_VERY_LONG_SINGLE_SELECT_EXPORT_NAME_CT="(None)","",IFERROR(INDEX(INDIRECT(XLOOKUP(All_Questions_Q_VERY_LONG_SINGLE_SELECT_EXPORT_NAME_CT,All_Questions,All_Questions_Options_Names,"None_options")),5),""))</f>
        <v/>
      </c>
      <c r="N58" s="2" t="n"/>
      <c r="O58" s="2" t="str">
        <f>IF(All_Questions_Q_VERY_LONG_SINGLE_SELECT_EXPORT_NAME_CT="(None)","",IFERROR(INDEX(INDIRECT(XLOOKUP(All_Questions_Q_VERY_LONG_SINGLE_SELECT_EXPORT_NAME_CT,All_Questions,All_Questions_Options_Names,"None_options")),6),""))</f>
        <v/>
      </c>
      <c r="P58" s="2" t="n"/>
      <c r="Q58" s="2" t="str">
        <f>IF(All_Questions_Q_VERY_LONG_SINGLE_SELECT_EXPORT_NAME_CT="(None)","",IFERROR(INDEX(INDIRECT(XLOOKUP(All_Questions_Q_VERY_LONG_SINGLE_SELECT_EXPORT_NAME_CT,All_Questions,All_Questions_Options_Names,"None_options")),7),""))</f>
        <v/>
      </c>
      <c r="R58" s="2" t="n"/>
      <c r="S58" s="2" t="str">
        <f>IF(All_Questions_Q_VERY_LONG_SINGLE_SELECT_EXPORT_NAME_CT="(None)","",IFERROR(INDEX(INDIRECT(XLOOKUP(All_Questions_Q_VERY_LONG_SINGLE_SELECT_EXPORT_NAME_CT,All_Questions,All_Questions_Options_Names,"None_options")),8),""))</f>
        <v/>
      </c>
      <c r="T58" s="2" t="n"/>
      <c r="U58" s="2" t="str">
        <f>IF(All_Questions_Q_VERY_LONG_SINGLE_SELECT_EXPORT_NAME_CT="(None)","",IFERROR(INDEX(INDIRECT(XLOOKUP(All_Questions_Q_VERY_LONG_SINGLE_SELECT_EXPORT_NAME_CT,All_Questions,All_Questions_Options_Names,"None_options")),9),""))</f>
        <v/>
      </c>
      <c r="V58" s="2" t="n"/>
      <c r="W58" s="2" t="str">
        <f>IF(All_Questions_Q_VERY_LONG_SINGLE_SELECT_EXPORT_NAME_CT="(None)","",IFERROR(INDEX(INDIRECT(XLOOKUP(All_Questions_Q_VERY_LONG_SINGLE_SELECT_EXPORT_NAME_CT,All_Questions,All_Questions_Options_Names,"None_options")),10),""))</f>
        <v/>
      </c>
      <c r="X58" s="2" t="n"/>
      <c r="Y58" s="2" t="str">
        <f>IF(All_Questions_Q_VERY_LONG_SINGLE_SELECT_EXPORT_NAME_CT="(None)","",IFERROR(INDEX(INDIRECT(XLOOKUP(All_Questions_Q_VERY_LONG_SINGLE_SELECT_EXPORT_NAME_CT,All_Questions,All_Questions_Options_Names,"None_options")),11),""))</f>
        <v/>
      </c>
      <c r="Z58" s="2" t="n"/>
      <c r="AA58" s="2" t="str">
        <f>IF(All_Questions_Q_VERY_LONG_SINGLE_SELECT_EXPORT_NAME_CT="(None)","",IFERROR(INDEX(INDIRECT(XLOOKUP(All_Questions_Q_VERY_LONG_SINGLE_SELECT_EXPORT_NAME_CT,All_Questions,All_Questions_Options_Names,"None_options")),12),""))</f>
        <v/>
      </c>
      <c r="AB58" s="2" t="n"/>
      <c r="AC58" s="2" t="str">
        <f>IF(All_Questions_Q_VERY_LONG_SINGLE_SELECT_EXPORT_NAME_CT="(None)","",IF(COUNTA(INDIRECT(XLOOKUP(All_Questions_Q_VERY_LONG_SINGLE_SELECT_EXPORT_NAME_CT,All_Questions,All_Questions_Options_Names,"None_options")))-1&gt;11,"Other",IFERROR(INDEX(INDIRECT(XLOOKUP(All_Questions_Q_VERY_LONG_SINGLE_SELECT_EXPORT_NAME_CT,All_Questions,All_Questions_Options_Names,"None_options")),13),"")))</f>
        <v/>
      </c>
      <c r="AD58" s="2" t="n"/>
      <c r="AE58" s="4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s="4" t="inlineStr"/>
      <c r="G59" s="4" t="inlineStr">
        <is>
          <t># of resp</t>
        </is>
      </c>
      <c r="H59" s="4" t="inlineStr">
        <is>
          <t>% of resp</t>
        </is>
      </c>
      <c r="I59" s="4" t="inlineStr">
        <is>
          <t># of resp</t>
        </is>
      </c>
      <c r="J59" s="4" t="inlineStr">
        <is>
          <t>% of resp</t>
        </is>
      </c>
      <c r="K59" s="4" t="inlineStr">
        <is>
          <t># of resp</t>
        </is>
      </c>
      <c r="L59" s="4" t="inlineStr">
        <is>
          <t>% of resp</t>
        </is>
      </c>
      <c r="M59" s="4" t="inlineStr">
        <is>
          <t># of resp</t>
        </is>
      </c>
      <c r="N59" s="4" t="inlineStr">
        <is>
          <t>% of resp</t>
        </is>
      </c>
      <c r="O59" s="4" t="inlineStr">
        <is>
          <t># of resp</t>
        </is>
      </c>
      <c r="P59" s="4" t="inlineStr">
        <is>
          <t>% of resp</t>
        </is>
      </c>
      <c r="Q59" s="4" t="inlineStr">
        <is>
          <t># of resp</t>
        </is>
      </c>
      <c r="R59" s="4" t="inlineStr">
        <is>
          <t>% of resp</t>
        </is>
      </c>
      <c r="S59" s="4" t="inlineStr">
        <is>
          <t># of resp</t>
        </is>
      </c>
      <c r="T59" s="4" t="inlineStr">
        <is>
          <t>% of resp</t>
        </is>
      </c>
      <c r="U59" s="4" t="inlineStr">
        <is>
          <t># of resp</t>
        </is>
      </c>
      <c r="V59" s="4" t="inlineStr">
        <is>
          <t>% of resp</t>
        </is>
      </c>
      <c r="W59" s="4" t="inlineStr">
        <is>
          <t># of resp</t>
        </is>
      </c>
      <c r="X59" s="4" t="inlineStr">
        <is>
          <t>% of resp</t>
        </is>
      </c>
      <c r="Y59" s="4" t="inlineStr">
        <is>
          <t># of resp</t>
        </is>
      </c>
      <c r="Z59" s="4" t="inlineStr">
        <is>
          <t>% of resp</t>
        </is>
      </c>
      <c r="AA59" s="4" t="inlineStr">
        <is>
          <t># of resp</t>
        </is>
      </c>
      <c r="AB59" s="4" t="inlineStr">
        <is>
          <t>% of resp</t>
        </is>
      </c>
      <c r="AC59" s="4" t="inlineStr">
        <is>
          <t># of resp</t>
        </is>
      </c>
      <c r="AD59" s="4" t="inlineStr">
        <is>
          <t>% of resp</t>
        </is>
      </c>
      <c r="AE59" s="4" t="inlineStr">
        <is>
          <t># of resp</t>
        </is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A</t>
        </is>
      </c>
      <c r="G60">
        <f>IF(OR(All_Questions_Q_VERY_LONG_SINGLE_SELECT_EXPORT_NAME_CT="(None)",G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0" s="7">
        <f>IFERROR(G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0">
        <f>IF(OR(All_Questions_Q_VERY_LONG_SINGLE_SELECT_EXPORT_NAME_CT="(None)",I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0" s="7">
        <f>IFERROR(I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0">
        <f>IF(OR(All_Questions_Q_VERY_LONG_SINGLE_SELECT_EXPORT_NAME_CT="(None)",K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0" s="7">
        <f>IFERROR(K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0">
        <f>IF(OR(All_Questions_Q_VERY_LONG_SINGLE_SELECT_EXPORT_NAME_CT="(None)",M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0" s="7">
        <f>IFERROR(M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0">
        <f>IF(OR(All_Questions_Q_VERY_LONG_SINGLE_SELECT_EXPORT_NAME_CT="(None)",O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0" s="7">
        <f>IFERROR(O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0">
        <f>IF(OR(All_Questions_Q_VERY_LONG_SINGLE_SELECT_EXPORT_NAME_CT="(None)",Q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0" s="7">
        <f>IFERROR(Q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0">
        <f>IF(OR(All_Questions_Q_VERY_LONG_SINGLE_SELECT_EXPORT_NAME_CT="(None)",S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0" s="7">
        <f>IFERROR(S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0">
        <f>IF(OR(All_Questions_Q_VERY_LONG_SINGLE_SELECT_EXPORT_NAME_CT="(None)",U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0" s="7">
        <f>IFERROR(U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0">
        <f>IF(OR(All_Questions_Q_VERY_LONG_SINGLE_SELECT_EXPORT_NAME_CT="(None)",W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0" s="7">
        <f>IFERROR(W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0">
        <f>IF(OR(All_Questions_Q_VERY_LONG_SINGLE_SELECT_EXPORT_NAME_CT="(None)",Y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0" s="7">
        <f>IFERROR(Y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0">
        <f>IF(OR(All_Questions_Q_VERY_LONG_SINGLE_SELECT_EXPORT_NAME_CT="(None)",AA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0" s="7">
        <f>IFERROR(AA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0">
        <f>IF(OR(All_Questions_Q_VERY_LONG_SINGLE_SELECT_EXPORT_NAME_CT="(None)",AC$58=""),"",IF(AC$58="Other",COUNTIFS(Q_VERY_LONG_SINGLE_SELECT_EXPOR_data,"A",passes_workbook_filters_data,1,passes_workbook_custom_filters_data,1,All_Questions_passes_local_filters_data,1,All_Questions_Q_VERY_LONG_SINGLE_SELECT_EXPORT_NAME_F_passes_per_q_filter_data,1)-SUM(G60,I60,K60,M60,O60,Q60,S60,U60,W60,Y60,AA60)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0" s="7">
        <f>IFERROR(AC60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  <c r="F61" t="inlineStr">
        <is>
          <t>B</t>
        </is>
      </c>
      <c r="G61">
        <f>IF(OR(All_Questions_Q_VERY_LONG_SINGLE_SELECT_EXPORT_NAME_CT="(None)",G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1" s="7">
        <f>IFERROR(G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1">
        <f>IF(OR(All_Questions_Q_VERY_LONG_SINGLE_SELECT_EXPORT_NAME_CT="(None)",I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1" s="7">
        <f>IFERROR(I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1">
        <f>IF(OR(All_Questions_Q_VERY_LONG_SINGLE_SELECT_EXPORT_NAME_CT="(None)",K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1" s="7">
        <f>IFERROR(K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1">
        <f>IF(OR(All_Questions_Q_VERY_LONG_SINGLE_SELECT_EXPORT_NAME_CT="(None)",M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1" s="7">
        <f>IFERROR(M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1">
        <f>IF(OR(All_Questions_Q_VERY_LONG_SINGLE_SELECT_EXPORT_NAME_CT="(None)",O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1" s="7">
        <f>IFERROR(O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1">
        <f>IF(OR(All_Questions_Q_VERY_LONG_SINGLE_SELECT_EXPORT_NAME_CT="(None)",Q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1" s="7">
        <f>IFERROR(Q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1">
        <f>IF(OR(All_Questions_Q_VERY_LONG_SINGLE_SELECT_EXPORT_NAME_CT="(None)",S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1" s="7">
        <f>IFERROR(S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1">
        <f>IF(OR(All_Questions_Q_VERY_LONG_SINGLE_SELECT_EXPORT_NAME_CT="(None)",U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1" s="7">
        <f>IFERROR(U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1">
        <f>IF(OR(All_Questions_Q_VERY_LONG_SINGLE_SELECT_EXPORT_NAME_CT="(None)",W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1" s="7">
        <f>IFERROR(W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1">
        <f>IF(OR(All_Questions_Q_VERY_LONG_SINGLE_SELECT_EXPORT_NAME_CT="(None)",Y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1" s="7">
        <f>IFERROR(Y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1">
        <f>IF(OR(All_Questions_Q_VERY_LONG_SINGLE_SELECT_EXPORT_NAME_CT="(None)",AA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1" s="7">
        <f>IFERROR(AA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1">
        <f>IF(OR(All_Questions_Q_VERY_LONG_SINGLE_SELECT_EXPORT_NAME_CT="(None)",AC$58=""),"",IF(AC$58="Other",COUNTIFS(Q_VERY_LONG_SINGLE_SELECT_EXPOR_data,"B",passes_workbook_filters_data,1,passes_workbook_custom_filters_data,1,All_Questions_passes_local_filters_data,1,All_Questions_Q_VERY_LONG_SINGLE_SELECT_EXPORT_NAME_F_passes_per_q_filter_data,1)-SUM(G61,I61,K61,M61,O61,Q61,S61,U61,W61,Y61,AA61)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1" s="7">
        <f>IFERROR(AC61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2">
      <c r="F62" s="4" t="inlineStr">
        <is>
          <t>Total respondents</t>
        </is>
      </c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49">
    <mergeCell ref="K16:L16"/>
    <mergeCell ref="Q16:R16"/>
    <mergeCell ref="AC48:AD48"/>
    <mergeCell ref="S16:T16"/>
    <mergeCell ref="AC16:AD16"/>
    <mergeCell ref="S58:T58"/>
    <mergeCell ref="Y58:Z58"/>
    <mergeCell ref="I26:J26"/>
    <mergeCell ref="G48:H48"/>
    <mergeCell ref="M48:N48"/>
    <mergeCell ref="K26:L26"/>
    <mergeCell ref="AA58:AB58"/>
    <mergeCell ref="S48:T48"/>
    <mergeCell ref="W26:X26"/>
    <mergeCell ref="I16:J16"/>
    <mergeCell ref="U48:V48"/>
    <mergeCell ref="AA48:AB48"/>
    <mergeCell ref="Q58:R58"/>
    <mergeCell ref="AC58:AD58"/>
    <mergeCell ref="U16:V16"/>
    <mergeCell ref="O26:P26"/>
    <mergeCell ref="Q26:R26"/>
    <mergeCell ref="Y26:Z26"/>
    <mergeCell ref="I58:J58"/>
    <mergeCell ref="AA26:AB26"/>
    <mergeCell ref="M16:N16"/>
    <mergeCell ref="K58:L58"/>
    <mergeCell ref="AC26:AD26"/>
    <mergeCell ref="A1:J1"/>
    <mergeCell ref="O16:P16"/>
    <mergeCell ref="W16:X16"/>
    <mergeCell ref="Y16:Z16"/>
    <mergeCell ref="AA16:AB16"/>
    <mergeCell ref="G58:H58"/>
    <mergeCell ref="U58:V58"/>
    <mergeCell ref="I48:J48"/>
    <mergeCell ref="W58:X58"/>
    <mergeCell ref="G26:H26"/>
    <mergeCell ref="M26:N26"/>
    <mergeCell ref="K48:L48"/>
    <mergeCell ref="O58:P58"/>
    <mergeCell ref="O48:P48"/>
    <mergeCell ref="Q48:R48"/>
    <mergeCell ref="W48:X48"/>
    <mergeCell ref="G16:H16"/>
    <mergeCell ref="Y48:Z48"/>
    <mergeCell ref="S26:T26"/>
    <mergeCell ref="U26:V26"/>
    <mergeCell ref="M58:N58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18:T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18:V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18:X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18:Z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18:AB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18:AD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28:T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28:V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28:X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28:Z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28:AB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8:AD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0:H5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0:J5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0:L5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0:N5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0:P5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0:R5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50:T5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50:V5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50:X5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50:Z5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50:AB5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50:AD5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0:H61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0:J61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0:L61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0:N61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0:P61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0:R61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60:T61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60:V61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60:X61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60:Z61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60:AB61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60:AD61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2026-05-18T10:54:24Z</dcterms:created>
  <dcterms:modified xmlns:dcterms="http://purl.org/dc/terms/" xmlns:xsi="http://www.w3.org/2001/XMLSchema-instance" xsi:type="dcterms:W3CDTF">2026-05-18T10:54:24Z</dcterms:modified>
</cp:coreProperties>
</file>