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All_Questions_Data_Names">'_Options'!$C$2:$C$4</definedName>
    <definedName name="All_Questions_Options_Names">'_Options'!$D$2:$D$4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'_RawData'!$O$2:$O$11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'_RawData'!$P$2:$P$11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'_RawData'!$Q$2:$Q$11</definedName>
    <definedName name="All_Questions_Q_GRID_EXPORT_CT">'All Questions'!$C$47</definedName>
    <definedName name="All_Questions_Q_VERY_LONG_SINGLE_SELECT_EXPORT_NAME_F_Q">'All Questions'!$C$57</definedName>
    <definedName name="All_Questions_Q_VERY_LONG_SINGLE_SELECT_EXPORT_NAME_F_V">'All Questions'!$E$57</definedName>
    <definedName name="All_Questions_Q_VERY_LONG_SINGLE_SELECT_EXPORT_NAME_F_resolved_column">'All Questions'!$F$57</definedName>
    <definedName name="All_Questions_Q_VERY_LONG_SINGLE_SELECT_EXPORT_NAME_F_wrapped">'All Questions'!$G$57</definedName>
    <definedName name="All_Questions_Q_VERY_LONG_SINGLE_SELECT_EXPORT_NAME_F_passes_per_q_filter_data">'_RawData'!$R$2:$R$11</definedName>
    <definedName name="All_Questions_Q_VERY_LONG_SINGLE_SELECT_EXPORT_NAME_CT">'All Questions'!$C$58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G49" i="7"/>
  <c r="H49" i="7"/>
  <c r="I49" i="7"/>
  <c r="J49" i="7"/>
  <c r="K49" i="7"/>
  <c r="L49" i="7"/>
  <c r="M49" i="7"/>
  <c r="N49" i="7"/>
  <c r="O49" i="7"/>
  <c r="P49" i="7"/>
  <c r="Q49" i="7"/>
  <c r="R49" i="7"/>
  <c r="B50" i="7"/>
  <c r="C50" i="7"/>
  <c r="D50" i="7"/>
  <c r="B51" i="7"/>
  <c r="C51" i="7"/>
  <c r="D51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G52" i="7"/>
  <c r="H52" i="7"/>
  <c r="I52" i="7"/>
  <c r="J52" i="7"/>
  <c r="K52" i="7"/>
  <c r="L52" i="7"/>
  <c r="M52" i="7"/>
  <c r="N52" i="7"/>
  <c r="O52" i="7"/>
  <c r="P52" i="7"/>
  <c r="Q52" i="7"/>
  <c r="R52" i="7"/>
  <c r="S52" i="7"/>
  <c r="S53" i="7"/>
  <c r="F57" i="7"/>
  <c r="G57" i="7"/>
  <c r="G60" i="7"/>
  <c r="H60" i="7"/>
  <c r="I60" i="7"/>
  <c r="J60" i="7"/>
  <c r="K60" i="7"/>
  <c r="L60" i="7"/>
  <c r="M60" i="7"/>
  <c r="N60" i="7"/>
  <c r="O60" i="7"/>
  <c r="P60" i="7"/>
  <c r="Q60" i="7"/>
  <c r="R60" i="7"/>
  <c r="B61" i="7"/>
  <c r="C61" i="7"/>
  <c r="D61" i="7"/>
  <c r="B62" i="7"/>
  <c r="C62" i="7"/>
  <c r="D62" i="7"/>
  <c r="G62" i="7"/>
  <c r="H62" i="7"/>
  <c r="I62" i="7"/>
  <c r="J62" i="7"/>
  <c r="K62" i="7"/>
  <c r="L62" i="7"/>
  <c r="M62" i="7"/>
  <c r="N62" i="7"/>
  <c r="O62" i="7"/>
  <c r="P62" i="7"/>
  <c r="Q62" i="7"/>
  <c r="R62" i="7"/>
  <c r="S62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S64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1" headerRowCount="1">
  <autoFilter ref="A37:D4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9_1" displayName="T_All_Questions_49_1" ref="A49:D53" headerRowCount="1">
  <autoFilter ref="A49:D5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60_1" displayName="T_All_Questions_60_1" ref="A60:D63" headerRowCount="1">
  <autoFilter ref="A60:D6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*1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*1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*1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*1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*1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*1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*1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*1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*1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*1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*1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*1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*1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*1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*1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*1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*1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*1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*1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*1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*1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*1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*1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*1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*1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*1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*1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*1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*1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*1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*1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*1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*1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*1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*1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*1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*1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*1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*1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*1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*1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*1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*1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*1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*1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*1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*1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*1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*1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B5" t="inlineStr">
        <is>
          <t>Q_VERY_LONG_SINGLE_SELECT_EXPORT_NAME - Long Sheet Name Export Question</t>
        </is>
      </c>
      <c r="M5" t="inlineStr">
        <is>
          <t>No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s="10" t="inlineStr">
        <is>
          <t>Median not available in filtered view - see static baseline in audit log.</t>
        </is>
      </c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9">
      <c r="A49" s="4" t="inlineStr">
        <is>
          <t>Option</t>
        </is>
      </c>
      <c r="B49" s="4" t="inlineStr">
        <is>
          <t>Count</t>
        </is>
      </c>
      <c r="C49" s="4" t="inlineStr">
        <is>
          <t>%</t>
        </is>
      </c>
      <c r="D49" s="4" t="inlineStr">
        <is>
          <t>Denominator</t>
        </is>
      </c>
      <c r="F49" s="4" t="inlineStr">
        <is>
          <t>Option</t>
        </is>
      </c>
      <c r="G49" s="2" t="str">
        <f>IF(All_Questions_Q_GRID_EXPORT_CT="(None)","",IFERROR(INDEX(INDIRECT(IFERROR(INDEX(All_Questions_Options_Names,MATCH(All_Questions_Q_GRID_EXPORT_CT,All_Questions,0)),"'_Options'!$E$2:$E$2")),2),""))</f>
        <v/>
      </c>
      <c r="H49" s="2" t="str">
        <f>IF(All_Questions_Q_GRID_EXPORT_CT="(None)","",IFERROR(INDEX(INDIRECT(IFERROR(INDEX(All_Questions_Options_Names,MATCH(All_Questions_Q_GRID_EXPORT_CT,All_Questions,0)),"'_Options'!$E$2:$E$2")),3),""))</f>
        <v/>
      </c>
      <c r="I49" s="2" t="str">
        <f>IF(All_Questions_Q_GRID_EXPORT_CT="(None)","",IFERROR(INDEX(INDIRECT(IFERROR(INDEX(All_Questions_Options_Names,MATCH(All_Questions_Q_GRID_EXPORT_CT,All_Questions,0)),"'_Options'!$E$2:$E$2")),4),""))</f>
        <v/>
      </c>
      <c r="J49" s="2" t="str">
        <f>IF(All_Questions_Q_GRID_EXPORT_CT="(None)","",IFERROR(INDEX(INDIRECT(IFERROR(INDEX(All_Questions_Options_Names,MATCH(All_Questions_Q_GRID_EXPORT_CT,All_Questions,0)),"'_Options'!$E$2:$E$2")),5),""))</f>
        <v/>
      </c>
      <c r="K49" s="2" t="str">
        <f>IF(All_Questions_Q_GRID_EXPORT_CT="(None)","",IFERROR(INDEX(INDIRECT(IFERROR(INDEX(All_Questions_Options_Names,MATCH(All_Questions_Q_GRID_EXPORT_CT,All_Questions,0)),"'_Options'!$E$2:$E$2")),6),""))</f>
        <v/>
      </c>
      <c r="L49" s="2" t="str">
        <f>IF(All_Questions_Q_GRID_EXPORT_CT="(None)","",IFERROR(INDEX(INDIRECT(IFERROR(INDEX(All_Questions_Options_Names,MATCH(All_Questions_Q_GRID_EXPORT_CT,All_Questions,0)),"'_Options'!$E$2:$E$2")),7),""))</f>
        <v/>
      </c>
      <c r="M49" s="2" t="str">
        <f>IF(All_Questions_Q_GRID_EXPORT_CT="(None)","",IFERROR(INDEX(INDIRECT(IFERROR(INDEX(All_Questions_Options_Names,MATCH(All_Questions_Q_GRID_EXPORT_CT,All_Questions,0)),"'_Options'!$E$2:$E$2")),8),""))</f>
        <v/>
      </c>
      <c r="N49" s="2" t="str">
        <f>IF(All_Questions_Q_GRID_EXPORT_CT="(None)","",IFERROR(INDEX(INDIRECT(IFERROR(INDEX(All_Questions_Options_Names,MATCH(All_Questions_Q_GRID_EXPORT_CT,All_Questions,0)),"'_Options'!$E$2:$E$2")),9),""))</f>
        <v/>
      </c>
      <c r="O49" s="2" t="str">
        <f>IF(All_Questions_Q_GRID_EXPORT_CT="(None)","",IFERROR(INDEX(INDIRECT(IFERROR(INDEX(All_Questions_Options_Names,MATCH(All_Questions_Q_GRID_EXPORT_CT,All_Questions,0)),"'_Options'!$E$2:$E$2")),10),""))</f>
        <v/>
      </c>
      <c r="P49" s="2" t="str">
        <f>IF(All_Questions_Q_GRID_EXPORT_CT="(None)","",IFERROR(INDEX(INDIRECT(IFERROR(INDEX(All_Questions_Options_Names,MATCH(All_Questions_Q_GRID_EXPORT_CT,All_Questions,0)),"'_Options'!$E$2:$E$2")),11),""))</f>
        <v/>
      </c>
      <c r="Q49" s="2" t="str">
        <f>IF(All_Questions_Q_GRID_EXPORT_CT="(None)","",IFERROR(INDEX(INDIRECT(IFERROR(INDEX(All_Questions_Options_Names,MATCH(All_Questions_Q_GRID_EXPORT_CT,All_Questions,0)),"'_Options'!$E$2:$E$2")),12),""))</f>
        <v/>
      </c>
      <c r="R49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9" s="4" t="inlineStr">
        <is>
          <t>Total</t>
        </is>
      </c>
    </row>
    <row r="50">
      <c r="A50" t="inlineStr">
        <is>
          <t>Grid first row</t>
        </is>
      </c>
      <c r="B50">
        <f>COUNTIFS(Q_GRID_EXPORTr1_data,"Selected",passes_workbook_filters_data,1,passes_workbook_custom_filters_data,1,All_Questions_passes_local_filters_data,1,All_Questions_Q_GRID_EXPORT_F_passes_per_q_filter_data,1)</f>
        <v>10</v>
      </c>
      <c r="C50" s="7">
        <f>IFERROR(B50/SUBTOTAL(9,B50:B51),0)</f>
        <v>0.5</v>
      </c>
      <c r="D50" s="14">
        <f>SUBTOTAL(9,B50:B51)</f>
        <v>20</v>
      </c>
      <c r="F50" s="4" t="inlineStr"/>
      <c r="G50" s="4" t="inlineStr">
        <is>
          <t># of resp</t>
        </is>
      </c>
      <c r="H50" s="4" t="inlineStr">
        <is>
          <t># of resp</t>
        </is>
      </c>
      <c r="I50" s="4" t="inlineStr">
        <is>
          <t># of resp</t>
        </is>
      </c>
      <c r="J50" s="4" t="inlineStr">
        <is>
          <t># of resp</t>
        </is>
      </c>
      <c r="K50" s="4" t="inlineStr">
        <is>
          <t># of resp</t>
        </is>
      </c>
      <c r="L50" s="4" t="inlineStr">
        <is>
          <t># of resp</t>
        </is>
      </c>
      <c r="M50" s="4" t="inlineStr">
        <is>
          <t># of resp</t>
        </is>
      </c>
      <c r="N50" s="4" t="inlineStr">
        <is>
          <t># of resp</t>
        </is>
      </c>
      <c r="O50" s="4" t="inlineStr">
        <is>
          <t># of resp</t>
        </is>
      </c>
      <c r="P50" s="4" t="inlineStr">
        <is>
          <t># of resp</t>
        </is>
      </c>
      <c r="Q50" s="4" t="inlineStr">
        <is>
          <t># of resp</t>
        </is>
      </c>
      <c r="R50" s="4" t="inlineStr">
        <is>
          <t># of resp</t>
        </is>
      </c>
      <c r="S50" s="4" t="inlineStr">
        <is>
          <t># of resp</t>
        </is>
      </c>
    </row>
    <row r="51">
      <c r="A51" t="inlineStr">
        <is>
          <t>Grid second row</t>
        </is>
      </c>
      <c r="B51">
        <f>COUNTIFS(Q_GRID_EXPORTr2_data,"Selected",passes_workbook_filters_data,1,passes_workbook_custom_filters_data,1,All_Questions_passes_local_filters_data,1,All_Questions_Q_GRID_EXPORT_F_passes_per_q_filter_data,1)</f>
        <v>10</v>
      </c>
      <c r="C51" s="7">
        <f>IFERROR(B51/SUBTOTAL(9,B50:B51),0)</f>
        <v>0.5</v>
      </c>
      <c r="D51" s="14">
        <f>SUBTOTAL(9,B50:B51)</f>
        <v>20</v>
      </c>
      <c r="F51" t="inlineStr">
        <is>
          <t>Grid first row</t>
        </is>
      </c>
      <c r="G51">
        <f>IF(OR(All_Questions_Q_GRID_EXPORT_CT="(None)",G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1">
        <f>IF(OR(All_Questions_Q_GRID_EXPORT_CT="(None)",H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1">
        <f>IF(OR(All_Questions_Q_GRID_EXPORT_CT="(None)",I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1">
        <f>IF(OR(All_Questions_Q_GRID_EXPORT_CT="(None)",J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1">
        <f>IF(OR(All_Questions_Q_GRID_EXPORT_CT="(None)",K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1">
        <f>IF(OR(All_Questions_Q_GRID_EXPORT_CT="(None)",L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1">
        <f>IF(OR(All_Questions_Q_GRID_EXPORT_CT="(None)",M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1">
        <f>IF(OR(All_Questions_Q_GRID_EXPORT_CT="(None)",N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1">
        <f>IF(OR(All_Questions_Q_GRID_EXPORT_CT="(None)",O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1">
        <f>IF(OR(All_Questions_Q_GRID_EXPORT_CT="(None)",P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1">
        <f>IF(OR(All_Questions_Q_GRID_EXPORT_CT="(None)",Q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1">
        <f>IF(OR(All_Questions_Q_GRID_EXPORT_CT="(None)",R$49=""),"",IF(R$49="Other",COUNTIFS(Q_GRID_EXPORTr1_data,"Selected",passes_workbook_filters_data,1,passes_workbook_custom_filters_data,1,All_Questions_passes_local_filters_data,1,All_Questions_Q_GRID_EXPORT_F_passes_per_q_filter_data,1)-SUM(G51,H51,I51,J51,K51,L51,M51,N51,O51,P51,Q51)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1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2">
      <c r="A52" s="15" t="inlineStr">
        <is>
          <t>Total respondents</t>
        </is>
      </c>
      <c r="B52" s="15" t="n">
        <v>10</v>
      </c>
      <c r="C52" s="15" t="n"/>
      <c r="D52" s="15" t="n"/>
      <c r="F52" t="inlineStr">
        <is>
          <t>Grid second row</t>
        </is>
      </c>
      <c r="G52">
        <f>IF(OR(All_Questions_Q_GRID_EXPORT_CT="(None)",G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2">
        <f>IF(OR(All_Questions_Q_GRID_EXPORT_CT="(None)",H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2">
        <f>IF(OR(All_Questions_Q_GRID_EXPORT_CT="(None)",I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2">
        <f>IF(OR(All_Questions_Q_GRID_EXPORT_CT="(None)",J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2">
        <f>IF(OR(All_Questions_Q_GRID_EXPORT_CT="(None)",K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2">
        <f>IF(OR(All_Questions_Q_GRID_EXPORT_CT="(None)",L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2">
        <f>IF(OR(All_Questions_Q_GRID_EXPORT_CT="(None)",M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2">
        <f>IF(OR(All_Questions_Q_GRID_EXPORT_CT="(None)",N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2">
        <f>IF(OR(All_Questions_Q_GRID_EXPORT_CT="(None)",O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2">
        <f>IF(OR(All_Questions_Q_GRID_EXPORT_CT="(None)",P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2">
        <f>IF(OR(All_Questions_Q_GRID_EXPORT_CT="(None)",Q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2">
        <f>IF(OR(All_Questions_Q_GRID_EXPORT_CT="(None)",R$49=""),"",IF(R$49="Other",COUNTIFS(Q_GRID_EXPORTr2_data,"Selected",passes_workbook_filters_data,1,passes_workbook_custom_filters_data,1,All_Questions_passes_local_filters_data,1,All_Questions_Q_GRID_EXPORT_F_passes_per_q_filter_data,1)-SUM(G52,H52,I52,J52,K52,L52,M52,N52,O52,P52,Q52)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2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3">
      <c r="A53" s="4" t="inlineStr">
        <is>
          <t>Total responses</t>
        </is>
      </c>
      <c r="B53" s="4" t="n">
        <v>20</v>
      </c>
      <c r="C53" s="4" t="n"/>
      <c r="D53" s="4" t="n"/>
      <c r="F53" s="4" t="inlineStr">
        <is>
          <t>Total respondents</t>
        </is>
      </c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5">
      <c r="A55" s="11" t="n"/>
      <c r="B55" s="11" t="n"/>
      <c r="C55" s="11" t="n"/>
      <c r="D55" s="11" t="n"/>
      <c r="E55" s="11" t="n"/>
      <c r="F55" s="11" t="n"/>
      <c r="G55" s="11" t="n"/>
      <c r="H55" s="11" t="n"/>
      <c r="I55" s="11" t="n"/>
      <c r="J55" s="11" t="n"/>
    </row>
    <row r="56">
      <c r="A56" s="12" t="inlineStr">
        <is>
          <t>Q_VERY_LONG_SINGLE_SELECT_EXPORT_NAME - Long sheet name export question</t>
        </is>
      </c>
      <c r="B56" s="12" t="n"/>
      <c r="C56" s="12" t="n"/>
      <c r="D56" s="12" t="n"/>
      <c r="E56" s="12" t="n"/>
      <c r="F56" s="12" t="n"/>
      <c r="G56" s="12" t="n"/>
      <c r="H56" s="12" t="n"/>
      <c r="I56" s="12" t="n"/>
      <c r="J56" s="12" t="n"/>
      <c r="K56" s="12" t="n"/>
      <c r="L56" s="12" t="n"/>
      <c r="M56" s="12" t="n"/>
      <c r="N56" s="12" t="n"/>
    </row>
    <row r="57">
      <c r="A57" s="13" t="inlineStr">
        <is>
          <t>Per-question filter</t>
        </is>
      </c>
      <c r="B57" t="inlineStr">
        <is>
          <t>Filter Q</t>
        </is>
      </c>
      <c r="C57" t="inlineStr">
        <is>
          <t>(None)</t>
        </is>
      </c>
      <c r="D57" t="inlineStr">
        <is>
          <t>Value</t>
        </is>
      </c>
      <c r="E57" t="inlineStr">
        <is>
          <t>(All)</t>
        </is>
      </c>
      <c r="F57" t="str">
        <f>IFERROR(INDEX(All_Questions_Data_Names,MATCH(All_Questions_Q_VERY_LONG_SINGLE_SELECT_EXPORT_NAME_F_Q,All_Questions,0)),"'_RawData'!$A:$A")</f>
        <v>respondent_id_data</v>
      </c>
      <c r="G57" t="str">
        <f>"|" &amp; SUBSTITUTE(All_Questions_Q_VERY_LONG_SINGLE_SELECT_EXPORT_NAME_F_V, ", ", "|") &amp; "|"</f>
        <v>|(All)|</v>
      </c>
    </row>
    <row r="58">
      <c r="A58" s="13" t="inlineStr">
        <is>
          <t>Cross-tab by</t>
        </is>
      </c>
      <c r="C58" t="inlineStr">
        <is>
          <t>(None)</t>
        </is>
      </c>
    </row>
    <row r="60">
      <c r="A60" s="4" t="inlineStr">
        <is>
          <t>Option</t>
        </is>
      </c>
      <c r="B60" s="4" t="inlineStr">
        <is>
          <t>Count</t>
        </is>
      </c>
      <c r="C60" s="4" t="inlineStr">
        <is>
          <t>%</t>
        </is>
      </c>
      <c r="D60" s="4" t="inlineStr">
        <is>
          <t>Denominator</t>
        </is>
      </c>
      <c r="F60" s="4" t="inlineStr">
        <is>
          <t>Option</t>
        </is>
      </c>
      <c r="G60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0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0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0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0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0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0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0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0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0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0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0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0" s="4" t="inlineStr">
        <is>
          <t>Total</t>
        </is>
      </c>
    </row>
    <row r="61">
      <c r="A61" t="inlineStr">
        <is>
          <t>A</t>
        </is>
      </c>
      <c r="B61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1" s="7">
        <f>IFERROR(B61/SUBTOTAL(9,B61:B62),0)</f>
        <v>0.7</v>
      </c>
      <c r="D61" s="14">
        <f>SUBTOTAL(9,B61:B62)</f>
        <v>10</v>
      </c>
      <c r="F61" s="4" t="inlineStr"/>
      <c r="G61" s="4" t="inlineStr">
        <is>
          <t># of resp</t>
        </is>
      </c>
      <c r="H61" s="4" t="inlineStr">
        <is>
          <t># of resp</t>
        </is>
      </c>
      <c r="I61" s="4" t="inlineStr">
        <is>
          <t># of resp</t>
        </is>
      </c>
      <c r="J61" s="4" t="inlineStr">
        <is>
          <t># of resp</t>
        </is>
      </c>
      <c r="K61" s="4" t="inlineStr">
        <is>
          <t># of resp</t>
        </is>
      </c>
      <c r="L61" s="4" t="inlineStr">
        <is>
          <t># of resp</t>
        </is>
      </c>
      <c r="M61" s="4" t="inlineStr">
        <is>
          <t># of resp</t>
        </is>
      </c>
      <c r="N61" s="4" t="inlineStr">
        <is>
          <t># of resp</t>
        </is>
      </c>
      <c r="O61" s="4" t="inlineStr">
        <is>
          <t># of resp</t>
        </is>
      </c>
      <c r="P61" s="4" t="inlineStr">
        <is>
          <t># of resp</t>
        </is>
      </c>
      <c r="Q61" s="4" t="inlineStr">
        <is>
          <t># of resp</t>
        </is>
      </c>
      <c r="R61" s="4" t="inlineStr">
        <is>
          <t># of resp</t>
        </is>
      </c>
      <c r="S61" s="4" t="inlineStr">
        <is>
          <t># of resp</t>
        </is>
      </c>
    </row>
    <row r="62">
      <c r="A62" t="inlineStr">
        <is>
          <t>B</t>
        </is>
      </c>
      <c r="B62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2" s="7">
        <f>IFERROR(B62/SUBTOTAL(9,B61:B62),0)</f>
        <v>0.3</v>
      </c>
      <c r="D62" s="14">
        <f>SUBTOTAL(9,B61:B62)</f>
        <v>10</v>
      </c>
      <c r="F62" t="inlineStr">
        <is>
          <t>A</t>
        </is>
      </c>
      <c r="G62">
        <f>IF(OR(All_Questions_Q_VERY_LONG_SINGLE_SELECT_EXPORT_NAME_CT="(None)",G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2">
        <f>IF(OR(All_Questions_Q_VERY_LONG_SINGLE_SELECT_EXPORT_NAME_CT="(None)",H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2">
        <f>IF(OR(All_Questions_Q_VERY_LONG_SINGLE_SELECT_EXPORT_NAME_CT="(None)",I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2">
        <f>IF(OR(All_Questions_Q_VERY_LONG_SINGLE_SELECT_EXPORT_NAME_CT="(None)",J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2">
        <f>IF(OR(All_Questions_Q_VERY_LONG_SINGLE_SELECT_EXPORT_NAME_CT="(None)",K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2">
        <f>IF(OR(All_Questions_Q_VERY_LONG_SINGLE_SELECT_EXPORT_NAME_CT="(None)",L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2">
        <f>IF(OR(All_Questions_Q_VERY_LONG_SINGLE_SELECT_EXPORT_NAME_CT="(None)",M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2">
        <f>IF(OR(All_Questions_Q_VERY_LONG_SINGLE_SELECT_EXPORT_NAME_CT="(None)",N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2">
        <f>IF(OR(All_Questions_Q_VERY_LONG_SINGLE_SELECT_EXPORT_NAME_CT="(None)",O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2">
        <f>IF(OR(All_Questions_Q_VERY_LONG_SINGLE_SELECT_EXPORT_NAME_CT="(None)",P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2">
        <f>IF(OR(All_Questions_Q_VERY_LONG_SINGLE_SELECT_EXPORT_NAME_CT="(None)",Q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2">
        <f>IF(OR(All_Questions_Q_VERY_LONG_SINGLE_SELECT_EXPORT_NAME_CT="(None)",R$60=""),"",IF(R$60="Other",COUNTIFS(Q_VERY_LONG_SINGLE_SELECT_EXPOR_data,"A",passes_workbook_filters_data,1,passes_workbook_custom_filters_data,1,All_Questions_passes_local_filters_data,1,All_Questions_Q_VERY_LONG_SINGLE_SELECT_EXPORT_NAME_F_passes_per_q_filter_data,1)-SUM(G62,H62,I62,J62,K62,L62,M62,N62,O62,P62,Q62)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2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3">
      <c r="A63" s="15" t="inlineStr">
        <is>
          <t>Total respondents</t>
        </is>
      </c>
      <c r="B63" s="15" t="n">
        <v>10</v>
      </c>
      <c r="C63" s="15" t="n"/>
      <c r="D63" s="15" t="n"/>
      <c r="F63" t="inlineStr">
        <is>
          <t>B</t>
        </is>
      </c>
      <c r="G63">
        <f>IF(OR(All_Questions_Q_VERY_LONG_SINGLE_SELECT_EXPORT_NAME_CT="(None)",G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3">
        <f>IF(OR(All_Questions_Q_VERY_LONG_SINGLE_SELECT_EXPORT_NAME_CT="(None)",H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3">
        <f>IF(OR(All_Questions_Q_VERY_LONG_SINGLE_SELECT_EXPORT_NAME_CT="(None)",I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3">
        <f>IF(OR(All_Questions_Q_VERY_LONG_SINGLE_SELECT_EXPORT_NAME_CT="(None)",J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3">
        <f>IF(OR(All_Questions_Q_VERY_LONG_SINGLE_SELECT_EXPORT_NAME_CT="(None)",K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3">
        <f>IF(OR(All_Questions_Q_VERY_LONG_SINGLE_SELECT_EXPORT_NAME_CT="(None)",L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3">
        <f>IF(OR(All_Questions_Q_VERY_LONG_SINGLE_SELECT_EXPORT_NAME_CT="(None)",M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3">
        <f>IF(OR(All_Questions_Q_VERY_LONG_SINGLE_SELECT_EXPORT_NAME_CT="(None)",N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3">
        <f>IF(OR(All_Questions_Q_VERY_LONG_SINGLE_SELECT_EXPORT_NAME_CT="(None)",O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3">
        <f>IF(OR(All_Questions_Q_VERY_LONG_SINGLE_SELECT_EXPORT_NAME_CT="(None)",P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3">
        <f>IF(OR(All_Questions_Q_VERY_LONG_SINGLE_SELECT_EXPORT_NAME_CT="(None)",Q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3">
        <f>IF(OR(All_Questions_Q_VERY_LONG_SINGLE_SELECT_EXPORT_NAME_CT="(None)",R$60=""),"",IF(R$60="Other",COUNTIFS(Q_VERY_LONG_SINGLE_SELECT_EXPOR_data,"B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3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4">
      <c r="F64" s="4" t="inlineStr">
        <is>
          <t>Total respondents</t>
        </is>
      </c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0:B51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0:C51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1:G52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1:H52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1:I52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1:J52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1:K52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1:L52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1:M52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1:N52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1:O52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1:P52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1:Q52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1:R52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1:B62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1:C62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2:G63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2:H63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2:I63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2:J63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2:K63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2:L63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2:M63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2:N63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2:O63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2:P63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2:Q63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2:R63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7" showDropDown="0" showInputMessage="0" showErrorMessage="0" allowBlank="1" type="list">
      <formula1>=All_Questions</formula1>
    </dataValidation>
    <dataValidation sqref="E57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8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2026-05-31T20:07:29Z</dcterms:created>
  <dcterms:modified xmlns:dcterms="http://purl.org/dc/terms/" xmlns:xsi="http://www.w3.org/2001/XMLSchema-instance" xsi:type="dcterms:W3CDTF">2026-05-31T20:07:29Z</dcterms:modified>
</cp:coreProperties>
</file>