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43r1_data">'_RawData'!$B$2:$B$5</definedName>
    <definedName name="Q43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43r1_options">'_Options'!$F$2:$F$4</definedName>
    <definedName name="Q43r1_local_options">'_Options'!$H$2:$H$5</definedName>
    <definedName name="Q43r2_options">'_Options'!$G$2:$G$4</definedName>
    <definedName name="Q43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43_F_Q">'All Questions'!$C$13</definedName>
    <definedName name="All_Questions_Q43_F_V">'All Questions'!$E$13</definedName>
    <definedName name="All_Questions_Q43_F_resolved_column">'All Questions'!$F$13</definedName>
    <definedName name="All_Questions_Q43_F_wrapped">'All Questions'!$G$13</definedName>
    <definedName name="All_Questions_Q43_F_passes_per_q_filter_data">'_RawData'!$I$2:$I$5</definedName>
    <definedName name="All_Questions_Q43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C19" i="7"/>
  <c r="D19" i="7"/>
  <c r="E19" i="7"/>
  <c r="F19" i="7"/>
  <c r="B20" i="7"/>
  <c r="B21" i="7"/>
  <c r="C22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Q43r1</t>
        </is>
      </c>
      <c r="C1" t="inlineStr">
        <is>
          <t>Q43r2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All_Questions_Q43_F_passes_per_q_filter</t>
        </is>
      </c>
    </row>
    <row r="2">
      <c r="A2" t="n">
        <v>1</v>
      </c>
      <c r="B2" t="n">
        <v>1</v>
      </c>
      <c r="C2" t="n">
        <v>2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1)&amp;"|",All_Questions_Q43_F_wrapped)),1,0),0))*1</f>
        <v>1</v>
      </c>
    </row>
    <row r="3">
      <c r="A3" t="n">
        <v>2</v>
      </c>
      <c r="B3" t="n">
        <v>2</v>
      </c>
      <c r="C3" t="n">
        <v>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2)&amp;"|",All_Questions_Q43_F_wrapped)),1,0),0))*1</f>
        <v>1</v>
      </c>
    </row>
    <row r="4">
      <c r="A4" t="n">
        <v>3</v>
      </c>
      <c r="C4" t="n">
        <v>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3)&amp;"|",All_Questions_Q43_F_wrapped)),1,0),0))*1</f>
        <v>1</v>
      </c>
    </row>
    <row r="5">
      <c r="A5" t="n">
        <v>4</v>
      </c>
      <c r="B5" t="n">
        <v>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4)&amp;"|",All_Questions_Q43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Q43r1_options</t>
        </is>
      </c>
      <c r="G1" t="inlineStr">
        <is>
          <t>Q43r2_options</t>
        </is>
      </c>
      <c r="H1" t="inlineStr">
        <is>
          <t>Q43r1_local_options</t>
        </is>
      </c>
      <c r="I1" t="inlineStr">
        <is>
          <t>Q43r2_local_options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1.0</t>
        </is>
      </c>
      <c r="G3" t="inlineStr">
        <is>
          <t>2.0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2.0</t>
        </is>
      </c>
      <c r="G4" t="inlineStr">
        <is>
          <t>1.0</t>
        </is>
      </c>
      <c r="H4" t="inlineStr">
        <is>
          <t>1.0</t>
        </is>
      </c>
      <c r="I4" t="inlineStr">
        <is>
          <t>2.0</t>
        </is>
      </c>
    </row>
    <row r="5">
      <c r="H5" t="inlineStr">
        <is>
          <t>2.0</t>
        </is>
      </c>
      <c r="I5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2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 the selection criteria</t>
        </is>
      </c>
      <c r="D2" t="inlineStr">
        <is>
          <t>RANK_ORDER</t>
        </is>
      </c>
      <c r="E2" t="inlineStr">
        <is>
          <t>Q43r1, Q43r2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RANK_ORDER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Q43 - Rank the selection criteria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IFERROR(INDEX(All_Questions_Data_Names,MATCH(All_Questions_Q43_F_Q,All_Questions,0)),"'_RawData'!$A:$A")</f>
        <v>respondent_id_data</v>
      </c>
      <c r="G13" t="str">
        <f>"|" &amp; SUBSTITUTE(All_Questions_Q43_F_V,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 ID</t>
        </is>
      </c>
      <c r="B16" s="4" t="inlineStr">
        <is>
          <t>Option</t>
        </is>
      </c>
      <c r="C16" s="4" t="inlineStr">
        <is>
          <t>1</t>
        </is>
      </c>
      <c r="D16" s="2" t="n"/>
      <c r="E16" s="4" t="inlineStr">
        <is>
          <t>2</t>
        </is>
      </c>
      <c r="F16" s="2" t="n"/>
    </row>
    <row r="17">
      <c r="A17" s="2" t="n"/>
      <c r="B17" s="2" t="n"/>
      <c r="C17" s="4" t="inlineStr">
        <is>
          <t># of respondents</t>
        </is>
      </c>
      <c r="D17" s="4" t="inlineStr">
        <is>
          <t>% of respondents</t>
        </is>
      </c>
      <c r="E17" s="4" t="inlineStr">
        <is>
          <t># of respondents</t>
        </is>
      </c>
      <c r="F17" s="4" t="inlineStr">
        <is>
          <t>% of respondents</t>
        </is>
      </c>
    </row>
    <row r="18">
      <c r="A18" s="14" t="inlineStr">
        <is>
          <t>Q43r1</t>
        </is>
      </c>
      <c r="B18" t="inlineStr">
        <is>
          <t>Criterion A</t>
        </is>
      </c>
      <c r="C18" s="15">
        <f>COUNTIFS(Q43r1_data,"1",passes_workbook_filters_data,1,passes_workbook_custom_filters_data,1,All_Questions_passes_local_filters_data,1,All_Questions_Q43_F_passes_per_q_filter_data,1)</f>
        <v>2</v>
      </c>
      <c r="D18" s="7">
        <f>IFERROR(C18/$B$20,0)</f>
        <v>0.5</v>
      </c>
      <c r="E18" s="15">
        <f>COUNTIFS(Q43r1_data,"2",passes_workbook_filters_data,1,passes_workbook_custom_filters_data,1,All_Questions_passes_local_filters_data,1,All_Questions_Q43_F_passes_per_q_filter_data,1)</f>
        <v>1</v>
      </c>
      <c r="F18" s="7">
        <f>IFERROR(E18/$B$20,0)</f>
        <v>0.25</v>
      </c>
    </row>
    <row r="19">
      <c r="A19" s="14" t="inlineStr">
        <is>
          <t>Q43r2</t>
        </is>
      </c>
      <c r="B19" t="inlineStr">
        <is>
          <t>Criterion B</t>
        </is>
      </c>
      <c r="C19" s="15">
        <f>COUNTIFS(Q43r2_data,"1",passes_workbook_filters_data,1,passes_workbook_custom_filters_data,1,All_Questions_passes_local_filters_data,1,All_Questions_Q43_F_passes_per_q_filter_data,1)</f>
        <v>2</v>
      </c>
      <c r="D19" s="7">
        <f>IFERROR(C19/$B$20,0)</f>
        <v>0.5</v>
      </c>
      <c r="E19" s="15">
        <f>COUNTIFS(Q43r2_data,"2",passes_workbook_filters_data,1,passes_workbook_custom_filters_data,1,All_Questions_passes_local_filters_data,1,All_Questions_Q43_F_passes_per_q_filter_data,1)</f>
        <v>1</v>
      </c>
      <c r="F19" s="7">
        <f>IFERROR(E19/$B$20,0)</f>
        <v>0.25</v>
      </c>
    </row>
    <row r="20">
      <c r="A20" s="16" t="inlineStr">
        <is>
          <t>Total respondents</t>
        </is>
      </c>
      <c r="B20" s="17">
        <f>COUNTIFS(Q43r1_data,"&lt;&gt;",passes_workbook_filters_data,1,passes_workbook_custom_filters_data,1,All_Questions_passes_local_filters_data,1,All_Questions_Q43_F_passes_per_q_filter_data,1)</f>
        <v>4</v>
      </c>
      <c r="C20" s="16" t="n"/>
      <c r="D20" s="16" t="n"/>
      <c r="E20" s="16" t="n"/>
      <c r="F20" s="16" t="n"/>
    </row>
    <row r="21">
      <c r="A21" s="4" t="inlineStr">
        <is>
          <t>Total responses</t>
        </is>
      </c>
      <c r="B21" s="18">
        <f>SUM(C18,E18,C19,E19)</f>
        <v>6</v>
      </c>
      <c r="C21" s="4" t="n"/>
      <c r="D21" s="4" t="n"/>
      <c r="E21" s="4" t="n"/>
      <c r="F21" s="4" t="n"/>
    </row>
    <row r="22">
      <c r="B22" s="5" t="inlineStr">
        <is>
          <t>QC check</t>
        </is>
      </c>
      <c r="C22">
        <f>B21=SUM(C18,E18,C19,E19)</f>
        <v>1</v>
      </c>
    </row>
  </sheetData>
  <mergeCells count="3">
    <mergeCell ref="A1:J1"/>
    <mergeCell ref="E16:F16"/>
    <mergeCell ref="C16:D16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=INDIRECT(IFERROR(INDEX(All_Questions_Options_Names,MATCH(All_Questions_Q43_F_Q,All_Questions,0)),"'_Options'!$E$2:$E$2"))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2026-06-01T18:24:32Z</dcterms:created>
  <dcterms:modified xmlns:dcterms="http://purl.org/dc/terms/" xmlns:xsi="http://www.w3.org/2001/XMLSchema-instance" xsi:type="dcterms:W3CDTF">2026-06-01T18:24:33Z</dcterms:modified>
</cp:coreProperties>
</file>