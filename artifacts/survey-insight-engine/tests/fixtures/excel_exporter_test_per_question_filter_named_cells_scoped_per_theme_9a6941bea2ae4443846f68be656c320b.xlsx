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Questions'!$C$23</definedName>
    <definedName name="All_Questions_Q_GRID_EXPORT_F_V">'All Questions'!$E$23</definedName>
    <definedName name="All_Questions_Q_GRID_EXPORT_F_resolved_column">'All Questions'!$F$23</definedName>
    <definedName name="All_Questions_Q_GRID_EXPORT_F_wrapped">'All Questions'!$G$23</definedName>
    <definedName name="All_Questions_Q_GRID_EXPORT_F_passes_per_q_filter_data">'_RawData'!$S$2:$S$11</definedName>
    <definedName name="All_Questions_Q_GRID_EXPORT_CT">'All Questions'!$C$24</definedName>
    <definedName name="All_Questions_Q_VERY_LONG_SINGLE_SELECT_EXPORT_NAME_F_Q">'All Questions'!$C$33</definedName>
    <definedName name="All_Questions_Q_VERY_LONG_SINGLE_SELECT_EXPORT_NAME_F_V">'All Questions'!$E$33</definedName>
    <definedName name="All_Questions_Q_VERY_LONG_SINGLE_SELECT_EXPORT_NAME_F_resolved_column">'All Questions'!$F$33</definedName>
    <definedName name="All_Questions_Q_VERY_LONG_SINGLE_SELECT_EXPORT_NAME_F_wrapped">'All Questions'!$G$33</definedName>
    <definedName name="All_Questions_Q_VERY_LONG_SINGLE_SELECT_EXPORT_NAME_F_passes_per_q_filter_data">'_RawData'!$T$2:$T$11</definedName>
    <definedName name="All_Questions_Q_VERY_LONG_SINGLE_SELECT_EXPORT_NAME_CT">'All Questions'!$C$34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B17" i="9"/>
  <c r="C17" i="9"/>
  <c r="D17" i="9"/>
  <c r="G17" i="9"/>
  <c r="H17" i="9"/>
  <c r="I17" i="9"/>
  <c r="J17" i="9"/>
  <c r="K17" i="9"/>
  <c r="L17" i="9"/>
  <c r="M17" i="9"/>
  <c r="N17" i="9"/>
  <c r="O17" i="9"/>
  <c r="B18" i="9"/>
  <c r="C18" i="9"/>
  <c r="D18" i="9"/>
  <c r="G18" i="9"/>
  <c r="H18" i="9"/>
  <c r="I18" i="9"/>
  <c r="J18" i="9"/>
  <c r="K18" i="9"/>
  <c r="L18" i="9"/>
  <c r="M18" i="9"/>
  <c r="N18" i="9"/>
  <c r="O18" i="9"/>
  <c r="F23" i="9"/>
  <c r="G23" i="9"/>
  <c r="G26" i="9"/>
  <c r="H26" i="9"/>
  <c r="I26" i="9"/>
  <c r="J26" i="9"/>
  <c r="K26" i="9"/>
  <c r="L26" i="9"/>
  <c r="M26" i="9"/>
  <c r="N26" i="9"/>
  <c r="B27" i="9"/>
  <c r="C27" i="9"/>
  <c r="D27" i="9"/>
  <c r="G27" i="9"/>
  <c r="H27" i="9"/>
  <c r="I27" i="9"/>
  <c r="J27" i="9"/>
  <c r="K27" i="9"/>
  <c r="L27" i="9"/>
  <c r="M27" i="9"/>
  <c r="N27" i="9"/>
  <c r="O27" i="9"/>
  <c r="B28" i="9"/>
  <c r="C28" i="9"/>
  <c r="D28" i="9"/>
  <c r="G28" i="9"/>
  <c r="H28" i="9"/>
  <c r="I28" i="9"/>
  <c r="J28" i="9"/>
  <c r="K28" i="9"/>
  <c r="L28" i="9"/>
  <c r="M28" i="9"/>
  <c r="N28" i="9"/>
  <c r="O28" i="9"/>
  <c r="F33" i="9"/>
  <c r="G33" i="9"/>
  <c r="G36" i="9"/>
  <c r="H36" i="9"/>
  <c r="I36" i="9"/>
  <c r="J36" i="9"/>
  <c r="K36" i="9"/>
  <c r="L36" i="9"/>
  <c r="M36" i="9"/>
  <c r="N36" i="9"/>
  <c r="B37" i="9"/>
  <c r="C37" i="9"/>
  <c r="D37" i="9"/>
  <c r="G37" i="9"/>
  <c r="H37" i="9"/>
  <c r="I37" i="9"/>
  <c r="J37" i="9"/>
  <c r="K37" i="9"/>
  <c r="L37" i="9"/>
  <c r="M37" i="9"/>
  <c r="N37" i="9"/>
  <c r="O37" i="9"/>
  <c r="B38" i="9"/>
  <c r="C38" i="9"/>
  <c r="D38" i="9"/>
  <c r="G38" i="9"/>
  <c r="H38" i="9"/>
  <c r="I38" i="9"/>
  <c r="J38" i="9"/>
  <c r="K38" i="9"/>
  <c r="L38" i="9"/>
  <c r="M38" i="9"/>
  <c r="N38" i="9"/>
  <c r="O38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12" authorId="0" shapeId="0">
      <text>
        <t>Numeric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12" authorId="0" shapeId="0">
      <text>
        <t>Multi select export question</t>
      </text>
    </comment>
    <comment ref="A22" authorId="0" shapeId="0">
      <text>
        <t>Grid export question</t>
      </text>
    </comment>
    <comment ref="A32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6_1" displayName="T_All_Questions_36_1" ref="A36:D39" headerRowCount="1">
  <autoFilter ref="A36:D3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IFERROR(INDEX(INDIRECT(XLOOKUP(Theme_One_Q_SS_EXPORT_CT,All_Questions,All_Questions_Options_Names,"None_options")),2),"")</f>
        <v/>
      </c>
      <c r="H16" t="str">
        <f>IFERROR(INDEX(INDIRECT(XLOOKUP(Theme_One_Q_SS_EXPORT_CT,All_Questions,All_Questions_Options_Names,"None_options")),3),"")</f>
        <v/>
      </c>
      <c r="I16" t="str">
        <f>IFERROR(INDEX(INDIRECT(XLOOKUP(Theme_One_Q_SS_EXPORT_CT,All_Questions,All_Questions_Options_Names,"None_options")),4),"")</f>
        <v/>
      </c>
      <c r="J16" t="str">
        <f>IFERROR(INDEX(INDIRECT(XLOOKUP(Theme_One_Q_SS_EXPORT_CT,All_Questions,All_Questions_Options_Names,"None_options")),5),"")</f>
        <v/>
      </c>
      <c r="K16" t="str">
        <f>IFERROR(INDEX(INDIRECT(XLOOKUP(Theme_One_Q_SS_EXPORT_CT,All_Questions,All_Questions_Options_Names,"None_options")),6),"")</f>
        <v/>
      </c>
      <c r="L16" t="str">
        <f>IFERROR(INDEX(INDIRECT(XLOOKUP(Theme_One_Q_SS_EXPORT_CT,All_Questions,All_Questions_Options_Names,"None_options")),7),"")</f>
        <v/>
      </c>
      <c r="M16" t="str">
        <f>IFERROR(INDEX(INDIRECT(XLOOKUP(Theme_One_Q_SS_EXPORT_CT,All_Questions,All_Questions_Options_Names,"None_options")),8),"")</f>
        <v/>
      </c>
      <c r="N16" t="str">
        <f>IFERROR(INDEX(INDIRECT(XLOOKUP(Theme_One_Q_SS_EXPORT_CT,All_Questions,All_Questions_Options_Names,"None_options")),9),"")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7">
        <f>(Theme_One_Q_SS_EXPORT_CT&lt;&gt;"(None)")*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</f>
        <v>0</v>
      </c>
      <c r="H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H$16)</f>
        <v>0</v>
      </c>
      <c r="I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</f>
        <v>0</v>
      </c>
      <c r="J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J$16)</f>
        <v>0</v>
      </c>
      <c r="K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</f>
        <v>0</v>
      </c>
      <c r="L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L$16)</f>
        <v>0</v>
      </c>
      <c r="M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</f>
        <v>0</v>
      </c>
      <c r="N18">
        <f>(Theme_One_Q_SS_EXPORT_CT&lt;&gt;"(None)")*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XLOOKUP(All_Questions_Q_MS_EXPORT_F_Q,All_Questions,All_Questions_Data_Names,"respondent_id_data")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IFERROR(INDEX(INDIRECT(XLOOKUP(All_Questions_Q_MS_EXPORT_CT,All_Questions,All_Questions_Options_Names,"None_options")),2),"")</f>
        <v/>
      </c>
      <c r="H16" t="str">
        <f>IFERROR(INDEX(INDIRECT(XLOOKUP(All_Questions_Q_MS_EXPORT_CT,All_Questions,All_Questions_Options_Names,"None_options")),3),"")</f>
        <v/>
      </c>
      <c r="I16" t="str">
        <f>IFERROR(INDEX(INDIRECT(XLOOKUP(All_Questions_Q_MS_EXPORT_CT,All_Questions,All_Questions_Options_Names,"None_options")),4),"")</f>
        <v/>
      </c>
      <c r="J16" t="str">
        <f>IFERROR(INDEX(INDIRECT(XLOOKUP(All_Questions_Q_MS_EXPORT_CT,All_Questions,All_Questions_Options_Names,"None_options")),5),"")</f>
        <v/>
      </c>
      <c r="K16" t="str">
        <f>IFERROR(INDEX(INDIRECT(XLOOKUP(All_Questions_Q_MS_EXPORT_CT,All_Questions,All_Questions_Options_Names,"None_options")),6),"")</f>
        <v/>
      </c>
      <c r="L16" t="str">
        <f>IFERROR(INDEX(INDIRECT(XLOOKUP(All_Questions_Q_MS_EXPORT_CT,All_Questions,All_Questions_Options_Names,"None_options")),7),"")</f>
        <v/>
      </c>
      <c r="M16" t="str">
        <f>IFERROR(INDEX(INDIRECT(XLOOKUP(All_Questions_Q_MS_EXPORT_CT,All_Questions,All_Questions_Options_Names,"None_options")),8),"")</f>
        <v/>
      </c>
      <c r="N16" t="str">
        <f>IFERROR(INDEX(INDIRECT(XLOOKUP(All_Questions_Q_MS_EXPORT_CT,All_Questions,All_Questions_Options_Names,"None_options")),9),"")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t="inlineStr">
        <is>
          <t>First</t>
        </is>
      </c>
      <c r="G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7">
        <f>SUM(G17:N17)</f>
        <v>0</v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Second</t>
        </is>
      </c>
      <c r="G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$16)</f>
        <v>0</v>
      </c>
      <c r="H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$16)</f>
        <v>0</v>
      </c>
      <c r="I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$16)</f>
        <v>0</v>
      </c>
      <c r="J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$16)</f>
        <v>0</v>
      </c>
      <c r="K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$16)</f>
        <v>0</v>
      </c>
      <c r="L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$16)</f>
        <v>0</v>
      </c>
      <c r="M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$16)</f>
        <v>0</v>
      </c>
      <c r="N1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7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Q_GRID_EXPORT - Grid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XLOOKUP(All_Questions_Q_GRID_EXPORT_F_Q,All_Questions,All_Questions_Data_Names,"respondent_id_data")</f>
        <v>respondent_id_data</v>
      </c>
      <c r="G23" t="str">
        <f>"|" &amp; SUBSTITUTE(All_Questions_Q_GRID_EXPORT_F_V,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IFERROR(INDEX(INDIRECT(XLOOKUP(All_Questions_Q_GRID_EXPORT_CT,All_Questions,All_Questions_Options_Names,"None_options")),2),"")</f>
        <v/>
      </c>
      <c r="H26" t="str">
        <f>IFERROR(INDEX(INDIRECT(XLOOKUP(All_Questions_Q_GRID_EXPORT_CT,All_Questions,All_Questions_Options_Names,"None_options")),3),"")</f>
        <v/>
      </c>
      <c r="I26" t="str">
        <f>IFERROR(INDEX(INDIRECT(XLOOKUP(All_Questions_Q_GRID_EXPORT_CT,All_Questions,All_Questions_Options_Names,"None_options")),4),"")</f>
        <v/>
      </c>
      <c r="J26" t="str">
        <f>IFERROR(INDEX(INDIRECT(XLOOKUP(All_Questions_Q_GRID_EXPORT_CT,All_Questions,All_Questions_Options_Names,"None_options")),5),"")</f>
        <v/>
      </c>
      <c r="K26" t="str">
        <f>IFERROR(INDEX(INDIRECT(XLOOKUP(All_Questions_Q_GRID_EXPORT_CT,All_Questions,All_Questions_Options_Names,"None_options")),6),"")</f>
        <v/>
      </c>
      <c r="L26" t="str">
        <f>IFERROR(INDEX(INDIRECT(XLOOKUP(All_Questions_Q_GRID_EXPORT_CT,All_Questions,All_Questions_Options_Names,"None_options")),7),"")</f>
        <v/>
      </c>
      <c r="M26" t="str">
        <f>IFERROR(INDEX(INDIRECT(XLOOKUP(All_Questions_Q_GRID_EXPORT_CT,All_Questions,All_Questions_Options_Names,"None_options")),8),"")</f>
        <v/>
      </c>
      <c r="N26" t="str">
        <f>IFERROR(INDEX(INDIRECT(XLOOKUP(All_Questions_Q_GRID_EXPORT_CT,All_Questions,All_Questions_Options_Names,"None_options")),9),"")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Grid first row</t>
        </is>
      </c>
      <c r="B27">
        <f>COUNTIFS(Q_GRID_EXPORTr1_data,"Selected",passes_workbook_filters_data,1,passes_workbook_custom_filters_data,1,All_Questions_passes_local_filters_data,1,All_Questions_Q_GRID_EXPORT_F_passes_per_q_filter_data,1)</f>
        <v>10</v>
      </c>
      <c r="C27" s="7">
        <f>IFERROR(B27/SUBTOTAL(9,B27:B28),0)</f>
        <v>0.5</v>
      </c>
      <c r="D27" s="14">
        <f>SUBTOTAL(9,B27:B28)</f>
        <v>20</v>
      </c>
      <c r="F27" t="inlineStr">
        <is>
          <t>Grid first row</t>
        </is>
      </c>
      <c r="G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7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7">
        <f>SUM(G27:N27)</f>
        <v>0</v>
      </c>
    </row>
    <row r="28">
      <c r="A28" t="inlineStr">
        <is>
          <t>Grid second row</t>
        </is>
      </c>
      <c r="B28">
        <f>COUNTIFS(Q_GRID_EXPORTr2_data,"Selected",passes_workbook_filters_data,1,passes_workbook_custom_filters_data,1,All_Questions_passes_local_filters_data,1,All_Questions_Q_GRID_EXPORT_F_passes_per_q_filter_data,1)</f>
        <v>10</v>
      </c>
      <c r="C28" s="7">
        <f>IFERROR(B28/SUBTOTAL(9,B27:B28),0)</f>
        <v>0.5</v>
      </c>
      <c r="D28" s="14">
        <f>SUBTOTAL(9,B27:B28)</f>
        <v>20</v>
      </c>
      <c r="F28" t="inlineStr">
        <is>
          <t>Grid second row</t>
        </is>
      </c>
      <c r="G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$26)</f>
        <v>0</v>
      </c>
      <c r="H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$26)</f>
        <v>0</v>
      </c>
      <c r="I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$26)</f>
        <v>0</v>
      </c>
      <c r="J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$26)</f>
        <v>0</v>
      </c>
      <c r="K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$26)</f>
        <v>0</v>
      </c>
      <c r="L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$26)</f>
        <v>0</v>
      </c>
      <c r="M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$26)</f>
        <v>0</v>
      </c>
      <c r="N28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20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Q_VERY_LONG_SINGLE_SELECT_EXPORT_NAME - Long Name Single Select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XLOOKUP(All_Questions_Q_VERY_LONG_SINGLE_SELECT_EXPORT_NAME_F_Q,All_Questions,All_Questions_Data_Names,"respondent_id_data")</f>
        <v>respondent_id_data</v>
      </c>
      <c r="G33" t="str">
        <f>"|" &amp; SUBSTITUTE(All_Questions_Q_VERY_LONG_SINGLE_SELECT_EXPORT_NAME_F_V,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Option</t>
        </is>
      </c>
      <c r="B36" s="4" t="inlineStr">
        <is>
          <t>Count</t>
        </is>
      </c>
      <c r="C36" s="4" t="inlineStr">
        <is>
          <t>%</t>
        </is>
      </c>
      <c r="D36" s="4" t="inlineStr">
        <is>
          <t>Denominator</t>
        </is>
      </c>
      <c r="F36" s="5" t="inlineStr">
        <is>
          <t>Option \ Cross-tab</t>
        </is>
      </c>
      <c r="G36" t="str">
        <f>IFERROR(INDEX(INDIRECT(XLOOKUP(All_Questions_Q_VERY_LONG_SINGLE_SELECT_EXPORT_NAME_CT,All_Questions,All_Questions_Options_Names,"None_options")),2),"")</f>
        <v/>
      </c>
      <c r="H36" t="str">
        <f>IFERROR(INDEX(INDIRECT(XLOOKUP(All_Questions_Q_VERY_LONG_SINGLE_SELECT_EXPORT_NAME_CT,All_Questions,All_Questions_Options_Names,"None_options")),3),"")</f>
        <v/>
      </c>
      <c r="I36" t="str">
        <f>IFERROR(INDEX(INDIRECT(XLOOKUP(All_Questions_Q_VERY_LONG_SINGLE_SELECT_EXPORT_NAME_CT,All_Questions,All_Questions_Options_Names,"None_options")),4),"")</f>
        <v/>
      </c>
      <c r="J36" t="str">
        <f>IFERROR(INDEX(INDIRECT(XLOOKUP(All_Questions_Q_VERY_LONG_SINGLE_SELECT_EXPORT_NAME_CT,All_Questions,All_Questions_Options_Names,"None_options")),5),"")</f>
        <v/>
      </c>
      <c r="K36" t="str">
        <f>IFERROR(INDEX(INDIRECT(XLOOKUP(All_Questions_Q_VERY_LONG_SINGLE_SELECT_EXPORT_NAME_CT,All_Questions,All_Questions_Options_Names,"None_options")),6),"")</f>
        <v/>
      </c>
      <c r="L36" t="str">
        <f>IFERROR(INDEX(INDIRECT(XLOOKUP(All_Questions_Q_VERY_LONG_SINGLE_SELECT_EXPORT_NAME_CT,All_Questions,All_Questions_Options_Names,"None_options")),7),"")</f>
        <v/>
      </c>
      <c r="M36" t="str">
        <f>IFERROR(INDEX(INDIRECT(XLOOKUP(All_Questions_Q_VERY_LONG_SINGLE_SELECT_EXPORT_NAME_CT,All_Questions,All_Questions_Options_Names,"None_options")),8),"")</f>
        <v/>
      </c>
      <c r="N36" t="str">
        <f>IFERROR(INDEX(INDIRECT(XLOOKUP(All_Questions_Q_VERY_LONG_SINGLE_SELECT_EXPORT_NAME_CT,All_Questions,All_Questions_Options_Names,"None_options")),9),"")</f>
        <v/>
      </c>
      <c r="O36" s="5" t="inlineStr">
        <is>
          <t>TOTAL</t>
        </is>
      </c>
    </row>
    <row r="37">
      <c r="A37" t="inlineStr">
        <is>
          <t>A</t>
        </is>
      </c>
      <c r="B3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7" s="7">
        <f>IFERROR(B37/SUBTOTAL(9,B37:B38),0)</f>
        <v>0.7</v>
      </c>
      <c r="D37" s="14">
        <f>SUBTOTAL(9,B37:B38)</f>
        <v>10</v>
      </c>
      <c r="F37" t="inlineStr">
        <is>
          <t>A</t>
        </is>
      </c>
      <c r="G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7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7">
        <f>SUM(G37:N37)</f>
        <v>0</v>
      </c>
    </row>
    <row r="38">
      <c r="A38" t="inlineStr">
        <is>
          <t>B</t>
        </is>
      </c>
      <c r="B3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8" s="7">
        <f>IFERROR(B38/SUBTOTAL(9,B37:B38),0)</f>
        <v>0.3</v>
      </c>
      <c r="D38" s="14">
        <f>SUBTOTAL(9,B37:B38)</f>
        <v>10</v>
      </c>
      <c r="F38" t="inlineStr">
        <is>
          <t>B</t>
        </is>
      </c>
      <c r="G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$36)</f>
        <v>0</v>
      </c>
      <c r="H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$36)</f>
        <v>0</v>
      </c>
      <c r="I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$36)</f>
        <v>0</v>
      </c>
      <c r="J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$36)</f>
        <v>0</v>
      </c>
      <c r="K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$36)</f>
        <v>0</v>
      </c>
      <c r="L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$36)</f>
        <v>0</v>
      </c>
      <c r="M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$36)</f>
        <v>0</v>
      </c>
      <c r="N38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$36)</f>
        <v>0</v>
      </c>
      <c r="O38">
        <f>SUM(G38:N38)</f>
        <v>0</v>
      </c>
    </row>
    <row r="39">
      <c r="A39" s="15" t="inlineStr">
        <is>
          <t>Total respondents</t>
        </is>
      </c>
      <c r="B39" s="15" t="n">
        <v>10</v>
      </c>
      <c r="C39" s="15" t="n"/>
      <c r="D39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7:B38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7:C38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7:N38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7:O38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=INDIRECT(XLOOKUP(All_Questions_Q_MS_EXPORT_F_Q,All_Questions,All_Questions_Options_Names,"None_options"))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=INDIRECT(XLOOKUP(All_Questions_Q_GRID_EXPORT_F_Q,All_Questions,All_Questions_Options_Names,"None_options"))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2026-05-17T13:36:19Z</dcterms:created>
  <dcterms:modified xmlns:dcterms="http://purl.org/dc/terms/" xmlns:xsi="http://www.w3.org/2001/XMLSchema-instance" xsi:type="dcterms:W3CDTF">2026-05-17T13:36:19Z</dcterms:modified>
</cp:coreProperties>
</file>