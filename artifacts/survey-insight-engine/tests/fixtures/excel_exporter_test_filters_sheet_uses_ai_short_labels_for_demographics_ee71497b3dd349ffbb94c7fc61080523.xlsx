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'Demographics'!$C$31</definedName>
    <definedName name="Demographics_Q14_F_V">'Demographics'!$E$31</definedName>
    <definedName name="Demographics_Q14_F_resolved_column">'Demographics'!$F$31</definedName>
    <definedName name="Demographics_Q14_F_wrapped">'Demographics'!$G$31</definedName>
    <definedName name="Demographics_Q14_F_resolved_criteria">'Demographics'!$H$31</definedName>
    <definedName name="Demographics_Q14_F_passes_per_q_filter_data">'_RawData'!$N$2:$N$3</definedName>
    <definedName name="Demographics_Q14_CT">'Demographics'!$C$32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IF(Demographics_Q4_CT="(None)","",IFERROR(INDEX(INDIRECT(IFERROR(INDEX(Cross_Tab_Questions_Options_Names,MATCH(Demographics_Q4_CT,Cross_Tab_Questions,0)),"'_Options'!$E$2:$E$2")),2),""))</f>
        <v/>
      </c>
      <c r="C23" s="2" t="str">
        <f>IF(Demographics_Q4_CT="(None)","",IFERROR(INDEX(INDIRECT(IFERROR(INDEX(Cross_Tab_Questions_Options_Names,MATCH(Demographics_Q4_CT,Cross_Tab_Questions,0)),"'_Options'!$E$2:$E$2")),3),""))</f>
        <v/>
      </c>
      <c r="D23" s="2" t="str">
        <f>IF(Demographics_Q4_CT="(None)","",IFERROR(INDEX(INDIRECT(IFERROR(INDEX(Cross_Tab_Questions_Options_Names,MATCH(Demographics_Q4_CT,Cross_Tab_Questions,0)),"'_Options'!$E$2:$E$2")),4),""))</f>
        <v/>
      </c>
      <c r="E23" s="2" t="str">
        <f>IF(Demographics_Q4_CT="(None)","",IFERROR(INDEX(INDIRECT(IFERROR(INDEX(Cross_Tab_Questions_Options_Names,MATCH(Demographics_Q4_CT,Cross_Tab_Questions,0)),"'_Options'!$E$2:$E$2")),5),""))</f>
        <v/>
      </c>
      <c r="F23" s="2" t="str">
        <f>IF(Demographics_Q4_CT="(None)","",IFERROR(INDEX(INDIRECT(IFERROR(INDEX(Cross_Tab_Questions_Options_Names,MATCH(Demographics_Q4_CT,Cross_Tab_Questions,0)),"'_Options'!$E$2:$E$2")),6),""))</f>
        <v/>
      </c>
      <c r="G23" s="2" t="str">
        <f>IF(Demographics_Q4_CT="(None)","",IFERROR(INDEX(INDIRECT(IFERROR(INDEX(Cross_Tab_Questions_Options_Names,MATCH(Demographics_Q4_CT,Cross_Tab_Questions,0)),"'_Options'!$E$2:$E$2")),7),""))</f>
        <v/>
      </c>
      <c r="H23" s="2" t="str">
        <f>IF(Demographics_Q4_CT="(None)","",IFERROR(INDEX(INDIRECT(IFERROR(INDEX(Cross_Tab_Questions_Options_Names,MATCH(Demographics_Q4_CT,Cross_Tab_Questions,0)),"'_Options'!$E$2:$E$2")),8),""))</f>
        <v/>
      </c>
      <c r="I23" s="2" t="str">
        <f>IF(Demographics_Q4_CT="(None)","",IFERROR(INDEX(INDIRECT(IFERROR(INDEX(Cross_Tab_Questions_Options_Names,MATCH(Demographics_Q4_CT,Cross_Tab_Questions,0)),"'_Options'!$E$2:$E$2")),9),""))</f>
        <v/>
      </c>
      <c r="J23" s="2" t="str">
        <f>IF(Demographics_Q4_CT="(None)","",IFERROR(INDEX(INDIRECT(IFERROR(INDEX(Cross_Tab_Questions_Options_Names,MATCH(Demographics_Q4_CT,Cross_Tab_Questions,0)),"'_Options'!$E$2:$E$2")),10),""))</f>
        <v/>
      </c>
      <c r="K23" s="2" t="str">
        <f>IF(Demographics_Q4_CT="(None)","",IFERROR(INDEX(INDIRECT(IFERROR(INDEX(Cross_Tab_Questions_Options_Names,MATCH(Demographics_Q4_CT,Cross_Tab_Questions,0)),"'_Options'!$E$2:$E$2")),11),""))</f>
        <v/>
      </c>
      <c r="L23" s="2" t="str">
        <f>IF(Demographics_Q4_CT="(None)","",IFERROR(INDEX(INDIRECT(IFERROR(INDEX(Cross_Tab_Questions_Options_Names,MATCH(Demographics_Q4_CT,Cross_Tab_Questions,0)),"'_Options'!$E$2:$E$2")),12),""))</f>
        <v/>
      </c>
      <c r="M23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Small</t>
        </is>
      </c>
      <c r="B25" s="14">
        <f>IF(OR(Demographics_Q4_CT="(None)",B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5" s="14">
        <f>IF(OR(Demographics_Q4_CT="(None)",C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5" s="14">
        <f>IF(OR(Demographics_Q4_CT="(None)",D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5" s="14">
        <f>IF(OR(Demographics_Q4_CT="(None)",E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5" s="14">
        <f>IF(OR(Demographics_Q4_CT="(None)",F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5" s="14">
        <f>IF(OR(Demographics_Q4_CT="(None)",G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5" s="14">
        <f>IF(OR(Demographics_Q4_CT="(None)",H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5" s="14">
        <f>IF(OR(Demographics_Q4_CT="(None)",I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5" s="14">
        <f>IF(OR(Demographics_Q4_CT="(None)",J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5" s="14">
        <f>IF(OR(Demographics_Q4_CT="(None)",K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5" s="14">
        <f>IF(OR(Demographics_Q4_CT="(None)",L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5" s="14">
        <f>IF(OR(Demographics_Q4_CT="(None)",M$23=""),"",IF(M$23="Other",COUNTIFS(Q4_data,"Small",passes_workbook_filters_data,1,passes_workbook_custom_filters_data,1,Demographics_passes_local_filters_data,1,Demographics_Q4_F_passes_per_q_filter_data,1)-SUM(B25,C25,D25,E25,F25,G25,H25,I25,J25,K25,L25)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5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6">
      <c r="A26" t="inlineStr">
        <is>
          <t>Large</t>
        </is>
      </c>
      <c r="B26" s="14">
        <f>IF(OR(Demographics_Q4_CT="(None)",B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6" s="14">
        <f>IF(OR(Demographics_Q4_CT="(None)",C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6" s="14">
        <f>IF(OR(Demographics_Q4_CT="(None)",D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6" s="14">
        <f>IF(OR(Demographics_Q4_CT="(None)",E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6" s="14">
        <f>IF(OR(Demographics_Q4_CT="(None)",F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6" s="14">
        <f>IF(OR(Demographics_Q4_CT="(None)",G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6" s="14">
        <f>IF(OR(Demographics_Q4_CT="(None)",H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6" s="14">
        <f>IF(OR(Demographics_Q4_CT="(None)",I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6" s="14">
        <f>IF(OR(Demographics_Q4_CT="(None)",J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6" s="14">
        <f>IF(OR(Demographics_Q4_CT="(None)",K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6" s="14">
        <f>IF(OR(Demographics_Q4_CT="(None)",L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6" s="14">
        <f>IF(OR(Demographics_Q4_CT="(None)",M$23=""),"",IF(M$23="Other",COUNTIFS(Q4_data,"Large",passes_workbook_filters_data,1,passes_workbook_custom_filters_data,1,Demographics_passes_local_filters_data,1,Demographics_Q4_F_passes_per_q_filter_data,1)-SUM(B26,C26,D26,E26,F26,G26,H26,I26,J26,K26,L26)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6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Q14 - Approximately how old is the organization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31" t="str">
        <f>"|" &amp; SUBSTITUTE(Demographics_Q14_F_V, ", ", "|") &amp; "|"</f>
        <v>|(All)|</v>
      </c>
      <c r="H31" t="str">
        <f>IFERROR(INDEX(All_Questions_Value_Criteria,MATCH(Demographics_Q14_F_Q&amp;"|"&amp;Demographics_Q14_F_V,All_Questions_Value_Keys,0)),Demographics_Q14_F_V)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New</t>
        </is>
      </c>
      <c r="B35">
        <f>COUNTIFS(Q14_data,"New",passes_workbook_filters_data,1,passes_workbook_custom_filters_data,1,Demographics_passes_local_filters_data,1,Demographics_Q14_F_passes_per_q_filter_data,1)</f>
        <v>1</v>
      </c>
      <c r="C35" s="7">
        <f>IFERROR(B35/SUBTOTAL(9,B35:B36),0)</f>
        <v>0.5</v>
      </c>
      <c r="D35" s="14">
        <f>SUBTOTAL(9,B35:B36)</f>
        <v>2</v>
      </c>
    </row>
    <row r="36">
      <c r="A36" t="inlineStr">
        <is>
          <t>Established</t>
        </is>
      </c>
      <c r="B36">
        <f>COUNTIFS(Q14_data,"Established",passes_workbook_filters_data,1,passes_workbook_custom_filters_data,1,Demographics_passes_local_filters_data,1,Demographics_Q14_F_passes_per_q_filter_data,1)</f>
        <v>1</v>
      </c>
      <c r="C36" s="7">
        <f>IFERROR(B36/SUBTOTAL(9,B35:B36),0)</f>
        <v>0.5</v>
      </c>
      <c r="D36" s="14">
        <f>SUBTOTAL(9,B35:B36)</f>
        <v>2</v>
      </c>
    </row>
    <row r="37">
      <c r="A37" s="15" t="inlineStr">
        <is>
          <t>Total respondents</t>
        </is>
      </c>
      <c r="B37" s="15" t="n">
        <v>2</v>
      </c>
      <c r="C37" s="15" t="n"/>
      <c r="D37" s="15" t="n"/>
    </row>
    <row r="38"/>
    <row r="39">
      <c r="A39" s="4" t="inlineStr">
        <is>
          <t>Option</t>
        </is>
      </c>
      <c r="B39" s="2" t="str">
        <f>IF(Demographics_Q14_CT="(None)","",IFERROR(INDEX(INDIRECT(IFERROR(INDEX(Cross_Tab_Questions_Options_Names,MATCH(Demographics_Q14_CT,Cross_Tab_Questions,0)),"'_Options'!$E$2:$E$2")),2),""))</f>
        <v/>
      </c>
      <c r="C39" s="2" t="str">
        <f>IF(Demographics_Q14_CT="(None)","",IFERROR(INDEX(INDIRECT(IFERROR(INDEX(Cross_Tab_Questions_Options_Names,MATCH(Demographics_Q14_CT,Cross_Tab_Questions,0)),"'_Options'!$E$2:$E$2")),3),""))</f>
        <v/>
      </c>
      <c r="D39" s="2" t="str">
        <f>IF(Demographics_Q14_CT="(None)","",IFERROR(INDEX(INDIRECT(IFERROR(INDEX(Cross_Tab_Questions_Options_Names,MATCH(Demographics_Q14_CT,Cross_Tab_Questions,0)),"'_Options'!$E$2:$E$2")),4),""))</f>
        <v/>
      </c>
      <c r="E39" s="2" t="str">
        <f>IF(Demographics_Q14_CT="(None)","",IFERROR(INDEX(INDIRECT(IFERROR(INDEX(Cross_Tab_Questions_Options_Names,MATCH(Demographics_Q14_CT,Cross_Tab_Questions,0)),"'_Options'!$E$2:$E$2")),5),""))</f>
        <v/>
      </c>
      <c r="F39" s="2" t="str">
        <f>IF(Demographics_Q14_CT="(None)","",IFERROR(INDEX(INDIRECT(IFERROR(INDEX(Cross_Tab_Questions_Options_Names,MATCH(Demographics_Q14_CT,Cross_Tab_Questions,0)),"'_Options'!$E$2:$E$2")),6),""))</f>
        <v/>
      </c>
      <c r="G39" s="2" t="str">
        <f>IF(Demographics_Q14_CT="(None)","",IFERROR(INDEX(INDIRECT(IFERROR(INDEX(Cross_Tab_Questions_Options_Names,MATCH(Demographics_Q14_CT,Cross_Tab_Questions,0)),"'_Options'!$E$2:$E$2")),7),""))</f>
        <v/>
      </c>
      <c r="H39" s="2" t="str">
        <f>IF(Demographics_Q14_CT="(None)","",IFERROR(INDEX(INDIRECT(IFERROR(INDEX(Cross_Tab_Questions_Options_Names,MATCH(Demographics_Q14_CT,Cross_Tab_Questions,0)),"'_Options'!$E$2:$E$2")),8),""))</f>
        <v/>
      </c>
      <c r="I39" s="2" t="str">
        <f>IF(Demographics_Q14_CT="(None)","",IFERROR(INDEX(INDIRECT(IFERROR(INDEX(Cross_Tab_Questions_Options_Names,MATCH(Demographics_Q14_CT,Cross_Tab_Questions,0)),"'_Options'!$E$2:$E$2")),9),""))</f>
        <v/>
      </c>
      <c r="J39" s="2" t="str">
        <f>IF(Demographics_Q14_CT="(None)","",IFERROR(INDEX(INDIRECT(IFERROR(INDEX(Cross_Tab_Questions_Options_Names,MATCH(Demographics_Q14_CT,Cross_Tab_Questions,0)),"'_Options'!$E$2:$E$2")),10),""))</f>
        <v/>
      </c>
      <c r="K39" s="2" t="str">
        <f>IF(Demographics_Q14_CT="(None)","",IFERROR(INDEX(INDIRECT(IFERROR(INDEX(Cross_Tab_Questions_Options_Names,MATCH(Demographics_Q14_CT,Cross_Tab_Questions,0)),"'_Options'!$E$2:$E$2")),11),""))</f>
        <v/>
      </c>
      <c r="L39" s="2" t="str">
        <f>IF(Demographics_Q14_CT="(None)","",IFERROR(INDEX(INDIRECT(IFERROR(INDEX(Cross_Tab_Questions_Options_Names,MATCH(Demographics_Q14_CT,Cross_Tab_Questions,0)),"'_Options'!$E$2:$E$2")),12),""))</f>
        <v/>
      </c>
      <c r="M3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# of resp</t>
        </is>
      </c>
      <c r="C40" s="4" t="inlineStr">
        <is>
          <t># of resp</t>
        </is>
      </c>
      <c r="D40" s="4" t="inlineStr">
        <is>
          <t># of resp</t>
        </is>
      </c>
      <c r="E40" s="4" t="inlineStr">
        <is>
          <t># of resp</t>
        </is>
      </c>
      <c r="F40" s="4" t="inlineStr">
        <is>
          <t># of resp</t>
        </is>
      </c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</row>
    <row r="41">
      <c r="A41" t="inlineStr">
        <is>
          <t>New</t>
        </is>
      </c>
      <c r="B41" s="14">
        <f>IF(OR(Demographics_Q14_CT="(None)",B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1" s="14">
        <f>IF(OR(Demographics_Q14_CT="(None)",C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1" s="14">
        <f>IF(OR(Demographics_Q14_CT="(None)",D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1" s="14">
        <f>IF(OR(Demographics_Q14_CT="(None)",E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1" s="14">
        <f>IF(OR(Demographics_Q14_CT="(None)",F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1" s="14">
        <f>IF(OR(Demographics_Q14_CT="(None)",G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1" s="14">
        <f>IF(OR(Demographics_Q14_CT="(None)",H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1" s="14">
        <f>IF(OR(Demographics_Q14_CT="(None)",I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1" s="14">
        <f>IF(OR(Demographics_Q14_CT="(None)",J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1" s="14">
        <f>IF(OR(Demographics_Q14_CT="(None)",K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1" s="14">
        <f>IF(OR(Demographics_Q14_CT="(None)",L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1" s="14">
        <f>IF(OR(Demographics_Q14_CT="(None)",M$39=""),"",IF(M$39="Other",COUNTIFS(Q14_data,"New",passes_workbook_filters_data,1,passes_workbook_custom_filters_data,1,Demographics_passes_local_filters_data,1,Demographics_Q14_F_passes_per_q_filter_data,1)-SUM(B41,C41,D41,E41,F41,G41,H41,I41,J41,K41,L41)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42">
      <c r="A42" t="inlineStr">
        <is>
          <t>Established</t>
        </is>
      </c>
      <c r="B42" s="14">
        <f>IF(OR(Demographics_Q14_CT="(None)",B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2" s="14">
        <f>IF(OR(Demographics_Q14_CT="(None)",C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2" s="14">
        <f>IF(OR(Demographics_Q14_CT="(None)",D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2" s="14">
        <f>IF(OR(Demographics_Q14_CT="(None)",E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2" s="14">
        <f>IF(OR(Demographics_Q14_CT="(None)",F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2" s="14">
        <f>IF(OR(Demographics_Q14_CT="(None)",G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2" s="14">
        <f>IF(OR(Demographics_Q14_CT="(None)",H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2" s="14">
        <f>IF(OR(Demographics_Q14_CT="(None)",I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2" s="14">
        <f>IF(OR(Demographics_Q14_CT="(None)",J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2" s="14">
        <f>IF(OR(Demographics_Q14_CT="(None)",K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2" s="14">
        <f>IF(OR(Demographics_Q14_CT="(None)",L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2" s="14">
        <f>IF(OR(Demographics_Q14_CT="(None)",M$39=""),"",IF(M$39="Other",COUNTIFS(Q14_data,"Established",passes_workbook_filters_data,1,passes_workbook_custom_filters_data,1,Demographics_passes_local_filters_data,1,Demographics_Q14_F_passes_per_q_filter_data,1)-SUM(B42,C42,D42,E42,F42,G42,H42,I42,J42,K42,L42)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2026-06-09T11:30:24Z</dcterms:created>
  <dcterms:modified xmlns:dcterms="http://purl.org/dc/terms/" xmlns:xsi="http://www.w3.org/2001/XMLSchema-instance" xsi:type="dcterms:W3CDTF">2026-06-09T11:30:24Z</dcterms:modified>
</cp:coreProperties>
</file>