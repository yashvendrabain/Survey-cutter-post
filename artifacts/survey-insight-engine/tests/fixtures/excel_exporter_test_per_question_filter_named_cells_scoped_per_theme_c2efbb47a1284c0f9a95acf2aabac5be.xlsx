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tables/table2.xml" ContentType="application/vnd.openxmlformats-officedocument.spreadsheetml.table+xml"/>
  <ns0:Override PartName="/xl/worksheets/sheet9.xml" ContentType="application/vnd.openxmlformats-officedocument.spreadsheetml.worksheet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10.xml" ContentType="application/vnd.openxmlformats-officedocument.spreadsheetml.worksheet+xml"/>
  <ns0:Override PartName="/xl/worksheets/sheet11.xml" ContentType="application/vnd.openxmlformats-officedocument.spreadsheetml.worksheet+xml"/>
  <ns0:Override PartName="/xl/worksheets/sheet12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Theme One" sheetId="7" state="visible" r:id="rId7"/>
    <sheet xmlns:r="http://schemas.openxmlformats.org/officeDocument/2006/relationships" name="Theme Two" sheetId="8" state="visible" r:id="rId8"/>
    <sheet xmlns:r="http://schemas.openxmlformats.org/officeDocument/2006/relationships" name="All Questions" sheetId="9" state="visible" r:id="rId9"/>
    <sheet xmlns:r="http://schemas.openxmlformats.org/officeDocument/2006/relationships" name="Calculation_Log" sheetId="10" state="visible" r:id="rId10"/>
    <sheet xmlns:r="http://schemas.openxmlformats.org/officeDocument/2006/relationships" name="Filter_Log" sheetId="11" state="visible" r:id="rId11"/>
    <sheet xmlns:r="http://schemas.openxmlformats.org/officeDocument/2006/relationships" name="Warnings" sheetId="12" state="visible" r:id="rId12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'_Options'!$A$2:$A$6</definedName>
    <definedName name="All_Questions_Local">'_Options'!$B$2:$B$7</definedName>
    <definedName name="Cross_Tab_Questions">'_Options'!$T$2:$T$4</definedName>
    <definedName name="Cross_Tab_Questions_Data_Names">'_Options'!$U$2:$U$4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'_Options'!$J$2:$J$4</definedName>
    <definedName name="Q_GRID_EXPORTr1_local_options">'_Options'!$Q$2:$Q$5</definedName>
    <definedName name="Q_GRID_EXPORTr2_options">'_Options'!$K$2:$K$4</definedName>
    <definedName name="Q_GRID_EXPORTr2_local_options">'_Options'!$R$2:$R$5</definedName>
    <definedName name="Q_VERY_LONG_SINGLE_SELECT_EXPOR_options">'_Options'!$L$2:$L$4</definedName>
    <definedName name="Q_VERY_LONG_SINGLE_SELECT_EXPOR_local_options">'_Options'!$S$2:$S$5</definedName>
    <definedName name="Q_MS_EXPORT_filter_values_options">'_Options'!$Y$2:$Y$4</definedName>
    <definedName name="Q_MS_EXPORT_filter_values_local_options">'_Options'!$Z$2:$Z$5</definedName>
    <definedName name="Q_GRID_EXPORT_filter_values_options">'_Options'!$AA$2:$AA$6</definedName>
    <definedName name="Q_GRID_EXPORT_filter_values_local_options">'_Options'!$AB$2:$AB$7</definedName>
    <definedName name="All_Questions_Data_Names">'_Options'!$C$2:$C$6</definedName>
    <definedName name="All_Questions_Options_Names">'_Options'!$D$2:$D$6</definedName>
    <definedName name="Cross_Tab_Questions_Options_Names">'_Options'!$V$2:$V$4</definedName>
    <definedName name="All_Questions_Value_Keys">'_Options'!$AF$2:$AF$7</definedName>
    <definedName name="All_Questions_Value_Data_Names">'_Options'!$AG$2:$AG$7</definedName>
    <definedName name="All_Questions_Value_Criteria">'_Options'!$AH$2:$AH$7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1_resolved_criteria">'Filters'!$G$6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F_Custom2_resolved_criteria">'Filters'!$G$7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Theme_One_F_Custom1_Q">'Theme One'!$B$5</definedName>
    <definedName name="Theme_One_F_Custom1_Q_resolved">'Theme One'!$C$5</definedName>
    <definedName name="Theme_One_F_Custom1_V">'Theme One'!$B$6</definedName>
    <definedName name="Theme_One_F_Custom1_V_resolved">'Theme One'!$C$6</definedName>
    <definedName name="Theme_One_F_Custom1_wrapped">'Theme One'!$D$6</definedName>
    <definedName name="Theme_One_F_Custom1_resolved_column">'Theme One'!$F$6</definedName>
    <definedName name="Theme_One_F_Custom1_resolved_criteria">'Theme One'!$G$6</definedName>
    <definedName name="Theme_One_F_Custom2_Q">'Theme One'!$B$7</definedName>
    <definedName name="Theme_One_F_Custom2_Q_resolved">'Theme One'!$C$7</definedName>
    <definedName name="Theme_One_F_Custom2_V">'Theme One'!$B$8</definedName>
    <definedName name="Theme_One_F_Custom2_V_resolved">'Theme One'!$C$8</definedName>
    <definedName name="Theme_One_F_Custom2_wrapped">'Theme One'!$D$8</definedName>
    <definedName name="Theme_One_F_Custom2_resolved_column">'Theme One'!$F$8</definedName>
    <definedName name="Theme_One_F_Custom2_resolved_criteria">'Theme One'!$G$8</definedName>
    <definedName name="Theme_One_passes_local_filters_data">'_RawData'!$M$2:$M$11</definedName>
    <definedName name="Theme_One_Q_SS_EXPORT_F_Q">'Theme One'!$C$13</definedName>
    <definedName name="Theme_One_Q_SS_EXPORT_F_V">'Theme One'!$E$13</definedName>
    <definedName name="Theme_One_Q_SS_EXPORT_F_resolved_column">'Theme One'!$F$13</definedName>
    <definedName name="Theme_One_Q_SS_EXPORT_F_wrapped">'Theme One'!$G$13</definedName>
    <definedName name="Theme_One_Q_SS_EXPORT_F_resolved_criteria">'Theme One'!$H$13</definedName>
    <definedName name="Theme_One_Q_SS_EXPORT_F_passes_per_q_filter_data">'_RawData'!$N$2:$N$11</definedName>
    <definedName name="Theme_One_Q_SS_EXPORT_CT">'Theme One'!$C$14</definedName>
    <definedName name="Theme_Two_F_Custom1_Q">'Theme Two'!$B$5</definedName>
    <definedName name="Theme_Two_F_Custom1_Q_resolved">'Theme Two'!$C$5</definedName>
    <definedName name="Theme_Two_F_Custom1_V">'Theme Two'!$B$6</definedName>
    <definedName name="Theme_Two_F_Custom1_V_resolved">'Theme Two'!$C$6</definedName>
    <definedName name="Theme_Two_F_Custom1_wrapped">'Theme Two'!$D$6</definedName>
    <definedName name="Theme_Two_F_Custom1_resolved_column">'Theme Two'!$F$6</definedName>
    <definedName name="Theme_Two_F_Custom1_resolved_criteria">'Theme Two'!$G$6</definedName>
    <definedName name="Theme_Two_F_Custom2_Q">'Theme Two'!$B$7</definedName>
    <definedName name="Theme_Two_F_Custom2_Q_resolved">'Theme Two'!$C$7</definedName>
    <definedName name="Theme_Two_F_Custom2_V">'Theme Two'!$B$8</definedName>
    <definedName name="Theme_Two_F_Custom2_V_resolved">'Theme Two'!$C$8</definedName>
    <definedName name="Theme_Two_F_Custom2_wrapped">'Theme Two'!$D$8</definedName>
    <definedName name="Theme_Two_F_Custom2_resolved_column">'Theme Two'!$F$8</definedName>
    <definedName name="Theme_Two_F_Custom2_resolved_criteria">'Theme Two'!$G$8</definedName>
    <definedName name="Theme_Two_passes_local_filters_data">'_RawData'!$O$2:$O$11</definedName>
    <definedName name="Theme_Two_Q_NUM_EXPORT_F_Q">'Theme Two'!$C$13</definedName>
    <definedName name="Theme_Two_Q_NUM_EXPORT_F_V">'Theme Two'!$E$13</definedName>
    <definedName name="Theme_Two_Q_NUM_EXPORT_F_resolved_column">'Theme Two'!$F$13</definedName>
    <definedName name="Theme_Two_Q_NUM_EXPORT_F_wrapped">'Theme Two'!$G$13</definedName>
    <definedName name="Theme_Two_Q_NUM_EXPORT_F_resolved_criteria">'Theme Two'!$H$13</definedName>
    <definedName name="Theme_Two_Q_NUM_EXPORT_F_passes_per_q_filter_data">'_RawData'!$P$2:$P$11</definedName>
    <definedName name="Theme_Two_Q_NUM_EXPORT_CT">'Theme Two'!$C$14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1_resolved_criteria">'All Questions'!$G$6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F_Custom2_resolved_criteria">'All Questions'!$G$8</definedName>
    <definedName name="All_Questions_passes_local_filters_data">'_RawData'!$Q$2:$Q$11</definedName>
    <definedName name="All_Questions_Q_MS_EXPORT_F_Q">'All Questions'!$C$13</definedName>
    <definedName name="All_Questions_Q_MS_EXPORT_F_V">'All Questions'!$E$13</definedName>
    <definedName name="All_Questions_Q_MS_EXPORT_F_resolved_column">'All Questions'!$F$13</definedName>
    <definedName name="All_Questions_Q_MS_EXPORT_F_wrapped">'All Questions'!$G$13</definedName>
    <definedName name="All_Questions_Q_MS_EXPORT_F_resolved_criteria">'All Questions'!$H$13</definedName>
    <definedName name="All_Questions_Q_MS_EXPORT_F_passes_per_q_filter_data">'_RawData'!$R$2:$R$11</definedName>
    <definedName name="All_Questions_Q_MS_EXPORT_CT">'All Questions'!$C$14</definedName>
    <definedName name="All_Questions_Q_GRID_EXPORT_F_Q">'All Questions'!$C$30</definedName>
    <definedName name="All_Questions_Q_GRID_EXPORT_F_V">'All Questions'!$E$30</definedName>
    <definedName name="All_Questions_Q_GRID_EXPORT_F_resolved_column">'All Questions'!$F$30</definedName>
    <definedName name="All_Questions_Q_GRID_EXPORT_F_wrapped">'All Questions'!$G$30</definedName>
    <definedName name="All_Questions_Q_GRID_EXPORT_F_resolved_criteria">'All Questions'!$H$30</definedName>
    <definedName name="All_Questions_Q_GRID_EXPORT_F_passes_per_q_filter_data">'_RawData'!$S$2:$S$11</definedName>
    <definedName name="All_Questions_Q_VERY_LONG_SINGLE_SELECT_EXPORT_NAME_F_Q">'All Questions'!$C$41</definedName>
    <definedName name="All_Questions_Q_VERY_LONG_SINGLE_SELECT_EXPORT_NAME_F_V">'All Questions'!$E$41</definedName>
    <definedName name="All_Questions_Q_VERY_LONG_SINGLE_SELECT_EXPORT_NAME_F_resolved_column">'All Questions'!$F$41</definedName>
    <definedName name="All_Questions_Q_VERY_LONG_SINGLE_SELECT_EXPORT_NAME_F_wrapped">'All Questions'!$G$41</definedName>
    <definedName name="All_Questions_Q_VERY_LONG_SINGLE_SELECT_EXPORT_NAME_F_resolved_criteria">'All Questions'!$H$41</definedName>
    <definedName name="All_Questions_Q_VERY_LONG_SINGLE_SELECT_EXPORT_NAME_F_passes_per_q_filter_data">'_RawData'!$T$2:$T$11</definedName>
    <definedName name="All_Questions_Q_VERY_LONG_SINGLE_SELECT_EXPORT_NAME_CT">'All Questions'!$C$42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S2" i="1"/>
  <c r="T2" i="1"/>
  <c r="I3" i="1"/>
  <c r="J3" i="1"/>
  <c r="K3" i="1"/>
  <c r="L3" i="1"/>
  <c r="M3" i="1"/>
  <c r="N3" i="1"/>
  <c r="O3" i="1"/>
  <c r="P3" i="1"/>
  <c r="Q3" i="1"/>
  <c r="R3" i="1"/>
  <c r="S3" i="1"/>
  <c r="T3" i="1"/>
  <c r="I4" i="1"/>
  <c r="J4" i="1"/>
  <c r="K4" i="1"/>
  <c r="L4" i="1"/>
  <c r="M4" i="1"/>
  <c r="N4" i="1"/>
  <c r="O4" i="1"/>
  <c r="P4" i="1"/>
  <c r="Q4" i="1"/>
  <c r="R4" i="1"/>
  <c r="S4" i="1"/>
  <c r="T4" i="1"/>
  <c r="I5" i="1"/>
  <c r="J5" i="1"/>
  <c r="K5" i="1"/>
  <c r="L5" i="1"/>
  <c r="M5" i="1"/>
  <c r="N5" i="1"/>
  <c r="O5" i="1"/>
  <c r="P5" i="1"/>
  <c r="Q5" i="1"/>
  <c r="R5" i="1"/>
  <c r="S5" i="1"/>
  <c r="T5" i="1"/>
  <c r="I6" i="1"/>
  <c r="J6" i="1"/>
  <c r="K6" i="1"/>
  <c r="L6" i="1"/>
  <c r="M6" i="1"/>
  <c r="N6" i="1"/>
  <c r="O6" i="1"/>
  <c r="P6" i="1"/>
  <c r="Q6" i="1"/>
  <c r="R6" i="1"/>
  <c r="S6" i="1"/>
  <c r="T6" i="1"/>
  <c r="I7" i="1"/>
  <c r="J7" i="1"/>
  <c r="K7" i="1"/>
  <c r="L7" i="1"/>
  <c r="M7" i="1"/>
  <c r="N7" i="1"/>
  <c r="O7" i="1"/>
  <c r="P7" i="1"/>
  <c r="Q7" i="1"/>
  <c r="R7" i="1"/>
  <c r="S7" i="1"/>
  <c r="T7" i="1"/>
  <c r="I8" i="1"/>
  <c r="J8" i="1"/>
  <c r="K8" i="1"/>
  <c r="L8" i="1"/>
  <c r="M8" i="1"/>
  <c r="N8" i="1"/>
  <c r="O8" i="1"/>
  <c r="P8" i="1"/>
  <c r="Q8" i="1"/>
  <c r="R8" i="1"/>
  <c r="S8" i="1"/>
  <c r="T8" i="1"/>
  <c r="I9" i="1"/>
  <c r="J9" i="1"/>
  <c r="K9" i="1"/>
  <c r="L9" i="1"/>
  <c r="M9" i="1"/>
  <c r="N9" i="1"/>
  <c r="O9" i="1"/>
  <c r="P9" i="1"/>
  <c r="Q9" i="1"/>
  <c r="R9" i="1"/>
  <c r="S9" i="1"/>
  <c r="T9" i="1"/>
  <c r="I10" i="1"/>
  <c r="J10" i="1"/>
  <c r="K10" i="1"/>
  <c r="L10" i="1"/>
  <c r="M10" i="1"/>
  <c r="N10" i="1"/>
  <c r="O10" i="1"/>
  <c r="P10" i="1"/>
  <c r="Q10" i="1"/>
  <c r="R10" i="1"/>
  <c r="S10" i="1"/>
  <c r="T10" i="1"/>
  <c r="I11" i="1"/>
  <c r="J11" i="1"/>
  <c r="K11" i="1"/>
  <c r="L11" i="1"/>
  <c r="M11" i="1"/>
  <c r="N11" i="1"/>
  <c r="O11" i="1"/>
  <c r="P11" i="1"/>
  <c r="Q11" i="1"/>
  <c r="R11" i="1"/>
  <c r="S11" i="1"/>
  <c r="T11" i="1"/>
  <c r="E6" i="3"/>
  <c r="F6" i="3"/>
  <c r="G6" i="3"/>
  <c r="E7" i="3"/>
  <c r="F7" i="3"/>
  <c r="G7" i="3"/>
  <c r="C5" i="7"/>
  <c r="C6" i="7"/>
  <c r="D6" i="7"/>
  <c r="F6" i="7"/>
  <c r="G6" i="7"/>
  <c r="C7" i="7"/>
  <c r="C8" i="7"/>
  <c r="D8" i="7"/>
  <c r="F8" i="7"/>
  <c r="G8" i="7"/>
  <c r="F13" i="7"/>
  <c r="G13" i="7"/>
  <c r="H13" i="7"/>
  <c r="B17" i="7"/>
  <c r="C17" i="7"/>
  <c r="D17" i="7"/>
  <c r="B18" i="7"/>
  <c r="C18" i="7"/>
  <c r="D18" i="7"/>
  <c r="B21" i="7"/>
  <c r="C21" i="7"/>
  <c r="D21" i="7"/>
  <c r="E21" i="7"/>
  <c r="F21" i="7"/>
  <c r="G21" i="7"/>
  <c r="H21" i="7"/>
  <c r="I21" i="7"/>
  <c r="J21" i="7"/>
  <c r="K21" i="7"/>
  <c r="L21" i="7"/>
  <c r="M21" i="7"/>
  <c r="B23" i="7"/>
  <c r="C23" i="7"/>
  <c r="D23" i="7"/>
  <c r="E23" i="7"/>
  <c r="F23" i="7"/>
  <c r="G23" i="7"/>
  <c r="H23" i="7"/>
  <c r="I23" i="7"/>
  <c r="J23" i="7"/>
  <c r="K23" i="7"/>
  <c r="L23" i="7"/>
  <c r="M23" i="7"/>
  <c r="N23" i="7"/>
  <c r="B24" i="7"/>
  <c r="C24" i="7"/>
  <c r="D24" i="7"/>
  <c r="E24" i="7"/>
  <c r="F24" i="7"/>
  <c r="G24" i="7"/>
  <c r="H24" i="7"/>
  <c r="I24" i="7"/>
  <c r="J24" i="7"/>
  <c r="K24" i="7"/>
  <c r="L24" i="7"/>
  <c r="M24" i="7"/>
  <c r="N24" i="7"/>
  <c r="N25" i="7"/>
  <c r="C5" i="8"/>
  <c r="C6" i="8"/>
  <c r="D6" i="8"/>
  <c r="F6" i="8"/>
  <c r="G6" i="8"/>
  <c r="C7" i="8"/>
  <c r="C8" i="8"/>
  <c r="D8" i="8"/>
  <c r="F8" i="8"/>
  <c r="G8" i="8"/>
  <c r="F13" i="8"/>
  <c r="G13" i="8"/>
  <c r="H13" i="8"/>
  <c r="B17" i="8"/>
  <c r="D17" i="8"/>
  <c r="B18" i="8"/>
  <c r="D18" i="8"/>
  <c r="B19" i="8"/>
  <c r="D19" i="8"/>
  <c r="D20" i="8"/>
  <c r="B23" i="8"/>
  <c r="C23" i="8"/>
  <c r="D23" i="8"/>
  <c r="E23" i="8"/>
  <c r="F23" i="8"/>
  <c r="G23" i="8"/>
  <c r="H23" i="8"/>
  <c r="I23" i="8"/>
  <c r="J23" i="8"/>
  <c r="K23" i="8"/>
  <c r="L23" i="8"/>
  <c r="M23" i="8"/>
  <c r="B25" i="8"/>
  <c r="C25" i="8"/>
  <c r="D25" i="8"/>
  <c r="E25" i="8"/>
  <c r="F25" i="8"/>
  <c r="G25" i="8"/>
  <c r="H25" i="8"/>
  <c r="I25" i="8"/>
  <c r="J25" i="8"/>
  <c r="K25" i="8"/>
  <c r="L25" i="8"/>
  <c r="M25" i="8"/>
  <c r="N25" i="8"/>
  <c r="N26" i="8"/>
  <c r="C5" i="9"/>
  <c r="C6" i="9"/>
  <c r="D6" i="9"/>
  <c r="F6" i="9"/>
  <c r="G6" i="9"/>
  <c r="C7" i="9"/>
  <c r="C8" i="9"/>
  <c r="D8" i="9"/>
  <c r="F8" i="9"/>
  <c r="G8" i="9"/>
  <c r="F13" i="9"/>
  <c r="G13" i="9"/>
  <c r="H13" i="9"/>
  <c r="B17" i="9"/>
  <c r="C17" i="9"/>
  <c r="D17" i="9"/>
  <c r="B18" i="9"/>
  <c r="C18" i="9"/>
  <c r="D18" i="9"/>
  <c r="B22" i="9"/>
  <c r="C22" i="9"/>
  <c r="D22" i="9"/>
  <c r="E22" i="9"/>
  <c r="F22" i="9"/>
  <c r="G22" i="9"/>
  <c r="H22" i="9"/>
  <c r="I22" i="9"/>
  <c r="J22" i="9"/>
  <c r="K22" i="9"/>
  <c r="L22" i="9"/>
  <c r="M22" i="9"/>
  <c r="B24" i="9"/>
  <c r="C24" i="9"/>
  <c r="D24" i="9"/>
  <c r="E24" i="9"/>
  <c r="F24" i="9"/>
  <c r="G24" i="9"/>
  <c r="H24" i="9"/>
  <c r="I24" i="9"/>
  <c r="J24" i="9"/>
  <c r="K24" i="9"/>
  <c r="L24" i="9"/>
  <c r="M24" i="9"/>
  <c r="N24" i="9"/>
  <c r="B25" i="9"/>
  <c r="C25" i="9"/>
  <c r="D25" i="9"/>
  <c r="E25" i="9"/>
  <c r="F25" i="9"/>
  <c r="G25" i="9"/>
  <c r="H25" i="9"/>
  <c r="I25" i="9"/>
  <c r="J25" i="9"/>
  <c r="K25" i="9"/>
  <c r="L25" i="9"/>
  <c r="M25" i="9"/>
  <c r="N25" i="9"/>
  <c r="N26" i="9"/>
  <c r="F30" i="9"/>
  <c r="G30" i="9"/>
  <c r="H30" i="9"/>
  <c r="C34" i="9"/>
  <c r="D34" i="9"/>
  <c r="E34" i="9"/>
  <c r="F34" i="9"/>
  <c r="C35" i="9"/>
  <c r="D35" i="9"/>
  <c r="E35" i="9"/>
  <c r="F35" i="9"/>
  <c r="F41" i="9"/>
  <c r="G41" i="9"/>
  <c r="H41" i="9"/>
  <c r="B45" i="9"/>
  <c r="C45" i="9"/>
  <c r="D45" i="9"/>
  <c r="B46" i="9"/>
  <c r="C46" i="9"/>
  <c r="D46" i="9"/>
  <c r="B49" i="9"/>
  <c r="C49" i="9"/>
  <c r="D49" i="9"/>
  <c r="E49" i="9"/>
  <c r="F49" i="9"/>
  <c r="G49" i="9"/>
  <c r="H49" i="9"/>
  <c r="I49" i="9"/>
  <c r="J49" i="9"/>
  <c r="K49" i="9"/>
  <c r="L49" i="9"/>
  <c r="M49" i="9"/>
  <c r="B51" i="9"/>
  <c r="C51" i="9"/>
  <c r="D51" i="9"/>
  <c r="E51" i="9"/>
  <c r="F51" i="9"/>
  <c r="G51" i="9"/>
  <c r="H51" i="9"/>
  <c r="I51" i="9"/>
  <c r="J51" i="9"/>
  <c r="K51" i="9"/>
  <c r="L51" i="9"/>
  <c r="M51" i="9"/>
  <c r="N51" i="9"/>
  <c r="B52" i="9"/>
  <c r="C52" i="9"/>
  <c r="D52" i="9"/>
  <c r="E52" i="9"/>
  <c r="F52" i="9"/>
  <c r="G52" i="9"/>
  <c r="H52" i="9"/>
  <c r="I52" i="9"/>
  <c r="J52" i="9"/>
  <c r="K52" i="9"/>
  <c r="L52" i="9"/>
  <c r="M52" i="9"/>
  <c r="N52" i="9"/>
  <c r="N53" i="9"/>
  <c r="H9" i="10"/>
  <c r="H10" i="10"/>
  <c r="H11" i="10"/>
  <c r="H12" i="10"/>
  <c r="H13" i="10"/>
  <c r="H14" i="10"/>
  <c r="H15" i="10"/>
  <c r="H16" i="10"/>
  <c r="H17" i="10"/>
  <c r="H18" i="10"/>
  <c r="H19" i="10"/>
  <c r="H20" i="10"/>
  <c r="H21" i="10"/>
  <c r="H22" i="10"/>
  <c r="H23" i="10"/>
  <c r="H24" i="10"/>
  <c r="H25" i="10"/>
  <c r="H26" i="10"/>
  <c r="H27" i="10"/>
  <c r="H28" i="10"/>
  <c r="H29" i="10"/>
  <c r="H30" i="10"/>
  <c r="H31" i="10"/>
  <c r="H32" i="10"/>
  <c r="H33" i="10"/>
  <c r="H34" i="10"/>
  <c r="H35" i="10"/>
  <c r="H36" i="10"/>
  <c r="H37" i="10"/>
  <c r="H38" i="10"/>
  <c r="H39" i="10"/>
  <c r="H40" i="10"/>
  <c r="H41" i="10"/>
  <c r="H42" i="10"/>
  <c r="H43" i="10"/>
  <c r="H44" i="10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worksheet" Target="/xl/worksheets/sheet11.xml" Id="rId11" /><ns0:Relationship Type="http://schemas.openxmlformats.org/officeDocument/2006/relationships/worksheet" Target="/xl/worksheets/sheet12.xml" Id="rId12" /><ns0:Relationship Type="http://schemas.openxmlformats.org/officeDocument/2006/relationships/styles" Target="styles.xml" Id="rId13" /><ns0:Relationship Type="http://schemas.openxmlformats.org/officeDocument/2006/relationships/theme" Target="theme/theme1.xml" Id="rId14" /><ns0:Relationship Id="rId15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Theme_One_16_1" displayName="T_Theme_One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Theme_Two_16_1" displayName="T_Theme_Two_16_1" ref="A16:D21" headerRowCount="1">
  <autoFilter ref="A16:D2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16_1" displayName="T_All_Questions_16_1" ref="A16:D20" headerRowCount="1">
  <autoFilter ref="A16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4_1" displayName="T_All_Questions_44_1" ref="A44:D47" headerRowCount="1">
  <autoFilter ref="A44:D47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Theme One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Theme Two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8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9.xml.rels><Relationships xmlns="http://schemas.openxmlformats.org/package/2006/relationships"><Relationship Type="http://schemas.openxmlformats.org/officeDocument/2006/relationships/table" Target="/xl/tables/table3.xml" Id="rId1"/><Relationship Type="http://schemas.openxmlformats.org/officeDocument/2006/relationships/table" Target="/xl/tables/table4.xm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Theme_One_passes_local_filters</t>
        </is>
      </c>
      <c r="N1" t="inlineStr">
        <is>
          <t>Theme_One_Q_SS_EXPORT_F_passes_per_q_filter</t>
        </is>
      </c>
      <c r="O1" t="inlineStr">
        <is>
          <t>Theme_Two_passes_local_filters</t>
        </is>
      </c>
      <c r="P1" t="inlineStr">
        <is>
          <t>Theme_Two_Q_NUM_EXPORT_F_passes_per_q_filter</t>
        </is>
      </c>
      <c r="Q1" t="inlineStr">
        <is>
          <t>All_Questions_passes_local_filters</t>
        </is>
      </c>
      <c r="R1" t="inlineStr">
        <is>
          <t>All_Questions_Q_MS_EXPORT_F_passes_per_q_filter</t>
        </is>
      </c>
      <c r="S1" t="inlineStr">
        <is>
          <t>All_Questions_Q_GRID_EXPORT_F_passes_per_q_filter</t>
        </is>
      </c>
      <c r="T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IF(OR(F_Custom1_Q="(None)",F_Custom1_Q="",ISBLANK(F_Custom1_Q),F_Custom1_V="(All)",F_Custom1_V="",ISBLANK(F_Custom1_V)),1,IFERROR(IF(ISNUMBER(SEARCH("|"&amp;INDEX(INDIRECT(F_Custom1_resolved_column),1)&amp;"|",("|" &amp; SUBSTITUTE(F_Custom1_resolved_criteria, ", ", "|") &amp; "|"))),1,0),0))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IF(OR(F_Custom2_Q="(None)",F_Custom2_Q="",ISBLANK(F_Custom2_Q),F_Custom2_V="(All)",F_Custom2_V="",ISBLANK(F_Custom2_V)),1,IFERROR(IF(ISNUMBER(SEARCH("|"&amp;INDEX(INDIRECT(F_Custom2_resolved_column),1)&amp;"|",("|" &amp; SUBSTITUTE(F_Custom2_resolved_criteria, ", ", "|") &amp; "|"))),1,0),0))</f>
        <v>1</v>
      </c>
      <c r="L2">
        <f>J2*K2*1</f>
        <v>1</v>
      </c>
      <c r="M2">
        <f>1</f>
        <v>1</v>
      </c>
      <c r="N2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1)&amp;"|",("|" &amp; SUBSTITUTE(Theme_One_Q_SS_EXPORT_F_resolved_criteria, ", ", "|") &amp; "|"))),1,0),0))*1</f>
        <v>1</v>
      </c>
      <c r="O2">
        <f>1</f>
        <v>1</v>
      </c>
      <c r="P2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1)&amp;"|",("|" &amp; SUBSTITUTE(Theme_Two_Q_NUM_EXPORT_F_resolved_criteria, ", ", "|") &amp; "|"))),1,0),0))*1</f>
        <v>1</v>
      </c>
      <c r="Q2">
        <f>1</f>
        <v>1</v>
      </c>
      <c r="R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("|" &amp; SUBSTITUTE(All_Questions_Q_MS_EXPORT_F_resolved_criteria, ", ", "|") &amp; "|"))),1,0),0))*1</f>
        <v>1</v>
      </c>
      <c r="S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("|" &amp; SUBSTITUTE(All_Questions_Q_GRID_EXPORT_F_resolved_criteria, ", ", "|") &amp; "|"))),1,0),0))*1</f>
        <v>1</v>
      </c>
      <c r="T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("|" &amp; SUBSTITUTE(All_Questions_Q_VERY_LONG_SINGLE_SELECT_EXPORT_NAME_F_resolved_criteria, ", ", "|") &amp; "|"))),1,0),0))*1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IF(OR(F_Custom1_Q="(None)",F_Custom1_Q="",ISBLANK(F_Custom1_Q),F_Custom1_V="(All)",F_Custom1_V="",ISBLANK(F_Custom1_V)),1,IFERROR(IF(ISNUMBER(SEARCH("|"&amp;INDEX(INDIRECT(F_Custom1_resolved_column),2)&amp;"|",("|" &amp; SUBSTITUTE(F_Custom1_resolved_criteria, ", ", "|") &amp; "|"))),1,0),0))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IF(OR(F_Custom2_Q="(None)",F_Custom2_Q="",ISBLANK(F_Custom2_Q),F_Custom2_V="(All)",F_Custom2_V="",ISBLANK(F_Custom2_V)),1,IFERROR(IF(ISNUMBER(SEARCH("|"&amp;INDEX(INDIRECT(F_Custom2_resolved_column),2)&amp;"|",("|" &amp; SUBSTITUTE(F_Custom2_resolved_criteria, ", ", "|") &amp; "|"))),1,0),0))</f>
        <v>1</v>
      </c>
      <c r="L3">
        <f>J3*K3*1</f>
        <v>1</v>
      </c>
      <c r="M3">
        <f>1</f>
        <v>1</v>
      </c>
      <c r="N3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2)&amp;"|",("|" &amp; SUBSTITUTE(Theme_One_Q_SS_EXPORT_F_resolved_criteria, ", ", "|") &amp; "|"))),1,0),0))*1</f>
        <v>1</v>
      </c>
      <c r="O3">
        <f>1</f>
        <v>1</v>
      </c>
      <c r="P3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2)&amp;"|",("|" &amp; SUBSTITUTE(Theme_Two_Q_NUM_EXPORT_F_resolved_criteria, ", ", "|") &amp; "|"))),1,0),0))*1</f>
        <v>1</v>
      </c>
      <c r="Q3">
        <f>1</f>
        <v>1</v>
      </c>
      <c r="R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("|" &amp; SUBSTITUTE(All_Questions_Q_MS_EXPORT_F_resolved_criteria, ", ", "|") &amp; "|"))),1,0),0))*1</f>
        <v>1</v>
      </c>
      <c r="S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("|" &amp; SUBSTITUTE(All_Questions_Q_GRID_EXPORT_F_resolved_criteria, ", ", "|") &amp; "|"))),1,0),0))*1</f>
        <v>1</v>
      </c>
      <c r="T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("|" &amp; SUBSTITUTE(All_Questions_Q_VERY_LONG_SINGLE_SELECT_EXPORT_NAME_F_resolved_criteria, ", ", "|") &amp; "|"))),1,0),0))*1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IF(OR(F_Custom1_Q="(None)",F_Custom1_Q="",ISBLANK(F_Custom1_Q),F_Custom1_V="(All)",F_Custom1_V="",ISBLANK(F_Custom1_V)),1,IFERROR(IF(ISNUMBER(SEARCH("|"&amp;INDEX(INDIRECT(F_Custom1_resolved_column),3)&amp;"|",("|" &amp; SUBSTITUTE(F_Custom1_resolved_criteria, ", ", "|") &amp; "|"))),1,0),0))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IF(OR(F_Custom2_Q="(None)",F_Custom2_Q="",ISBLANK(F_Custom2_Q),F_Custom2_V="(All)",F_Custom2_V="",ISBLANK(F_Custom2_V)),1,IFERROR(IF(ISNUMBER(SEARCH("|"&amp;INDEX(INDIRECT(F_Custom2_resolved_column),3)&amp;"|",("|" &amp; SUBSTITUTE(F_Custom2_resolved_criteria, ", ", "|") &amp; "|"))),1,0),0))</f>
        <v>1</v>
      </c>
      <c r="L4">
        <f>J4*K4*1</f>
        <v>1</v>
      </c>
      <c r="M4">
        <f>1</f>
        <v>1</v>
      </c>
      <c r="N4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3)&amp;"|",("|" &amp; SUBSTITUTE(Theme_One_Q_SS_EXPORT_F_resolved_criteria, ", ", "|") &amp; "|"))),1,0),0))*1</f>
        <v>1</v>
      </c>
      <c r="O4">
        <f>1</f>
        <v>1</v>
      </c>
      <c r="P4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3)&amp;"|",("|" &amp; SUBSTITUTE(Theme_Two_Q_NUM_EXPORT_F_resolved_criteria, ", ", "|") &amp; "|"))),1,0),0))*1</f>
        <v>1</v>
      </c>
      <c r="Q4">
        <f>1</f>
        <v>1</v>
      </c>
      <c r="R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("|" &amp; SUBSTITUTE(All_Questions_Q_MS_EXPORT_F_resolved_criteria, ", ", "|") &amp; "|"))),1,0),0))*1</f>
        <v>1</v>
      </c>
      <c r="S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("|" &amp; SUBSTITUTE(All_Questions_Q_GRID_EXPORT_F_resolved_criteria, ", ", "|") &amp; "|"))),1,0),0))*1</f>
        <v>1</v>
      </c>
      <c r="T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("|" &amp; SUBSTITUTE(All_Questions_Q_VERY_LONG_SINGLE_SELECT_EXPORT_NAME_F_resolved_criteria, ", ", "|") &amp; "|"))),1,0),0))*1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IF(OR(F_Custom1_Q="(None)",F_Custom1_Q="",ISBLANK(F_Custom1_Q),F_Custom1_V="(All)",F_Custom1_V="",ISBLANK(F_Custom1_V)),1,IFERROR(IF(ISNUMBER(SEARCH("|"&amp;INDEX(INDIRECT(F_Custom1_resolved_column),4)&amp;"|",("|" &amp; SUBSTITUTE(F_Custom1_resolved_criteria, ", ", "|") &amp; "|"))),1,0),0))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IF(OR(F_Custom2_Q="(None)",F_Custom2_Q="",ISBLANK(F_Custom2_Q),F_Custom2_V="(All)",F_Custom2_V="",ISBLANK(F_Custom2_V)),1,IFERROR(IF(ISNUMBER(SEARCH("|"&amp;INDEX(INDIRECT(F_Custom2_resolved_column),4)&amp;"|",("|" &amp; SUBSTITUTE(F_Custom2_resolved_criteria, ", ", "|") &amp; "|"))),1,0),0))</f>
        <v>1</v>
      </c>
      <c r="L5">
        <f>J5*K5*1</f>
        <v>1</v>
      </c>
      <c r="M5">
        <f>1</f>
        <v>1</v>
      </c>
      <c r="N5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4)&amp;"|",("|" &amp; SUBSTITUTE(Theme_One_Q_SS_EXPORT_F_resolved_criteria, ", ", "|") &amp; "|"))),1,0),0))*1</f>
        <v>1</v>
      </c>
      <c r="O5">
        <f>1</f>
        <v>1</v>
      </c>
      <c r="P5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4)&amp;"|",("|" &amp; SUBSTITUTE(Theme_Two_Q_NUM_EXPORT_F_resolved_criteria, ", ", "|") &amp; "|"))),1,0),0))*1</f>
        <v>1</v>
      </c>
      <c r="Q5">
        <f>1</f>
        <v>1</v>
      </c>
      <c r="R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("|" &amp; SUBSTITUTE(All_Questions_Q_MS_EXPORT_F_resolved_criteria, ", ", "|") &amp; "|"))),1,0),0))*1</f>
        <v>1</v>
      </c>
      <c r="S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("|" &amp; SUBSTITUTE(All_Questions_Q_GRID_EXPORT_F_resolved_criteria, ", ", "|") &amp; "|"))),1,0),0))*1</f>
        <v>1</v>
      </c>
      <c r="T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("|" &amp; SUBSTITUTE(All_Questions_Q_VERY_LONG_SINGLE_SELECT_EXPORT_NAME_F_resolved_criteria, ", ", "|") &amp; "|"))),1,0),0))*1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IF(OR(F_Custom1_Q="(None)",F_Custom1_Q="",ISBLANK(F_Custom1_Q),F_Custom1_V="(All)",F_Custom1_V="",ISBLANK(F_Custom1_V)),1,IFERROR(IF(ISNUMBER(SEARCH("|"&amp;INDEX(INDIRECT(F_Custom1_resolved_column),5)&amp;"|",("|" &amp; SUBSTITUTE(F_Custom1_resolved_criteria, ", ", "|") &amp; "|"))),1,0),0))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IF(OR(F_Custom2_Q="(None)",F_Custom2_Q="",ISBLANK(F_Custom2_Q),F_Custom2_V="(All)",F_Custom2_V="",ISBLANK(F_Custom2_V)),1,IFERROR(IF(ISNUMBER(SEARCH("|"&amp;INDEX(INDIRECT(F_Custom2_resolved_column),5)&amp;"|",("|" &amp; SUBSTITUTE(F_Custom2_resolved_criteria, ", ", "|") &amp; "|"))),1,0),0))</f>
        <v>1</v>
      </c>
      <c r="L6">
        <f>J6*K6*1</f>
        <v>1</v>
      </c>
      <c r="M6">
        <f>1</f>
        <v>1</v>
      </c>
      <c r="N6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5)&amp;"|",("|" &amp; SUBSTITUTE(Theme_One_Q_SS_EXPORT_F_resolved_criteria, ", ", "|") &amp; "|"))),1,0),0))*1</f>
        <v>1</v>
      </c>
      <c r="O6">
        <f>1</f>
        <v>1</v>
      </c>
      <c r="P6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5)&amp;"|",("|" &amp; SUBSTITUTE(Theme_Two_Q_NUM_EXPORT_F_resolved_criteria, ", ", "|") &amp; "|"))),1,0),0))*1</f>
        <v>1</v>
      </c>
      <c r="Q6">
        <f>1</f>
        <v>1</v>
      </c>
      <c r="R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("|" &amp; SUBSTITUTE(All_Questions_Q_MS_EXPORT_F_resolved_criteria, ", ", "|") &amp; "|"))),1,0),0))*1</f>
        <v>1</v>
      </c>
      <c r="S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("|" &amp; SUBSTITUTE(All_Questions_Q_GRID_EXPORT_F_resolved_criteria, ", ", "|") &amp; "|"))),1,0),0))*1</f>
        <v>1</v>
      </c>
      <c r="T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("|" &amp; SUBSTITUTE(All_Questions_Q_VERY_LONG_SINGLE_SELECT_EXPORT_NAME_F_resolved_criteria, ", ", "|") &amp; "|"))),1,0),0))*1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IF(OR(F_Custom1_Q="(None)",F_Custom1_Q="",ISBLANK(F_Custom1_Q),F_Custom1_V="(All)",F_Custom1_V="",ISBLANK(F_Custom1_V)),1,IFERROR(IF(ISNUMBER(SEARCH("|"&amp;INDEX(INDIRECT(F_Custom1_resolved_column),6)&amp;"|",("|" &amp; SUBSTITUTE(F_Custom1_resolved_criteria, ", ", "|") &amp; "|"))),1,0),0))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IF(OR(F_Custom2_Q="(None)",F_Custom2_Q="",ISBLANK(F_Custom2_Q),F_Custom2_V="(All)",F_Custom2_V="",ISBLANK(F_Custom2_V)),1,IFERROR(IF(ISNUMBER(SEARCH("|"&amp;INDEX(INDIRECT(F_Custom2_resolved_column),6)&amp;"|",("|" &amp; SUBSTITUTE(F_Custom2_resolved_criteria, ", ", "|") &amp; "|"))),1,0),0))</f>
        <v>1</v>
      </c>
      <c r="L7">
        <f>J7*K7*1</f>
        <v>1</v>
      </c>
      <c r="M7">
        <f>1</f>
        <v>1</v>
      </c>
      <c r="N7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6)&amp;"|",("|" &amp; SUBSTITUTE(Theme_One_Q_SS_EXPORT_F_resolved_criteria, ", ", "|") &amp; "|"))),1,0),0))*1</f>
        <v>1</v>
      </c>
      <c r="O7">
        <f>1</f>
        <v>1</v>
      </c>
      <c r="P7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6)&amp;"|",("|" &amp; SUBSTITUTE(Theme_Two_Q_NUM_EXPORT_F_resolved_criteria, ", ", "|") &amp; "|"))),1,0),0))*1</f>
        <v>1</v>
      </c>
      <c r="Q7">
        <f>1</f>
        <v>1</v>
      </c>
      <c r="R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("|" &amp; SUBSTITUTE(All_Questions_Q_MS_EXPORT_F_resolved_criteria, ", ", "|") &amp; "|"))),1,0),0))*1</f>
        <v>1</v>
      </c>
      <c r="S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("|" &amp; SUBSTITUTE(All_Questions_Q_GRID_EXPORT_F_resolved_criteria, ", ", "|") &amp; "|"))),1,0),0))*1</f>
        <v>1</v>
      </c>
      <c r="T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("|" &amp; SUBSTITUTE(All_Questions_Q_VERY_LONG_SINGLE_SELECT_EXPORT_NAME_F_resolved_criteria, ", ", "|") &amp; "|"))),1,0),0))*1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IF(OR(F_Custom1_Q="(None)",F_Custom1_Q="",ISBLANK(F_Custom1_Q),F_Custom1_V="(All)",F_Custom1_V="",ISBLANK(F_Custom1_V)),1,IFERROR(IF(ISNUMBER(SEARCH("|"&amp;INDEX(INDIRECT(F_Custom1_resolved_column),7)&amp;"|",("|" &amp; SUBSTITUTE(F_Custom1_resolved_criteria, ", ", "|") &amp; "|"))),1,0),0))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IF(OR(F_Custom2_Q="(None)",F_Custom2_Q="",ISBLANK(F_Custom2_Q),F_Custom2_V="(All)",F_Custom2_V="",ISBLANK(F_Custom2_V)),1,IFERROR(IF(ISNUMBER(SEARCH("|"&amp;INDEX(INDIRECT(F_Custom2_resolved_column),7)&amp;"|",("|" &amp; SUBSTITUTE(F_Custom2_resolved_criteria, ", ", "|") &amp; "|"))),1,0),0))</f>
        <v>1</v>
      </c>
      <c r="L8">
        <f>J8*K8*1</f>
        <v>1</v>
      </c>
      <c r="M8">
        <f>1</f>
        <v>1</v>
      </c>
      <c r="N8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7)&amp;"|",("|" &amp; SUBSTITUTE(Theme_One_Q_SS_EXPORT_F_resolved_criteria, ", ", "|") &amp; "|"))),1,0),0))*1</f>
        <v>1</v>
      </c>
      <c r="O8">
        <f>1</f>
        <v>1</v>
      </c>
      <c r="P8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7)&amp;"|",("|" &amp; SUBSTITUTE(Theme_Two_Q_NUM_EXPORT_F_resolved_criteria, ", ", "|") &amp; "|"))),1,0),0))*1</f>
        <v>1</v>
      </c>
      <c r="Q8">
        <f>1</f>
        <v>1</v>
      </c>
      <c r="R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("|" &amp; SUBSTITUTE(All_Questions_Q_MS_EXPORT_F_resolved_criteria, ", ", "|") &amp; "|"))),1,0),0))*1</f>
        <v>1</v>
      </c>
      <c r="S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("|" &amp; SUBSTITUTE(All_Questions_Q_GRID_EXPORT_F_resolved_criteria, ", ", "|") &amp; "|"))),1,0),0))*1</f>
        <v>1</v>
      </c>
      <c r="T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("|" &amp; SUBSTITUTE(All_Questions_Q_VERY_LONG_SINGLE_SELECT_EXPORT_NAME_F_resolved_criteria, ", ", "|") &amp; "|"))),1,0),0))*1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IF(OR(F_Custom1_Q="(None)",F_Custom1_Q="",ISBLANK(F_Custom1_Q),F_Custom1_V="(All)",F_Custom1_V="",ISBLANK(F_Custom1_V)),1,IFERROR(IF(ISNUMBER(SEARCH("|"&amp;INDEX(INDIRECT(F_Custom1_resolved_column),8)&amp;"|",("|" &amp; SUBSTITUTE(F_Custom1_resolved_criteria, ", ", "|") &amp; "|"))),1,0),0))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IF(OR(F_Custom2_Q="(None)",F_Custom2_Q="",ISBLANK(F_Custom2_Q),F_Custom2_V="(All)",F_Custom2_V="",ISBLANK(F_Custom2_V)),1,IFERROR(IF(ISNUMBER(SEARCH("|"&amp;INDEX(INDIRECT(F_Custom2_resolved_column),8)&amp;"|",("|" &amp; SUBSTITUTE(F_Custom2_resolved_criteria, ", ", "|") &amp; "|"))),1,0),0))</f>
        <v>1</v>
      </c>
      <c r="L9">
        <f>J9*K9*1</f>
        <v>1</v>
      </c>
      <c r="M9">
        <f>1</f>
        <v>1</v>
      </c>
      <c r="N9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8)&amp;"|",("|" &amp; SUBSTITUTE(Theme_One_Q_SS_EXPORT_F_resolved_criteria, ", ", "|") &amp; "|"))),1,0),0))*1</f>
        <v>1</v>
      </c>
      <c r="O9">
        <f>1</f>
        <v>1</v>
      </c>
      <c r="P9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8)&amp;"|",("|" &amp; SUBSTITUTE(Theme_Two_Q_NUM_EXPORT_F_resolved_criteria, ", ", "|") &amp; "|"))),1,0),0))*1</f>
        <v>1</v>
      </c>
      <c r="Q9">
        <f>1</f>
        <v>1</v>
      </c>
      <c r="R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("|" &amp; SUBSTITUTE(All_Questions_Q_MS_EXPORT_F_resolved_criteria, ", ", "|") &amp; "|"))),1,0),0))*1</f>
        <v>1</v>
      </c>
      <c r="S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("|" &amp; SUBSTITUTE(All_Questions_Q_GRID_EXPORT_F_resolved_criteria, ", ", "|") &amp; "|"))),1,0),0))*1</f>
        <v>1</v>
      </c>
      <c r="T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("|" &amp; SUBSTITUTE(All_Questions_Q_VERY_LONG_SINGLE_SELECT_EXPORT_NAME_F_resolved_criteria, ", ", "|") &amp; "|"))),1,0),0))*1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IF(OR(F_Custom1_Q="(None)",F_Custom1_Q="",ISBLANK(F_Custom1_Q),F_Custom1_V="(All)",F_Custom1_V="",ISBLANK(F_Custom1_V)),1,IFERROR(IF(ISNUMBER(SEARCH("|"&amp;INDEX(INDIRECT(F_Custom1_resolved_column),9)&amp;"|",("|" &amp; SUBSTITUTE(F_Custom1_resolved_criteria, ", ", "|") &amp; "|"))),1,0),0))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IF(OR(F_Custom2_Q="(None)",F_Custom2_Q="",ISBLANK(F_Custom2_Q),F_Custom2_V="(All)",F_Custom2_V="",ISBLANK(F_Custom2_V)),1,IFERROR(IF(ISNUMBER(SEARCH("|"&amp;INDEX(INDIRECT(F_Custom2_resolved_column),9)&amp;"|",("|" &amp; SUBSTITUTE(F_Custom2_resolved_criteria, ", ", "|") &amp; "|"))),1,0),0))</f>
        <v>1</v>
      </c>
      <c r="L10">
        <f>J10*K10*1</f>
        <v>1</v>
      </c>
      <c r="M10">
        <f>1</f>
        <v>1</v>
      </c>
      <c r="N10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9)&amp;"|",("|" &amp; SUBSTITUTE(Theme_One_Q_SS_EXPORT_F_resolved_criteria, ", ", "|") &amp; "|"))),1,0),0))*1</f>
        <v>1</v>
      </c>
      <c r="O10">
        <f>1</f>
        <v>1</v>
      </c>
      <c r="P10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9)&amp;"|",("|" &amp; SUBSTITUTE(Theme_Two_Q_NUM_EXPORT_F_resolved_criteria, ", ", "|") &amp; "|"))),1,0),0))*1</f>
        <v>1</v>
      </c>
      <c r="Q10">
        <f>1</f>
        <v>1</v>
      </c>
      <c r="R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("|" &amp; SUBSTITUTE(All_Questions_Q_MS_EXPORT_F_resolved_criteria, ", ", "|") &amp; "|"))),1,0),0))*1</f>
        <v>1</v>
      </c>
      <c r="S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("|" &amp; SUBSTITUTE(All_Questions_Q_GRID_EXPORT_F_resolved_criteria, ", ", "|") &amp; "|"))),1,0),0))*1</f>
        <v>1</v>
      </c>
      <c r="T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("|" &amp; SUBSTITUTE(All_Questions_Q_VERY_LONG_SINGLE_SELECT_EXPORT_NAME_F_resolved_criteria, ", ", "|") &amp; "|"))),1,0),0))*1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IF(OR(F_Custom1_Q="(None)",F_Custom1_Q="",ISBLANK(F_Custom1_Q),F_Custom1_V="(All)",F_Custom1_V="",ISBLANK(F_Custom1_V)),1,IFERROR(IF(ISNUMBER(SEARCH("|"&amp;INDEX(INDIRECT(F_Custom1_resolved_column),10)&amp;"|",("|" &amp; SUBSTITUTE(F_Custom1_resolved_criteria, ", ", "|") &amp; "|"))),1,0),0))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IF(OR(F_Custom2_Q="(None)",F_Custom2_Q="",ISBLANK(F_Custom2_Q),F_Custom2_V="(All)",F_Custom2_V="",ISBLANK(F_Custom2_V)),1,IFERROR(IF(ISNUMBER(SEARCH("|"&amp;INDEX(INDIRECT(F_Custom2_resolved_column),10)&amp;"|",("|" &amp; SUBSTITUTE(F_Custom2_resolved_criteria, ", ", "|") &amp; "|"))),1,0),0))</f>
        <v>1</v>
      </c>
      <c r="L11">
        <f>J11*K11*1</f>
        <v>1</v>
      </c>
      <c r="M11">
        <f>1</f>
        <v>1</v>
      </c>
      <c r="N11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10)&amp;"|",("|" &amp; SUBSTITUTE(Theme_One_Q_SS_EXPORT_F_resolved_criteria, ", ", "|") &amp; "|"))),1,0),0))*1</f>
        <v>1</v>
      </c>
      <c r="O11">
        <f>1</f>
        <v>1</v>
      </c>
      <c r="P11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10)&amp;"|",("|" &amp; SUBSTITUTE(Theme_Two_Q_NUM_EXPORT_F_resolved_criteria, ", ", "|") &amp; "|"))),1,0),0))*1</f>
        <v>1</v>
      </c>
      <c r="Q11">
        <f>1</f>
        <v>1</v>
      </c>
      <c r="R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("|" &amp; SUBSTITUTE(All_Questions_Q_MS_EXPORT_F_resolved_criteria, ", ", "|") &amp; "|"))),1,0),0))*1</f>
        <v>1</v>
      </c>
      <c r="S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("|" &amp; SUBSTITUTE(All_Questions_Q_GRID_EXPORT_F_resolved_criteria, ", ", "|") &amp; "|"))),1,0),0))*1</f>
        <v>1</v>
      </c>
      <c r="T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("|" &amp; SUBSTITUTE(All_Questions_Q_VERY_LONG_SINGLE_SELECT_EXPORT_NAME_F_resolved_criteria, ", ", "|") &amp; "|"))),1,0),0))*1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  <c r="T1" t="inlineStr">
        <is>
          <t>Cross_Tab_Questions</t>
        </is>
      </c>
      <c r="U1" t="inlineStr">
        <is>
          <t>Cross_Tab_Questions_Data_Names</t>
        </is>
      </c>
      <c r="V1" t="inlineStr">
        <is>
          <t>Cross_Tab_Questions_Options_Names</t>
        </is>
      </c>
      <c r="Y1" t="inlineStr">
        <is>
          <t>Q_MS_EXPORT_filter_values_options</t>
        </is>
      </c>
      <c r="Z1" t="inlineStr">
        <is>
          <t>Q_MS_EXPORT_filter_values_local_options</t>
        </is>
      </c>
      <c r="AA1" t="inlineStr">
        <is>
          <t>Q_GRID_EXPORT_filter_values_options</t>
        </is>
      </c>
      <c r="AB1" t="inlineStr">
        <is>
          <t>Q_GRID_EXPORT_filter_values_local_options</t>
        </is>
      </c>
      <c r="AF1" t="inlineStr">
        <is>
          <t>All_Questions_Value_Keys</t>
        </is>
      </c>
      <c r="AG1" t="inlineStr">
        <is>
          <t>All_Questions_Value_Data_Names</t>
        </is>
      </c>
      <c r="AH1" t="inlineStr">
        <is>
          <t>All_Questions_Value_Criteria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(None)</t>
        </is>
      </c>
      <c r="U2" t="inlineStr">
        <is>
          <t>'_RawData'!$A$2:$A$11</t>
        </is>
      </c>
      <c r="V2" t="inlineStr">
        <is>
          <t>'_Options'!$E$2:$E$2</t>
        </is>
      </c>
      <c r="Y2" t="inlineStr">
        <is>
          <t>(All)</t>
        </is>
      </c>
      <c r="Z2" t="inlineStr">
        <is>
          <t>(Inherit)</t>
        </is>
      </c>
      <c r="AA2" t="inlineStr">
        <is>
          <t>(All)</t>
        </is>
      </c>
      <c r="AB2" t="inlineStr">
        <is>
          <t>(Inherit)</t>
        </is>
      </c>
      <c r="AF2" t="inlineStr">
        <is>
          <t>Q_MS_EXPORT - Multi Select Export Question|First</t>
        </is>
      </c>
      <c r="AG2" t="inlineStr">
        <is>
          <t>'_RawData'!$C$2:$C$11</t>
        </is>
      </c>
      <c r="AH2" t="inlineStr">
        <is>
          <t>Selected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  <c r="T3" t="inlineStr">
        <is>
          <t>Q_SS_EXPORT - Single Select Export Question</t>
        </is>
      </c>
      <c r="U3" t="inlineStr">
        <is>
          <t>'_RawData'!$B$2:$B$11</t>
        </is>
      </c>
      <c r="V3" t="inlineStr">
        <is>
          <t>'_Options'!$F$2:$F$4</t>
        </is>
      </c>
      <c r="Y3" t="inlineStr">
        <is>
          <t>First</t>
        </is>
      </c>
      <c r="Z3" t="inlineStr">
        <is>
          <t>(All)</t>
        </is>
      </c>
      <c r="AA3" t="inlineStr">
        <is>
          <t>Grid first row: Low</t>
        </is>
      </c>
      <c r="AB3" t="inlineStr">
        <is>
          <t>(All)</t>
        </is>
      </c>
      <c r="AF3" t="inlineStr">
        <is>
          <t>Q_MS_EXPORT - Multi Select Export Question|Second</t>
        </is>
      </c>
      <c r="AG3" t="inlineStr">
        <is>
          <t>'_RawData'!$D$2:$D$11</t>
        </is>
      </c>
      <c r="AH3" t="inlineStr">
        <is>
          <t>Selected</t>
        </is>
      </c>
    </row>
    <row r="4">
      <c r="A4" t="inlineStr">
        <is>
          <t>Q_MS_EXPORT - Multi Select Export Question</t>
        </is>
      </c>
      <c r="B4" t="inlineStr">
        <is>
          <t>Q_SS_EXPORT - Single Select Export Question</t>
        </is>
      </c>
      <c r="C4" t="inlineStr">
        <is>
          <t>'_RawData'!$C$2:$C$11</t>
        </is>
      </c>
      <c r="D4" t="inlineStr">
        <is>
          <t>'_Options'!$Y$2:$Y$4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Low</t>
        </is>
      </c>
      <c r="R4" t="inlineStr">
        <is>
          <t>Low</t>
        </is>
      </c>
      <c r="S4" t="inlineStr">
        <is>
          <t>A</t>
        </is>
      </c>
      <c r="T4" t="inlineStr">
        <is>
          <t>Q_VERY_LONG_SINGLE_SELECT_EXPORT_NAME - Long Sheet Name Export Question</t>
        </is>
      </c>
      <c r="U4" t="inlineStr">
        <is>
          <t>'_RawData'!$H$2:$H$11</t>
        </is>
      </c>
      <c r="V4" t="inlineStr">
        <is>
          <t>'_Options'!$L$2:$L$4</t>
        </is>
      </c>
      <c r="Y4" t="inlineStr">
        <is>
          <t>Second</t>
        </is>
      </c>
      <c r="Z4" t="inlineStr">
        <is>
          <t>First</t>
        </is>
      </c>
      <c r="AA4" t="inlineStr">
        <is>
          <t>Grid first row: High</t>
        </is>
      </c>
      <c r="AB4" t="inlineStr">
        <is>
          <t>Grid first row: Low</t>
        </is>
      </c>
      <c r="AF4" t="inlineStr">
        <is>
          <t>Q_GRID_EXPORT - Grid Export Question|Grid first row: Low</t>
        </is>
      </c>
      <c r="AG4" t="inlineStr">
        <is>
          <t>'_RawData'!$F$2:$F$11</t>
        </is>
      </c>
      <c r="AH4" t="inlineStr">
        <is>
          <t>Low</t>
        </is>
      </c>
    </row>
    <row r="5">
      <c r="A5" t="inlineStr">
        <is>
          <t>Q_GRID_EXPORT - Grid Export Question</t>
        </is>
      </c>
      <c r="B5" t="inlineStr">
        <is>
          <t>Q_MS_EXPORT - Multi Select Export Question</t>
        </is>
      </c>
      <c r="C5" t="inlineStr">
        <is>
          <t>'_RawData'!$F$2:$F$11</t>
        </is>
      </c>
      <c r="D5" t="inlineStr">
        <is>
          <t>'_Options'!$AA$2:$AA$6</t>
        </is>
      </c>
      <c r="M5" t="inlineStr">
        <is>
          <t>No</t>
        </is>
      </c>
      <c r="Q5" t="inlineStr">
        <is>
          <t>High</t>
        </is>
      </c>
      <c r="R5" t="inlineStr">
        <is>
          <t>High</t>
        </is>
      </c>
      <c r="S5" t="inlineStr">
        <is>
          <t>B</t>
        </is>
      </c>
      <c r="Z5" t="inlineStr">
        <is>
          <t>Second</t>
        </is>
      </c>
      <c r="AA5" t="inlineStr">
        <is>
          <t>Grid second row: Low</t>
        </is>
      </c>
      <c r="AB5" t="inlineStr">
        <is>
          <t>Grid first row: High</t>
        </is>
      </c>
      <c r="AF5" t="inlineStr">
        <is>
          <t>Q_GRID_EXPORT - Grid Export Question|Grid first row: High</t>
        </is>
      </c>
      <c r="AG5" t="inlineStr">
        <is>
          <t>'_RawData'!$F$2:$F$11</t>
        </is>
      </c>
      <c r="AH5" t="inlineStr">
        <is>
          <t>High</t>
        </is>
      </c>
    </row>
    <row r="6">
      <c r="A6" t="inlineStr">
        <is>
          <t>Q_VERY_LONG_SINGLE_SELECT_EXPORT_NAME - Long Sheet Name Export Question</t>
        </is>
      </c>
      <c r="B6" t="inlineStr">
        <is>
          <t>Q_GRID_EXPORT - Grid Export Question</t>
        </is>
      </c>
      <c r="C6" t="inlineStr">
        <is>
          <t>'_RawData'!$H$2:$H$11</t>
        </is>
      </c>
      <c r="D6" t="inlineStr">
        <is>
          <t>'_Options'!$L$2:$L$4</t>
        </is>
      </c>
      <c r="AA6" t="inlineStr">
        <is>
          <t>Grid second row: High</t>
        </is>
      </c>
      <c r="AB6" t="inlineStr">
        <is>
          <t>Grid second row: Low</t>
        </is>
      </c>
      <c r="AF6" t="inlineStr">
        <is>
          <t>Q_GRID_EXPORT - Grid Export Question|Grid second row: Low</t>
        </is>
      </c>
      <c r="AG6" t="inlineStr">
        <is>
          <t>'_RawData'!$G$2:$G$11</t>
        </is>
      </c>
      <c r="AH6" t="inlineStr">
        <is>
          <t>Low</t>
        </is>
      </c>
    </row>
    <row r="7">
      <c r="B7" t="inlineStr">
        <is>
          <t>Q_VERY_LONG_SINGLE_SELECT_EXPORT_NAME - Long Sheet Name Export Question</t>
        </is>
      </c>
      <c r="AB7" t="inlineStr">
        <is>
          <t>Grid second row: High</t>
        </is>
      </c>
      <c r="AF7" t="inlineStr">
        <is>
          <t>Q_GRID_EXPORT - Grid Export Question|Grid second row: High</t>
        </is>
      </c>
      <c r="AG7" t="inlineStr">
        <is>
          <t>'_RawData'!$G$2:$G$11</t>
        </is>
      </c>
      <c r="AH7" t="inlineStr">
        <is>
          <t>High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IFERROR(INDEX(All_Questions_Value_Data_Names,MATCH(F_Custom1_Q&amp;"|"&amp;F_Custom1_V,All_Questions_Value_Keys,0)),IFERROR(INDEX(All_Questions_Data_Names,MATCH(F_Custom1_Q,All_Questions,0)),"'_RawData'!$A:$A"))</f>
        <v>respondent_id_data</v>
      </c>
      <c r="F6" t="str">
        <f>"|" &amp; SUBSTITUTE(F_Custom1_V, ", ", "|") &amp; "|"</f>
        <v>|(All)|</v>
      </c>
      <c r="G6" t="str">
        <f>IFERROR(INDEX(All_Questions_Value_Criteria,MATCH(F_Custom1_Q&amp;"|"&amp;F_Custom1_V,All_Questions_Value_Keys,0)),F_Custom1_V)</f>
        <v>(All)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IFERROR(INDEX(All_Questions_Value_Data_Names,MATCH(F_Custom2_Q&amp;"|"&amp;F_Custom2_V,All_Questions_Value_Keys,0)),IFERROR(INDEX(All_Questions_Data_Names,MATCH(F_Custom2_Q,All_Questions,0)),"'_RawData'!$A:$A"))</f>
        <v>respondent_id_data</v>
      </c>
      <c r="F7" t="str">
        <f>"|" &amp; SUBSTITUTE(F_Custom2_V, ", ", "|") &amp; "|"</f>
        <v>|(All)|</v>
      </c>
      <c r="G7" t="str">
        <f>IFERROR(INDEX(All_Questions_Value_Criteria,MATCH(F_Custom2_Q&amp;"|"&amp;F_Custom2_V,All_Questions_Value_Keys,0)),F_Custom2_V)</f>
        <v>(All)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Theme One</t>
        </is>
      </c>
      <c r="E2" s="6" t="inlineStr">
        <is>
          <t>Theme One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Theme Two</t>
        </is>
      </c>
      <c r="E4" s="6" t="inlineStr">
        <is>
          <t>Theme Two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Theme One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IF(Theme_One_F_Custom1_Q="(Inherit)",F_Custom1_Q,Theme_One_F_Custom1_Q)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IF(Theme_One_F_Custom1_V="(Inherit)",F_Custom1_V,Theme_One_F_Custom1_V)</f>
        <v>(All)</v>
      </c>
      <c r="D6" t="str">
        <f>"|" &amp; SUBSTITUTE(Theme_One_F_Custom1_V_resolved,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IFERROR(INDEX(All_Questions_Value_Data_Names,MATCH(Theme_One_F_Custom1_Q_resolved&amp;"|"&amp;Theme_One_F_Custom1_V_resolved,All_Questions_Value_Keys,0)),IFERROR(INDEX(All_Questions_Data_Names,MATCH(Theme_One_F_Custom1_Q_resolved,All_Questions,0)),"'_RawData'!$A:$A"))</f>
        <v>respondent_id_data</v>
      </c>
      <c r="G6" t="str">
        <f>IFERROR(INDEX(All_Questions_Value_Criteria,MATCH(Theme_One_F_Custom1_Q_resolved&amp;"|"&amp;Theme_One_F_Custom1_V_resolved,All_Questions_Value_Keys,0)),Theme_One_F_Custom1_V_resolved)</f>
        <v>(All)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IF(Theme_One_F_Custom2_Q="(Inherit)",F_Custom2_Q,Theme_One_F_Custom2_Q)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IF(Theme_One_F_Custom2_V="(Inherit)",F_Custom2_V,Theme_One_F_Custom2_V)</f>
        <v>(All)</v>
      </c>
      <c r="D8" t="str">
        <f>"|" &amp; SUBSTITUTE(Theme_One_F_Custom2_V_resolved,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IFERROR(INDEX(All_Questions_Value_Data_Names,MATCH(Theme_One_F_Custom2_Q_resolved&amp;"|"&amp;Theme_One_F_Custom2_V_resolved,All_Questions_Value_Keys,0)),IFERROR(INDEX(All_Questions_Data_Names,MATCH(Theme_One_F_Custom2_Q_resolved,All_Questions,0)),"'_RawData'!$A:$A"))</f>
        <v>respondent_id_data</v>
      </c>
      <c r="G8" t="str">
        <f>IFERROR(INDEX(All_Questions_Value_Criteria,MATCH(Theme_One_F_Custom2_Q_resolved&amp;"|"&amp;Theme_One_F_Custom2_V_resolved,All_Questions_Value_Keys,0)),Theme_One_F_Custom2_V_resolved)</f>
        <v>(All)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IFERROR(INDEX(All_Questions_Value_Data_Names,MATCH(Theme_One_Q_SS_EXPORT_F_Q&amp;"|"&amp;Theme_One_Q_SS_EXPORT_F_V,All_Questions_Value_Keys,0)),IFERROR(INDEX(All_Questions_Data_Names,MATCH(Theme_One_Q_SS_EXPORT_F_Q,All_Questions,0)),"'_RawData'!$A:$A"))</f>
        <v>respondent_id_data</v>
      </c>
      <c r="G13" t="str">
        <f>"|" &amp; SUBSTITUTE(Theme_One_Q_SS_EXPORT_F_V, ", ", "|") &amp; "|"</f>
        <v>|(All)|</v>
      </c>
      <c r="H13" t="str">
        <f>IFERROR(INDEX(All_Questions_Value_Criteria,MATCH(Theme_One_Q_SS_EXPORT_F_Q&amp;"|"&amp;Theme_One_Q_SS_EXPORT_F_V,All_Questions_Value_Keys,0)),Theme_One_Q_SS_EXPORT_F_V)</f>
        <v>(All)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</row>
    <row r="17">
      <c r="A17" t="inlineStr">
        <is>
          <t>Yes</t>
        </is>
      </c>
      <c r="B17">
        <f>COUNTIFS(Q_SS_EXPORT_data,"Yes",passes_workbook_filters_data,1,passes_workbook_custom_filters_data,1,Theme_One_passes_local_filters_data,1,Theme_One_Q_SS_EXPORT_F_passes_per_q_filter_data,1)</f>
        <v>6</v>
      </c>
      <c r="C17" s="7">
        <f>IFERROR(B17/SUBTOTAL(9,B17:B18),0)</f>
        <v>0.6</v>
      </c>
      <c r="D17" s="14">
        <f>SUBTOTAL(9,B17:B18)</f>
        <v>10</v>
      </c>
    </row>
    <row r="18">
      <c r="A18" t="inlineStr">
        <is>
          <t>No</t>
        </is>
      </c>
      <c r="B18">
        <f>COUNTIFS(Q_SS_EXPORT_data,"No",passes_workbook_filters_data,1,passes_workbook_custom_filters_data,1,Theme_One_passes_local_filters_data,1,Theme_One_Q_SS_EXPORT_F_passes_per_q_filter_data,1)</f>
        <v>4</v>
      </c>
      <c r="C18" s="7">
        <f>IFERROR(B18/SUBTOTAL(9,B17:B18),0)</f>
        <v>0.4</v>
      </c>
      <c r="D18" s="14">
        <f>SUBTOTAL(9,B17:B18)</f>
        <v>10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</row>
    <row r="20"/>
    <row r="21">
      <c r="A21" s="4" t="inlineStr">
        <is>
          <t>Option</t>
        </is>
      </c>
      <c r="B21" s="2" t="str">
        <f>IF(Theme_One_Q_SS_EXPORT_CT="(None)","",IFERROR(INDEX(INDIRECT(IFERROR(INDEX(Cross_Tab_Questions_Options_Names,MATCH(Theme_One_Q_SS_EXPORT_CT,Cross_Tab_Questions,0)),"'_Options'!$E$2:$E$2")),2),""))</f>
        <v/>
      </c>
      <c r="C21" s="2" t="str">
        <f>IF(Theme_One_Q_SS_EXPORT_CT="(None)","",IFERROR(INDEX(INDIRECT(IFERROR(INDEX(Cross_Tab_Questions_Options_Names,MATCH(Theme_One_Q_SS_EXPORT_CT,Cross_Tab_Questions,0)),"'_Options'!$E$2:$E$2")),3),""))</f>
        <v/>
      </c>
      <c r="D21" s="2" t="str">
        <f>IF(Theme_One_Q_SS_EXPORT_CT="(None)","",IFERROR(INDEX(INDIRECT(IFERROR(INDEX(Cross_Tab_Questions_Options_Names,MATCH(Theme_One_Q_SS_EXPORT_CT,Cross_Tab_Questions,0)),"'_Options'!$E$2:$E$2")),4),""))</f>
        <v/>
      </c>
      <c r="E21" s="2" t="str">
        <f>IF(Theme_One_Q_SS_EXPORT_CT="(None)","",IFERROR(INDEX(INDIRECT(IFERROR(INDEX(Cross_Tab_Questions_Options_Names,MATCH(Theme_One_Q_SS_EXPORT_CT,Cross_Tab_Questions,0)),"'_Options'!$E$2:$E$2")),5),""))</f>
        <v/>
      </c>
      <c r="F21" s="2" t="str">
        <f>IF(Theme_One_Q_SS_EXPORT_CT="(None)","",IFERROR(INDEX(INDIRECT(IFERROR(INDEX(Cross_Tab_Questions_Options_Names,MATCH(Theme_One_Q_SS_EXPORT_CT,Cross_Tab_Questions,0)),"'_Options'!$E$2:$E$2")),6),""))</f>
        <v/>
      </c>
      <c r="G21" s="2" t="str">
        <f>IF(Theme_One_Q_SS_EXPORT_CT="(None)","",IFERROR(INDEX(INDIRECT(IFERROR(INDEX(Cross_Tab_Questions_Options_Names,MATCH(Theme_One_Q_SS_EXPORT_CT,Cross_Tab_Questions,0)),"'_Options'!$E$2:$E$2")),7),""))</f>
        <v/>
      </c>
      <c r="H21" s="2" t="str">
        <f>IF(Theme_One_Q_SS_EXPORT_CT="(None)","",IFERROR(INDEX(INDIRECT(IFERROR(INDEX(Cross_Tab_Questions_Options_Names,MATCH(Theme_One_Q_SS_EXPORT_CT,Cross_Tab_Questions,0)),"'_Options'!$E$2:$E$2")),8),""))</f>
        <v/>
      </c>
      <c r="I21" s="2" t="str">
        <f>IF(Theme_One_Q_SS_EXPORT_CT="(None)","",IFERROR(INDEX(INDIRECT(IFERROR(INDEX(Cross_Tab_Questions_Options_Names,MATCH(Theme_One_Q_SS_EXPORT_CT,Cross_Tab_Questions,0)),"'_Options'!$E$2:$E$2")),9),""))</f>
        <v/>
      </c>
      <c r="J21" s="2" t="str">
        <f>IF(Theme_One_Q_SS_EXPORT_CT="(None)","",IFERROR(INDEX(INDIRECT(IFERROR(INDEX(Cross_Tab_Questions_Options_Names,MATCH(Theme_One_Q_SS_EXPORT_CT,Cross_Tab_Questions,0)),"'_Options'!$E$2:$E$2")),10),""))</f>
        <v/>
      </c>
      <c r="K21" s="2" t="str">
        <f>IF(Theme_One_Q_SS_EXPORT_CT="(None)","",IFERROR(INDEX(INDIRECT(IFERROR(INDEX(Cross_Tab_Questions_Options_Names,MATCH(Theme_One_Q_SS_EXPORT_CT,Cross_Tab_Questions,0)),"'_Options'!$E$2:$E$2")),11),""))</f>
        <v/>
      </c>
      <c r="L21" s="2" t="str">
        <f>IF(Theme_One_Q_SS_EXPORT_CT="(None)","",IFERROR(INDEX(INDIRECT(IFERROR(INDEX(Cross_Tab_Questions_Options_Names,MATCH(Theme_One_Q_SS_EXPORT_CT,Cross_Tab_Questions,0)),"'_Options'!$E$2:$E$2")),12),""))</f>
        <v/>
      </c>
      <c r="M21" s="2" t="str">
        <f>IF(Theme_One_Q_SS_EXPORT_CT="(None)","",IF(COUNTA(INDIRECT(IFERROR(INDEX(Cross_Tab_Questions_Options_Names,MATCH(Theme_One_Q_SS_EXPORT_CT,Cross_Tab_Questions,0)),"'_Options'!$E$2:$E$2")))-1&gt;11,"Other",IFERROR(INDEX(INDIRECT(IFERROR(INDEX(Cross_Tab_Questions_Options_Names,MATCH(Theme_One_Q_SS_EXPORT_CT,Cross_Tab_Questions,0)),"'_Options'!$E$2:$E$2")),13),"")))</f>
        <v/>
      </c>
      <c r="N21" s="4" t="inlineStr">
        <is>
          <t>Total</t>
        </is>
      </c>
    </row>
    <row r="22">
      <c r="A22" s="4" t="inlineStr"/>
      <c r="B22" s="4" t="inlineStr">
        <is>
          <t># of resp</t>
        </is>
      </c>
      <c r="C22" s="4" t="inlineStr">
        <is>
          <t># of resp</t>
        </is>
      </c>
      <c r="D22" s="4" t="inlineStr">
        <is>
          <t># of resp</t>
        </is>
      </c>
      <c r="E22" s="4" t="inlineStr">
        <is>
          <t># of resp</t>
        </is>
      </c>
      <c r="F22" s="4" t="inlineStr">
        <is>
          <t># of resp</t>
        </is>
      </c>
      <c r="G22" s="4" t="inlineStr">
        <is>
          <t># of resp</t>
        </is>
      </c>
      <c r="H22" s="4" t="inlineStr">
        <is>
          <t># of resp</t>
        </is>
      </c>
      <c r="I22" s="4" t="inlineStr">
        <is>
          <t># of resp</t>
        </is>
      </c>
      <c r="J22" s="4" t="inlineStr">
        <is>
          <t># of resp</t>
        </is>
      </c>
      <c r="K22" s="4" t="inlineStr">
        <is>
          <t># of resp</t>
        </is>
      </c>
      <c r="L22" s="4" t="inlineStr">
        <is>
          <t># of resp</t>
        </is>
      </c>
      <c r="M22" s="4" t="inlineStr">
        <is>
          <t># of resp</t>
        </is>
      </c>
      <c r="N22" s="4" t="inlineStr">
        <is>
          <t># of resp</t>
        </is>
      </c>
    </row>
    <row r="23">
      <c r="A23" t="inlineStr">
        <is>
          <t>Yes</t>
        </is>
      </c>
      <c r="B23" s="14">
        <f>IF(OR(Theme_One_Q_SS_EXPORT_CT="(None)",B$21=""),"",COUNTIFS(Q_SS_EXPORT_data,"Yes",passes_workbook_filters_data,1,passes_workbook_custom_filters_data,1,Theme_One_passes_local_filters_data,1,Theme_One_Q_SS_EXPORT_F_passes_per_q_filter_data,1,INDIRECT(IFERROR(INDEX(Cross_Tab_Questions_Data_Names,MATCH(Theme_One_Q_SS_EXPORT_CT,Cross_Tab_Questions,0)),"'_RawData'!$A:$A")),B$21))</f>
        <v>0</v>
      </c>
      <c r="C23" s="14">
        <f>IF(OR(Theme_One_Q_SS_EXPORT_CT="(None)",C$21=""),"",COUNTIFS(Q_SS_EXPORT_data,"Yes",passes_workbook_filters_data,1,passes_workbook_custom_filters_data,1,Theme_One_passes_local_filters_data,1,Theme_One_Q_SS_EXPORT_F_passes_per_q_filter_data,1,INDIRECT(IFERROR(INDEX(Cross_Tab_Questions_Data_Names,MATCH(Theme_One_Q_SS_EXPORT_CT,Cross_Tab_Questions,0)),"'_RawData'!$A:$A")),C$21))</f>
        <v>0</v>
      </c>
      <c r="D23" s="14">
        <f>IF(OR(Theme_One_Q_SS_EXPORT_CT="(None)",D$21=""),"",COUNTIFS(Q_SS_EXPORT_data,"Yes",passes_workbook_filters_data,1,passes_workbook_custom_filters_data,1,Theme_One_passes_local_filters_data,1,Theme_One_Q_SS_EXPORT_F_passes_per_q_filter_data,1,INDIRECT(IFERROR(INDEX(Cross_Tab_Questions_Data_Names,MATCH(Theme_One_Q_SS_EXPORT_CT,Cross_Tab_Questions,0)),"'_RawData'!$A:$A")),D$21))</f>
        <v>0</v>
      </c>
      <c r="E23" s="14">
        <f>IF(OR(Theme_One_Q_SS_EXPORT_CT="(None)",E$21=""),"",COUNTIFS(Q_SS_EXPORT_data,"Yes",passes_workbook_filters_data,1,passes_workbook_custom_filters_data,1,Theme_One_passes_local_filters_data,1,Theme_One_Q_SS_EXPORT_F_passes_per_q_filter_data,1,INDIRECT(IFERROR(INDEX(Cross_Tab_Questions_Data_Names,MATCH(Theme_One_Q_SS_EXPORT_CT,Cross_Tab_Questions,0)),"'_RawData'!$A:$A")),E$21))</f>
        <v>0</v>
      </c>
      <c r="F23" s="14">
        <f>IF(OR(Theme_One_Q_SS_EXPORT_CT="(None)",F$21=""),"",COUNTIFS(Q_SS_EXPORT_data,"Yes",passes_workbook_filters_data,1,passes_workbook_custom_filters_data,1,Theme_One_passes_local_filters_data,1,Theme_One_Q_SS_EXPORT_F_passes_per_q_filter_data,1,INDIRECT(IFERROR(INDEX(Cross_Tab_Questions_Data_Names,MATCH(Theme_One_Q_SS_EXPORT_CT,Cross_Tab_Questions,0)),"'_RawData'!$A:$A")),F$21))</f>
        <v>0</v>
      </c>
      <c r="G23" s="14">
        <f>IF(OR(Theme_One_Q_SS_EXPORT_CT="(None)",G$21=""),"",COUNTIFS(Q_SS_EXPORT_data,"Yes",passes_workbook_filters_data,1,passes_workbook_custom_filters_data,1,Theme_One_passes_local_filters_data,1,Theme_One_Q_SS_EXPORT_F_passes_per_q_filter_data,1,INDIRECT(IFERROR(INDEX(Cross_Tab_Questions_Data_Names,MATCH(Theme_One_Q_SS_EXPORT_CT,Cross_Tab_Questions,0)),"'_RawData'!$A:$A")),G$21))</f>
        <v>0</v>
      </c>
      <c r="H23" s="14">
        <f>IF(OR(Theme_One_Q_SS_EXPORT_CT="(None)",H$21=""),"",COUNTIFS(Q_SS_EXPORT_data,"Yes",passes_workbook_filters_data,1,passes_workbook_custom_filters_data,1,Theme_One_passes_local_filters_data,1,Theme_One_Q_SS_EXPORT_F_passes_per_q_filter_data,1,INDIRECT(IFERROR(INDEX(Cross_Tab_Questions_Data_Names,MATCH(Theme_One_Q_SS_EXPORT_CT,Cross_Tab_Questions,0)),"'_RawData'!$A:$A")),H$21))</f>
        <v>0</v>
      </c>
      <c r="I23" s="14">
        <f>IF(OR(Theme_One_Q_SS_EXPORT_CT="(None)",I$21=""),"",COUNTIFS(Q_SS_EXPORT_data,"Yes",passes_workbook_filters_data,1,passes_workbook_custom_filters_data,1,Theme_One_passes_local_filters_data,1,Theme_One_Q_SS_EXPORT_F_passes_per_q_filter_data,1,INDIRECT(IFERROR(INDEX(Cross_Tab_Questions_Data_Names,MATCH(Theme_One_Q_SS_EXPORT_CT,Cross_Tab_Questions,0)),"'_RawData'!$A:$A")),I$21))</f>
        <v>0</v>
      </c>
      <c r="J23" s="14">
        <f>IF(OR(Theme_One_Q_SS_EXPORT_CT="(None)",J$21=""),"",COUNTIFS(Q_SS_EXPORT_data,"Yes",passes_workbook_filters_data,1,passes_workbook_custom_filters_data,1,Theme_One_passes_local_filters_data,1,Theme_One_Q_SS_EXPORT_F_passes_per_q_filter_data,1,INDIRECT(IFERROR(INDEX(Cross_Tab_Questions_Data_Names,MATCH(Theme_One_Q_SS_EXPORT_CT,Cross_Tab_Questions,0)),"'_RawData'!$A:$A")),J$21))</f>
        <v>0</v>
      </c>
      <c r="K23" s="14">
        <f>IF(OR(Theme_One_Q_SS_EXPORT_CT="(None)",K$21=""),"",COUNTIFS(Q_SS_EXPORT_data,"Yes",passes_workbook_filters_data,1,passes_workbook_custom_filters_data,1,Theme_One_passes_local_filters_data,1,Theme_One_Q_SS_EXPORT_F_passes_per_q_filter_data,1,INDIRECT(IFERROR(INDEX(Cross_Tab_Questions_Data_Names,MATCH(Theme_One_Q_SS_EXPORT_CT,Cross_Tab_Questions,0)),"'_RawData'!$A:$A")),K$21))</f>
        <v>0</v>
      </c>
      <c r="L23" s="14">
        <f>IF(OR(Theme_One_Q_SS_EXPORT_CT="(None)",L$21=""),"",COUNTIFS(Q_SS_EXPORT_data,"Yes",passes_workbook_filters_data,1,passes_workbook_custom_filters_data,1,Theme_One_passes_local_filters_data,1,Theme_One_Q_SS_EXPORT_F_passes_per_q_filter_data,1,INDIRECT(IFERROR(INDEX(Cross_Tab_Questions_Data_Names,MATCH(Theme_One_Q_SS_EXPORT_CT,Cross_Tab_Questions,0)),"'_RawData'!$A:$A")),L$21))</f>
        <v>0</v>
      </c>
      <c r="M23" s="14">
        <f>IF(OR(Theme_One_Q_SS_EXPORT_CT="(None)",M$21=""),"",IF(M$21="Other",COUNTIFS(Q_SS_EXPORT_data,"Yes",passes_workbook_filters_data,1,passes_workbook_custom_filters_data,1,Theme_One_passes_local_filters_data,1,Theme_One_Q_SS_EXPORT_F_passes_per_q_filter_data,1)-SUM(B23,C23,D23,E23,F23,G23,H23,I23,J23,K23,L23),COUNTIFS(Q_SS_EXPORT_data,"Yes",passes_workbook_filters_data,1,passes_workbook_custom_filters_data,1,Theme_One_passes_local_filters_data,1,Theme_One_Q_SS_EXPORT_F_passes_per_q_filter_data,1,INDIRECT(IFERROR(INDEX(Cross_Tab_Questions_Data_Names,MATCH(Theme_One_Q_SS_EXPORT_CT,Cross_Tab_Questions,0)),"'_RawData'!$A:$A")),M$21)))</f>
        <v>0</v>
      </c>
      <c r="N23" s="14">
        <f>IF(Theme_One_Q_SS_EXPORT_CT="(None)","",COUNTIFS(Q_SS_EXPORT_data,"Yes",passes_workbook_filters_data,1,passes_workbook_custom_filters_data,1,Theme_One_passes_local_filters_data,1,Theme_One_Q_SS_EXPORT_F_passes_per_q_filter_data,1))</f>
        <v>0</v>
      </c>
    </row>
    <row r="24">
      <c r="A24" t="inlineStr">
        <is>
          <t>No</t>
        </is>
      </c>
      <c r="B24" s="14">
        <f>IF(OR(Theme_One_Q_SS_EXPORT_CT="(None)",B$21=""),"",COUNTIFS(Q_SS_EXPORT_data,"No",passes_workbook_filters_data,1,passes_workbook_custom_filters_data,1,Theme_One_passes_local_filters_data,1,Theme_One_Q_SS_EXPORT_F_passes_per_q_filter_data,1,INDIRECT(IFERROR(INDEX(Cross_Tab_Questions_Data_Names,MATCH(Theme_One_Q_SS_EXPORT_CT,Cross_Tab_Questions,0)),"'_RawData'!$A:$A")),B$21))</f>
        <v>0</v>
      </c>
      <c r="C24" s="14">
        <f>IF(OR(Theme_One_Q_SS_EXPORT_CT="(None)",C$21=""),"",COUNTIFS(Q_SS_EXPORT_data,"No",passes_workbook_filters_data,1,passes_workbook_custom_filters_data,1,Theme_One_passes_local_filters_data,1,Theme_One_Q_SS_EXPORT_F_passes_per_q_filter_data,1,INDIRECT(IFERROR(INDEX(Cross_Tab_Questions_Data_Names,MATCH(Theme_One_Q_SS_EXPORT_CT,Cross_Tab_Questions,0)),"'_RawData'!$A:$A")),C$21))</f>
        <v>0</v>
      </c>
      <c r="D24" s="14">
        <f>IF(OR(Theme_One_Q_SS_EXPORT_CT="(None)",D$21=""),"",COUNTIFS(Q_SS_EXPORT_data,"No",passes_workbook_filters_data,1,passes_workbook_custom_filters_data,1,Theme_One_passes_local_filters_data,1,Theme_One_Q_SS_EXPORT_F_passes_per_q_filter_data,1,INDIRECT(IFERROR(INDEX(Cross_Tab_Questions_Data_Names,MATCH(Theme_One_Q_SS_EXPORT_CT,Cross_Tab_Questions,0)),"'_RawData'!$A:$A")),D$21))</f>
        <v>0</v>
      </c>
      <c r="E24" s="14">
        <f>IF(OR(Theme_One_Q_SS_EXPORT_CT="(None)",E$21=""),"",COUNTIFS(Q_SS_EXPORT_data,"No",passes_workbook_filters_data,1,passes_workbook_custom_filters_data,1,Theme_One_passes_local_filters_data,1,Theme_One_Q_SS_EXPORT_F_passes_per_q_filter_data,1,INDIRECT(IFERROR(INDEX(Cross_Tab_Questions_Data_Names,MATCH(Theme_One_Q_SS_EXPORT_CT,Cross_Tab_Questions,0)),"'_RawData'!$A:$A")),E$21))</f>
        <v>0</v>
      </c>
      <c r="F24" s="14">
        <f>IF(OR(Theme_One_Q_SS_EXPORT_CT="(None)",F$21=""),"",COUNTIFS(Q_SS_EXPORT_data,"No",passes_workbook_filters_data,1,passes_workbook_custom_filters_data,1,Theme_One_passes_local_filters_data,1,Theme_One_Q_SS_EXPORT_F_passes_per_q_filter_data,1,INDIRECT(IFERROR(INDEX(Cross_Tab_Questions_Data_Names,MATCH(Theme_One_Q_SS_EXPORT_CT,Cross_Tab_Questions,0)),"'_RawData'!$A:$A")),F$21))</f>
        <v>0</v>
      </c>
      <c r="G24" s="14">
        <f>IF(OR(Theme_One_Q_SS_EXPORT_CT="(None)",G$21=""),"",COUNTIFS(Q_SS_EXPORT_data,"No",passes_workbook_filters_data,1,passes_workbook_custom_filters_data,1,Theme_One_passes_local_filters_data,1,Theme_One_Q_SS_EXPORT_F_passes_per_q_filter_data,1,INDIRECT(IFERROR(INDEX(Cross_Tab_Questions_Data_Names,MATCH(Theme_One_Q_SS_EXPORT_CT,Cross_Tab_Questions,0)),"'_RawData'!$A:$A")),G$21))</f>
        <v>0</v>
      </c>
      <c r="H24" s="14">
        <f>IF(OR(Theme_One_Q_SS_EXPORT_CT="(None)",H$21=""),"",COUNTIFS(Q_SS_EXPORT_data,"No",passes_workbook_filters_data,1,passes_workbook_custom_filters_data,1,Theme_One_passes_local_filters_data,1,Theme_One_Q_SS_EXPORT_F_passes_per_q_filter_data,1,INDIRECT(IFERROR(INDEX(Cross_Tab_Questions_Data_Names,MATCH(Theme_One_Q_SS_EXPORT_CT,Cross_Tab_Questions,0)),"'_RawData'!$A:$A")),H$21))</f>
        <v>0</v>
      </c>
      <c r="I24" s="14">
        <f>IF(OR(Theme_One_Q_SS_EXPORT_CT="(None)",I$21=""),"",COUNTIFS(Q_SS_EXPORT_data,"No",passes_workbook_filters_data,1,passes_workbook_custom_filters_data,1,Theme_One_passes_local_filters_data,1,Theme_One_Q_SS_EXPORT_F_passes_per_q_filter_data,1,INDIRECT(IFERROR(INDEX(Cross_Tab_Questions_Data_Names,MATCH(Theme_One_Q_SS_EXPORT_CT,Cross_Tab_Questions,0)),"'_RawData'!$A:$A")),I$21))</f>
        <v>0</v>
      </c>
      <c r="J24" s="14">
        <f>IF(OR(Theme_One_Q_SS_EXPORT_CT="(None)",J$21=""),"",COUNTIFS(Q_SS_EXPORT_data,"No",passes_workbook_filters_data,1,passes_workbook_custom_filters_data,1,Theme_One_passes_local_filters_data,1,Theme_One_Q_SS_EXPORT_F_passes_per_q_filter_data,1,INDIRECT(IFERROR(INDEX(Cross_Tab_Questions_Data_Names,MATCH(Theme_One_Q_SS_EXPORT_CT,Cross_Tab_Questions,0)),"'_RawData'!$A:$A")),J$21))</f>
        <v>0</v>
      </c>
      <c r="K24" s="14">
        <f>IF(OR(Theme_One_Q_SS_EXPORT_CT="(None)",K$21=""),"",COUNTIFS(Q_SS_EXPORT_data,"No",passes_workbook_filters_data,1,passes_workbook_custom_filters_data,1,Theme_One_passes_local_filters_data,1,Theme_One_Q_SS_EXPORT_F_passes_per_q_filter_data,1,INDIRECT(IFERROR(INDEX(Cross_Tab_Questions_Data_Names,MATCH(Theme_One_Q_SS_EXPORT_CT,Cross_Tab_Questions,0)),"'_RawData'!$A:$A")),K$21))</f>
        <v>0</v>
      </c>
      <c r="L24" s="14">
        <f>IF(OR(Theme_One_Q_SS_EXPORT_CT="(None)",L$21=""),"",COUNTIFS(Q_SS_EXPORT_data,"No",passes_workbook_filters_data,1,passes_workbook_custom_filters_data,1,Theme_One_passes_local_filters_data,1,Theme_One_Q_SS_EXPORT_F_passes_per_q_filter_data,1,INDIRECT(IFERROR(INDEX(Cross_Tab_Questions_Data_Names,MATCH(Theme_One_Q_SS_EXPORT_CT,Cross_Tab_Questions,0)),"'_RawData'!$A:$A")),L$21))</f>
        <v>0</v>
      </c>
      <c r="M24" s="14">
        <f>IF(OR(Theme_One_Q_SS_EXPORT_CT="(None)",M$21=""),"",IF(M$21="Other",COUNTIFS(Q_SS_EXPORT_data,"No",passes_workbook_filters_data,1,passes_workbook_custom_filters_data,1,Theme_One_passes_local_filters_data,1,Theme_One_Q_SS_EXPORT_F_passes_per_q_filter_data,1)-SUM(B24,C24,D24,E24,F24,G24,H24,I24,J24,K24,L24),COUNTIFS(Q_SS_EXPORT_data,"No",passes_workbook_filters_data,1,passes_workbook_custom_filters_data,1,Theme_One_passes_local_filters_data,1,Theme_One_Q_SS_EXPORT_F_passes_per_q_filter_data,1,INDIRECT(IFERROR(INDEX(Cross_Tab_Questions_Data_Names,MATCH(Theme_One_Q_SS_EXPORT_CT,Cross_Tab_Questions,0)),"'_RawData'!$A:$A")),M$21)))</f>
        <v>0</v>
      </c>
      <c r="N24" s="14">
        <f>IF(Theme_One_Q_SS_EXPORT_CT="(None)","",COUNTIFS(Q_SS_EXPORT_data,"No",passes_workbook_filters_data,1,passes_workbook_custom_filters_data,1,Theme_One_passes_local_filters_data,1,Theme_One_Q_SS_EXPORT_F_passes_per_q_filter_data,1))</f>
        <v>0</v>
      </c>
    </row>
    <row r="25">
      <c r="A25" s="4" t="inlineStr">
        <is>
          <t>Total respondents</t>
        </is>
      </c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>
        <f>IF(Theme_One_Q_SS_EXPORT_CT="(None)","",COUNTIFS(respondent_id_data,"&lt;&gt;",passes_workbook_filters_data,1,passes_workbook_custom_filters_data,1,Theme_One_passes_local_filters_data,1,Theme_One_Q_SS_EXPORT_F_passes_per_q_filter_data,1))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3:B24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3:C24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23:D24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E23:E24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23:F24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3:G24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3:H24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3:I24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3:J24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3:K24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3:L24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3:M24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=INDIRECT(IFERROR(INDEX(All_Questions_Options_Names,MATCH(Theme_One_F_Custom1_Q_resolved,All_Questions,0)),"'_Options'!$E$2:$E$2"))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=INDIRECT(IFERROR(INDEX(All_Questions_Options_Names,MATCH(Theme_One_F_Custom2_Q_resolved,All_Questions,0)),"'_Options'!$E$2:$E$2"))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=INDIRECT(IFERROR(INDEX(All_Questions_Options_Names,MATCH(Theme_One_Q_SS_EXPORT_F_Q,All_Questions,0)),"'_Options'!$E$2:$E$2"))</formula1>
    </dataValidation>
    <dataValidation sqref="C14" showDropDown="0" showInputMessage="0" showErrorMessage="0" allowBlank="1" type="list">
      <formula1>=Cross_Tab_Questions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2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Theme Two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IF(Theme_Two_F_Custom1_Q="(Inherit)",F_Custom1_Q,Theme_Two_F_Custom1_Q)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IF(Theme_Two_F_Custom1_V="(Inherit)",F_Custom1_V,Theme_Two_F_Custom1_V)</f>
        <v>(All)</v>
      </c>
      <c r="D6" t="str">
        <f>"|" &amp; SUBSTITUTE(Theme_Two_F_Custom1_V_resolved,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IFERROR(INDEX(All_Questions_Value_Data_Names,MATCH(Theme_Two_F_Custom1_Q_resolved&amp;"|"&amp;Theme_Two_F_Custom1_V_resolved,All_Questions_Value_Keys,0)),IFERROR(INDEX(All_Questions_Data_Names,MATCH(Theme_Two_F_Custom1_Q_resolved,All_Questions,0)),"'_RawData'!$A:$A"))</f>
        <v>respondent_id_data</v>
      </c>
      <c r="G6" t="str">
        <f>IFERROR(INDEX(All_Questions_Value_Criteria,MATCH(Theme_Two_F_Custom1_Q_resolved&amp;"|"&amp;Theme_Two_F_Custom1_V_resolved,All_Questions_Value_Keys,0)),Theme_Two_F_Custom1_V_resolved)</f>
        <v>(All)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IF(Theme_Two_F_Custom2_Q="(Inherit)",F_Custom2_Q,Theme_Two_F_Custom2_Q)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IF(Theme_Two_F_Custom2_V="(Inherit)",F_Custom2_V,Theme_Two_F_Custom2_V)</f>
        <v>(All)</v>
      </c>
      <c r="D8" t="str">
        <f>"|" &amp; SUBSTITUTE(Theme_Two_F_Custom2_V_resolved,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IFERROR(INDEX(All_Questions_Value_Data_Names,MATCH(Theme_Two_F_Custom2_Q_resolved&amp;"|"&amp;Theme_Two_F_Custom2_V_resolved,All_Questions_Value_Keys,0)),IFERROR(INDEX(All_Questions_Data_Names,MATCH(Theme_Two_F_Custom2_Q_resolved,All_Questions,0)),"'_RawData'!$A:$A"))</f>
        <v>respondent_id_data</v>
      </c>
      <c r="G8" t="str">
        <f>IFERROR(INDEX(All_Questions_Value_Criteria,MATCH(Theme_Two_F_Custom2_Q_resolved&amp;"|"&amp;Theme_Two_F_Custom2_V_resolved,All_Questions_Value_Keys,0)),Theme_Two_F_Custom2_V_resolved)</f>
        <v>(All)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Q_NUM_EXPORT - Numeric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IFERROR(INDEX(All_Questions_Value_Data_Names,MATCH(Theme_Two_Q_NUM_EXPORT_F_Q&amp;"|"&amp;Theme_Two_Q_NUM_EXPORT_F_V,All_Questions_Value_Keys,0)),IFERROR(INDEX(All_Questions_Data_Names,MATCH(Theme_Two_Q_NUM_EXPORT_F_Q,All_Questions,0)),"'_RawData'!$A:$A"))</f>
        <v>respondent_id_data</v>
      </c>
      <c r="G13" t="str">
        <f>"|" &amp; SUBSTITUTE(Theme_Two_Q_NUM_EXPORT_F_V, ", ", "|") &amp; "|"</f>
        <v>|(All)|</v>
      </c>
      <c r="H13" t="str">
        <f>IFERROR(INDEX(All_Questions_Value_Criteria,MATCH(Theme_Two_Q_NUM_EXPORT_F_Q&amp;"|"&amp;Theme_Two_Q_NUM_EXPORT_F_V,All_Questions_Value_Keys,0)),Theme_Two_Q_NUM_EXPORT_F_V)</f>
        <v>(All)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Metric</t>
        </is>
      </c>
      <c r="B16" s="4" t="inlineStr">
        <is>
          <t>Value</t>
        </is>
      </c>
      <c r="C16" s="4" t="inlineStr">
        <is>
          <t>Note</t>
        </is>
      </c>
      <c r="D16" s="4" t="inlineStr">
        <is>
          <t>Denominator</t>
        </is>
      </c>
    </row>
    <row r="17">
      <c r="A17" t="inlineStr">
        <is>
          <t>Mean</t>
        </is>
      </c>
      <c r="B17" s="16">
        <f>IFERROR(AVERAGEIFS(Q_NUM_EXPORT_data,passes_workbook_filters_data,1,passes_workbook_custom_filters_data,1,Theme_Two_passes_local_filters_data,1,Theme_Two_Q_NUM_EXPORT_F_passes_per_q_filter_data,1),0)</f>
        <v>5.5</v>
      </c>
      <c r="D17">
        <f>COUNTIFS(Q_NUM_EXPORT_data,"&lt;&gt;",passes_workbook_filters_data,1,passes_workbook_custom_filters_data,1,Theme_Two_passes_local_filters_data,1,Theme_Two_Q_NUM_EXPORT_F_passes_per_q_filter_data,1)</f>
        <v>10</v>
      </c>
    </row>
    <row r="18">
      <c r="A18" t="inlineStr">
        <is>
          <t>Min</t>
        </is>
      </c>
      <c r="B18" s="16">
        <f>IFERROR(MINIFS(Q_NUM_EXPORT_data,passes_workbook_filters_data,1,passes_workbook_custom_filters_data,1,Theme_Two_passes_local_filters_data,1,Theme_Two_Q_NUM_EXPORT_F_passes_per_q_filter_data,1),0)</f>
        <v>1.0</v>
      </c>
      <c r="D18">
        <f>COUNTIFS(Q_NUM_EXPORT_data,"&lt;&gt;",passes_workbook_filters_data,1,passes_workbook_custom_filters_data,1,Theme_Two_passes_local_filters_data,1,Theme_Two_Q_NUM_EXPORT_F_passes_per_q_filter_data,1)</f>
        <v>10</v>
      </c>
    </row>
    <row r="19">
      <c r="A19" t="inlineStr">
        <is>
          <t>Max</t>
        </is>
      </c>
      <c r="B19" s="16">
        <f>IFERROR(MAXIFS(Q_NUM_EXPORT_data,passes_workbook_filters_data,1,passes_workbook_custom_filters_data,1,Theme_Two_passes_local_filters_data,1,Theme_Two_Q_NUM_EXPORT_F_passes_per_q_filter_data,1),0)</f>
        <v>10.0</v>
      </c>
      <c r="D19">
        <f>COUNTIFS(Q_NUM_EXPORT_data,"&lt;&gt;",passes_workbook_filters_data,1,passes_workbook_custom_filters_data,1,Theme_Two_passes_local_filters_data,1,Theme_Two_Q_NUM_EXPORT_F_passes_per_q_filter_data,1)</f>
        <v>10</v>
      </c>
    </row>
    <row r="20">
      <c r="A20" t="inlineStr">
        <is>
          <t>Std</t>
        </is>
      </c>
      <c r="B20" s="16" t="n">
        <v>2.9</v>
      </c>
      <c r="C20" t="inlineStr">
        <is>
          <t>static baseline</t>
        </is>
      </c>
      <c r="D20">
        <f>COUNTIFS(Q_NUM_EXPORT_data,"&lt;&gt;",passes_workbook_filters_data,1,passes_workbook_custom_filters_data,1,Theme_Two_passes_local_filters_data,1,Theme_Two_Q_NUM_EXPORT_F_passes_per_q_filter_data,1)</f>
        <v>10</v>
      </c>
    </row>
    <row r="21">
      <c r="A21" t="inlineStr">
        <is>
          <t>Median</t>
        </is>
      </c>
      <c r="B21" s="16" t="n">
        <v>5.5</v>
      </c>
      <c r="C21" t="inlineStr">
        <is>
          <t>static baseline</t>
        </is>
      </c>
      <c r="D21" s="14" t="n">
        <v>10</v>
      </c>
    </row>
    <row r="22"/>
    <row r="23">
      <c r="A23" s="4" t="inlineStr">
        <is>
          <t>Option</t>
        </is>
      </c>
      <c r="B23" s="2" t="str">
        <f>IF(Theme_Two_Q_NUM_EXPORT_CT="(None)","",IFERROR(INDEX(INDIRECT(IFERROR(INDEX(Cross_Tab_Questions_Options_Names,MATCH(Theme_Two_Q_NUM_EXPORT_CT,Cross_Tab_Questions,0)),"'_Options'!$E$2:$E$2")),2),""))</f>
        <v/>
      </c>
      <c r="C23" s="2" t="str">
        <f>IF(Theme_Two_Q_NUM_EXPORT_CT="(None)","",IFERROR(INDEX(INDIRECT(IFERROR(INDEX(Cross_Tab_Questions_Options_Names,MATCH(Theme_Two_Q_NUM_EXPORT_CT,Cross_Tab_Questions,0)),"'_Options'!$E$2:$E$2")),3),""))</f>
        <v/>
      </c>
      <c r="D23" s="2" t="str">
        <f>IF(Theme_Two_Q_NUM_EXPORT_CT="(None)","",IFERROR(INDEX(INDIRECT(IFERROR(INDEX(Cross_Tab_Questions_Options_Names,MATCH(Theme_Two_Q_NUM_EXPORT_CT,Cross_Tab_Questions,0)),"'_Options'!$E$2:$E$2")),4),""))</f>
        <v/>
      </c>
      <c r="E23" s="2" t="str">
        <f>IF(Theme_Two_Q_NUM_EXPORT_CT="(None)","",IFERROR(INDEX(INDIRECT(IFERROR(INDEX(Cross_Tab_Questions_Options_Names,MATCH(Theme_Two_Q_NUM_EXPORT_CT,Cross_Tab_Questions,0)),"'_Options'!$E$2:$E$2")),5),""))</f>
        <v/>
      </c>
      <c r="F23" s="2" t="str">
        <f>IF(Theme_Two_Q_NUM_EXPORT_CT="(None)","",IFERROR(INDEX(INDIRECT(IFERROR(INDEX(Cross_Tab_Questions_Options_Names,MATCH(Theme_Two_Q_NUM_EXPORT_CT,Cross_Tab_Questions,0)),"'_Options'!$E$2:$E$2")),6),""))</f>
        <v/>
      </c>
      <c r="G23" s="2" t="str">
        <f>IF(Theme_Two_Q_NUM_EXPORT_CT="(None)","",IFERROR(INDEX(INDIRECT(IFERROR(INDEX(Cross_Tab_Questions_Options_Names,MATCH(Theme_Two_Q_NUM_EXPORT_CT,Cross_Tab_Questions,0)),"'_Options'!$E$2:$E$2")),7),""))</f>
        <v/>
      </c>
      <c r="H23" s="2" t="str">
        <f>IF(Theme_Two_Q_NUM_EXPORT_CT="(None)","",IFERROR(INDEX(INDIRECT(IFERROR(INDEX(Cross_Tab_Questions_Options_Names,MATCH(Theme_Two_Q_NUM_EXPORT_CT,Cross_Tab_Questions,0)),"'_Options'!$E$2:$E$2")),8),""))</f>
        <v/>
      </c>
      <c r="I23" s="2" t="str">
        <f>IF(Theme_Two_Q_NUM_EXPORT_CT="(None)","",IFERROR(INDEX(INDIRECT(IFERROR(INDEX(Cross_Tab_Questions_Options_Names,MATCH(Theme_Two_Q_NUM_EXPORT_CT,Cross_Tab_Questions,0)),"'_Options'!$E$2:$E$2")),9),""))</f>
        <v/>
      </c>
      <c r="J23" s="2" t="str">
        <f>IF(Theme_Two_Q_NUM_EXPORT_CT="(None)","",IFERROR(INDEX(INDIRECT(IFERROR(INDEX(Cross_Tab_Questions_Options_Names,MATCH(Theme_Two_Q_NUM_EXPORT_CT,Cross_Tab_Questions,0)),"'_Options'!$E$2:$E$2")),10),""))</f>
        <v/>
      </c>
      <c r="K23" s="2" t="str">
        <f>IF(Theme_Two_Q_NUM_EXPORT_CT="(None)","",IFERROR(INDEX(INDIRECT(IFERROR(INDEX(Cross_Tab_Questions_Options_Names,MATCH(Theme_Two_Q_NUM_EXPORT_CT,Cross_Tab_Questions,0)),"'_Options'!$E$2:$E$2")),11),""))</f>
        <v/>
      </c>
      <c r="L23" s="2" t="str">
        <f>IF(Theme_Two_Q_NUM_EXPORT_CT="(None)","",IFERROR(INDEX(INDIRECT(IFERROR(INDEX(Cross_Tab_Questions_Options_Names,MATCH(Theme_Two_Q_NUM_EXPORT_CT,Cross_Tab_Questions,0)),"'_Options'!$E$2:$E$2")),12),""))</f>
        <v/>
      </c>
      <c r="M23" s="2" t="str">
        <f>IF(Theme_Two_Q_NUM_EXPORT_CT="(None)","",IF(COUNTA(INDIRECT(IFERROR(INDEX(Cross_Tab_Questions_Options_Names,MATCH(Theme_Two_Q_NUM_EXPORT_CT,Cross_Tab_Questions,0)),"'_Options'!$E$2:$E$2")))-1&gt;11,"Other",IFERROR(INDEX(INDIRECT(IFERROR(INDEX(Cross_Tab_Questions_Options_Names,MATCH(Theme_Two_Q_NUM_EXPORT_CT,Cross_Tab_Questions,0)),"'_Options'!$E$2:$E$2")),13),"")))</f>
        <v/>
      </c>
      <c r="N23" s="4" t="inlineStr">
        <is>
          <t>Total</t>
        </is>
      </c>
    </row>
    <row r="24">
      <c r="A24" s="4" t="inlineStr"/>
      <c r="B24" s="4" t="inlineStr">
        <is>
          <t>Mean</t>
        </is>
      </c>
      <c r="C24" s="4" t="inlineStr">
        <is>
          <t>Mean</t>
        </is>
      </c>
      <c r="D24" s="4" t="inlineStr">
        <is>
          <t>Mean</t>
        </is>
      </c>
      <c r="E24" s="4" t="inlineStr">
        <is>
          <t>Mean</t>
        </is>
      </c>
      <c r="F24" s="4" t="inlineStr">
        <is>
          <t>Mean</t>
        </is>
      </c>
      <c r="G24" s="4" t="inlineStr">
        <is>
          <t>Mean</t>
        </is>
      </c>
      <c r="H24" s="4" t="inlineStr">
        <is>
          <t>Mean</t>
        </is>
      </c>
      <c r="I24" s="4" t="inlineStr">
        <is>
          <t>Mean</t>
        </is>
      </c>
      <c r="J24" s="4" t="inlineStr">
        <is>
          <t>Mean</t>
        </is>
      </c>
      <c r="K24" s="4" t="inlineStr">
        <is>
          <t>Mean</t>
        </is>
      </c>
      <c r="L24" s="4" t="inlineStr">
        <is>
          <t>Mean</t>
        </is>
      </c>
      <c r="M24" s="4" t="inlineStr">
        <is>
          <t>Mean</t>
        </is>
      </c>
      <c r="N24" s="4" t="inlineStr">
        <is>
          <t>Mean</t>
        </is>
      </c>
    </row>
    <row r="25">
      <c r="A25" t="inlineStr">
        <is>
          <t>Numeric export question</t>
        </is>
      </c>
      <c r="B25" s="16">
        <f>IF(OR(Theme_Two_Q_NUM_EXPORT_CT="(None)",B$23=""),"",IF(B$23="Other","",IFERROR(AVERAGEIFS(Q_NUM_EXPORT_data,Q_NUM_EXPORT_data,"&lt;&gt;",passes_workbook_filters_data,1,passes_workbook_custom_filters_data,1,Theme_Two_passes_local_filters_data,1,Theme_Two_Q_NUM_EXPORT_F_passes_per_q_filter_data,1,INDIRECT(IFERROR(INDEX(Cross_Tab_Questions_Data_Names,MATCH(Theme_Two_Q_NUM_EXPORT_CT,Cross_Tab_Questions,0)),"'_RawData'!$A:$A")),B$23),"")))</f>
        <v>5.5</v>
      </c>
      <c r="C25" s="16">
        <f>IF(OR(Theme_Two_Q_NUM_EXPORT_CT="(None)",C$23=""),"",IF(C$23="Other","",IFERROR(AVERAGEIFS(Q_NUM_EXPORT_data,Q_NUM_EXPORT_data,"&lt;&gt;",passes_workbook_filters_data,1,passes_workbook_custom_filters_data,1,Theme_Two_passes_local_filters_data,1,Theme_Two_Q_NUM_EXPORT_F_passes_per_q_filter_data,1,INDIRECT(IFERROR(INDEX(Cross_Tab_Questions_Data_Names,MATCH(Theme_Two_Q_NUM_EXPORT_CT,Cross_Tab_Questions,0)),"'_RawData'!$A:$A")),C$23),"")))</f>
        <v>5.5</v>
      </c>
      <c r="D25" s="16">
        <f>IF(OR(Theme_Two_Q_NUM_EXPORT_CT="(None)",D$23=""),"",IF(D$23="Other","",IFERROR(AVERAGEIFS(Q_NUM_EXPORT_data,Q_NUM_EXPORT_data,"&lt;&gt;",passes_workbook_filters_data,1,passes_workbook_custom_filters_data,1,Theme_Two_passes_local_filters_data,1,Theme_Two_Q_NUM_EXPORT_F_passes_per_q_filter_data,1,INDIRECT(IFERROR(INDEX(Cross_Tab_Questions_Data_Names,MATCH(Theme_Two_Q_NUM_EXPORT_CT,Cross_Tab_Questions,0)),"'_RawData'!$A:$A")),D$23),"")))</f>
        <v>5.5</v>
      </c>
      <c r="E25" s="16">
        <f>IF(OR(Theme_Two_Q_NUM_EXPORT_CT="(None)",E$23=""),"",IF(E$23="Other","",IFERROR(AVERAGEIFS(Q_NUM_EXPORT_data,Q_NUM_EXPORT_data,"&lt;&gt;",passes_workbook_filters_data,1,passes_workbook_custom_filters_data,1,Theme_Two_passes_local_filters_data,1,Theme_Two_Q_NUM_EXPORT_F_passes_per_q_filter_data,1,INDIRECT(IFERROR(INDEX(Cross_Tab_Questions_Data_Names,MATCH(Theme_Two_Q_NUM_EXPORT_CT,Cross_Tab_Questions,0)),"'_RawData'!$A:$A")),E$23),"")))</f>
        <v>5.5</v>
      </c>
      <c r="F25" s="16">
        <f>IF(OR(Theme_Two_Q_NUM_EXPORT_CT="(None)",F$23=""),"",IF(F$23="Other","",IFERROR(AVERAGEIFS(Q_NUM_EXPORT_data,Q_NUM_EXPORT_data,"&lt;&gt;",passes_workbook_filters_data,1,passes_workbook_custom_filters_data,1,Theme_Two_passes_local_filters_data,1,Theme_Two_Q_NUM_EXPORT_F_passes_per_q_filter_data,1,INDIRECT(IFERROR(INDEX(Cross_Tab_Questions_Data_Names,MATCH(Theme_Two_Q_NUM_EXPORT_CT,Cross_Tab_Questions,0)),"'_RawData'!$A:$A")),F$23),"")))</f>
        <v>5.5</v>
      </c>
      <c r="G25" s="16">
        <f>IF(OR(Theme_Two_Q_NUM_EXPORT_CT="(None)",G$23=""),"",IF(G$23="Other","",IFERROR(AVERAGEIFS(Q_NUM_EXPORT_data,Q_NUM_EXPORT_data,"&lt;&gt;",passes_workbook_filters_data,1,passes_workbook_custom_filters_data,1,Theme_Two_passes_local_filters_data,1,Theme_Two_Q_NUM_EXPORT_F_passes_per_q_filter_data,1,INDIRECT(IFERROR(INDEX(Cross_Tab_Questions_Data_Names,MATCH(Theme_Two_Q_NUM_EXPORT_CT,Cross_Tab_Questions,0)),"'_RawData'!$A:$A")),G$23),"")))</f>
        <v>5.5</v>
      </c>
      <c r="H25" s="16">
        <f>IF(OR(Theme_Two_Q_NUM_EXPORT_CT="(None)",H$23=""),"",IF(H$23="Other","",IFERROR(AVERAGEIFS(Q_NUM_EXPORT_data,Q_NUM_EXPORT_data,"&lt;&gt;",passes_workbook_filters_data,1,passes_workbook_custom_filters_data,1,Theme_Two_passes_local_filters_data,1,Theme_Two_Q_NUM_EXPORT_F_passes_per_q_filter_data,1,INDIRECT(IFERROR(INDEX(Cross_Tab_Questions_Data_Names,MATCH(Theme_Two_Q_NUM_EXPORT_CT,Cross_Tab_Questions,0)),"'_RawData'!$A:$A")),H$23),"")))</f>
        <v>5.5</v>
      </c>
      <c r="I25" s="16">
        <f>IF(OR(Theme_Two_Q_NUM_EXPORT_CT="(None)",I$23=""),"",IF(I$23="Other","",IFERROR(AVERAGEIFS(Q_NUM_EXPORT_data,Q_NUM_EXPORT_data,"&lt;&gt;",passes_workbook_filters_data,1,passes_workbook_custom_filters_data,1,Theme_Two_passes_local_filters_data,1,Theme_Two_Q_NUM_EXPORT_F_passes_per_q_filter_data,1,INDIRECT(IFERROR(INDEX(Cross_Tab_Questions_Data_Names,MATCH(Theme_Two_Q_NUM_EXPORT_CT,Cross_Tab_Questions,0)),"'_RawData'!$A:$A")),I$23),"")))</f>
        <v>5.5</v>
      </c>
      <c r="J25" s="16">
        <f>IF(OR(Theme_Two_Q_NUM_EXPORT_CT="(None)",J$23=""),"",IF(J$23="Other","",IFERROR(AVERAGEIFS(Q_NUM_EXPORT_data,Q_NUM_EXPORT_data,"&lt;&gt;",passes_workbook_filters_data,1,passes_workbook_custom_filters_data,1,Theme_Two_passes_local_filters_data,1,Theme_Two_Q_NUM_EXPORT_F_passes_per_q_filter_data,1,INDIRECT(IFERROR(INDEX(Cross_Tab_Questions_Data_Names,MATCH(Theme_Two_Q_NUM_EXPORT_CT,Cross_Tab_Questions,0)),"'_RawData'!$A:$A")),J$23),"")))</f>
        <v>5.5</v>
      </c>
      <c r="K25" s="16">
        <f>IF(OR(Theme_Two_Q_NUM_EXPORT_CT="(None)",K$23=""),"",IF(K$23="Other","",IFERROR(AVERAGEIFS(Q_NUM_EXPORT_data,Q_NUM_EXPORT_data,"&lt;&gt;",passes_workbook_filters_data,1,passes_workbook_custom_filters_data,1,Theme_Two_passes_local_filters_data,1,Theme_Two_Q_NUM_EXPORT_F_passes_per_q_filter_data,1,INDIRECT(IFERROR(INDEX(Cross_Tab_Questions_Data_Names,MATCH(Theme_Two_Q_NUM_EXPORT_CT,Cross_Tab_Questions,0)),"'_RawData'!$A:$A")),K$23),"")))</f>
        <v>5.5</v>
      </c>
      <c r="L25" s="16">
        <f>IF(OR(Theme_Two_Q_NUM_EXPORT_CT="(None)",L$23=""),"",IF(L$23="Other","",IFERROR(AVERAGEIFS(Q_NUM_EXPORT_data,Q_NUM_EXPORT_data,"&lt;&gt;",passes_workbook_filters_data,1,passes_workbook_custom_filters_data,1,Theme_Two_passes_local_filters_data,1,Theme_Two_Q_NUM_EXPORT_F_passes_per_q_filter_data,1,INDIRECT(IFERROR(INDEX(Cross_Tab_Questions_Data_Names,MATCH(Theme_Two_Q_NUM_EXPORT_CT,Cross_Tab_Questions,0)),"'_RawData'!$A:$A")),L$23),"")))</f>
        <v>5.5</v>
      </c>
      <c r="M25" s="16">
        <f>IF(OR(Theme_Two_Q_NUM_EXPORT_CT="(None)",M$23=""),"",IF(M$23="Other","",IFERROR(AVERAGEIFS(Q_NUM_EXPORT_data,Q_NUM_EXPORT_data,"&lt;&gt;",passes_workbook_filters_data,1,passes_workbook_custom_filters_data,1,Theme_Two_passes_local_filters_data,1,Theme_Two_Q_NUM_EXPORT_F_passes_per_q_filter_data,1,INDIRECT(IFERROR(INDEX(Cross_Tab_Questions_Data_Names,MATCH(Theme_Two_Q_NUM_EXPORT_CT,Cross_Tab_Questions,0)),"'_RawData'!$A:$A")),M$23),"")))</f>
        <v>5.5</v>
      </c>
      <c r="N25" s="16">
        <f>IF(Theme_Two_Q_NUM_EXPORT_CT="(None)","",IFERROR(AVERAGEIFS(Q_NUM_EXPORT_data,Q_NUM_EXPORT_data,"&lt;&gt;",passes_workbook_filters_data,1,passes_workbook_custom_filters_data,1,Theme_Two_passes_local_filters_data,1,Theme_Two_Q_NUM_EXPORT_F_passes_per_q_filter_data,1),""))</f>
        <v>5.5</v>
      </c>
    </row>
    <row r="26">
      <c r="A26" s="4" t="inlineStr">
        <is>
          <t>Total respondents</t>
        </is>
      </c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>
        <f>IF(Theme_Two_Q_NUM_EXPORT_CT="(None)","",COUNTIFS(respondent_id_data,"&lt;&gt;",passes_workbook_filters_data,1,passes_workbook_custom_filters_data,1,Theme_Two_passes_local_filters_data,1,Theme_Two_Q_NUM_EXPORT_F_passes_per_q_filter_data,1))</f>
        <v>0</v>
      </c>
    </row>
  </sheetData>
  <mergeCells count="1">
    <mergeCell ref="A1:J1"/>
  </mergeCells>
  <conditionalFormatting sqref="B25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5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25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E25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25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5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5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5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5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5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5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5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=INDIRECT(IFERROR(INDEX(All_Questions_Options_Names,MATCH(Theme_Two_F_Custom1_Q_resolved,All_Questions,0)),"'_Options'!$E$2:$E$2"))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=INDIRECT(IFERROR(INDEX(All_Questions_Options_Names,MATCH(Theme_Two_F_Custom2_Q_resolved,All_Questions,0)),"'_Options'!$E$2:$E$2"))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=INDIRECT(IFERROR(INDEX(All_Questions_Options_Names,MATCH(Theme_Two_Q_NUM_EXPORT_F_Q,All_Questions,0)),"'_Options'!$E$2:$E$2"))</formula1>
    </dataValidation>
    <dataValidation sqref="C14" showDropDown="0" showInputMessage="0" showErrorMessage="0" allowBlank="1" type="list">
      <formula1>=Cross_Tab_Questions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5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Value_Data_Names,MATCH(All_Questions_F_Custom1_Q_resolved&amp;"|"&amp;All_Questions_F_Custom1_V_resolved,All_Questions_Value_Keys,0)),IFERROR(INDEX(All_Questions_Data_Names,MATCH(All_Questions_F_Custom1_Q_resolved,All_Questions,0)),"'_RawData'!$A:$A"))</f>
        <v>respondent_id_data</v>
      </c>
      <c r="G6" t="str">
        <f>IFERROR(INDEX(All_Questions_Value_Criteria,MATCH(All_Questions_F_Custom1_Q_resolved&amp;"|"&amp;All_Questions_F_Custom1_V_resolved,All_Questions_Value_Keys,0)),All_Questions_F_Custom1_V_resolved)</f>
        <v>(All)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Value_Data_Names,MATCH(All_Questions_F_Custom2_Q_resolved&amp;"|"&amp;All_Questions_F_Custom2_V_resolved,All_Questions_Value_Keys,0)),IFERROR(INDEX(All_Questions_Data_Names,MATCH(All_Questions_F_Custom2_Q_resolved,All_Questions,0)),"'_RawData'!$A:$A"))</f>
        <v>respondent_id_data</v>
      </c>
      <c r="G8" t="str">
        <f>IFERROR(INDEX(All_Questions_Value_Criteria,MATCH(All_Questions_F_Custom2_Q_resolved&amp;"|"&amp;All_Questions_F_Custom2_V_resolved,All_Questions_Value_Keys,0)),All_Questions_F_Custom2_V_resolved)</f>
        <v>(All)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Q_MS_EXPORT - Multi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IFERROR(INDEX(All_Questions_Value_Data_Names,MATCH(All_Questions_Q_MS_EXPORT_F_Q&amp;"|"&amp;All_Questions_Q_MS_EXPORT_F_V,All_Questions_Value_Keys,0)),IFERROR(INDEX(All_Questions_Data_Names,MATCH(All_Questions_Q_MS_EXPORT_F_Q,All_Questions,0)),"'_RawData'!$A:$A"))</f>
        <v>respondent_id_data</v>
      </c>
      <c r="G13" t="str">
        <f>"|" &amp; SUBSTITUTE(All_Questions_Q_MS_EXPORT_F_V, ", ", "|") &amp; "|"</f>
        <v>|(All)|</v>
      </c>
      <c r="H13" t="str">
        <f>IFERROR(INDEX(All_Questions_Value_Criteria,MATCH(All_Questions_Q_MS_EXPORT_F_Q&amp;"|"&amp;All_Questions_Q_MS_EXPORT_F_V,All_Questions_Value_Keys,0)),All_Questions_Q_MS_EXPORT_F_V)</f>
        <v>(All)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</row>
    <row r="17">
      <c r="A17" t="inlineStr">
        <is>
          <t>First</t>
        </is>
      </c>
      <c r="B17">
        <f>COUNTIFS(Q_MS_EXPORTr1_data,"Selected",passes_workbook_filters_data,1,passes_workbook_custom_filters_data,1,All_Questions_passes_local_filters_data,1,All_Questions_Q_MS_EXPORT_F_passes_per_q_filter_data,1)</f>
        <v>5</v>
      </c>
      <c r="C17" s="7">
        <f>IFERROR(B17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17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</row>
    <row r="18">
      <c r="A18" t="inlineStr">
        <is>
          <t>Second</t>
        </is>
      </c>
      <c r="B18">
        <f>COUNTIFS(Q_MS_EXPORTr2_data,"Selected",passes_workbook_filters_data,1,passes_workbook_custom_filters_data,1,All_Questions_passes_local_filters_data,1,All_Questions_Q_MS_EXPORT_F_passes_per_q_filter_data,1)</f>
        <v>2</v>
      </c>
      <c r="C18" s="7">
        <f>IFERROR(B18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18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</row>
    <row r="20">
      <c r="A20" s="4" t="inlineStr">
        <is>
          <t>Total responses</t>
        </is>
      </c>
      <c r="B20" s="4" t="n">
        <v>7</v>
      </c>
      <c r="C20" s="4" t="n"/>
      <c r="D20" s="4" t="n"/>
    </row>
    <row r="21"/>
    <row r="22">
      <c r="A22" s="4" t="inlineStr">
        <is>
          <t>Option</t>
        </is>
      </c>
      <c r="B22" s="2" t="str">
        <f>IF(All_Questions_Q_MS_EXPORT_CT="(None)","",IFERROR(INDEX(INDIRECT(IFERROR(INDEX(Cross_Tab_Questions_Options_Names,MATCH(All_Questions_Q_MS_EXPORT_CT,Cross_Tab_Questions,0)),"'_Options'!$E$2:$E$2")),2),""))</f>
        <v/>
      </c>
      <c r="C22" s="2" t="str">
        <f>IF(All_Questions_Q_MS_EXPORT_CT="(None)","",IFERROR(INDEX(INDIRECT(IFERROR(INDEX(Cross_Tab_Questions_Options_Names,MATCH(All_Questions_Q_MS_EXPORT_CT,Cross_Tab_Questions,0)),"'_Options'!$E$2:$E$2")),3),""))</f>
        <v/>
      </c>
      <c r="D22" s="2" t="str">
        <f>IF(All_Questions_Q_MS_EXPORT_CT="(None)","",IFERROR(INDEX(INDIRECT(IFERROR(INDEX(Cross_Tab_Questions_Options_Names,MATCH(All_Questions_Q_MS_EXPORT_CT,Cross_Tab_Questions,0)),"'_Options'!$E$2:$E$2")),4),""))</f>
        <v/>
      </c>
      <c r="E22" s="2" t="str">
        <f>IF(All_Questions_Q_MS_EXPORT_CT="(None)","",IFERROR(INDEX(INDIRECT(IFERROR(INDEX(Cross_Tab_Questions_Options_Names,MATCH(All_Questions_Q_MS_EXPORT_CT,Cross_Tab_Questions,0)),"'_Options'!$E$2:$E$2")),5),""))</f>
        <v/>
      </c>
      <c r="F22" s="2" t="str">
        <f>IF(All_Questions_Q_MS_EXPORT_CT="(None)","",IFERROR(INDEX(INDIRECT(IFERROR(INDEX(Cross_Tab_Questions_Options_Names,MATCH(All_Questions_Q_MS_EXPORT_CT,Cross_Tab_Questions,0)),"'_Options'!$E$2:$E$2")),6),""))</f>
        <v/>
      </c>
      <c r="G22" s="2" t="str">
        <f>IF(All_Questions_Q_MS_EXPORT_CT="(None)","",IFERROR(INDEX(INDIRECT(IFERROR(INDEX(Cross_Tab_Questions_Options_Names,MATCH(All_Questions_Q_MS_EXPORT_CT,Cross_Tab_Questions,0)),"'_Options'!$E$2:$E$2")),7),""))</f>
        <v/>
      </c>
      <c r="H22" s="2" t="str">
        <f>IF(All_Questions_Q_MS_EXPORT_CT="(None)","",IFERROR(INDEX(INDIRECT(IFERROR(INDEX(Cross_Tab_Questions_Options_Names,MATCH(All_Questions_Q_MS_EXPORT_CT,Cross_Tab_Questions,0)),"'_Options'!$E$2:$E$2")),8),""))</f>
        <v/>
      </c>
      <c r="I22" s="2" t="str">
        <f>IF(All_Questions_Q_MS_EXPORT_CT="(None)","",IFERROR(INDEX(INDIRECT(IFERROR(INDEX(Cross_Tab_Questions_Options_Names,MATCH(All_Questions_Q_MS_EXPORT_CT,Cross_Tab_Questions,0)),"'_Options'!$E$2:$E$2")),9),""))</f>
        <v/>
      </c>
      <c r="J22" s="2" t="str">
        <f>IF(All_Questions_Q_MS_EXPORT_CT="(None)","",IFERROR(INDEX(INDIRECT(IFERROR(INDEX(Cross_Tab_Questions_Options_Names,MATCH(All_Questions_Q_MS_EXPORT_CT,Cross_Tab_Questions,0)),"'_Options'!$E$2:$E$2")),10),""))</f>
        <v/>
      </c>
      <c r="K22" s="2" t="str">
        <f>IF(All_Questions_Q_MS_EXPORT_CT="(None)","",IFERROR(INDEX(INDIRECT(IFERROR(INDEX(Cross_Tab_Questions_Options_Names,MATCH(All_Questions_Q_MS_EXPORT_CT,Cross_Tab_Questions,0)),"'_Options'!$E$2:$E$2")),11),""))</f>
        <v/>
      </c>
      <c r="L22" s="2" t="str">
        <f>IF(All_Questions_Q_MS_EXPORT_CT="(None)","",IFERROR(INDEX(INDIRECT(IFERROR(INDEX(Cross_Tab_Questions_Options_Names,MATCH(All_Questions_Q_MS_EXPORT_CT,Cross_Tab_Questions,0)),"'_Options'!$E$2:$E$2")),12),""))</f>
        <v/>
      </c>
      <c r="M22" s="2" t="str">
        <f>IF(All_Questions_Q_MS_EXPORT_CT="(None)","",IF(COUNTA(INDIRECT(IFERROR(INDEX(Cross_Tab_Questions_Options_Names,MATCH(All_Questions_Q_MS_EXPORT_CT,Cross_Tab_Questions,0)),"'_Options'!$E$2:$E$2")))-1&gt;11,"Other",IFERROR(INDEX(INDIRECT(IFERROR(INDEX(Cross_Tab_Questions_Options_Names,MATCH(All_Questions_Q_MS_EXPORT_CT,Cross_Tab_Questions,0)),"'_Options'!$E$2:$E$2")),13),"")))</f>
        <v/>
      </c>
      <c r="N22" s="4" t="inlineStr">
        <is>
          <t>Total</t>
        </is>
      </c>
    </row>
    <row r="23">
      <c r="A23" s="4" t="inlineStr"/>
      <c r="B23" s="4" t="inlineStr">
        <is>
          <t>% selected</t>
        </is>
      </c>
      <c r="C23" s="4" t="inlineStr">
        <is>
          <t>% selected</t>
        </is>
      </c>
      <c r="D23" s="4" t="inlineStr">
        <is>
          <t>% selected</t>
        </is>
      </c>
      <c r="E23" s="4" t="inlineStr">
        <is>
          <t>% selected</t>
        </is>
      </c>
      <c r="F23" s="4" t="inlineStr">
        <is>
          <t>% selected</t>
        </is>
      </c>
      <c r="G23" s="4" t="inlineStr">
        <is>
          <t>% selected</t>
        </is>
      </c>
      <c r="H23" s="4" t="inlineStr">
        <is>
          <t>% selected</t>
        </is>
      </c>
      <c r="I23" s="4" t="inlineStr">
        <is>
          <t>% selected</t>
        </is>
      </c>
      <c r="J23" s="4" t="inlineStr">
        <is>
          <t>% selected</t>
        </is>
      </c>
      <c r="K23" s="4" t="inlineStr">
        <is>
          <t>% selected</t>
        </is>
      </c>
      <c r="L23" s="4" t="inlineStr">
        <is>
          <t>% selected</t>
        </is>
      </c>
      <c r="M23" s="4" t="inlineStr">
        <is>
          <t>% selected</t>
        </is>
      </c>
      <c r="N23" s="4" t="inlineStr">
        <is>
          <t>% selected</t>
        </is>
      </c>
    </row>
    <row r="24">
      <c r="A24" t="inlineStr">
        <is>
          <t>First</t>
        </is>
      </c>
      <c r="B24" s="7">
        <f>IF(OR(All_Questions_Q_MS_EXPORT_CT="(None)",B$22=""),"",IF(B$22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B$22)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B$22)),"")))</f>
        <v>0.5</v>
      </c>
      <c r="C24" s="7">
        <f>IF(OR(All_Questions_Q_MS_EXPORT_CT="(None)",C$22=""),"",IF(C$22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C$22)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C$22)),"")))</f>
        <v>0.5</v>
      </c>
      <c r="D24" s="7">
        <f>IF(OR(All_Questions_Q_MS_EXPORT_CT="(None)",D$22=""),"",IF(D$22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D$22)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D$22)),"")))</f>
        <v>0.5</v>
      </c>
      <c r="E24" s="7">
        <f>IF(OR(All_Questions_Q_MS_EXPORT_CT="(None)",E$22=""),"",IF(E$22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E$22)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E$22)),"")))</f>
        <v>0.5</v>
      </c>
      <c r="F24" s="7">
        <f>IF(OR(All_Questions_Q_MS_EXPORT_CT="(None)",F$22=""),"",IF(F$22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F$22)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F$22)),"")))</f>
        <v>0.5</v>
      </c>
      <c r="G24" s="7">
        <f>IF(OR(All_Questions_Q_MS_EXPORT_CT="(None)",G$22=""),"",IF(G$22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$22)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$22)),"")))</f>
        <v>0.5</v>
      </c>
      <c r="H24" s="7">
        <f>IF(OR(All_Questions_Q_MS_EXPORT_CT="(None)",H$22=""),"",IF(H$22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$22)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$22)),"")))</f>
        <v>0.5</v>
      </c>
      <c r="I24" s="7">
        <f>IF(OR(All_Questions_Q_MS_EXPORT_CT="(None)",I$22=""),"",IF(I$22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$22)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$22)),"")))</f>
        <v>0.5</v>
      </c>
      <c r="J24" s="7">
        <f>IF(OR(All_Questions_Q_MS_EXPORT_CT="(None)",J$22=""),"",IF(J$22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$22)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$22)),"")))</f>
        <v>0.5</v>
      </c>
      <c r="K24" s="7">
        <f>IF(OR(All_Questions_Q_MS_EXPORT_CT="(None)",K$22=""),"",IF(K$22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$22)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$22)),"")))</f>
        <v>0.5</v>
      </c>
      <c r="L24" s="7">
        <f>IF(OR(All_Questions_Q_MS_EXPORT_CT="(None)",L$22=""),"",IF(L$22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$22)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$22)),"")))</f>
        <v>0.5</v>
      </c>
      <c r="M24" s="7">
        <f>IF(OR(All_Questions_Q_MS_EXPORT_CT="(None)",M$22=""),"",IF(M$22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$22)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$22)),"")))</f>
        <v>0.5</v>
      </c>
      <c r="N24" s="7">
        <f>IF(All_Questions_Q_MS_EXPORT_CT="(None)","",IFERROR(COUNTIFS(Q_MS_EXPORTr1_data,"Selected",passes_workbook_filters_data,1,passes_workbook_custom_filters_data,1,All_Questions_passes_local_filters_data,1,All_Questions_Q_MS_EXPORT_F_passes_per_q_filter_data,1)/SUMPRODUCT(--((--(Q_MS_EXPORTr1_data&lt;&gt;"")+--(Q_MS_EXPORTr2_data&lt;&gt;""))&gt;0),--(passes_workbook_filters_data=1),--(passes_workbook_custom_filters_data=1),--(All_Questions_passes_local_filters_data=1),--(All_Questions_Q_MS_EXPORT_F_passes_per_q_filter_data=1)),""))</f>
        <v>0.5</v>
      </c>
    </row>
    <row r="25">
      <c r="A25" t="inlineStr">
        <is>
          <t>Second</t>
        </is>
      </c>
      <c r="B25" s="7">
        <f>IF(OR(All_Questions_Q_MS_EXPORT_CT="(None)",B$22=""),"",IF(B$22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B$22)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B$22)),"")))</f>
        <v>0.2</v>
      </c>
      <c r="C25" s="7">
        <f>IF(OR(All_Questions_Q_MS_EXPORT_CT="(None)",C$22=""),"",IF(C$22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C$22)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C$22)),"")))</f>
        <v>0.2</v>
      </c>
      <c r="D25" s="7">
        <f>IF(OR(All_Questions_Q_MS_EXPORT_CT="(None)",D$22=""),"",IF(D$22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D$22)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D$22)),"")))</f>
        <v>0.2</v>
      </c>
      <c r="E25" s="7">
        <f>IF(OR(All_Questions_Q_MS_EXPORT_CT="(None)",E$22=""),"",IF(E$22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E$22)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E$22)),"")))</f>
        <v>0.2</v>
      </c>
      <c r="F25" s="7">
        <f>IF(OR(All_Questions_Q_MS_EXPORT_CT="(None)",F$22=""),"",IF(F$22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F$22)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F$22)),"")))</f>
        <v>0.2</v>
      </c>
      <c r="G25" s="7">
        <f>IF(OR(All_Questions_Q_MS_EXPORT_CT="(None)",G$22=""),"",IF(G$22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$22)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$22)),"")))</f>
        <v>0.2</v>
      </c>
      <c r="H25" s="7">
        <f>IF(OR(All_Questions_Q_MS_EXPORT_CT="(None)",H$22=""),"",IF(H$22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$22)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$22)),"")))</f>
        <v>0.2</v>
      </c>
      <c r="I25" s="7">
        <f>IF(OR(All_Questions_Q_MS_EXPORT_CT="(None)",I$22=""),"",IF(I$22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$22)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$22)),"")))</f>
        <v>0.2</v>
      </c>
      <c r="J25" s="7">
        <f>IF(OR(All_Questions_Q_MS_EXPORT_CT="(None)",J$22=""),"",IF(J$22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$22)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$22)),"")))</f>
        <v>0.2</v>
      </c>
      <c r="K25" s="7">
        <f>IF(OR(All_Questions_Q_MS_EXPORT_CT="(None)",K$22=""),"",IF(K$22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$22)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$22)),"")))</f>
        <v>0.2</v>
      </c>
      <c r="L25" s="7">
        <f>IF(OR(All_Questions_Q_MS_EXPORT_CT="(None)",L$22=""),"",IF(L$22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$22)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$22)),"")))</f>
        <v>0.2</v>
      </c>
      <c r="M25" s="7">
        <f>IF(OR(All_Questions_Q_MS_EXPORT_CT="(None)",M$22=""),"",IF(M$22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$22)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$22)),"")))</f>
        <v>0.2</v>
      </c>
      <c r="N25" s="7">
        <f>IF(All_Questions_Q_MS_EXPORT_CT="(None)","",IFERROR(COUNTIFS(Q_MS_EXPORTr2_data,"Selected",passes_workbook_filters_data,1,passes_workbook_custom_filters_data,1,All_Questions_passes_local_filters_data,1,All_Questions_Q_MS_EXPORT_F_passes_per_q_filter_data,1)/SUMPRODUCT(--((--(Q_MS_EXPORTr1_data&lt;&gt;"")+--(Q_MS_EXPORTr2_data&lt;&gt;""))&gt;0),--(passes_workbook_filters_data=1),--(passes_workbook_custom_filters_data=1),--(All_Questions_passes_local_filters_data=1),--(All_Questions_Q_MS_EXPORT_F_passes_per_q_filter_data=1)),""))</f>
        <v>0.2</v>
      </c>
    </row>
    <row r="26">
      <c r="A26" s="4" t="inlineStr">
        <is>
          <t>Total respondents</t>
        </is>
      </c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27"/>
    <row r="28">
      <c r="A28" s="11" t="n"/>
      <c r="B28" s="11" t="n"/>
      <c r="C28" s="11" t="n"/>
      <c r="D28" s="11" t="n"/>
      <c r="E28" s="11" t="n"/>
      <c r="F28" s="11" t="n"/>
      <c r="G28" s="11" t="n"/>
      <c r="H28" s="11" t="n"/>
      <c r="I28" s="11" t="n"/>
      <c r="J28" s="11" t="n"/>
    </row>
    <row r="29">
      <c r="A29" s="12" t="inlineStr">
        <is>
          <t>Q_GRID_EXPORT - Grid export question</t>
        </is>
      </c>
      <c r="B29" s="12" t="n"/>
      <c r="C29" s="12" t="n"/>
      <c r="D29" s="12" t="n"/>
      <c r="E29" s="12" t="n"/>
      <c r="F29" s="12" t="n"/>
      <c r="G29" s="12" t="n"/>
      <c r="H29" s="12" t="n"/>
      <c r="I29" s="12" t="n"/>
      <c r="J29" s="12" t="n"/>
      <c r="K29" s="12" t="n"/>
      <c r="L29" s="12" t="n"/>
      <c r="M29" s="12" t="n"/>
      <c r="N29" s="12" t="n"/>
    </row>
    <row r="30">
      <c r="A30" s="13" t="inlineStr">
        <is>
          <t>Per-question filter</t>
        </is>
      </c>
      <c r="B30" t="inlineStr">
        <is>
          <t>Filter Q</t>
        </is>
      </c>
      <c r="C30" t="inlineStr">
        <is>
          <t>(None)</t>
        </is>
      </c>
      <c r="D30" t="inlineStr">
        <is>
          <t>Value</t>
        </is>
      </c>
      <c r="E30" t="inlineStr">
        <is>
          <t>(All)</t>
        </is>
      </c>
      <c r="F30" t="str">
        <f>IFERROR(INDEX(All_Questions_Value_Data_Names,MATCH(All_Questions_Q_GRID_EXPORT_F_Q&amp;"|"&amp;All_Questions_Q_GRID_EXPORT_F_V,All_Questions_Value_Keys,0)),IFERROR(INDEX(All_Questions_Data_Names,MATCH(All_Questions_Q_GRID_EXPORT_F_Q,All_Questions,0)),"'_RawData'!$A:$A"))</f>
        <v>respondent_id_data</v>
      </c>
      <c r="G30" t="str">
        <f>"|" &amp; SUBSTITUTE(All_Questions_Q_GRID_EXPORT_F_V, ", ", "|") &amp; "|"</f>
        <v>|(All)|</v>
      </c>
      <c r="H30" t="str">
        <f>IFERROR(INDEX(All_Questions_Value_Criteria,MATCH(All_Questions_Q_GRID_EXPORT_F_Q&amp;"|"&amp;All_Questions_Q_GRID_EXPORT_F_V,All_Questions_Value_Keys,0)),All_Questions_Q_GRID_EXPORT_F_V)</f>
        <v>(All)</v>
      </c>
    </row>
    <row r="31"/>
    <row r="32">
      <c r="A32" s="4" t="inlineStr">
        <is>
          <t>Sub-question ID</t>
        </is>
      </c>
      <c r="B32" s="4" t="inlineStr">
        <is>
          <t>Sub-question</t>
        </is>
      </c>
      <c r="C32" s="4" t="inlineStr">
        <is>
          <t>High</t>
        </is>
      </c>
      <c r="D32" s="2" t="n"/>
      <c r="E32" s="4" t="inlineStr">
        <is>
          <t>Low</t>
        </is>
      </c>
      <c r="F32" s="2" t="n"/>
    </row>
    <row r="33">
      <c r="A33" s="2" t="inlineStr"/>
      <c r="B33" s="2" t="inlineStr"/>
      <c r="C33" s="4" t="inlineStr">
        <is>
          <t>Count</t>
        </is>
      </c>
      <c r="D33" s="4" t="inlineStr">
        <is>
          <t>%</t>
        </is>
      </c>
      <c r="E33" s="4" t="inlineStr">
        <is>
          <t>Count</t>
        </is>
      </c>
      <c r="F33" s="4" t="inlineStr">
        <is>
          <t>%</t>
        </is>
      </c>
    </row>
    <row r="34">
      <c r="A34" s="17" t="inlineStr">
        <is>
          <t>Q_GRID_EXPORTr1</t>
        </is>
      </c>
      <c r="B34" t="inlineStr">
        <is>
          <t>Grid first row</t>
        </is>
      </c>
      <c r="C34">
        <f>COUNTIFS(Q_GRID_EXPORTr1_data,"High",passes_workbook_filters_data,1,passes_workbook_custom_filters_data,1,All_Questions_passes_local_filters_data,1,All_Questions_Q_GRID_EXPORT_F_passes_per_q_filter_data,1)</f>
        <v>6</v>
      </c>
      <c r="D34" s="7">
        <f>IFERROR(C34/10,0)</f>
        <v>0.6</v>
      </c>
      <c r="E34">
        <f>COUNTIFS(Q_GRID_EXPORTr1_data,"Low",passes_workbook_filters_data,1,passes_workbook_custom_filters_data,1,All_Questions_passes_local_filters_data,1,All_Questions_Q_GRID_EXPORT_F_passes_per_q_filter_data,1)</f>
        <v>4</v>
      </c>
      <c r="F34" s="7">
        <f>IFERROR(E34/10,0)</f>
        <v>0.4</v>
      </c>
    </row>
    <row r="35">
      <c r="A35" s="17" t="inlineStr">
        <is>
          <t>Q_GRID_EXPORTr2</t>
        </is>
      </c>
      <c r="B35" t="inlineStr">
        <is>
          <t>Grid second row</t>
        </is>
      </c>
      <c r="C35">
        <f>COUNTIFS(Q_GRID_EXPORTr2_data,"High",passes_workbook_filters_data,1,passes_workbook_custom_filters_data,1,All_Questions_passes_local_filters_data,1,All_Questions_Q_GRID_EXPORT_F_passes_per_q_filter_data,1)</f>
        <v>5</v>
      </c>
      <c r="D35" s="7">
        <f>IFERROR(C35/10,0)</f>
        <v>0.5</v>
      </c>
      <c r="E35">
        <f>COUNTIFS(Q_GRID_EXPORTr2_data,"Low",passes_workbook_filters_data,1,passes_workbook_custom_filters_data,1,All_Questions_passes_local_filters_data,1,All_Questions_Q_GRID_EXPORT_F_passes_per_q_filter_data,1)</f>
        <v>5</v>
      </c>
      <c r="F35" s="7">
        <f>IFERROR(E35/10,0)</f>
        <v>0.5</v>
      </c>
    </row>
    <row r="36">
      <c r="A36" s="15" t="inlineStr">
        <is>
          <t>Total respondents</t>
        </is>
      </c>
      <c r="B36" s="15" t="n">
        <v>10</v>
      </c>
      <c r="C36" s="15" t="n"/>
      <c r="D36" s="15" t="n"/>
      <c r="E36" s="15" t="n"/>
      <c r="F36" s="15" t="n"/>
    </row>
    <row r="37">
      <c r="A37" s="4" t="inlineStr">
        <is>
          <t>Total responses</t>
        </is>
      </c>
      <c r="B37" s="4" t="n">
        <v>20</v>
      </c>
      <c r="C37" s="4" t="n"/>
      <c r="D37" s="4" t="n"/>
      <c r="E37" s="4" t="n"/>
      <c r="F37" s="4" t="n"/>
    </row>
    <row r="38"/>
    <row r="39">
      <c r="A39" s="11" t="n"/>
      <c r="B39" s="11" t="n"/>
      <c r="C39" s="11" t="n"/>
      <c r="D39" s="11" t="n"/>
      <c r="E39" s="11" t="n"/>
      <c r="F39" s="11" t="n"/>
      <c r="G39" s="11" t="n"/>
      <c r="H39" s="11" t="n"/>
      <c r="I39" s="11" t="n"/>
      <c r="J39" s="11" t="n"/>
    </row>
    <row r="40">
      <c r="A40" s="12" t="inlineStr">
        <is>
          <t>Q_VERY_LONG_SINGLE_SELECT_EXPORT_NAME - Long sheet name export question</t>
        </is>
      </c>
      <c r="B40" s="12" t="n"/>
      <c r="C40" s="12" t="n"/>
      <c r="D40" s="12" t="n"/>
      <c r="E40" s="12" t="n"/>
      <c r="F40" s="12" t="n"/>
      <c r="G40" s="12" t="n"/>
      <c r="H40" s="12" t="n"/>
      <c r="I40" s="12" t="n"/>
      <c r="J40" s="12" t="n"/>
      <c r="K40" s="12" t="n"/>
      <c r="L40" s="12" t="n"/>
      <c r="M40" s="12" t="n"/>
      <c r="N40" s="12" t="n"/>
    </row>
    <row r="41">
      <c r="A41" s="13" t="inlineStr">
        <is>
          <t>Per-question filter</t>
        </is>
      </c>
      <c r="B41" t="inlineStr">
        <is>
          <t>Filter Q</t>
        </is>
      </c>
      <c r="C41" t="inlineStr">
        <is>
          <t>(None)</t>
        </is>
      </c>
      <c r="D41" t="inlineStr">
        <is>
          <t>Value</t>
        </is>
      </c>
      <c r="E41" t="inlineStr">
        <is>
          <t>(All)</t>
        </is>
      </c>
      <c r="F41" t="str">
        <f>IFERROR(INDEX(All_Questions_Value_Data_Names,MATCH(All_Questions_Q_VERY_LONG_SINGLE_SELECT_EXPORT_NAME_F_Q&amp;"|"&amp;All_Questions_Q_VERY_LONG_SINGLE_SELECT_EXPORT_NAME_F_V,All_Questions_Value_Keys,0)),IFERROR(INDEX(All_Questions_Data_Names,MATCH(All_Questions_Q_VERY_LONG_SINGLE_SELECT_EXPORT_NAME_F_Q,All_Questions,0)),"'_RawData'!$A:$A"))</f>
        <v>respondent_id_data</v>
      </c>
      <c r="G41" t="str">
        <f>"|" &amp; SUBSTITUTE(All_Questions_Q_VERY_LONG_SINGLE_SELECT_EXPORT_NAME_F_V, ", ", "|") &amp; "|"</f>
        <v>|(All)|</v>
      </c>
      <c r="H41" t="str">
        <f>IFERROR(INDEX(All_Questions_Value_Criteria,MATCH(All_Questions_Q_VERY_LONG_SINGLE_SELECT_EXPORT_NAME_F_Q&amp;"|"&amp;All_Questions_Q_VERY_LONG_SINGLE_SELECT_EXPORT_NAME_F_V,All_Questions_Value_Keys,0)),All_Questions_Q_VERY_LONG_SINGLE_SELECT_EXPORT_NAME_F_V)</f>
        <v>(All)</v>
      </c>
    </row>
    <row r="42">
      <c r="A42" s="13" t="inlineStr">
        <is>
          <t>Cross-tab by</t>
        </is>
      </c>
      <c r="C42" t="inlineStr">
        <is>
          <t>(None)</t>
        </is>
      </c>
    </row>
    <row r="43"/>
    <row r="44">
      <c r="A44" s="4" t="inlineStr">
        <is>
          <t>Option</t>
        </is>
      </c>
      <c r="B44" s="4" t="inlineStr">
        <is>
          <t>Count</t>
        </is>
      </c>
      <c r="C44" s="4" t="inlineStr">
        <is>
          <t>%</t>
        </is>
      </c>
      <c r="D44" s="4" t="inlineStr">
        <is>
          <t>Denominator</t>
        </is>
      </c>
    </row>
    <row r="45">
      <c r="A45" t="inlineStr">
        <is>
          <t>A</t>
        </is>
      </c>
      <c r="B45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45" s="7">
        <f>IFERROR(B45/SUBTOTAL(9,B45:B46),0)</f>
        <v>0.7</v>
      </c>
      <c r="D45" s="14">
        <f>SUBTOTAL(9,B45:B46)</f>
        <v>10</v>
      </c>
    </row>
    <row r="46">
      <c r="A46" t="inlineStr">
        <is>
          <t>B</t>
        </is>
      </c>
      <c r="B46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46" s="7">
        <f>IFERROR(B46/SUBTOTAL(9,B45:B46),0)</f>
        <v>0.3</v>
      </c>
      <c r="D46" s="14">
        <f>SUBTOTAL(9,B45:B46)</f>
        <v>10</v>
      </c>
    </row>
    <row r="47">
      <c r="A47" s="15" t="inlineStr">
        <is>
          <t>Total respondents</t>
        </is>
      </c>
      <c r="B47" s="15" t="n">
        <v>10</v>
      </c>
      <c r="C47" s="15" t="n"/>
      <c r="D47" s="15" t="n"/>
    </row>
    <row r="48"/>
    <row r="49">
      <c r="A49" s="4" t="inlineStr">
        <is>
          <t>Option</t>
        </is>
      </c>
      <c r="B49" s="2" t="str">
        <f>IF(All_Questions_Q_VERY_LONG_SINGLE_SELECT_EXPORT_NAME_CT="(None)","",IFERROR(INDEX(INDIRECT(IFERROR(INDEX(Cross_Tab_Questions_Options_Names,MATCH(All_Questions_Q_VERY_LONG_SINGLE_SELECT_EXPORT_NAME_CT,Cross_Tab_Questions,0)),"'_Options'!$E$2:$E$2")),2),""))</f>
        <v/>
      </c>
      <c r="C49" s="2" t="str">
        <f>IF(All_Questions_Q_VERY_LONG_SINGLE_SELECT_EXPORT_NAME_CT="(None)","",IFERROR(INDEX(INDIRECT(IFERROR(INDEX(Cross_Tab_Questions_Options_Names,MATCH(All_Questions_Q_VERY_LONG_SINGLE_SELECT_EXPORT_NAME_CT,Cross_Tab_Questions,0)),"'_Options'!$E$2:$E$2")),3),""))</f>
        <v/>
      </c>
      <c r="D49" s="2" t="str">
        <f>IF(All_Questions_Q_VERY_LONG_SINGLE_SELECT_EXPORT_NAME_CT="(None)","",IFERROR(INDEX(INDIRECT(IFERROR(INDEX(Cross_Tab_Questions_Options_Names,MATCH(All_Questions_Q_VERY_LONG_SINGLE_SELECT_EXPORT_NAME_CT,Cross_Tab_Questions,0)),"'_Options'!$E$2:$E$2")),4),""))</f>
        <v/>
      </c>
      <c r="E49" s="2" t="str">
        <f>IF(All_Questions_Q_VERY_LONG_SINGLE_SELECT_EXPORT_NAME_CT="(None)","",IFERROR(INDEX(INDIRECT(IFERROR(INDEX(Cross_Tab_Questions_Options_Names,MATCH(All_Questions_Q_VERY_LONG_SINGLE_SELECT_EXPORT_NAME_CT,Cross_Tab_Questions,0)),"'_Options'!$E$2:$E$2")),5),""))</f>
        <v/>
      </c>
      <c r="F49" s="2" t="str">
        <f>IF(All_Questions_Q_VERY_LONG_SINGLE_SELECT_EXPORT_NAME_CT="(None)","",IFERROR(INDEX(INDIRECT(IFERROR(INDEX(Cross_Tab_Questions_Options_Names,MATCH(All_Questions_Q_VERY_LONG_SINGLE_SELECT_EXPORT_NAME_CT,Cross_Tab_Questions,0)),"'_Options'!$E$2:$E$2")),6),""))</f>
        <v/>
      </c>
      <c r="G49" s="2" t="str">
        <f>IF(All_Questions_Q_VERY_LONG_SINGLE_SELECT_EXPORT_NAME_CT="(None)","",IFERROR(INDEX(INDIRECT(IFERROR(INDEX(Cross_Tab_Questions_Options_Names,MATCH(All_Questions_Q_VERY_LONG_SINGLE_SELECT_EXPORT_NAME_CT,Cross_Tab_Questions,0)),"'_Options'!$E$2:$E$2")),7),""))</f>
        <v/>
      </c>
      <c r="H49" s="2" t="str">
        <f>IF(All_Questions_Q_VERY_LONG_SINGLE_SELECT_EXPORT_NAME_CT="(None)","",IFERROR(INDEX(INDIRECT(IFERROR(INDEX(Cross_Tab_Questions_Options_Names,MATCH(All_Questions_Q_VERY_LONG_SINGLE_SELECT_EXPORT_NAME_CT,Cross_Tab_Questions,0)),"'_Options'!$E$2:$E$2")),8),""))</f>
        <v/>
      </c>
      <c r="I49" s="2" t="str">
        <f>IF(All_Questions_Q_VERY_LONG_SINGLE_SELECT_EXPORT_NAME_CT="(None)","",IFERROR(INDEX(INDIRECT(IFERROR(INDEX(Cross_Tab_Questions_Options_Names,MATCH(All_Questions_Q_VERY_LONG_SINGLE_SELECT_EXPORT_NAME_CT,Cross_Tab_Questions,0)),"'_Options'!$E$2:$E$2")),9),""))</f>
        <v/>
      </c>
      <c r="J49" s="2" t="str">
        <f>IF(All_Questions_Q_VERY_LONG_SINGLE_SELECT_EXPORT_NAME_CT="(None)","",IFERROR(INDEX(INDIRECT(IFERROR(INDEX(Cross_Tab_Questions_Options_Names,MATCH(All_Questions_Q_VERY_LONG_SINGLE_SELECT_EXPORT_NAME_CT,Cross_Tab_Questions,0)),"'_Options'!$E$2:$E$2")),10),""))</f>
        <v/>
      </c>
      <c r="K49" s="2" t="str">
        <f>IF(All_Questions_Q_VERY_LONG_SINGLE_SELECT_EXPORT_NAME_CT="(None)","",IFERROR(INDEX(INDIRECT(IFERROR(INDEX(Cross_Tab_Questions_Options_Names,MATCH(All_Questions_Q_VERY_LONG_SINGLE_SELECT_EXPORT_NAME_CT,Cross_Tab_Questions,0)),"'_Options'!$E$2:$E$2")),11),""))</f>
        <v/>
      </c>
      <c r="L49" s="2" t="str">
        <f>IF(All_Questions_Q_VERY_LONG_SINGLE_SELECT_EXPORT_NAME_CT="(None)","",IFERROR(INDEX(INDIRECT(IFERROR(INDEX(Cross_Tab_Questions_Options_Names,MATCH(All_Questions_Q_VERY_LONG_SINGLE_SELECT_EXPORT_NAME_CT,Cross_Tab_Questions,0)),"'_Options'!$E$2:$E$2")),12),""))</f>
        <v/>
      </c>
      <c r="M49" s="2" t="str">
        <f>IF(All_Questions_Q_VERY_LONG_SINGLE_SELECT_EXPORT_NAME_CT="(None)","",IF(COUNTA(INDIRECT(IFERROR(INDEX(Cross_Tab_Questions_Options_Names,MATCH(All_Questions_Q_VERY_LONG_SINGLE_SELECT_EXPORT_NAME_CT,Cross_Tab_Questions,0)),"'_Options'!$E$2:$E$2")))-1&gt;11,"Other",IFERROR(INDEX(INDIRECT(IFERROR(INDEX(Cross_Tab_Questions_Options_Names,MATCH(All_Questions_Q_VERY_LONG_SINGLE_SELECT_EXPORT_NAME_CT,Cross_Tab_Questions,0)),"'_Options'!$E$2:$E$2")),13),"")))</f>
        <v/>
      </c>
      <c r="N49" s="4" t="inlineStr">
        <is>
          <t>Total</t>
        </is>
      </c>
    </row>
    <row r="50">
      <c r="A50" s="4" t="inlineStr"/>
      <c r="B50" s="4" t="inlineStr">
        <is>
          <t># of resp</t>
        </is>
      </c>
      <c r="C50" s="4" t="inlineStr">
        <is>
          <t># of resp</t>
        </is>
      </c>
      <c r="D50" s="4" t="inlineStr">
        <is>
          <t># of resp</t>
        </is>
      </c>
      <c r="E50" s="4" t="inlineStr">
        <is>
          <t># of resp</t>
        </is>
      </c>
      <c r="F50" s="4" t="inlineStr">
        <is>
          <t># of resp</t>
        </is>
      </c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</row>
    <row r="51">
      <c r="A51" t="inlineStr">
        <is>
          <t>A</t>
        </is>
      </c>
      <c r="B51" s="14">
        <f>IF(OR(All_Questions_Q_VERY_LONG_SINGLE_SELECT_EXPORT_NAME_CT="(None)",B$49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B$49))</f>
        <v>0</v>
      </c>
      <c r="C51" s="14">
        <f>IF(OR(All_Questions_Q_VERY_LONG_SINGLE_SELECT_EXPORT_NAME_CT="(None)",C$49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C$49))</f>
        <v>0</v>
      </c>
      <c r="D51" s="14">
        <f>IF(OR(All_Questions_Q_VERY_LONG_SINGLE_SELECT_EXPORT_NAME_CT="(None)",D$49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D$49))</f>
        <v>0</v>
      </c>
      <c r="E51" s="14">
        <f>IF(OR(All_Questions_Q_VERY_LONG_SINGLE_SELECT_EXPORT_NAME_CT="(None)",E$49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E$49))</f>
        <v>0</v>
      </c>
      <c r="F51" s="14">
        <f>IF(OR(All_Questions_Q_VERY_LONG_SINGLE_SELECT_EXPORT_NAME_CT="(None)",F$49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F$49))</f>
        <v>0</v>
      </c>
      <c r="G51" s="14">
        <f>IF(OR(All_Questions_Q_VERY_LONG_SINGLE_SELECT_EXPORT_NAME_CT="(None)",G$49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G$49))</f>
        <v>0</v>
      </c>
      <c r="H51" s="14">
        <f>IF(OR(All_Questions_Q_VERY_LONG_SINGLE_SELECT_EXPORT_NAME_CT="(None)",H$49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H$49))</f>
        <v>0</v>
      </c>
      <c r="I51" s="14">
        <f>IF(OR(All_Questions_Q_VERY_LONG_SINGLE_SELECT_EXPORT_NAME_CT="(None)",I$49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I$49))</f>
        <v>0</v>
      </c>
      <c r="J51" s="14">
        <f>IF(OR(All_Questions_Q_VERY_LONG_SINGLE_SELECT_EXPORT_NAME_CT="(None)",J$49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J$49))</f>
        <v>0</v>
      </c>
      <c r="K51" s="14">
        <f>IF(OR(All_Questions_Q_VERY_LONG_SINGLE_SELECT_EXPORT_NAME_CT="(None)",K$49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K$49))</f>
        <v>0</v>
      </c>
      <c r="L51" s="14">
        <f>IF(OR(All_Questions_Q_VERY_LONG_SINGLE_SELECT_EXPORT_NAME_CT="(None)",L$49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L$49))</f>
        <v>0</v>
      </c>
      <c r="M51" s="14">
        <f>IF(OR(All_Questions_Q_VERY_LONG_SINGLE_SELECT_EXPORT_NAME_CT="(None)",M$49=""),"",IF(M$49="Other",COUNTIFS(Q_VERY_LONG_SINGLE_SELECT_EXPOR_data,"A",passes_workbook_filters_data,1,passes_workbook_custom_filters_data,1,All_Questions_passes_local_filters_data,1,All_Questions_Q_VERY_LONG_SINGLE_SELECT_EXPORT_NAME_F_passes_per_q_filter_data,1)-SUM(B51,C51,D51,E51,F51,G51,H51,I51,J51,K51,L51)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M$49)))</f>
        <v>0</v>
      </c>
      <c r="N51" s="14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52">
      <c r="A52" t="inlineStr">
        <is>
          <t>B</t>
        </is>
      </c>
      <c r="B52" s="14">
        <f>IF(OR(All_Questions_Q_VERY_LONG_SINGLE_SELECT_EXPORT_NAME_CT="(None)",B$49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B$49))</f>
        <v>0</v>
      </c>
      <c r="C52" s="14">
        <f>IF(OR(All_Questions_Q_VERY_LONG_SINGLE_SELECT_EXPORT_NAME_CT="(None)",C$49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C$49))</f>
        <v>0</v>
      </c>
      <c r="D52" s="14">
        <f>IF(OR(All_Questions_Q_VERY_LONG_SINGLE_SELECT_EXPORT_NAME_CT="(None)",D$49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D$49))</f>
        <v>0</v>
      </c>
      <c r="E52" s="14">
        <f>IF(OR(All_Questions_Q_VERY_LONG_SINGLE_SELECT_EXPORT_NAME_CT="(None)",E$49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E$49))</f>
        <v>0</v>
      </c>
      <c r="F52" s="14">
        <f>IF(OR(All_Questions_Q_VERY_LONG_SINGLE_SELECT_EXPORT_NAME_CT="(None)",F$49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F$49))</f>
        <v>0</v>
      </c>
      <c r="G52" s="14">
        <f>IF(OR(All_Questions_Q_VERY_LONG_SINGLE_SELECT_EXPORT_NAME_CT="(None)",G$49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G$49))</f>
        <v>0</v>
      </c>
      <c r="H52" s="14">
        <f>IF(OR(All_Questions_Q_VERY_LONG_SINGLE_SELECT_EXPORT_NAME_CT="(None)",H$49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H$49))</f>
        <v>0</v>
      </c>
      <c r="I52" s="14">
        <f>IF(OR(All_Questions_Q_VERY_LONG_SINGLE_SELECT_EXPORT_NAME_CT="(None)",I$49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I$49))</f>
        <v>0</v>
      </c>
      <c r="J52" s="14">
        <f>IF(OR(All_Questions_Q_VERY_LONG_SINGLE_SELECT_EXPORT_NAME_CT="(None)",J$49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J$49))</f>
        <v>0</v>
      </c>
      <c r="K52" s="14">
        <f>IF(OR(All_Questions_Q_VERY_LONG_SINGLE_SELECT_EXPORT_NAME_CT="(None)",K$49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K$49))</f>
        <v>0</v>
      </c>
      <c r="L52" s="14">
        <f>IF(OR(All_Questions_Q_VERY_LONG_SINGLE_SELECT_EXPORT_NAME_CT="(None)",L$49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L$49))</f>
        <v>0</v>
      </c>
      <c r="M52" s="14">
        <f>IF(OR(All_Questions_Q_VERY_LONG_SINGLE_SELECT_EXPORT_NAME_CT="(None)",M$49=""),"",IF(M$49="Other",COUNTIFS(Q_VERY_LONG_SINGLE_SELECT_EXPOR_data,"B",passes_workbook_filters_data,1,passes_workbook_custom_filters_data,1,All_Questions_passes_local_filters_data,1,All_Questions_Q_VERY_LONG_SINGLE_SELECT_EXPORT_NAME_F_passes_per_q_filter_data,1)-SUM(B52,C52,D52,E52,F52,G52,H52,I52,J52,K52,L52)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M$49)))</f>
        <v>0</v>
      </c>
      <c r="N52" s="1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53">
      <c r="A53" s="4" t="inlineStr">
        <is>
          <t>Total respondents</t>
        </is>
      </c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E32:F32"/>
    <mergeCell ref="A1:J1"/>
    <mergeCell ref="C32:D32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4:B25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4:C25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24:D25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E24:E25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24:F25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4:G25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4:H25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4:I25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4:J25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4:K25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4:L25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4:M25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34:D35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34:F35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5:B46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5:C46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1:B52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1:C52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1:D52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E51:E52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1:F52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2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14" showDropDown="0" showInputMessage="0" showErrorMessage="0" allowBlank="1" type="list">
      <formula1>=Cross_Tab_Questions</formula1>
    </dataValidation>
    <dataValidation sqref="C30" showDropDown="0" showInputMessage="0" showErrorMessage="0" allowBlank="1" type="list">
      <formula1>=All_Questions</formula1>
    </dataValidation>
    <dataValidation sqref="E30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1" showDropDown="0" showInputMessage="0" showErrorMessage="0" allowBlank="1" type="list">
      <formula1>=All_Questions</formula1>
    </dataValidation>
    <dataValidation sqref="E41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42" showDropDown="0" showInputMessage="0" showErrorMessage="0" allowBlank="1" type="list">
      <formula1>=Cross_Tab_Questions</formula1>
    </dataValidation>
  </dataValidations>
  <pageMargins left="0.75" right="0.75" top="1" bottom="1" header="0.5" footer="0.5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9" customWidth="1" min="2" max="2"/>
    <col width="39" customWidth="1" min="3" max="3"/>
    <col width="39" customWidth="1" min="4" max="4"/>
    <col width="37" customWidth="1" min="5" max="5"/>
    <col width="11" customWidth="1" min="6" max="6"/>
    <col width="13" customWidth="1" min="7" max="7"/>
    <col width="60" customWidth="1" min="8" max="8"/>
    <col width="11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Theme Two</t>
        </is>
      </c>
      <c r="B9" t="inlineStr">
        <is>
          <t>cross_tab_by_mean</t>
        </is>
      </c>
      <c r="C9" t="inlineStr">
        <is>
          <t>Q_NUM_EXPORT</t>
        </is>
      </c>
      <c r="D9" t="inlineStr">
        <is>
          <t>Q_NUM_EXPORT</t>
        </is>
      </c>
      <c r="E9" t="inlineStr">
        <is>
          <t>Theme_Two_Q_NUM_EXPORT_CT = B$23</t>
        </is>
      </c>
      <c r="H9">
        <f>IF(OR(Theme_Two_Q_NUM_EXPORT_CT="(None)",B$23=""),"",IF(B$23="Other","",IFERROR(AVERAGEIFS(Q_NUM_EXPORT_data,Q_NUM_EXPORT_data,"&lt;&gt;",passes_workbook_filters_data,1,passes_workbook_custom_filters_data,1,Theme_Two_passes_local_filters_data,1,Theme_Two_Q_NUM_EXPORT_F_passes_per_q_filter_data,1,INDIRECT(IFERROR(INDEX(Cross_Tab_Questions_Data_Names,MATCH(Theme_Two_Q_NUM_EXPORT_CT,Cross_Tab_Questions,0)),"'_RawData'!$A:$A")),B$23),"")))</f>
        <v>0</v>
      </c>
      <c r="I9" t="n">
        <v>5.5</v>
      </c>
      <c r="J9" t="n">
        <v>0</v>
      </c>
      <c r="K9" t="n">
        <v>0</v>
      </c>
      <c r="L9" t="inlineStr">
        <is>
          <t>2026-06-09T11:30:56.998640+00:00</t>
        </is>
      </c>
    </row>
    <row r="10">
      <c r="A10" t="inlineStr">
        <is>
          <t>Theme Two</t>
        </is>
      </c>
      <c r="B10" t="inlineStr">
        <is>
          <t>cross_tab_by_mean</t>
        </is>
      </c>
      <c r="C10" t="inlineStr">
        <is>
          <t>Q_NUM_EXPORT</t>
        </is>
      </c>
      <c r="D10" t="inlineStr">
        <is>
          <t>Q_NUM_EXPORT</t>
        </is>
      </c>
      <c r="E10" t="inlineStr">
        <is>
          <t>Theme_Two_Q_NUM_EXPORT_CT = C$23</t>
        </is>
      </c>
      <c r="H10">
        <f>IF(OR(Theme_Two_Q_NUM_EXPORT_CT="(None)",C$23=""),"",IF(C$23="Other","",IFERROR(AVERAGEIFS(Q_NUM_EXPORT_data,Q_NUM_EXPORT_data,"&lt;&gt;",passes_workbook_filters_data,1,passes_workbook_custom_filters_data,1,Theme_Two_passes_local_filters_data,1,Theme_Two_Q_NUM_EXPORT_F_passes_per_q_filter_data,1,INDIRECT(IFERROR(INDEX(Cross_Tab_Questions_Data_Names,MATCH(Theme_Two_Q_NUM_EXPORT_CT,Cross_Tab_Questions,0)),"'_RawData'!$A:$A")),C$23),"")))</f>
        <v>0</v>
      </c>
      <c r="I10" t="n">
        <v>5.5</v>
      </c>
      <c r="J10" t="n">
        <v>0</v>
      </c>
      <c r="K10" t="n">
        <v>0</v>
      </c>
      <c r="L10" t="inlineStr">
        <is>
          <t>2026-06-09T11:30:56.998857+00:00</t>
        </is>
      </c>
    </row>
    <row r="11">
      <c r="A11" t="inlineStr">
        <is>
          <t>Theme Two</t>
        </is>
      </c>
      <c r="B11" t="inlineStr">
        <is>
          <t>cross_tab_by_mean</t>
        </is>
      </c>
      <c r="C11" t="inlineStr">
        <is>
          <t>Q_NUM_EXPORT</t>
        </is>
      </c>
      <c r="D11" t="inlineStr">
        <is>
          <t>Q_NUM_EXPORT</t>
        </is>
      </c>
      <c r="E11" t="inlineStr">
        <is>
          <t>Theme_Two_Q_NUM_EXPORT_CT = D$23</t>
        </is>
      </c>
      <c r="H11">
        <f>IF(OR(Theme_Two_Q_NUM_EXPORT_CT="(None)",D$23=""),"",IF(D$23="Other","",IFERROR(AVERAGEIFS(Q_NUM_EXPORT_data,Q_NUM_EXPORT_data,"&lt;&gt;",passes_workbook_filters_data,1,passes_workbook_custom_filters_data,1,Theme_Two_passes_local_filters_data,1,Theme_Two_Q_NUM_EXPORT_F_passes_per_q_filter_data,1,INDIRECT(IFERROR(INDEX(Cross_Tab_Questions_Data_Names,MATCH(Theme_Two_Q_NUM_EXPORT_CT,Cross_Tab_Questions,0)),"'_RawData'!$A:$A")),D$23),"")))</f>
        <v>0</v>
      </c>
      <c r="I11" t="n">
        <v>5.5</v>
      </c>
      <c r="J11" t="n">
        <v>0</v>
      </c>
      <c r="K11" t="n">
        <v>0</v>
      </c>
      <c r="L11" t="inlineStr">
        <is>
          <t>2026-06-09T11:30:56.999095+00:00</t>
        </is>
      </c>
    </row>
    <row r="12">
      <c r="A12" t="inlineStr">
        <is>
          <t>Theme Two</t>
        </is>
      </c>
      <c r="B12" t="inlineStr">
        <is>
          <t>cross_tab_by_mean</t>
        </is>
      </c>
      <c r="C12" t="inlineStr">
        <is>
          <t>Q_NUM_EXPORT</t>
        </is>
      </c>
      <c r="D12" t="inlineStr">
        <is>
          <t>Q_NUM_EXPORT</t>
        </is>
      </c>
      <c r="E12" t="inlineStr">
        <is>
          <t>Theme_Two_Q_NUM_EXPORT_CT = E$23</t>
        </is>
      </c>
      <c r="H12">
        <f>IF(OR(Theme_Two_Q_NUM_EXPORT_CT="(None)",E$23=""),"",IF(E$23="Other","",IFERROR(AVERAGEIFS(Q_NUM_EXPORT_data,Q_NUM_EXPORT_data,"&lt;&gt;",passes_workbook_filters_data,1,passes_workbook_custom_filters_data,1,Theme_Two_passes_local_filters_data,1,Theme_Two_Q_NUM_EXPORT_F_passes_per_q_filter_data,1,INDIRECT(IFERROR(INDEX(Cross_Tab_Questions_Data_Names,MATCH(Theme_Two_Q_NUM_EXPORT_CT,Cross_Tab_Questions,0)),"'_RawData'!$A:$A")),E$23),"")))</f>
        <v>0</v>
      </c>
      <c r="I12" t="n">
        <v>5.5</v>
      </c>
      <c r="J12" t="n">
        <v>0</v>
      </c>
      <c r="K12" t="n">
        <v>0</v>
      </c>
      <c r="L12" t="inlineStr">
        <is>
          <t>2026-06-09T11:30:56.999288+00:00</t>
        </is>
      </c>
    </row>
    <row r="13">
      <c r="A13" t="inlineStr">
        <is>
          <t>Theme Two</t>
        </is>
      </c>
      <c r="B13" t="inlineStr">
        <is>
          <t>cross_tab_by_mean</t>
        </is>
      </c>
      <c r="C13" t="inlineStr">
        <is>
          <t>Q_NUM_EXPORT</t>
        </is>
      </c>
      <c r="D13" t="inlineStr">
        <is>
          <t>Q_NUM_EXPORT</t>
        </is>
      </c>
      <c r="E13" t="inlineStr">
        <is>
          <t>Theme_Two_Q_NUM_EXPORT_CT = F$23</t>
        </is>
      </c>
      <c r="H13">
        <f>IF(OR(Theme_Two_Q_NUM_EXPORT_CT="(None)",F$23=""),"",IF(F$23="Other","",IFERROR(AVERAGEIFS(Q_NUM_EXPORT_data,Q_NUM_EXPORT_data,"&lt;&gt;",passes_workbook_filters_data,1,passes_workbook_custom_filters_data,1,Theme_Two_passes_local_filters_data,1,Theme_Two_Q_NUM_EXPORT_F_passes_per_q_filter_data,1,INDIRECT(IFERROR(INDEX(Cross_Tab_Questions_Data_Names,MATCH(Theme_Two_Q_NUM_EXPORT_CT,Cross_Tab_Questions,0)),"'_RawData'!$A:$A")),F$23),"")))</f>
        <v>0</v>
      </c>
      <c r="I13" t="n">
        <v>5.5</v>
      </c>
      <c r="J13" t="n">
        <v>0</v>
      </c>
      <c r="K13" t="n">
        <v>0</v>
      </c>
      <c r="L13" t="inlineStr">
        <is>
          <t>2026-06-09T11:30:56.999473+00:00</t>
        </is>
      </c>
    </row>
    <row r="14">
      <c r="A14" t="inlineStr">
        <is>
          <t>Theme Two</t>
        </is>
      </c>
      <c r="B14" t="inlineStr">
        <is>
          <t>cross_tab_by_mean</t>
        </is>
      </c>
      <c r="C14" t="inlineStr">
        <is>
          <t>Q_NUM_EXPORT</t>
        </is>
      </c>
      <c r="D14" t="inlineStr">
        <is>
          <t>Q_NUM_EXPORT</t>
        </is>
      </c>
      <c r="E14" t="inlineStr">
        <is>
          <t>Theme_Two_Q_NUM_EXPORT_CT = G$23</t>
        </is>
      </c>
      <c r="H14">
        <f>IF(OR(Theme_Two_Q_NUM_EXPORT_CT="(None)",G$23=""),"",IF(G$23="Other","",IFERROR(AVERAGEIFS(Q_NUM_EXPORT_data,Q_NUM_EXPORT_data,"&lt;&gt;",passes_workbook_filters_data,1,passes_workbook_custom_filters_data,1,Theme_Two_passes_local_filters_data,1,Theme_Two_Q_NUM_EXPORT_F_passes_per_q_filter_data,1,INDIRECT(IFERROR(INDEX(Cross_Tab_Questions_Data_Names,MATCH(Theme_Two_Q_NUM_EXPORT_CT,Cross_Tab_Questions,0)),"'_RawData'!$A:$A")),G$23),"")))</f>
        <v>0</v>
      </c>
      <c r="I14" t="n">
        <v>5.5</v>
      </c>
      <c r="J14" t="n">
        <v>0</v>
      </c>
      <c r="K14" t="n">
        <v>0</v>
      </c>
      <c r="L14" t="inlineStr">
        <is>
          <t>2026-06-09T11:30:56.999657+00:00</t>
        </is>
      </c>
    </row>
    <row r="15">
      <c r="A15" t="inlineStr">
        <is>
          <t>Theme Two</t>
        </is>
      </c>
      <c r="B15" t="inlineStr">
        <is>
          <t>cross_tab_by_mean</t>
        </is>
      </c>
      <c r="C15" t="inlineStr">
        <is>
          <t>Q_NUM_EXPORT</t>
        </is>
      </c>
      <c r="D15" t="inlineStr">
        <is>
          <t>Q_NUM_EXPORT</t>
        </is>
      </c>
      <c r="E15" t="inlineStr">
        <is>
          <t>Theme_Two_Q_NUM_EXPORT_CT = H$23</t>
        </is>
      </c>
      <c r="H15">
        <f>IF(OR(Theme_Two_Q_NUM_EXPORT_CT="(None)",H$23=""),"",IF(H$23="Other","",IFERROR(AVERAGEIFS(Q_NUM_EXPORT_data,Q_NUM_EXPORT_data,"&lt;&gt;",passes_workbook_filters_data,1,passes_workbook_custom_filters_data,1,Theme_Two_passes_local_filters_data,1,Theme_Two_Q_NUM_EXPORT_F_passes_per_q_filter_data,1,INDIRECT(IFERROR(INDEX(Cross_Tab_Questions_Data_Names,MATCH(Theme_Two_Q_NUM_EXPORT_CT,Cross_Tab_Questions,0)),"'_RawData'!$A:$A")),H$23),"")))</f>
        <v>0</v>
      </c>
      <c r="I15" t="n">
        <v>5.5</v>
      </c>
      <c r="J15" t="n">
        <v>0</v>
      </c>
      <c r="K15" t="n">
        <v>0</v>
      </c>
      <c r="L15" t="inlineStr">
        <is>
          <t>2026-06-09T11:30:56.999838+00:00</t>
        </is>
      </c>
    </row>
    <row r="16">
      <c r="A16" t="inlineStr">
        <is>
          <t>Theme Two</t>
        </is>
      </c>
      <c r="B16" t="inlineStr">
        <is>
          <t>cross_tab_by_mean</t>
        </is>
      </c>
      <c r="C16" t="inlineStr">
        <is>
          <t>Q_NUM_EXPORT</t>
        </is>
      </c>
      <c r="D16" t="inlineStr">
        <is>
          <t>Q_NUM_EXPORT</t>
        </is>
      </c>
      <c r="E16" t="inlineStr">
        <is>
          <t>Theme_Two_Q_NUM_EXPORT_CT = I$23</t>
        </is>
      </c>
      <c r="H16">
        <f>IF(OR(Theme_Two_Q_NUM_EXPORT_CT="(None)",I$23=""),"",IF(I$23="Other","",IFERROR(AVERAGEIFS(Q_NUM_EXPORT_data,Q_NUM_EXPORT_data,"&lt;&gt;",passes_workbook_filters_data,1,passes_workbook_custom_filters_data,1,Theme_Two_passes_local_filters_data,1,Theme_Two_Q_NUM_EXPORT_F_passes_per_q_filter_data,1,INDIRECT(IFERROR(INDEX(Cross_Tab_Questions_Data_Names,MATCH(Theme_Two_Q_NUM_EXPORT_CT,Cross_Tab_Questions,0)),"'_RawData'!$A:$A")),I$23),"")))</f>
        <v>0</v>
      </c>
      <c r="I16" t="n">
        <v>5.5</v>
      </c>
      <c r="J16" t="n">
        <v>0</v>
      </c>
      <c r="K16" t="n">
        <v>0</v>
      </c>
      <c r="L16" t="inlineStr">
        <is>
          <t>2026-06-09T11:30:57.000073+00:00</t>
        </is>
      </c>
    </row>
    <row r="17">
      <c r="A17" t="inlineStr">
        <is>
          <t>Theme Two</t>
        </is>
      </c>
      <c r="B17" t="inlineStr">
        <is>
          <t>cross_tab_by_mean</t>
        </is>
      </c>
      <c r="C17" t="inlineStr">
        <is>
          <t>Q_NUM_EXPORT</t>
        </is>
      </c>
      <c r="D17" t="inlineStr">
        <is>
          <t>Q_NUM_EXPORT</t>
        </is>
      </c>
      <c r="E17" t="inlineStr">
        <is>
          <t>Theme_Two_Q_NUM_EXPORT_CT = J$23</t>
        </is>
      </c>
      <c r="H17">
        <f>IF(OR(Theme_Two_Q_NUM_EXPORT_CT="(None)",J$23=""),"",IF(J$23="Other","",IFERROR(AVERAGEIFS(Q_NUM_EXPORT_data,Q_NUM_EXPORT_data,"&lt;&gt;",passes_workbook_filters_data,1,passes_workbook_custom_filters_data,1,Theme_Two_passes_local_filters_data,1,Theme_Two_Q_NUM_EXPORT_F_passes_per_q_filter_data,1,INDIRECT(IFERROR(INDEX(Cross_Tab_Questions_Data_Names,MATCH(Theme_Two_Q_NUM_EXPORT_CT,Cross_Tab_Questions,0)),"'_RawData'!$A:$A")),J$23),"")))</f>
        <v>0</v>
      </c>
      <c r="I17" t="n">
        <v>5.5</v>
      </c>
      <c r="J17" t="n">
        <v>0</v>
      </c>
      <c r="K17" t="n">
        <v>0</v>
      </c>
      <c r="L17" t="inlineStr">
        <is>
          <t>2026-06-09T11:30:57.000266+00:00</t>
        </is>
      </c>
    </row>
    <row r="18">
      <c r="A18" t="inlineStr">
        <is>
          <t>Theme Two</t>
        </is>
      </c>
      <c r="B18" t="inlineStr">
        <is>
          <t>cross_tab_by_mean</t>
        </is>
      </c>
      <c r="C18" t="inlineStr">
        <is>
          <t>Q_NUM_EXPORT</t>
        </is>
      </c>
      <c r="D18" t="inlineStr">
        <is>
          <t>Q_NUM_EXPORT</t>
        </is>
      </c>
      <c r="E18" t="inlineStr">
        <is>
          <t>Theme_Two_Q_NUM_EXPORT_CT = K$23</t>
        </is>
      </c>
      <c r="H18">
        <f>IF(OR(Theme_Two_Q_NUM_EXPORT_CT="(None)",K$23=""),"",IF(K$23="Other","",IFERROR(AVERAGEIFS(Q_NUM_EXPORT_data,Q_NUM_EXPORT_data,"&lt;&gt;",passes_workbook_filters_data,1,passes_workbook_custom_filters_data,1,Theme_Two_passes_local_filters_data,1,Theme_Two_Q_NUM_EXPORT_F_passes_per_q_filter_data,1,INDIRECT(IFERROR(INDEX(Cross_Tab_Questions_Data_Names,MATCH(Theme_Two_Q_NUM_EXPORT_CT,Cross_Tab_Questions,0)),"'_RawData'!$A:$A")),K$23),"")))</f>
        <v>0</v>
      </c>
      <c r="I18" t="n">
        <v>5.5</v>
      </c>
      <c r="J18" t="n">
        <v>0</v>
      </c>
      <c r="K18" t="n">
        <v>0</v>
      </c>
      <c r="L18" t="inlineStr">
        <is>
          <t>2026-06-09T11:30:57.000451+00:00</t>
        </is>
      </c>
    </row>
    <row r="19">
      <c r="A19" t="inlineStr">
        <is>
          <t>Theme Two</t>
        </is>
      </c>
      <c r="B19" t="inlineStr">
        <is>
          <t>cross_tab_by_mean</t>
        </is>
      </c>
      <c r="C19" t="inlineStr">
        <is>
          <t>Q_NUM_EXPORT</t>
        </is>
      </c>
      <c r="D19" t="inlineStr">
        <is>
          <t>Q_NUM_EXPORT</t>
        </is>
      </c>
      <c r="E19" t="inlineStr">
        <is>
          <t>Theme_Two_Q_NUM_EXPORT_CT = L$23</t>
        </is>
      </c>
      <c r="H19">
        <f>IF(OR(Theme_Two_Q_NUM_EXPORT_CT="(None)",L$23=""),"",IF(L$23="Other","",IFERROR(AVERAGEIFS(Q_NUM_EXPORT_data,Q_NUM_EXPORT_data,"&lt;&gt;",passes_workbook_filters_data,1,passes_workbook_custom_filters_data,1,Theme_Two_passes_local_filters_data,1,Theme_Two_Q_NUM_EXPORT_F_passes_per_q_filter_data,1,INDIRECT(IFERROR(INDEX(Cross_Tab_Questions_Data_Names,MATCH(Theme_Two_Q_NUM_EXPORT_CT,Cross_Tab_Questions,0)),"'_RawData'!$A:$A")),L$23),"")))</f>
        <v>0</v>
      </c>
      <c r="I19" t="n">
        <v>5.5</v>
      </c>
      <c r="J19" t="n">
        <v>0</v>
      </c>
      <c r="K19" t="n">
        <v>0</v>
      </c>
      <c r="L19" t="inlineStr">
        <is>
          <t>2026-06-09T11:30:57.000639+00:00</t>
        </is>
      </c>
    </row>
    <row r="20">
      <c r="A20" t="inlineStr">
        <is>
          <t>Theme Two</t>
        </is>
      </c>
      <c r="B20" t="inlineStr">
        <is>
          <t>cross_tab_by_mean</t>
        </is>
      </c>
      <c r="C20" t="inlineStr">
        <is>
          <t>Q_NUM_EXPORT</t>
        </is>
      </c>
      <c r="D20" t="inlineStr">
        <is>
          <t>Q_NUM_EXPORT</t>
        </is>
      </c>
      <c r="E20" t="inlineStr">
        <is>
          <t>Theme_Two_Q_NUM_EXPORT_CT = M$23</t>
        </is>
      </c>
      <c r="H20">
        <f>IF(OR(Theme_Two_Q_NUM_EXPORT_CT="(None)",M$23=""),"",IF(M$23="Other","",IFERROR(AVERAGEIFS(Q_NUM_EXPORT_data,Q_NUM_EXPORT_data,"&lt;&gt;",passes_workbook_filters_data,1,passes_workbook_custom_filters_data,1,Theme_Two_passes_local_filters_data,1,Theme_Two_Q_NUM_EXPORT_F_passes_per_q_filter_data,1,INDIRECT(IFERROR(INDEX(Cross_Tab_Questions_Data_Names,MATCH(Theme_Two_Q_NUM_EXPORT_CT,Cross_Tab_Questions,0)),"'_RawData'!$A:$A")),M$23),"")))</f>
        <v>0</v>
      </c>
      <c r="I20" t="n">
        <v>5.5</v>
      </c>
      <c r="J20" t="n">
        <v>0</v>
      </c>
      <c r="K20" t="n">
        <v>0</v>
      </c>
      <c r="L20" t="inlineStr">
        <is>
          <t>2026-06-09T11:30:57.000901+00:00</t>
        </is>
      </c>
    </row>
    <row r="21">
      <c r="A21" t="inlineStr">
        <is>
          <t>All Questions</t>
        </is>
      </c>
      <c r="B21" t="inlineStr">
        <is>
          <t>cross_tab_by_selection_rate</t>
        </is>
      </c>
      <c r="C21" t="inlineStr">
        <is>
          <t>Q_MS_EXPORT</t>
        </is>
      </c>
      <c r="D21" t="inlineStr">
        <is>
          <t>Q_MS_EXPORTr1</t>
        </is>
      </c>
      <c r="E21" t="inlineStr">
        <is>
          <t>All_Questions_Q_MS_EXPORT_CT = B$22</t>
        </is>
      </c>
      <c r="H21">
        <f>IF(OR(All_Questions_Q_MS_EXPORT_CT="(None)",B$22=""),"",IF(B$22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B$22)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B$22)),"")))</f>
        <v>0</v>
      </c>
      <c r="I21" t="n">
        <v>0.5</v>
      </c>
      <c r="J21" t="n">
        <v>0</v>
      </c>
      <c r="K21" t="n">
        <v>0</v>
      </c>
      <c r="L21" t="inlineStr">
        <is>
          <t>2026-06-09T11:30:57.039143+00:00</t>
        </is>
      </c>
    </row>
    <row r="22">
      <c r="A22" t="inlineStr">
        <is>
          <t>All Questions</t>
        </is>
      </c>
      <c r="B22" t="inlineStr">
        <is>
          <t>cross_tab_by_selection_rate</t>
        </is>
      </c>
      <c r="C22" t="inlineStr">
        <is>
          <t>Q_MS_EXPORT</t>
        </is>
      </c>
      <c r="D22" t="inlineStr">
        <is>
          <t>Q_MS_EXPORTr1</t>
        </is>
      </c>
      <c r="E22" t="inlineStr">
        <is>
          <t>All_Questions_Q_MS_EXPORT_CT = C$22</t>
        </is>
      </c>
      <c r="H22">
        <f>IF(OR(All_Questions_Q_MS_EXPORT_CT="(None)",C$22=""),"",IF(C$22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C$22)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C$22)),"")))</f>
        <v>0</v>
      </c>
      <c r="I22" t="n">
        <v>0.5</v>
      </c>
      <c r="J22" t="n">
        <v>0</v>
      </c>
      <c r="K22" t="n">
        <v>0</v>
      </c>
      <c r="L22" t="inlineStr">
        <is>
          <t>2026-06-09T11:30:57.039438+00:00</t>
        </is>
      </c>
    </row>
    <row r="23">
      <c r="A23" t="inlineStr">
        <is>
          <t>All Questions</t>
        </is>
      </c>
      <c r="B23" t="inlineStr">
        <is>
          <t>cross_tab_by_selection_rate</t>
        </is>
      </c>
      <c r="C23" t="inlineStr">
        <is>
          <t>Q_MS_EXPORT</t>
        </is>
      </c>
      <c r="D23" t="inlineStr">
        <is>
          <t>Q_MS_EXPORTr1</t>
        </is>
      </c>
      <c r="E23" t="inlineStr">
        <is>
          <t>All_Questions_Q_MS_EXPORT_CT = D$22</t>
        </is>
      </c>
      <c r="H23">
        <f>IF(OR(All_Questions_Q_MS_EXPORT_CT="(None)",D$22=""),"",IF(D$22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D$22)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D$22)),"")))</f>
        <v>0</v>
      </c>
      <c r="I23" t="n">
        <v>0.5</v>
      </c>
      <c r="J23" t="n">
        <v>0</v>
      </c>
      <c r="K23" t="n">
        <v>0</v>
      </c>
      <c r="L23" t="inlineStr">
        <is>
          <t>2026-06-09T11:30:57.039710+00:00</t>
        </is>
      </c>
    </row>
    <row r="24">
      <c r="A24" t="inlineStr">
        <is>
          <t>All Questions</t>
        </is>
      </c>
      <c r="B24" t="inlineStr">
        <is>
          <t>cross_tab_by_selection_rate</t>
        </is>
      </c>
      <c r="C24" t="inlineStr">
        <is>
          <t>Q_MS_EXPORT</t>
        </is>
      </c>
      <c r="D24" t="inlineStr">
        <is>
          <t>Q_MS_EXPORTr1</t>
        </is>
      </c>
      <c r="E24" t="inlineStr">
        <is>
          <t>All_Questions_Q_MS_EXPORT_CT = E$22</t>
        </is>
      </c>
      <c r="H24">
        <f>IF(OR(All_Questions_Q_MS_EXPORT_CT="(None)",E$22=""),"",IF(E$22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E$22)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E$22)),"")))</f>
        <v>0</v>
      </c>
      <c r="I24" t="n">
        <v>0.5</v>
      </c>
      <c r="J24" t="n">
        <v>0</v>
      </c>
      <c r="K24" t="n">
        <v>0</v>
      </c>
      <c r="L24" t="inlineStr">
        <is>
          <t>2026-06-09T11:30:57.040020+00:00</t>
        </is>
      </c>
    </row>
    <row r="25">
      <c r="A25" t="inlineStr">
        <is>
          <t>All Questions</t>
        </is>
      </c>
      <c r="B25" t="inlineStr">
        <is>
          <t>cross_tab_by_selection_rate</t>
        </is>
      </c>
      <c r="C25" t="inlineStr">
        <is>
          <t>Q_MS_EXPORT</t>
        </is>
      </c>
      <c r="D25" t="inlineStr">
        <is>
          <t>Q_MS_EXPORTr1</t>
        </is>
      </c>
      <c r="E25" t="inlineStr">
        <is>
          <t>All_Questions_Q_MS_EXPORT_CT = F$22</t>
        </is>
      </c>
      <c r="H25">
        <f>IF(OR(All_Questions_Q_MS_EXPORT_CT="(None)",F$22=""),"",IF(F$22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F$22)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F$22)),"")))</f>
        <v>0</v>
      </c>
      <c r="I25" t="n">
        <v>0.5</v>
      </c>
      <c r="J25" t="n">
        <v>0</v>
      </c>
      <c r="K25" t="n">
        <v>0</v>
      </c>
      <c r="L25" t="inlineStr">
        <is>
          <t>2026-06-09T11:30:57.040304+00:00</t>
        </is>
      </c>
    </row>
    <row r="26">
      <c r="A26" t="inlineStr">
        <is>
          <t>All Questions</t>
        </is>
      </c>
      <c r="B26" t="inlineStr">
        <is>
          <t>cross_tab_by_selection_rate</t>
        </is>
      </c>
      <c r="C26" t="inlineStr">
        <is>
          <t>Q_MS_EXPORT</t>
        </is>
      </c>
      <c r="D26" t="inlineStr">
        <is>
          <t>Q_MS_EXPORTr1</t>
        </is>
      </c>
      <c r="E26" t="inlineStr">
        <is>
          <t>All_Questions_Q_MS_EXPORT_CT = G$22</t>
        </is>
      </c>
      <c r="H26">
        <f>IF(OR(All_Questions_Q_MS_EXPORT_CT="(None)",G$22=""),"",IF(G$22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$22)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$22)),"")))</f>
        <v>0</v>
      </c>
      <c r="I26" t="n">
        <v>0.5</v>
      </c>
      <c r="J26" t="n">
        <v>0</v>
      </c>
      <c r="K26" t="n">
        <v>0</v>
      </c>
      <c r="L26" t="inlineStr">
        <is>
          <t>2026-06-09T11:30:57.040576+00:00</t>
        </is>
      </c>
    </row>
    <row r="27">
      <c r="A27" t="inlineStr">
        <is>
          <t>All Questions</t>
        </is>
      </c>
      <c r="B27" t="inlineStr">
        <is>
          <t>cross_tab_by_selection_rate</t>
        </is>
      </c>
      <c r="C27" t="inlineStr">
        <is>
          <t>Q_MS_EXPORT</t>
        </is>
      </c>
      <c r="D27" t="inlineStr">
        <is>
          <t>Q_MS_EXPORTr1</t>
        </is>
      </c>
      <c r="E27" t="inlineStr">
        <is>
          <t>All_Questions_Q_MS_EXPORT_CT = H$22</t>
        </is>
      </c>
      <c r="H27">
        <f>IF(OR(All_Questions_Q_MS_EXPORT_CT="(None)",H$22=""),"",IF(H$22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$22)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$22)),"")))</f>
        <v>0</v>
      </c>
      <c r="I27" t="n">
        <v>0.5</v>
      </c>
      <c r="J27" t="n">
        <v>0</v>
      </c>
      <c r="K27" t="n">
        <v>0</v>
      </c>
      <c r="L27" t="inlineStr">
        <is>
          <t>2026-06-09T11:30:57.040843+00:00</t>
        </is>
      </c>
    </row>
    <row r="28">
      <c r="A28" t="inlineStr">
        <is>
          <t>All Questions</t>
        </is>
      </c>
      <c r="B28" t="inlineStr">
        <is>
          <t>cross_tab_by_selection_rate</t>
        </is>
      </c>
      <c r="C28" t="inlineStr">
        <is>
          <t>Q_MS_EXPORT</t>
        </is>
      </c>
      <c r="D28" t="inlineStr">
        <is>
          <t>Q_MS_EXPORTr1</t>
        </is>
      </c>
      <c r="E28" t="inlineStr">
        <is>
          <t>All_Questions_Q_MS_EXPORT_CT = I$22</t>
        </is>
      </c>
      <c r="H28">
        <f>IF(OR(All_Questions_Q_MS_EXPORT_CT="(None)",I$22=""),"",IF(I$22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$22)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$22)),"")))</f>
        <v>0</v>
      </c>
      <c r="I28" t="n">
        <v>0.5</v>
      </c>
      <c r="J28" t="n">
        <v>0</v>
      </c>
      <c r="K28" t="n">
        <v>0</v>
      </c>
      <c r="L28" t="inlineStr">
        <is>
          <t>2026-06-09T11:30:57.041160+00:00</t>
        </is>
      </c>
    </row>
    <row r="29">
      <c r="A29" t="inlineStr">
        <is>
          <t>All Questions</t>
        </is>
      </c>
      <c r="B29" t="inlineStr">
        <is>
          <t>cross_tab_by_selection_rate</t>
        </is>
      </c>
      <c r="C29" t="inlineStr">
        <is>
          <t>Q_MS_EXPORT</t>
        </is>
      </c>
      <c r="D29" t="inlineStr">
        <is>
          <t>Q_MS_EXPORTr1</t>
        </is>
      </c>
      <c r="E29" t="inlineStr">
        <is>
          <t>All_Questions_Q_MS_EXPORT_CT = J$22</t>
        </is>
      </c>
      <c r="H29">
        <f>IF(OR(All_Questions_Q_MS_EXPORT_CT="(None)",J$22=""),"",IF(J$22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$22)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$22)),"")))</f>
        <v>0</v>
      </c>
      <c r="I29" t="n">
        <v>0.5</v>
      </c>
      <c r="J29" t="n">
        <v>0</v>
      </c>
      <c r="K29" t="n">
        <v>0</v>
      </c>
      <c r="L29" t="inlineStr">
        <is>
          <t>2026-06-09T11:30:57.041436+00:00</t>
        </is>
      </c>
    </row>
    <row r="30">
      <c r="A30" t="inlineStr">
        <is>
          <t>All Questions</t>
        </is>
      </c>
      <c r="B30" t="inlineStr">
        <is>
          <t>cross_tab_by_selection_rate</t>
        </is>
      </c>
      <c r="C30" t="inlineStr">
        <is>
          <t>Q_MS_EXPORT</t>
        </is>
      </c>
      <c r="D30" t="inlineStr">
        <is>
          <t>Q_MS_EXPORTr1</t>
        </is>
      </c>
      <c r="E30" t="inlineStr">
        <is>
          <t>All_Questions_Q_MS_EXPORT_CT = K$22</t>
        </is>
      </c>
      <c r="H30">
        <f>IF(OR(All_Questions_Q_MS_EXPORT_CT="(None)",K$22=""),"",IF(K$22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$22)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$22)),"")))</f>
        <v>0</v>
      </c>
      <c r="I30" t="n">
        <v>0.5</v>
      </c>
      <c r="J30" t="n">
        <v>0</v>
      </c>
      <c r="K30" t="n">
        <v>0</v>
      </c>
      <c r="L30" t="inlineStr">
        <is>
          <t>2026-06-09T11:30:57.041707+00:00</t>
        </is>
      </c>
    </row>
    <row r="31">
      <c r="A31" t="inlineStr">
        <is>
          <t>All Questions</t>
        </is>
      </c>
      <c r="B31" t="inlineStr">
        <is>
          <t>cross_tab_by_selection_rate</t>
        </is>
      </c>
      <c r="C31" t="inlineStr">
        <is>
          <t>Q_MS_EXPORT</t>
        </is>
      </c>
      <c r="D31" t="inlineStr">
        <is>
          <t>Q_MS_EXPORTr1</t>
        </is>
      </c>
      <c r="E31" t="inlineStr">
        <is>
          <t>All_Questions_Q_MS_EXPORT_CT = L$22</t>
        </is>
      </c>
      <c r="H31">
        <f>IF(OR(All_Questions_Q_MS_EXPORT_CT="(None)",L$22=""),"",IF(L$22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$22)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$22)),"")))</f>
        <v>0</v>
      </c>
      <c r="I31" t="n">
        <v>0.5</v>
      </c>
      <c r="J31" t="n">
        <v>0</v>
      </c>
      <c r="K31" t="n">
        <v>0</v>
      </c>
      <c r="L31" t="inlineStr">
        <is>
          <t>2026-06-09T11:30:57.042020+00:00</t>
        </is>
      </c>
    </row>
    <row r="32">
      <c r="A32" t="inlineStr">
        <is>
          <t>All Questions</t>
        </is>
      </c>
      <c r="B32" t="inlineStr">
        <is>
          <t>cross_tab_by_selection_rate</t>
        </is>
      </c>
      <c r="C32" t="inlineStr">
        <is>
          <t>Q_MS_EXPORT</t>
        </is>
      </c>
      <c r="D32" t="inlineStr">
        <is>
          <t>Q_MS_EXPORTr1</t>
        </is>
      </c>
      <c r="E32" t="inlineStr">
        <is>
          <t>All_Questions_Q_MS_EXPORT_CT = M$22</t>
        </is>
      </c>
      <c r="H32">
        <f>IF(OR(All_Questions_Q_MS_EXPORT_CT="(None)",M$22=""),"",IF(M$22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$22)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$22)),"")))</f>
        <v>0</v>
      </c>
      <c r="I32" t="n">
        <v>0.5</v>
      </c>
      <c r="J32" t="n">
        <v>0</v>
      </c>
      <c r="K32" t="n">
        <v>0</v>
      </c>
      <c r="L32" t="inlineStr">
        <is>
          <t>2026-06-09T11:30:57.042377+00:00</t>
        </is>
      </c>
    </row>
    <row r="33">
      <c r="A33" t="inlineStr">
        <is>
          <t>All Questions</t>
        </is>
      </c>
      <c r="B33" t="inlineStr">
        <is>
          <t>cross_tab_by_selection_rate</t>
        </is>
      </c>
      <c r="C33" t="inlineStr">
        <is>
          <t>Q_MS_EXPORT</t>
        </is>
      </c>
      <c r="D33" t="inlineStr">
        <is>
          <t>Q_MS_EXPORTr2</t>
        </is>
      </c>
      <c r="E33" t="inlineStr">
        <is>
          <t>All_Questions_Q_MS_EXPORT_CT = B$22</t>
        </is>
      </c>
      <c r="H33">
        <f>IF(OR(All_Questions_Q_MS_EXPORT_CT="(None)",B$22=""),"",IF(B$22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B$22)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B$22)),"")))</f>
        <v>0</v>
      </c>
      <c r="I33" t="n">
        <v>0.2</v>
      </c>
      <c r="J33" t="n">
        <v>0</v>
      </c>
      <c r="K33" t="n">
        <v>0</v>
      </c>
      <c r="L33" t="inlineStr">
        <is>
          <t>2026-06-09T11:30:57.042855+00:00</t>
        </is>
      </c>
    </row>
    <row r="34">
      <c r="A34" t="inlineStr">
        <is>
          <t>All Questions</t>
        </is>
      </c>
      <c r="B34" t="inlineStr">
        <is>
          <t>cross_tab_by_selection_rate</t>
        </is>
      </c>
      <c r="C34" t="inlineStr">
        <is>
          <t>Q_MS_EXPORT</t>
        </is>
      </c>
      <c r="D34" t="inlineStr">
        <is>
          <t>Q_MS_EXPORTr2</t>
        </is>
      </c>
      <c r="E34" t="inlineStr">
        <is>
          <t>All_Questions_Q_MS_EXPORT_CT = C$22</t>
        </is>
      </c>
      <c r="H34">
        <f>IF(OR(All_Questions_Q_MS_EXPORT_CT="(None)",C$22=""),"",IF(C$22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C$22)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C$22)),"")))</f>
        <v>0</v>
      </c>
      <c r="I34" t="n">
        <v>0.2</v>
      </c>
      <c r="J34" t="n">
        <v>0</v>
      </c>
      <c r="K34" t="n">
        <v>0</v>
      </c>
      <c r="L34" t="inlineStr">
        <is>
          <t>2026-06-09T11:30:57.043179+00:00</t>
        </is>
      </c>
    </row>
    <row r="35">
      <c r="A35" t="inlineStr">
        <is>
          <t>All Questions</t>
        </is>
      </c>
      <c r="B35" t="inlineStr">
        <is>
          <t>cross_tab_by_selection_rate</t>
        </is>
      </c>
      <c r="C35" t="inlineStr">
        <is>
          <t>Q_MS_EXPORT</t>
        </is>
      </c>
      <c r="D35" t="inlineStr">
        <is>
          <t>Q_MS_EXPORTr2</t>
        </is>
      </c>
      <c r="E35" t="inlineStr">
        <is>
          <t>All_Questions_Q_MS_EXPORT_CT = D$22</t>
        </is>
      </c>
      <c r="H35">
        <f>IF(OR(All_Questions_Q_MS_EXPORT_CT="(None)",D$22=""),"",IF(D$22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D$22)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D$22)),"")))</f>
        <v>0</v>
      </c>
      <c r="I35" t="n">
        <v>0.2</v>
      </c>
      <c r="J35" t="n">
        <v>0</v>
      </c>
      <c r="K35" t="n">
        <v>0</v>
      </c>
      <c r="L35" t="inlineStr">
        <is>
          <t>2026-06-09T11:30:57.043448+00:00</t>
        </is>
      </c>
    </row>
    <row r="36">
      <c r="A36" t="inlineStr">
        <is>
          <t>All Questions</t>
        </is>
      </c>
      <c r="B36" t="inlineStr">
        <is>
          <t>cross_tab_by_selection_rate</t>
        </is>
      </c>
      <c r="C36" t="inlineStr">
        <is>
          <t>Q_MS_EXPORT</t>
        </is>
      </c>
      <c r="D36" t="inlineStr">
        <is>
          <t>Q_MS_EXPORTr2</t>
        </is>
      </c>
      <c r="E36" t="inlineStr">
        <is>
          <t>All_Questions_Q_MS_EXPORT_CT = E$22</t>
        </is>
      </c>
      <c r="H36">
        <f>IF(OR(All_Questions_Q_MS_EXPORT_CT="(None)",E$22=""),"",IF(E$22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E$22)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E$22)),"")))</f>
        <v>0</v>
      </c>
      <c r="I36" t="n">
        <v>0.2</v>
      </c>
      <c r="J36" t="n">
        <v>0</v>
      </c>
      <c r="K36" t="n">
        <v>0</v>
      </c>
      <c r="L36" t="inlineStr">
        <is>
          <t>2026-06-09T11:30:57.043712+00:00</t>
        </is>
      </c>
    </row>
    <row r="37">
      <c r="A37" t="inlineStr">
        <is>
          <t>All Questions</t>
        </is>
      </c>
      <c r="B37" t="inlineStr">
        <is>
          <t>cross_tab_by_selection_rate</t>
        </is>
      </c>
      <c r="C37" t="inlineStr">
        <is>
          <t>Q_MS_EXPORT</t>
        </is>
      </c>
      <c r="D37" t="inlineStr">
        <is>
          <t>Q_MS_EXPORTr2</t>
        </is>
      </c>
      <c r="E37" t="inlineStr">
        <is>
          <t>All_Questions_Q_MS_EXPORT_CT = F$22</t>
        </is>
      </c>
      <c r="H37">
        <f>IF(OR(All_Questions_Q_MS_EXPORT_CT="(None)",F$22=""),"",IF(F$22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F$22)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F$22)),"")))</f>
        <v>0</v>
      </c>
      <c r="I37" t="n">
        <v>0.2</v>
      </c>
      <c r="J37" t="n">
        <v>0</v>
      </c>
      <c r="K37" t="n">
        <v>0</v>
      </c>
      <c r="L37" t="inlineStr">
        <is>
          <t>2026-06-09T11:30:57.044035+00:00</t>
        </is>
      </c>
    </row>
    <row r="38">
      <c r="A38" t="inlineStr">
        <is>
          <t>All Questions</t>
        </is>
      </c>
      <c r="B38" t="inlineStr">
        <is>
          <t>cross_tab_by_selection_rate</t>
        </is>
      </c>
      <c r="C38" t="inlineStr">
        <is>
          <t>Q_MS_EXPORT</t>
        </is>
      </c>
      <c r="D38" t="inlineStr">
        <is>
          <t>Q_MS_EXPORTr2</t>
        </is>
      </c>
      <c r="E38" t="inlineStr">
        <is>
          <t>All_Questions_Q_MS_EXPORT_CT = G$22</t>
        </is>
      </c>
      <c r="H38">
        <f>IF(OR(All_Questions_Q_MS_EXPORT_CT="(None)",G$22=""),"",IF(G$22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$22)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$22)),"")))</f>
        <v>0</v>
      </c>
      <c r="I38" t="n">
        <v>0.2</v>
      </c>
      <c r="J38" t="n">
        <v>0</v>
      </c>
      <c r="K38" t="n">
        <v>0</v>
      </c>
      <c r="L38" t="inlineStr">
        <is>
          <t>2026-06-09T11:30:57.044314+00:00</t>
        </is>
      </c>
    </row>
    <row r="39">
      <c r="A39" t="inlineStr">
        <is>
          <t>All Questions</t>
        </is>
      </c>
      <c r="B39" t="inlineStr">
        <is>
          <t>cross_tab_by_selection_rate</t>
        </is>
      </c>
      <c r="C39" t="inlineStr">
        <is>
          <t>Q_MS_EXPORT</t>
        </is>
      </c>
      <c r="D39" t="inlineStr">
        <is>
          <t>Q_MS_EXPORTr2</t>
        </is>
      </c>
      <c r="E39" t="inlineStr">
        <is>
          <t>All_Questions_Q_MS_EXPORT_CT = H$22</t>
        </is>
      </c>
      <c r="H39">
        <f>IF(OR(All_Questions_Q_MS_EXPORT_CT="(None)",H$22=""),"",IF(H$22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$22)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$22)),"")))</f>
        <v>0</v>
      </c>
      <c r="I39" t="n">
        <v>0.2</v>
      </c>
      <c r="J39" t="n">
        <v>0</v>
      </c>
      <c r="K39" t="n">
        <v>0</v>
      </c>
      <c r="L39" t="inlineStr">
        <is>
          <t>2026-06-09T11:30:57.044581+00:00</t>
        </is>
      </c>
    </row>
    <row r="40">
      <c r="A40" t="inlineStr">
        <is>
          <t>All Questions</t>
        </is>
      </c>
      <c r="B40" t="inlineStr">
        <is>
          <t>cross_tab_by_selection_rate</t>
        </is>
      </c>
      <c r="C40" t="inlineStr">
        <is>
          <t>Q_MS_EXPORT</t>
        </is>
      </c>
      <c r="D40" t="inlineStr">
        <is>
          <t>Q_MS_EXPORTr2</t>
        </is>
      </c>
      <c r="E40" t="inlineStr">
        <is>
          <t>All_Questions_Q_MS_EXPORT_CT = I$22</t>
        </is>
      </c>
      <c r="H40">
        <f>IF(OR(All_Questions_Q_MS_EXPORT_CT="(None)",I$22=""),"",IF(I$22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$22)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$22)),"")))</f>
        <v>0</v>
      </c>
      <c r="I40" t="n">
        <v>0.2</v>
      </c>
      <c r="J40" t="n">
        <v>0</v>
      </c>
      <c r="K40" t="n">
        <v>0</v>
      </c>
      <c r="L40" t="inlineStr">
        <is>
          <t>2026-06-09T11:30:57.044844+00:00</t>
        </is>
      </c>
    </row>
    <row r="41">
      <c r="A41" t="inlineStr">
        <is>
          <t>All Questions</t>
        </is>
      </c>
      <c r="B41" t="inlineStr">
        <is>
          <t>cross_tab_by_selection_rate</t>
        </is>
      </c>
      <c r="C41" t="inlineStr">
        <is>
          <t>Q_MS_EXPORT</t>
        </is>
      </c>
      <c r="D41" t="inlineStr">
        <is>
          <t>Q_MS_EXPORTr2</t>
        </is>
      </c>
      <c r="E41" t="inlineStr">
        <is>
          <t>All_Questions_Q_MS_EXPORT_CT = J$22</t>
        </is>
      </c>
      <c r="H41">
        <f>IF(OR(All_Questions_Q_MS_EXPORT_CT="(None)",J$22=""),"",IF(J$22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$22)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$22)),"")))</f>
        <v>0</v>
      </c>
      <c r="I41" t="n">
        <v>0.2</v>
      </c>
      <c r="J41" t="n">
        <v>0</v>
      </c>
      <c r="K41" t="n">
        <v>0</v>
      </c>
      <c r="L41" t="inlineStr">
        <is>
          <t>2026-06-09T11:30:57.045158+00:00</t>
        </is>
      </c>
    </row>
    <row r="42">
      <c r="A42" t="inlineStr">
        <is>
          <t>All Questions</t>
        </is>
      </c>
      <c r="B42" t="inlineStr">
        <is>
          <t>cross_tab_by_selection_rate</t>
        </is>
      </c>
      <c r="C42" t="inlineStr">
        <is>
          <t>Q_MS_EXPORT</t>
        </is>
      </c>
      <c r="D42" t="inlineStr">
        <is>
          <t>Q_MS_EXPORTr2</t>
        </is>
      </c>
      <c r="E42" t="inlineStr">
        <is>
          <t>All_Questions_Q_MS_EXPORT_CT = K$22</t>
        </is>
      </c>
      <c r="H42">
        <f>IF(OR(All_Questions_Q_MS_EXPORT_CT="(None)",K$22=""),"",IF(K$22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$22)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$22)),"")))</f>
        <v>0</v>
      </c>
      <c r="I42" t="n">
        <v>0.2</v>
      </c>
      <c r="J42" t="n">
        <v>0</v>
      </c>
      <c r="K42" t="n">
        <v>0</v>
      </c>
      <c r="L42" t="inlineStr">
        <is>
          <t>2026-06-09T11:30:57.045425+00:00</t>
        </is>
      </c>
    </row>
    <row r="43">
      <c r="A43" t="inlineStr">
        <is>
          <t>All Questions</t>
        </is>
      </c>
      <c r="B43" t="inlineStr">
        <is>
          <t>cross_tab_by_selection_rate</t>
        </is>
      </c>
      <c r="C43" t="inlineStr">
        <is>
          <t>Q_MS_EXPORT</t>
        </is>
      </c>
      <c r="D43" t="inlineStr">
        <is>
          <t>Q_MS_EXPORTr2</t>
        </is>
      </c>
      <c r="E43" t="inlineStr">
        <is>
          <t>All_Questions_Q_MS_EXPORT_CT = L$22</t>
        </is>
      </c>
      <c r="H43">
        <f>IF(OR(All_Questions_Q_MS_EXPORT_CT="(None)",L$22=""),"",IF(L$22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$22)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$22)),"")))</f>
        <v>0</v>
      </c>
      <c r="I43" t="n">
        <v>0.2</v>
      </c>
      <c r="J43" t="n">
        <v>0</v>
      </c>
      <c r="K43" t="n">
        <v>0</v>
      </c>
      <c r="L43" t="inlineStr">
        <is>
          <t>2026-06-09T11:30:57.045690+00:00</t>
        </is>
      </c>
    </row>
    <row r="44">
      <c r="A44" t="inlineStr">
        <is>
          <t>All Questions</t>
        </is>
      </c>
      <c r="B44" t="inlineStr">
        <is>
          <t>cross_tab_by_selection_rate</t>
        </is>
      </c>
      <c r="C44" t="inlineStr">
        <is>
          <t>Q_MS_EXPORT</t>
        </is>
      </c>
      <c r="D44" t="inlineStr">
        <is>
          <t>Q_MS_EXPORTr2</t>
        </is>
      </c>
      <c r="E44" t="inlineStr">
        <is>
          <t>All_Questions_Q_MS_EXPORT_CT = M$22</t>
        </is>
      </c>
      <c r="H44">
        <f>IF(OR(All_Questions_Q_MS_EXPORT_CT="(None)",M$22=""),"",IF(M$22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$22)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$22)),"")))</f>
        <v>0</v>
      </c>
      <c r="I44" t="n">
        <v>0.2</v>
      </c>
      <c r="J44" t="n">
        <v>0</v>
      </c>
      <c r="K44" t="n">
        <v>0</v>
      </c>
      <c r="L44" t="inlineStr">
        <is>
          <t>2026-06-09T11:30:57.046078+00:00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2026-06-09T11:30:56Z</dcterms:created>
  <dcterms:modified xmlns:dcterms="http://purl.org/dc/terms/" xmlns:xsi="http://www.w3.org/2001/XMLSchema-instance" xsi:type="dcterms:W3CDTF">2026-06-09T11:30:57Z</dcterms:modified>
</cp:coreProperties>
</file>