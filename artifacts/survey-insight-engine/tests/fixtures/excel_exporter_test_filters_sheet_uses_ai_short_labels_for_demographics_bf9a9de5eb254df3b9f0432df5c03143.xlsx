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All_Questions_Data_Names">'_Options'!$C$2:$C$4</definedName>
    <definedName name="All_Questions_Options_Names">'_Options'!$D$2:$D$4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*1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*1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*1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Which Of The Following Best Describes The Size Of Your Organization</t>
        </is>
      </c>
      <c r="B3" t="inlineStr">
        <is>
          <t>(None)</t>
        </is>
      </c>
      <c r="C3" t="inlineStr">
        <is>
          <t>'_RawData'!$B$2:$B$3</t>
        </is>
      </c>
      <c r="D3" t="inlineStr">
        <is>
          <t>'_Options'!$F$2:$F$4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Approximately How Old Is The Organization</t>
        </is>
      </c>
      <c r="B4" t="inlineStr">
        <is>
          <t>Q4 - Which Of The Following Best Describes The Size Of Your Organization</t>
        </is>
      </c>
      <c r="C4" t="inlineStr">
        <is>
          <t>'_RawData'!$C$2:$C$3</t>
        </is>
      </c>
      <c r="D4" t="inlineStr">
        <is>
          <t>'_Options'!$G$2:$G$4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Approximately How Old Is The Organization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6"/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1"/>
    <row r="12"/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Which of the following best describes the size of your organization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IFERROR(INDEX(All_Questions_Data_Names,MATCH(Demographics_Q4_F_Q,All_Questions,0)),"'_RawData'!$A:$A")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7"/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IF(Demographics_Q4_CT="(None)","",IFERROR(INDEX(INDIRECT(IFERROR(INDEX(All_Questions_Options_Names,MATCH(Demographics_Q4_CT,All_Questions,0)),"'_Options'!$E$2:$E$2")),2),""))</f>
        <v/>
      </c>
      <c r="H18" s="2" t="str">
        <f>IF(Demographics_Q4_CT="(None)","",IFERROR(INDEX(INDIRECT(IFERROR(INDEX(All_Questions_Options_Names,MATCH(Demographics_Q4_CT,All_Questions,0)),"'_Options'!$E$2:$E$2")),3),""))</f>
        <v/>
      </c>
      <c r="I18" s="2" t="str">
        <f>IF(Demographics_Q4_CT="(None)","",IFERROR(INDEX(INDIRECT(IFERROR(INDEX(All_Questions_Options_Names,MATCH(Demographics_Q4_CT,All_Questions,0)),"'_Options'!$E$2:$E$2")),4),""))</f>
        <v/>
      </c>
      <c r="J18" s="2" t="str">
        <f>IF(Demographics_Q4_CT="(None)","",IFERROR(INDEX(INDIRECT(IFERROR(INDEX(All_Questions_Options_Names,MATCH(Demographics_Q4_CT,All_Questions,0)),"'_Options'!$E$2:$E$2")),5),""))</f>
        <v/>
      </c>
      <c r="K18" s="2" t="str">
        <f>IF(Demographics_Q4_CT="(None)","",IFERROR(INDEX(INDIRECT(IFERROR(INDEX(All_Questions_Options_Names,MATCH(Demographics_Q4_CT,All_Questions,0)),"'_Options'!$E$2:$E$2")),6),""))</f>
        <v/>
      </c>
      <c r="L18" s="2" t="str">
        <f>IF(Demographics_Q4_CT="(None)","",IFERROR(INDEX(INDIRECT(IFERROR(INDEX(All_Questions_Options_Names,MATCH(Demographics_Q4_CT,All_Questions,0)),"'_Options'!$E$2:$E$2")),7),""))</f>
        <v/>
      </c>
      <c r="M18" s="2" t="str">
        <f>IF(Demographics_Q4_CT="(None)","",IFERROR(INDEX(INDIRECT(IFERROR(INDEX(All_Questions_Options_Names,MATCH(Demographics_Q4_CT,All_Questions,0)),"'_Options'!$E$2:$E$2")),8),""))</f>
        <v/>
      </c>
      <c r="N18" s="2" t="str">
        <f>IF(Demographics_Q4_CT="(None)","",IFERROR(INDEX(INDIRECT(IFERROR(INDEX(All_Questions_Options_Names,MATCH(Demographics_Q4_CT,All_Questions,0)),"'_Options'!$E$2:$E$2")),9),""))</f>
        <v/>
      </c>
      <c r="O18" s="2" t="str">
        <f>IF(Demographics_Q4_CT="(None)","",IFERROR(INDEX(INDIRECT(IFERROR(INDEX(All_Questions_Options_Names,MATCH(Demographics_Q4_CT,All_Questions,0)),"'_Options'!$E$2:$E$2")),10),""))</f>
        <v/>
      </c>
      <c r="P18" s="2" t="str">
        <f>IF(Demographics_Q4_CT="(None)","",IFERROR(INDEX(INDIRECT(IFERROR(INDEX(All_Questions_Options_Names,MATCH(Demographics_Q4_CT,All_Questions,0)),"'_Options'!$E$2:$E$2")),11),""))</f>
        <v/>
      </c>
      <c r="Q18" s="2" t="str">
        <f>IF(Demographics_Q4_CT="(None)","",IFERROR(INDEX(INDIRECT(IFERROR(INDEX(All_Questions_Options_Names,MATCH(Demographics_Q4_CT,All_Questions,0)),"'_Options'!$E$2:$E$2")),12),""))</f>
        <v/>
      </c>
      <c r="R18" s="2" t="str">
        <f>IF(Demographics_Q4_CT="(None)","",IF(COUNTA(INDIRECT(IFERROR(INDEX(All_Questions_Options_Names,MATCH(Demographics_Q4_CT,All_Questions,0)),"'_Options'!$E$2:$E$2")))-1&gt;11,"Other",IFERROR(INDEX(INDIRECT(IFERROR(INDEX(All_Questions_Options_Names,MATCH(Demographics_Q4_CT,All_Questions,0)),"'_Options'!$E$2:$E$2")),13),"")))</f>
        <v/>
      </c>
      <c r="S18" s="4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Small</t>
        </is>
      </c>
      <c r="G20">
        <f>IF(OR(Demographics_Q4_CT="(None)",G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0">
        <f>IF(OR(Demographics_Q4_CT="(None)",H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0">
        <f>IF(OR(Demographics_Q4_CT="(None)",I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0">
        <f>IF(OR(Demographics_Q4_CT="(None)",J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0">
        <f>IF(OR(Demographics_Q4_CT="(None)",K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0">
        <f>IF(OR(Demographics_Q4_CT="(None)",L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0">
        <f>IF(OR(Demographics_Q4_CT="(None)",M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0">
        <f>IF(OR(Demographics_Q4_CT="(None)",N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0">
        <f>IF(OR(Demographics_Q4_CT="(None)",O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0">
        <f>IF(OR(Demographics_Q4_CT="(None)",P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0">
        <f>IF(OR(Demographics_Q4_CT="(None)",Q$18=""),""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0">
        <f>IF(OR(Demographics_Q4_CT="(None)",R$18=""),"",IF(R$18="Other",COUNTIFS(Q4_data,"Small",passes_workbook_filters_data,1,passes_workbook_custom_filters_data,1,Demographics_passes_local_filters_data,1,Demographics_Q4_F_passes_per_q_filter_data,1)-SUM(G20,H20,I20,J20,K20,L20,M20,N20,O20,P20,Q20),COUNTIFS(Q4_data,"Small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0">
        <f>IF(Demographics_Q4_CT="(None)","",COUNTIFS(Q4_data,"Small",passes_workbook_filters_data,1,passes_workbook_custom_filters_data,1,Demographics_passes_local_filters_data,1,Demographics_Q4_F_passes_per_q_filter_data,1))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  <c r="F21" t="inlineStr">
        <is>
          <t>Large</t>
        </is>
      </c>
      <c r="G21">
        <f>IF(OR(Demographics_Q4_CT="(None)",G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G$18))</f>
        <v>0</v>
      </c>
      <c r="H21">
        <f>IF(OR(Demographics_Q4_CT="(None)",H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H$18))</f>
        <v>0</v>
      </c>
      <c r="I21">
        <f>IF(OR(Demographics_Q4_CT="(None)",I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I$18))</f>
        <v>0</v>
      </c>
      <c r="J21">
        <f>IF(OR(Demographics_Q4_CT="(None)",J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J$18))</f>
        <v>0</v>
      </c>
      <c r="K21">
        <f>IF(OR(Demographics_Q4_CT="(None)",K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K$18))</f>
        <v>0</v>
      </c>
      <c r="L21">
        <f>IF(OR(Demographics_Q4_CT="(None)",L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L$18))</f>
        <v>0</v>
      </c>
      <c r="M21">
        <f>IF(OR(Demographics_Q4_CT="(None)",M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M$18))</f>
        <v>0</v>
      </c>
      <c r="N21">
        <f>IF(OR(Demographics_Q4_CT="(None)",N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N$18))</f>
        <v>0</v>
      </c>
      <c r="O21">
        <f>IF(OR(Demographics_Q4_CT="(None)",O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O$18))</f>
        <v>0</v>
      </c>
      <c r="P21">
        <f>IF(OR(Demographics_Q4_CT="(None)",P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P$18))</f>
        <v>0</v>
      </c>
      <c r="Q21">
        <f>IF(OR(Demographics_Q4_CT="(None)",Q$18=""),""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Q$18))</f>
        <v>0</v>
      </c>
      <c r="R21">
        <f>IF(OR(Demographics_Q4_CT="(None)",R$18=""),"",IF(R$18="Other",COUNTIFS(Q4_data,"Large",passes_workbook_filters_data,1,passes_workbook_custom_filters_data,1,Demographics_passes_local_filters_data,1,Demographics_Q4_F_passes_per_q_filter_data,1)-SUM(G21,H21,I21,J21,K21,L21,M21,N21,O21,P21,Q21),COUNTIFS(Q4_data,"Large",passes_workbook_filters_data,1,passes_workbook_custom_filters_data,1,Demographics_passes_local_filters_data,1,Demographics_Q4_F_passes_per_q_filter_data,1,INDIRECT(IFERROR(INDEX(All_Questions_Data_Names,MATCH(Demographics_Q4_CT,All_Questions,0)),"'_RawData'!$A:$A")),R$18)))</f>
        <v>0</v>
      </c>
      <c r="S21">
        <f>IF(Demographics_Q4_CT="(None)","",COUNTIFS(Q4_data,"Large",passes_workbook_filters_data,1,passes_workbook_custom_filters_data,1,Demographics_passes_local_filters_data,1,Demographics_Q4_F_passes_per_q_filter_data,1))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IF(Demographics_Q4_CT="(None)","",COUNTIFS(respondent_id_data,"&lt;&gt;",passes_workbook_filters_data,1,passes_workbook_custom_filters_data,1,Demographics_passes_local_filters_data,1,Demographics_Q4_F_passes_per_q_filter_data,1))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Approximately how old is the organization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IFERROR(INDEX(All_Questions_Data_Names,MATCH(Demographics_Q14_F_Q,All_Questions,0)),"'_RawData'!$A:$A")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IF(Demographics_Q14_CT="(None)","",IFERROR(INDEX(INDIRECT(IFERROR(INDEX(All_Questions_Options_Names,MATCH(Demographics_Q14_CT,All_Questions,0)),"'_Options'!$E$2:$E$2")),2),""))</f>
        <v/>
      </c>
      <c r="H28" s="2" t="str">
        <f>IF(Demographics_Q14_CT="(None)","",IFERROR(INDEX(INDIRECT(IFERROR(INDEX(All_Questions_Options_Names,MATCH(Demographics_Q14_CT,All_Questions,0)),"'_Options'!$E$2:$E$2")),3),""))</f>
        <v/>
      </c>
      <c r="I28" s="2" t="str">
        <f>IF(Demographics_Q14_CT="(None)","",IFERROR(INDEX(INDIRECT(IFERROR(INDEX(All_Questions_Options_Names,MATCH(Demographics_Q14_CT,All_Questions,0)),"'_Options'!$E$2:$E$2")),4),""))</f>
        <v/>
      </c>
      <c r="J28" s="2" t="str">
        <f>IF(Demographics_Q14_CT="(None)","",IFERROR(INDEX(INDIRECT(IFERROR(INDEX(All_Questions_Options_Names,MATCH(Demographics_Q14_CT,All_Questions,0)),"'_Options'!$E$2:$E$2")),5),""))</f>
        <v/>
      </c>
      <c r="K28" s="2" t="str">
        <f>IF(Demographics_Q14_CT="(None)","",IFERROR(INDEX(INDIRECT(IFERROR(INDEX(All_Questions_Options_Names,MATCH(Demographics_Q14_CT,All_Questions,0)),"'_Options'!$E$2:$E$2")),6),""))</f>
        <v/>
      </c>
      <c r="L28" s="2" t="str">
        <f>IF(Demographics_Q14_CT="(None)","",IFERROR(INDEX(INDIRECT(IFERROR(INDEX(All_Questions_Options_Names,MATCH(Demographics_Q14_CT,All_Questions,0)),"'_Options'!$E$2:$E$2")),7),""))</f>
        <v/>
      </c>
      <c r="M28" s="2" t="str">
        <f>IF(Demographics_Q14_CT="(None)","",IFERROR(INDEX(INDIRECT(IFERROR(INDEX(All_Questions_Options_Names,MATCH(Demographics_Q14_CT,All_Questions,0)),"'_Options'!$E$2:$E$2")),8),""))</f>
        <v/>
      </c>
      <c r="N28" s="2" t="str">
        <f>IF(Demographics_Q14_CT="(None)","",IFERROR(INDEX(INDIRECT(IFERROR(INDEX(All_Questions_Options_Names,MATCH(Demographics_Q14_CT,All_Questions,0)),"'_Options'!$E$2:$E$2")),9),""))</f>
        <v/>
      </c>
      <c r="O28" s="2" t="str">
        <f>IF(Demographics_Q14_CT="(None)","",IFERROR(INDEX(INDIRECT(IFERROR(INDEX(All_Questions_Options_Names,MATCH(Demographics_Q14_CT,All_Questions,0)),"'_Options'!$E$2:$E$2")),10),""))</f>
        <v/>
      </c>
      <c r="P28" s="2" t="str">
        <f>IF(Demographics_Q14_CT="(None)","",IFERROR(INDEX(INDIRECT(IFERROR(INDEX(All_Questions_Options_Names,MATCH(Demographics_Q14_CT,All_Questions,0)),"'_Options'!$E$2:$E$2")),11),""))</f>
        <v/>
      </c>
      <c r="Q28" s="2" t="str">
        <f>IF(Demographics_Q14_CT="(None)","",IFERROR(INDEX(INDIRECT(IFERROR(INDEX(All_Questions_Options_Names,MATCH(Demographics_Q14_CT,All_Questions,0)),"'_Options'!$E$2:$E$2")),12),""))</f>
        <v/>
      </c>
      <c r="R28" s="2" t="str">
        <f>IF(Demographics_Q14_CT="(None)","",IF(COUNTA(INDIRECT(IFERROR(INDEX(All_Questions_Options_Names,MATCH(Demographics_Q14_CT,All_Questions,0)),"'_Options'!$E$2:$E$2")))-1&gt;11,"Other",IFERROR(INDEX(INDIRECT(IFERROR(INDEX(All_Questions_Options_Names,MATCH(Demographics_Q14_CT,All_Questions,0)),"'_Options'!$E$2:$E$2")),13),"")))</f>
        <v/>
      </c>
      <c r="S28" s="4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New</t>
        </is>
      </c>
      <c r="G30">
        <f>IF(OR(Demographics_Q14_CT="(None)",G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0">
        <f>IF(OR(Demographics_Q14_CT="(None)",H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0">
        <f>IF(OR(Demographics_Q14_CT="(None)",I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0">
        <f>IF(OR(Demographics_Q14_CT="(None)",J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0">
        <f>IF(OR(Demographics_Q14_CT="(None)",K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0">
        <f>IF(OR(Demographics_Q14_CT="(None)",L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0">
        <f>IF(OR(Demographics_Q14_CT="(None)",M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0">
        <f>IF(OR(Demographics_Q14_CT="(None)",N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0">
        <f>IF(OR(Demographics_Q14_CT="(None)",O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0">
        <f>IF(OR(Demographics_Q14_CT="(None)",P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0">
        <f>IF(OR(Demographics_Q14_CT="(None)",Q$28=""),""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0">
        <f>IF(OR(Demographics_Q14_CT="(None)",R$28=""),"",IF(R$28="Other",COUNTIFS(Q14_data,"New",passes_workbook_filters_data,1,passes_workbook_custom_filters_data,1,Demographics_passes_local_filters_data,1,Demographics_Q14_F_passes_per_q_filter_data,1)-SUM(G30,H30,I30,J30,K30,L30,M30,N30,O30,P30,Q30),COUNTIFS(Q14_data,"New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0">
        <f>IF(Demographics_Q14_CT="(None)","",COUNTIFS(Q14_data,"New",passes_workbook_filters_data,1,passes_workbook_custom_filters_data,1,Demographics_passes_local_filters_data,1,Demographics_Q14_F_passes_per_q_filter_data,1))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  <c r="F31" t="inlineStr">
        <is>
          <t>Established</t>
        </is>
      </c>
      <c r="G31">
        <f>IF(OR(Demographics_Q14_CT="(None)",G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G$28))</f>
        <v>0</v>
      </c>
      <c r="H31">
        <f>IF(OR(Demographics_Q14_CT="(None)",H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H$28))</f>
        <v>0</v>
      </c>
      <c r="I31">
        <f>IF(OR(Demographics_Q14_CT="(None)",I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I$28))</f>
        <v>0</v>
      </c>
      <c r="J31">
        <f>IF(OR(Demographics_Q14_CT="(None)",J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J$28))</f>
        <v>0</v>
      </c>
      <c r="K31">
        <f>IF(OR(Demographics_Q14_CT="(None)",K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K$28))</f>
        <v>0</v>
      </c>
      <c r="L31">
        <f>IF(OR(Demographics_Q14_CT="(None)",L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L$28))</f>
        <v>0</v>
      </c>
      <c r="M31">
        <f>IF(OR(Demographics_Q14_CT="(None)",M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M$28))</f>
        <v>0</v>
      </c>
      <c r="N31">
        <f>IF(OR(Demographics_Q14_CT="(None)",N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N$28))</f>
        <v>0</v>
      </c>
      <c r="O31">
        <f>IF(OR(Demographics_Q14_CT="(None)",O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O$28))</f>
        <v>0</v>
      </c>
      <c r="P31">
        <f>IF(OR(Demographics_Q14_CT="(None)",P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P$28))</f>
        <v>0</v>
      </c>
      <c r="Q31">
        <f>IF(OR(Demographics_Q14_CT="(None)",Q$28=""),""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Q$28))</f>
        <v>0</v>
      </c>
      <c r="R31">
        <f>IF(OR(Demographics_Q14_CT="(None)",R$28=""),"",IF(R$28="Other",COUNTIFS(Q14_data,"Established",passes_workbook_filters_data,1,passes_workbook_custom_filters_data,1,Demographics_passes_local_filters_data,1,Demographics_Q14_F_passes_per_q_filter_data,1)-SUM(G31,H31,I31,J31,K31,L31,M31,N31,O31,P31,Q31),COUNTIFS(Q14_data,"Established",passes_workbook_filters_data,1,passes_workbook_custom_filters_data,1,Demographics_passes_local_filters_data,1,Demographics_Q14_F_passes_per_q_filter_data,1,INDIRECT(IFERROR(INDEX(All_Questions_Data_Names,MATCH(Demographics_Q14_CT,All_Questions,0)),"'_RawData'!$A:$A")),R$28)))</f>
        <v>0</v>
      </c>
      <c r="S31">
        <f>IF(Demographics_Q14_CT="(None)","",COUNTIFS(Q14_data,"Established",passes_workbook_filters_data,1,passes_workbook_custom_filters_data,1,Demographics_passes_local_filters_data,1,Demographics_Q14_F_passes_per_q_filter_data,1))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IF(Demographics_Q14_CT="(None)","",COUNTIFS(respondent_id_data,"&lt;&gt;",passes_workbook_filters_data,1,passes_workbook_custom_filters_data,1,Demographics_passes_local_filters_data,1,Demographics_Q14_F_passes_per_q_filter_data,1))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=INDIRECT(IFERROR(INDEX(All_Questions_Options_Names,MATCH(Demographics_Q4_F_Q,All_Questions,0)),"'_Options'!$E$2:$E$2"))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=INDIRECT(IFERROR(INDEX(All_Questions_Options_Names,MATCH(Demographics_Q14_F_Q,All_Questions,0)),"'_Options'!$E$2:$E$2"))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2026-06-06T20:40:47Z</dcterms:created>
  <dcterms:modified xmlns:dcterms="http://purl.org/dc/terms/" xmlns:xsi="http://www.w3.org/2001/XMLSchema-instance" xsi:type="dcterms:W3CDTF">2026-06-06T20:40:47Z</dcterms:modified>
</cp:coreProperties>
</file>