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I3" i="1"/>
  <c r="J3" i="1"/>
  <c r="K3" i="1"/>
  <c r="L3" i="1"/>
  <c r="I4" i="1"/>
  <c r="J4" i="1"/>
  <c r="K4" i="1"/>
  <c r="L4" i="1"/>
  <c r="I5" i="1"/>
  <c r="J5" i="1"/>
  <c r="K5" i="1"/>
  <c r="L5" i="1"/>
  <c r="I6" i="1"/>
  <c r="J6" i="1"/>
  <c r="K6" i="1"/>
  <c r="L6" i="1"/>
  <c r="I7" i="1"/>
  <c r="J7" i="1"/>
  <c r="K7" i="1"/>
  <c r="L7" i="1"/>
  <c r="I8" i="1"/>
  <c r="J8" i="1"/>
  <c r="K8" i="1"/>
  <c r="L8" i="1"/>
  <c r="I9" i="1"/>
  <c r="J9" i="1"/>
  <c r="K9" i="1"/>
  <c r="L9" i="1"/>
  <c r="I10" i="1"/>
  <c r="J10" i="1"/>
  <c r="K10" i="1"/>
  <c r="L10" i="1"/>
  <c r="I11" i="1"/>
  <c r="J11" i="1"/>
  <c r="K11" i="1"/>
  <c r="L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2" i="7"/>
  <c r="G22" i="7"/>
  <c r="G25" i="7"/>
  <c r="H25" i="7"/>
  <c r="I25" i="7"/>
  <c r="J25" i="7"/>
  <c r="K25" i="7"/>
  <c r="L25" i="7"/>
  <c r="M25" i="7"/>
  <c r="N25" i="7"/>
  <c r="B26" i="7"/>
  <c r="C26" i="7"/>
  <c r="D26" i="7"/>
  <c r="G26" i="7"/>
  <c r="H26" i="7"/>
  <c r="I26" i="7"/>
  <c r="J26" i="7"/>
  <c r="K26" i="7"/>
  <c r="L26" i="7"/>
  <c r="M26" i="7"/>
  <c r="N26" i="7"/>
  <c r="O26" i="7"/>
  <c r="B27" i="7"/>
  <c r="C27" i="7"/>
  <c r="D27" i="7"/>
  <c r="G27" i="7"/>
  <c r="H27" i="7"/>
  <c r="I27" i="7"/>
  <c r="J27" i="7"/>
  <c r="K27" i="7"/>
  <c r="L27" i="7"/>
  <c r="M27" i="7"/>
  <c r="N27" i="7"/>
  <c r="O27" i="7"/>
  <c r="F31" i="7"/>
  <c r="G31" i="7"/>
  <c r="B35" i="7"/>
  <c r="D35" i="7"/>
  <c r="B36" i="7"/>
  <c r="D36" i="7"/>
  <c r="B37" i="7"/>
  <c r="D37" i="7"/>
  <c r="D38" i="7"/>
  <c r="F43" i="7"/>
  <c r="G43" i="7"/>
  <c r="G46" i="7"/>
  <c r="H46" i="7"/>
  <c r="I46" i="7"/>
  <c r="J46" i="7"/>
  <c r="K46" i="7"/>
  <c r="L46" i="7"/>
  <c r="M46" i="7"/>
  <c r="N46" i="7"/>
  <c r="B47" i="7"/>
  <c r="C47" i="7"/>
  <c r="D47" i="7"/>
  <c r="G47" i="7"/>
  <c r="H47" i="7"/>
  <c r="I47" i="7"/>
  <c r="J47" i="7"/>
  <c r="K47" i="7"/>
  <c r="L47" i="7"/>
  <c r="M47" i="7"/>
  <c r="N47" i="7"/>
  <c r="O47" i="7"/>
  <c r="B48" i="7"/>
  <c r="C48" i="7"/>
  <c r="D48" i="7"/>
  <c r="G48" i="7"/>
  <c r="H48" i="7"/>
  <c r="I48" i="7"/>
  <c r="J48" i="7"/>
  <c r="K48" i="7"/>
  <c r="L48" i="7"/>
  <c r="M48" i="7"/>
  <c r="N48" i="7"/>
  <c r="O48" i="7"/>
  <c r="F52" i="7"/>
  <c r="G52" i="7"/>
  <c r="G55" i="7"/>
  <c r="H55" i="7"/>
  <c r="I55" i="7"/>
  <c r="J55" i="7"/>
  <c r="K55" i="7"/>
  <c r="L55" i="7"/>
  <c r="M55" i="7"/>
  <c r="N55" i="7"/>
  <c r="B56" i="7"/>
  <c r="C56" i="7"/>
  <c r="D56" i="7"/>
  <c r="G56" i="7"/>
  <c r="H56" i="7"/>
  <c r="I56" i="7"/>
  <c r="J56" i="7"/>
  <c r="K56" i="7"/>
  <c r="L56" i="7"/>
  <c r="M56" i="7"/>
  <c r="N56" i="7"/>
  <c r="O56" i="7"/>
  <c r="B57" i="7"/>
  <c r="C57" i="7"/>
  <c r="D57" i="7"/>
  <c r="G57" i="7"/>
  <c r="H57" i="7"/>
  <c r="I57" i="7"/>
  <c r="J57" i="7"/>
  <c r="K57" i="7"/>
  <c r="L57" i="7"/>
  <c r="M57" i="7"/>
  <c r="N57" i="7"/>
  <c r="O57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IF(OR(F_Custom1_Q="(None)",F_Custom1_Q="",ISBLANK(F_Custom1_Q),F_Custom1_V="(All)",F_Custom1_V="",ISBLANK(F_Custom1_V)),1,IFERROR(IF(ISNUMBER(SEARCH("|"&amp;INDEX($A2:$H2,1,MATCH(F_Custom1_Q,$A$1:$H$1,0))&amp;"|",F_Custom1_wrapped)),1,0),0))</f>
        <v>1</v>
      </c>
      <c r="K2">
        <f>IF(OR(F_Custom2_Q="(None)",F_Custom2_Q="",ISBLANK(F_Custom2_Q),F_Custom2_V="(All)",F_Custom2_V="",ISBLANK(F_Custom2_V)),1,IFERROR(IF(ISNUMBER(SEARCH("|"&amp;INDEX($A2:$H2,1,MATCH(F_Custom2_Q,$A$1:$H$1,0))&amp;"|",F_Custom2_wrapped)),1,0),0))</f>
        <v>1</v>
      </c>
      <c r="L2">
        <f>J2*K2*1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IF(OR(F_Custom1_Q="(None)",F_Custom1_Q="",ISBLANK(F_Custom1_Q),F_Custom1_V="(All)",F_Custom1_V="",ISBLANK(F_Custom1_V)),1,IFERROR(IF(ISNUMBER(SEARCH("|"&amp;INDEX($A3:$H3,1,MATCH(F_Custom1_Q,$A$1:$H$1,0))&amp;"|",F_Custom1_wrapped)),1,0),0))</f>
        <v>1</v>
      </c>
      <c r="K3">
        <f>IF(OR(F_Custom2_Q="(None)",F_Custom2_Q="",ISBLANK(F_Custom2_Q),F_Custom2_V="(All)",F_Custom2_V="",ISBLANK(F_Custom2_V)),1,IFERROR(IF(ISNUMBER(SEARCH("|"&amp;INDEX($A3:$H3,1,MATCH(F_Custom2_Q,$A$1:$H$1,0))&amp;"|",F_Custom2_wrapped)),1,0),0))</f>
        <v>1</v>
      </c>
      <c r="L3">
        <f>J3*K3*1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IF(OR(F_Custom1_Q="(None)",F_Custom1_Q="",ISBLANK(F_Custom1_Q),F_Custom1_V="(All)",F_Custom1_V="",ISBLANK(F_Custom1_V)),1,IFERROR(IF(ISNUMBER(SEARCH("|"&amp;INDEX($A4:$H4,1,MATCH(F_Custom1_Q,$A$1:$H$1,0))&amp;"|",F_Custom1_wrapped)),1,0),0))</f>
        <v>1</v>
      </c>
      <c r="K4">
        <f>IF(OR(F_Custom2_Q="(None)",F_Custom2_Q="",ISBLANK(F_Custom2_Q),F_Custom2_V="(All)",F_Custom2_V="",ISBLANK(F_Custom2_V)),1,IFERROR(IF(ISNUMBER(SEARCH("|"&amp;INDEX($A4:$H4,1,MATCH(F_Custom2_Q,$A$1:$H$1,0))&amp;"|",F_Custom2_wrapped)),1,0),0))</f>
        <v>1</v>
      </c>
      <c r="L4">
        <f>J4*K4*1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IF(OR(F_Custom1_Q="(None)",F_Custom1_Q="",ISBLANK(F_Custom1_Q),F_Custom1_V="(All)",F_Custom1_V="",ISBLANK(F_Custom1_V)),1,IFERROR(IF(ISNUMBER(SEARCH("|"&amp;INDEX($A5:$H5,1,MATCH(F_Custom1_Q,$A$1:$H$1,0))&amp;"|",F_Custom1_wrapped)),1,0),0))</f>
        <v>1</v>
      </c>
      <c r="K5">
        <f>IF(OR(F_Custom2_Q="(None)",F_Custom2_Q="",ISBLANK(F_Custom2_Q),F_Custom2_V="(All)",F_Custom2_V="",ISBLANK(F_Custom2_V)),1,IFERROR(IF(ISNUMBER(SEARCH("|"&amp;INDEX($A5:$H5,1,MATCH(F_Custom2_Q,$A$1:$H$1,0))&amp;"|",F_Custom2_wrapped)),1,0),0))</f>
        <v>1</v>
      </c>
      <c r="L5">
        <f>J5*K5*1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IF(OR(F_Custom1_Q="(None)",F_Custom1_Q="",ISBLANK(F_Custom1_Q),F_Custom1_V="(All)",F_Custom1_V="",ISBLANK(F_Custom1_V)),1,IFERROR(IF(ISNUMBER(SEARCH("|"&amp;INDEX($A6:$H6,1,MATCH(F_Custom1_Q,$A$1:$H$1,0))&amp;"|",F_Custom1_wrapped)),1,0),0))</f>
        <v>1</v>
      </c>
      <c r="K6">
        <f>IF(OR(F_Custom2_Q="(None)",F_Custom2_Q="",ISBLANK(F_Custom2_Q),F_Custom2_V="(All)",F_Custom2_V="",ISBLANK(F_Custom2_V)),1,IFERROR(IF(ISNUMBER(SEARCH("|"&amp;INDEX($A6:$H6,1,MATCH(F_Custom2_Q,$A$1:$H$1,0))&amp;"|",F_Custom2_wrapped)),1,0),0))</f>
        <v>1</v>
      </c>
      <c r="L6">
        <f>J6*K6*1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IF(OR(F_Custom1_Q="(None)",F_Custom1_Q="",ISBLANK(F_Custom1_Q),F_Custom1_V="(All)",F_Custom1_V="",ISBLANK(F_Custom1_V)),1,IFERROR(IF(ISNUMBER(SEARCH("|"&amp;INDEX($A7:$H7,1,MATCH(F_Custom1_Q,$A$1:$H$1,0))&amp;"|",F_Custom1_wrapped)),1,0),0))</f>
        <v>1</v>
      </c>
      <c r="K7">
        <f>IF(OR(F_Custom2_Q="(None)",F_Custom2_Q="",ISBLANK(F_Custom2_Q),F_Custom2_V="(All)",F_Custom2_V="",ISBLANK(F_Custom2_V)),1,IFERROR(IF(ISNUMBER(SEARCH("|"&amp;INDEX($A7:$H7,1,MATCH(F_Custom2_Q,$A$1:$H$1,0))&amp;"|",F_Custom2_wrapped)),1,0),0))</f>
        <v>1</v>
      </c>
      <c r="L7">
        <f>J7*K7*1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IF(OR(F_Custom1_Q="(None)",F_Custom1_Q="",ISBLANK(F_Custom1_Q),F_Custom1_V="(All)",F_Custom1_V="",ISBLANK(F_Custom1_V)),1,IFERROR(IF(ISNUMBER(SEARCH("|"&amp;INDEX($A8:$H8,1,MATCH(F_Custom1_Q,$A$1:$H$1,0))&amp;"|",F_Custom1_wrapped)),1,0),0))</f>
        <v>1</v>
      </c>
      <c r="K8">
        <f>IF(OR(F_Custom2_Q="(None)",F_Custom2_Q="",ISBLANK(F_Custom2_Q),F_Custom2_V="(All)",F_Custom2_V="",ISBLANK(F_Custom2_V)),1,IFERROR(IF(ISNUMBER(SEARCH("|"&amp;INDEX($A8:$H8,1,MATCH(F_Custom2_Q,$A$1:$H$1,0))&amp;"|",F_Custom2_wrapped)),1,0),0))</f>
        <v>1</v>
      </c>
      <c r="L8">
        <f>J8*K8*1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IF(OR(F_Custom1_Q="(None)",F_Custom1_Q="",ISBLANK(F_Custom1_Q),F_Custom1_V="(All)",F_Custom1_V="",ISBLANK(F_Custom1_V)),1,IFERROR(IF(ISNUMBER(SEARCH("|"&amp;INDEX($A9:$H9,1,MATCH(F_Custom1_Q,$A$1:$H$1,0))&amp;"|",F_Custom1_wrapped)),1,0),0))</f>
        <v>1</v>
      </c>
      <c r="K9">
        <f>IF(OR(F_Custom2_Q="(None)",F_Custom2_Q="",ISBLANK(F_Custom2_Q),F_Custom2_V="(All)",F_Custom2_V="",ISBLANK(F_Custom2_V)),1,IFERROR(IF(ISNUMBER(SEARCH("|"&amp;INDEX($A9:$H9,1,MATCH(F_Custom2_Q,$A$1:$H$1,0))&amp;"|",F_Custom2_wrapped)),1,0),0))</f>
        <v>1</v>
      </c>
      <c r="L9">
        <f>J9*K9*1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IF(OR(F_Custom1_Q="(None)",F_Custom1_Q="",ISBLANK(F_Custom1_Q),F_Custom1_V="(All)",F_Custom1_V="",ISBLANK(F_Custom1_V)),1,IFERROR(IF(ISNUMBER(SEARCH("|"&amp;INDEX($A10:$H10,1,MATCH(F_Custom1_Q,$A$1:$H$1,0))&amp;"|",F_Custom1_wrapped)),1,0),0))</f>
        <v>1</v>
      </c>
      <c r="K10">
        <f>IF(OR(F_Custom2_Q="(None)",F_Custom2_Q="",ISBLANK(F_Custom2_Q),F_Custom2_V="(All)",F_Custom2_V="",ISBLANK(F_Custom2_V)),1,IFERROR(IF(ISNUMBER(SEARCH("|"&amp;INDEX($A10:$H10,1,MATCH(F_Custom2_Q,$A$1:$H$1,0))&amp;"|",F_Custom2_wrapped)),1,0),0))</f>
        <v>1</v>
      </c>
      <c r="L10">
        <f>J10*K10*1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IF(OR(F_Custom1_Q="(None)",F_Custom1_Q="",ISBLANK(F_Custom1_Q),F_Custom1_V="(All)",F_Custom1_V="",ISBLANK(F_Custom1_V)),1,IFERROR(IF(ISNUMBER(SEARCH("|"&amp;INDEX($A11:$H11,1,MATCH(F_Custom1_Q,$A$1:$H$1,0))&amp;"|",F_Custom1_wrapped)),1,0),0))</f>
        <v>1</v>
      </c>
      <c r="K11">
        <f>IF(OR(F_Custom2_Q="(None)",F_Custom2_Q="",ISBLANK(F_Custom2_Q),F_Custom2_V="(All)",F_Custom2_V="",ISBLANK(F_Custom2_V)),1,IFERROR(IF(ISNUMBER(SEARCH("|"&amp;INDEX($A11:$H11,1,MATCH(F_Custom2_Q,$A$1:$H$1,0))&amp;"|",F_Custom2_wrapped)),1,0),0))</f>
        <v>1</v>
      </c>
      <c r="L11">
        <f>J11*K11*1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IF(F_Custom1_Q="(None)","respondent_id_data",F_Custom1_Q &amp; "_data")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IF(F_Custom2_Q="(None)","respondent_id_data",F_Custom2_Q &amp; "_data")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IF(All_Questions_F_Custom1_Q_resolved="(None)","respondent_id_data",All_Questions_F_Custom1_Q_resolved &amp; "_data")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IF(All_Questions_F_Custom2_Q_resolved="(None)","respondent_id_data",All_Questions_F_Custom2_Q_resolved &amp; "_data")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Short revenue label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IF(All_Questions_Q_SS_EXPORT_F_Q="(None)","respondent_id_data",All_Questions_Q_SS_EXPORT_F_Q &amp; "_data")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>0</v>
      </c>
      <c r="H16">
        <f>IFERROR(INDEX(INDIRECT(All_Questions_Q_SS_EXPORT_CT &amp; "_options"),3),"")</f>
        <v>0</v>
      </c>
      <c r="I16">
        <f>IFERROR(INDEX(INDIRECT(All_Questions_Q_SS_EXPORT_CT &amp; "_options"),4),"")</f>
        <v>0</v>
      </c>
      <c r="J16">
        <f>IFERROR(INDEX(INDIRECT(All_Questions_Q_SS_EXPORT_CT &amp; "_options"),5),"")</f>
        <v>0</v>
      </c>
      <c r="K16">
        <f>IFERROR(INDEX(INDIRECT(All_Questions_Q_SS_EXPORT_CT &amp; "_options"),6),"")</f>
        <v>0</v>
      </c>
      <c r="L16">
        <f>IFERROR(INDEX(INDIRECT(All_Questions_Q_SS_EXPORT_CT &amp; "_options"),7),"")</f>
        <v>0</v>
      </c>
      <c r="M16">
        <f>IFERROR(INDEX(INDIRECT(All_Questions_Q_SS_EXPORT_CT &amp; "_options"),8),"")</f>
        <v>0</v>
      </c>
      <c r="N16">
        <f>IFERROR(INDEX(INDIRECT(All_Questions_Q_SS_EXPORT_CT &amp; "_options"),9),"")</f>
        <v>0</v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(All_Questions_Q_SS_EXPORT_CT&lt;&gt;"(None)")*COUNTIFS(Q_SS_EXPORT_data,"Yes",passes_workbook_filters_data,1,passes_workbook_custom_filters_data,1,INDIRECT(All_Questions_Q_SS_EXPORT_CT &amp; "_data"),G$16)</f>
        <v>0</v>
      </c>
      <c r="H17">
        <f>(All_Questions_Q_SS_EXPORT_CT&lt;&gt;"(None)")*COUNTIFS(Q_SS_EXPORT_data,"Yes",passes_workbook_filters_data,1,passes_workbook_custom_filters_data,1,INDIRECT(All_Questions_Q_SS_EXPORT_CT &amp; "_data"),H$16)</f>
        <v>0</v>
      </c>
      <c r="I17">
        <f>(All_Questions_Q_SS_EXPORT_CT&lt;&gt;"(None)")*COUNTIFS(Q_SS_EXPORT_data,"Yes",passes_workbook_filters_data,1,passes_workbook_custom_filters_data,1,INDIRECT(All_Questions_Q_SS_EXPORT_CT &amp; "_data"),I$16)</f>
        <v>0</v>
      </c>
      <c r="J17">
        <f>(All_Questions_Q_SS_EXPORT_CT&lt;&gt;"(None)")*COUNTIFS(Q_SS_EXPORT_data,"Yes",passes_workbook_filters_data,1,passes_workbook_custom_filters_data,1,INDIRECT(All_Questions_Q_SS_EXPORT_CT &amp; "_data"),J$16)</f>
        <v>0</v>
      </c>
      <c r="K17">
        <f>(All_Questions_Q_SS_EXPORT_CT&lt;&gt;"(None)")*COUNTIFS(Q_SS_EXPORT_data,"Yes",passes_workbook_filters_data,1,passes_workbook_custom_filters_data,1,INDIRECT(All_Questions_Q_SS_EXPORT_CT &amp; "_data"),K$16)</f>
        <v>0</v>
      </c>
      <c r="L17">
        <f>(All_Questions_Q_SS_EXPORT_CT&lt;&gt;"(None)")*COUNTIFS(Q_SS_EXPORT_data,"Yes",passes_workbook_filters_data,1,passes_workbook_custom_filters_data,1,INDIRECT(All_Questions_Q_SS_EXPORT_CT &amp; "_data"),L$16)</f>
        <v>0</v>
      </c>
      <c r="M17">
        <f>(All_Questions_Q_SS_EXPORT_CT&lt;&gt;"(None)")*COUNTIFS(Q_SS_EXPORT_data,"Yes",passes_workbook_filters_data,1,passes_workbook_custom_filters_data,1,INDIRECT(All_Questions_Q_SS_EXPORT_CT &amp; "_data"),M$16)</f>
        <v>0</v>
      </c>
      <c r="N17">
        <f>(All_Questions_Q_SS_EXPORT_CT&lt;&gt;"(None)")*COUNTIFS(Q_SS_EXPORT_data,"Yes",passes_workbook_filters_data,1,passes_workbook_custom_filters_data,1,INDIRECT(All_Questions_Q_SS_EXPORT_CT &amp; "_data"),N$16)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(All_Questions_Q_SS_EXPORT_CT&lt;&gt;"(None)")*COUNTIFS(Q_SS_EXPORT_data,"No",passes_workbook_filters_data,1,passes_workbook_custom_filters_data,1,INDIRECT(All_Questions_Q_SS_EXPORT_CT &amp; "_data"),G$16)</f>
        <v>0</v>
      </c>
      <c r="H18">
        <f>(All_Questions_Q_SS_EXPORT_CT&lt;&gt;"(None)")*COUNTIFS(Q_SS_EXPORT_data,"No",passes_workbook_filters_data,1,passes_workbook_custom_filters_data,1,INDIRECT(All_Questions_Q_SS_EXPORT_CT &amp; "_data"),H$16)</f>
        <v>0</v>
      </c>
      <c r="I18">
        <f>(All_Questions_Q_SS_EXPORT_CT&lt;&gt;"(None)")*COUNTIFS(Q_SS_EXPORT_data,"No",passes_workbook_filters_data,1,passes_workbook_custom_filters_data,1,INDIRECT(All_Questions_Q_SS_EXPORT_CT &amp; "_data"),I$16)</f>
        <v>0</v>
      </c>
      <c r="J18">
        <f>(All_Questions_Q_SS_EXPORT_CT&lt;&gt;"(None)")*COUNTIFS(Q_SS_EXPORT_data,"No",passes_workbook_filters_data,1,passes_workbook_custom_filters_data,1,INDIRECT(All_Questions_Q_SS_EXPORT_CT &amp; "_data"),J$16)</f>
        <v>0</v>
      </c>
      <c r="K18">
        <f>(All_Questions_Q_SS_EXPORT_CT&lt;&gt;"(None)")*COUNTIFS(Q_SS_EXPORT_data,"No",passes_workbook_filters_data,1,passes_workbook_custom_filters_data,1,INDIRECT(All_Questions_Q_SS_EXPORT_CT &amp; "_data"),K$16)</f>
        <v>0</v>
      </c>
      <c r="L18">
        <f>(All_Questions_Q_SS_EXPORT_CT&lt;&gt;"(None)")*COUNTIFS(Q_SS_EXPORT_data,"No",passes_workbook_filters_data,1,passes_workbook_custom_filters_data,1,INDIRECT(All_Questions_Q_SS_EXPORT_CT &amp; "_data"),L$16)</f>
        <v>0</v>
      </c>
      <c r="M18">
        <f>(All_Questions_Q_SS_EXPORT_CT&lt;&gt;"(None)")*COUNTIFS(Q_SS_EXPORT_data,"No",passes_workbook_filters_data,1,passes_workbook_custom_filters_data,1,INDIRECT(All_Questions_Q_SS_EXPORT_CT &amp; "_data"),M$16)</f>
        <v>0</v>
      </c>
      <c r="N18">
        <f>(All_Questions_Q_SS_EXPORT_CT&lt;&gt;"(None)")*COUNTIFS(Q_SS_EXPORT_data,"No",passes_workbook_filters_data,1,passes_workbook_custom_filters_data,1,INDIRECT(All_Questions_Q_SS_EXPORT_CT &amp; "_data"),N$16)</f>
        <v>0</v>
      </c>
      <c r="O18">
        <f>SUM(G18:N18)</f>
        <v>0</v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 t="str">
        <f>IF(All_Questions_Q_MS_EXPORT_F_Q="(None)","respondent_id_data",All_Questions_Q_MS_EXPORT_F_Q &amp; "_data")</f>
        <v>respondent_id_data</v>
      </c>
      <c r="G22" t="str">
        <f>"|" &amp; SUBSTITUTE(All_Questions_Q_MS_EXPORT_F_V, ", ", "|") &amp; "|"</f>
        <v>|(All)|</v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>0</v>
      </c>
      <c r="H25">
        <f>IFERROR(INDEX(INDIRECT(All_Questions_Q_MS_EXPORT_CT &amp; "_options"),3),"")</f>
        <v>0</v>
      </c>
      <c r="I25">
        <f>IFERROR(INDEX(INDIRECT(All_Questions_Q_MS_EXPORT_CT &amp; "_options"),4),"")</f>
        <v>0</v>
      </c>
      <c r="J25">
        <f>IFERROR(INDEX(INDIRECT(All_Questions_Q_MS_EXPORT_CT &amp; "_options"),5),"")</f>
        <v>0</v>
      </c>
      <c r="K25">
        <f>IFERROR(INDEX(INDIRECT(All_Questions_Q_MS_EXPORT_CT &amp; "_options"),6),"")</f>
        <v>0</v>
      </c>
      <c r="L25">
        <f>IFERROR(INDEX(INDIRECT(All_Questions_Q_MS_EXPORT_CT &amp; "_options"),7),"")</f>
        <v>0</v>
      </c>
      <c r="M25">
        <f>IFERROR(INDEX(INDIRECT(All_Questions_Q_MS_EXPORT_CT &amp; "_options"),8),"")</f>
        <v>0</v>
      </c>
      <c r="N25">
        <f>IFERROR(INDEX(INDIRECT(All_Questions_Q_MS_EXPORT_CT &amp; "_options"),9),"")</f>
        <v>0</v>
      </c>
      <c r="O25" s="5" t="inlineStr">
        <is>
          <t>TOTAL</t>
        </is>
      </c>
    </row>
    <row r="26">
      <c r="A26" t="inlineStr">
        <is>
          <t>First</t>
        </is>
      </c>
      <c r="B26">
        <f>COUNTIFS(Q_MS_EXPORTr1_data,"Selected",passes_workbook_filters_data,1,passes_workbook_custom_filters_data,1)</f>
        <v>5</v>
      </c>
      <c r="C26" s="7">
        <f>IFERROR(B26/SUBTOTAL(9,B26:B27),0)</f>
        <v>0.7142857142857143</v>
      </c>
      <c r="D26" s="14">
        <f>SUBTOTAL(9,B26:B27)</f>
        <v>7</v>
      </c>
      <c r="F26" t="inlineStr">
        <is>
          <t>First</t>
        </is>
      </c>
      <c r="G26">
        <f>(All_Questions_Q_MS_EXPORT_CT&lt;&gt;"(None)")*COUNTIFS(Q_MS_EXPORTr1_data,"Selected",passes_workbook_filters_data,1,passes_workbook_custom_filters_data,1,INDIRECT(All_Questions_Q_MS_EXPORT_CT &amp; "_data"),G$25)</f>
        <v>0</v>
      </c>
      <c r="H26">
        <f>(All_Questions_Q_MS_EXPORT_CT&lt;&gt;"(None)")*COUNTIFS(Q_MS_EXPORTr1_data,"Selected",passes_workbook_filters_data,1,passes_workbook_custom_filters_data,1,INDIRECT(All_Questions_Q_MS_EXPORT_CT &amp; "_data"),H$25)</f>
        <v>0</v>
      </c>
      <c r="I26">
        <f>(All_Questions_Q_MS_EXPORT_CT&lt;&gt;"(None)")*COUNTIFS(Q_MS_EXPORTr1_data,"Selected",passes_workbook_filters_data,1,passes_workbook_custom_filters_data,1,INDIRECT(All_Questions_Q_MS_EXPORT_CT &amp; "_data"),I$25)</f>
        <v>0</v>
      </c>
      <c r="J26">
        <f>(All_Questions_Q_MS_EXPORT_CT&lt;&gt;"(None)")*COUNTIFS(Q_MS_EXPORTr1_data,"Selected",passes_workbook_filters_data,1,passes_workbook_custom_filters_data,1,INDIRECT(All_Questions_Q_MS_EXPORT_CT &amp; "_data"),J$25)</f>
        <v>0</v>
      </c>
      <c r="K26">
        <f>(All_Questions_Q_MS_EXPORT_CT&lt;&gt;"(None)")*COUNTIFS(Q_MS_EXPORTr1_data,"Selected",passes_workbook_filters_data,1,passes_workbook_custom_filters_data,1,INDIRECT(All_Questions_Q_MS_EXPORT_CT &amp; "_data"),K$25)</f>
        <v>0</v>
      </c>
      <c r="L26">
        <f>(All_Questions_Q_MS_EXPORT_CT&lt;&gt;"(None)")*COUNTIFS(Q_MS_EXPORTr1_data,"Selected",passes_workbook_filters_data,1,passes_workbook_custom_filters_data,1,INDIRECT(All_Questions_Q_MS_EXPORT_CT &amp; "_data"),L$25)</f>
        <v>0</v>
      </c>
      <c r="M26">
        <f>(All_Questions_Q_MS_EXPORT_CT&lt;&gt;"(None)")*COUNTIFS(Q_MS_EXPORTr1_data,"Selected",passes_workbook_filters_data,1,passes_workbook_custom_filters_data,1,INDIRECT(All_Questions_Q_MS_EXPORT_CT &amp; "_data"),M$25)</f>
        <v>0</v>
      </c>
      <c r="N26">
        <f>(All_Questions_Q_MS_EXPORT_CT&lt;&gt;"(None)")*COUNTIFS(Q_MS_EXPORTr1_data,"Selected",passes_workbook_filters_data,1,passes_workbook_custom_filters_data,1,INDIRECT(All_Questions_Q_MS_EXPORT_CT &amp; "_data"),N$25)</f>
        <v>0</v>
      </c>
      <c r="O26">
        <f>SUM(G26:N26)</f>
        <v>0</v>
      </c>
    </row>
    <row r="27">
      <c r="A27" t="inlineStr">
        <is>
          <t>Second</t>
        </is>
      </c>
      <c r="B27">
        <f>COUNTIFS(Q_MS_EXPORTr2_data,"Selected",passes_workbook_filters_data,1,passes_workbook_custom_filters_data,1)</f>
        <v>2</v>
      </c>
      <c r="C27" s="7">
        <f>IFERROR(B27/SUBTOTAL(9,B26:B27),0)</f>
        <v>0.2857142857142857</v>
      </c>
      <c r="D27" s="14">
        <f>SUBTOTAL(9,B26:B27)</f>
        <v>7</v>
      </c>
      <c r="F27" t="inlineStr">
        <is>
          <t>Second</t>
        </is>
      </c>
      <c r="G27">
        <f>(All_Questions_Q_MS_EXPORT_CT&lt;&gt;"(None)")*COUNTIFS(Q_MS_EXPORTr2_data,"Selected",passes_workbook_filters_data,1,passes_workbook_custom_filters_data,1,INDIRECT(All_Questions_Q_MS_EXPORT_CT &amp; "_data"),G$25)</f>
        <v>0</v>
      </c>
      <c r="H27">
        <f>(All_Questions_Q_MS_EXPORT_CT&lt;&gt;"(None)")*COUNTIFS(Q_MS_EXPORTr2_data,"Selected",passes_workbook_filters_data,1,passes_workbook_custom_filters_data,1,INDIRECT(All_Questions_Q_MS_EXPORT_CT &amp; "_data"),H$25)</f>
        <v>0</v>
      </c>
      <c r="I27">
        <f>(All_Questions_Q_MS_EXPORT_CT&lt;&gt;"(None)")*COUNTIFS(Q_MS_EXPORTr2_data,"Selected",passes_workbook_filters_data,1,passes_workbook_custom_filters_data,1,INDIRECT(All_Questions_Q_MS_EXPORT_CT &amp; "_data"),I$25)</f>
        <v>0</v>
      </c>
      <c r="J27">
        <f>(All_Questions_Q_MS_EXPORT_CT&lt;&gt;"(None)")*COUNTIFS(Q_MS_EXPORTr2_data,"Selected",passes_workbook_filters_data,1,passes_workbook_custom_filters_data,1,INDIRECT(All_Questions_Q_MS_EXPORT_CT &amp; "_data"),J$25)</f>
        <v>0</v>
      </c>
      <c r="K27">
        <f>(All_Questions_Q_MS_EXPORT_CT&lt;&gt;"(None)")*COUNTIFS(Q_MS_EXPORTr2_data,"Selected",passes_workbook_filters_data,1,passes_workbook_custom_filters_data,1,INDIRECT(All_Questions_Q_MS_EXPORT_CT &amp; "_data"),K$25)</f>
        <v>0</v>
      </c>
      <c r="L27">
        <f>(All_Questions_Q_MS_EXPORT_CT&lt;&gt;"(None)")*COUNTIFS(Q_MS_EXPORTr2_data,"Selected",passes_workbook_filters_data,1,passes_workbook_custom_filters_data,1,INDIRECT(All_Questions_Q_MS_EXPORT_CT &amp; "_data"),L$25)</f>
        <v>0</v>
      </c>
      <c r="M27">
        <f>(All_Questions_Q_MS_EXPORT_CT&lt;&gt;"(None)")*COUNTIFS(Q_MS_EXPORTr2_data,"Selected",passes_workbook_filters_data,1,passes_workbook_custom_filters_data,1,INDIRECT(All_Questions_Q_MS_EXPORT_CT &amp; "_data"),M$25)</f>
        <v>0</v>
      </c>
      <c r="N27">
        <f>(All_Questions_Q_MS_EXPORT_CT&lt;&gt;"(None)")*COUNTIFS(Q_MS_EXPORTr2_data,"Selected",passes_workbook_filters_data,1,passes_workbook_custom_filters_data,1,INDIRECT(All_Questions_Q_MS_EXPORT_CT &amp; "_data"),N$25)</f>
        <v>0</v>
      </c>
      <c r="O27">
        <f>SUM(G27:N27)</f>
        <v>0</v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 t="str">
        <f>IF(All_Questions_Q_NUM_EXPORT_F_Q="(None)","respondent_id_data",All_Questions_Q_NUM_EXPORT_F_Q &amp; "_data")</f>
        <v>respondent_id_data</v>
      </c>
      <c r="G31" t="str">
        <f>"|" &amp; SUBSTITUTE(All_Questions_Q_NUM_EXPORT_F_V, ", ", "|") &amp; "|"</f>
        <v>|(All)|</v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IFERROR(AVERAGEIFS(Q_NUM_EXPORT_data,passes_workbook_filters_data,1,passes_workbook_custom_filters_data,1),0)</f>
        <v>5.5</v>
      </c>
      <c r="D35">
        <f>COUNTIFS(Q_NUM_EXPORT_data,"&lt;&gt;",passes_workbook_filters_data,1,passes_workbook_custom_filters_data,1)</f>
        <v>10</v>
      </c>
    </row>
    <row r="36">
      <c r="A36" t="inlineStr">
        <is>
          <t>Min</t>
        </is>
      </c>
      <c r="B36">
        <f>IFERROR(MINIFS(Q_NUM_EXPORT_data,passes_workbook_filters_data,1,passes_workbook_custom_filters_data,1),0)</f>
        <v>1.0</v>
      </c>
      <c r="D36">
        <f>COUNTIFS(Q_NUM_EXPORT_data,"&lt;&gt;",passes_workbook_filters_data,1,passes_workbook_custom_filters_data,1)</f>
        <v>10</v>
      </c>
    </row>
    <row r="37">
      <c r="A37" t="inlineStr">
        <is>
          <t>Max</t>
        </is>
      </c>
      <c r="B37">
        <f>IFERROR(MAXIFS(Q_NUM_EXPORT_data,passes_workbook_filters_data,1,passes_workbook_custom_filters_data,1),0)</f>
        <v>10.0</v>
      </c>
      <c r="D37">
        <f>COUNTIFS(Q_NUM_EXPORT_data,"&lt;&gt;",passes_workbook_filters_data,1,passes_workbook_custom_filters_data,1)</f>
        <v>10</v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COUNTIFS(Q_NUM_EXPORT_data,"&lt;&gt;",passes_workbook_filters_data,1,passes_workbook_custom_filters_data,1)</f>
        <v>10</v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 t="str">
        <f>IF(All_Questions_Q_GRID_EXPORT_F_Q="(None)","respondent_id_data",All_Questions_Q_GRID_EXPORT_F_Q &amp; "_data")</f>
        <v>respondent_id_data</v>
      </c>
      <c r="G43" t="str">
        <f>"|" &amp; SUBSTITUTE(All_Questions_Q_GRID_EXPORT_F_V, ", ", "|") &amp; "|"</f>
        <v>|(All)|</v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>0</v>
      </c>
      <c r="H46">
        <f>IFERROR(INDEX(INDIRECT(All_Questions_Q_GRID_EXPORT_CT &amp; "_options"),3),"")</f>
        <v>0</v>
      </c>
      <c r="I46">
        <f>IFERROR(INDEX(INDIRECT(All_Questions_Q_GRID_EXPORT_CT &amp; "_options"),4),"")</f>
        <v>0</v>
      </c>
      <c r="J46">
        <f>IFERROR(INDEX(INDIRECT(All_Questions_Q_GRID_EXPORT_CT &amp; "_options"),5),"")</f>
        <v>0</v>
      </c>
      <c r="K46">
        <f>IFERROR(INDEX(INDIRECT(All_Questions_Q_GRID_EXPORT_CT &amp; "_options"),6),"")</f>
        <v>0</v>
      </c>
      <c r="L46">
        <f>IFERROR(INDEX(INDIRECT(All_Questions_Q_GRID_EXPORT_CT &amp; "_options"),7),"")</f>
        <v>0</v>
      </c>
      <c r="M46">
        <f>IFERROR(INDEX(INDIRECT(All_Questions_Q_GRID_EXPORT_CT &amp; "_options"),8),"")</f>
        <v>0</v>
      </c>
      <c r="N46">
        <f>IFERROR(INDEX(INDIRECT(All_Questions_Q_GRID_EXPORT_CT &amp; "_options"),9),"")</f>
        <v>0</v>
      </c>
      <c r="O46" s="5" t="inlineStr">
        <is>
          <t>TOTAL</t>
        </is>
      </c>
    </row>
    <row r="47">
      <c r="A47" t="inlineStr">
        <is>
          <t>Grid first row</t>
        </is>
      </c>
      <c r="B47">
        <f>COUNTIFS(Q_GRID_EXPORTr1_data,"Selected",passes_workbook_filters_data,1,passes_workbook_custom_filters_data,1)</f>
        <v>10</v>
      </c>
      <c r="C47" s="7">
        <f>IFERROR(B47/SUBTOTAL(9,B47:B48),0)</f>
        <v>0.5</v>
      </c>
      <c r="D47" s="14">
        <f>SUBTOTAL(9,B47:B48)</f>
        <v>20</v>
      </c>
      <c r="F47" t="inlineStr">
        <is>
          <t>Grid first row</t>
        </is>
      </c>
      <c r="G47">
        <f>(All_Questions_Q_GRID_EXPORT_CT&lt;&gt;"(None)")*COUNTIFS(Q_GRID_EXPORTr1_data,"Selected",passes_workbook_filters_data,1,passes_workbook_custom_filters_data,1,INDIRECT(All_Questions_Q_GRID_EXPORT_CT &amp; "_data"),G$46)</f>
        <v>0</v>
      </c>
      <c r="H47">
        <f>(All_Questions_Q_GRID_EXPORT_CT&lt;&gt;"(None)")*COUNTIFS(Q_GRID_EXPORTr1_data,"Selected",passes_workbook_filters_data,1,passes_workbook_custom_filters_data,1,INDIRECT(All_Questions_Q_GRID_EXPORT_CT &amp; "_data"),H$46)</f>
        <v>0</v>
      </c>
      <c r="I47">
        <f>(All_Questions_Q_GRID_EXPORT_CT&lt;&gt;"(None)")*COUNTIFS(Q_GRID_EXPORTr1_data,"Selected",passes_workbook_filters_data,1,passes_workbook_custom_filters_data,1,INDIRECT(All_Questions_Q_GRID_EXPORT_CT &amp; "_data"),I$46)</f>
        <v>0</v>
      </c>
      <c r="J47">
        <f>(All_Questions_Q_GRID_EXPORT_CT&lt;&gt;"(None)")*COUNTIFS(Q_GRID_EXPORTr1_data,"Selected",passes_workbook_filters_data,1,passes_workbook_custom_filters_data,1,INDIRECT(All_Questions_Q_GRID_EXPORT_CT &amp; "_data"),J$46)</f>
        <v>0</v>
      </c>
      <c r="K47">
        <f>(All_Questions_Q_GRID_EXPORT_CT&lt;&gt;"(None)")*COUNTIFS(Q_GRID_EXPORTr1_data,"Selected",passes_workbook_filters_data,1,passes_workbook_custom_filters_data,1,INDIRECT(All_Questions_Q_GRID_EXPORT_CT &amp; "_data"),K$46)</f>
        <v>0</v>
      </c>
      <c r="L47">
        <f>(All_Questions_Q_GRID_EXPORT_CT&lt;&gt;"(None)")*COUNTIFS(Q_GRID_EXPORTr1_data,"Selected",passes_workbook_filters_data,1,passes_workbook_custom_filters_data,1,INDIRECT(All_Questions_Q_GRID_EXPORT_CT &amp; "_data"),L$46)</f>
        <v>0</v>
      </c>
      <c r="M47">
        <f>(All_Questions_Q_GRID_EXPORT_CT&lt;&gt;"(None)")*COUNTIFS(Q_GRID_EXPORTr1_data,"Selected",passes_workbook_filters_data,1,passes_workbook_custom_filters_data,1,INDIRECT(All_Questions_Q_GRID_EXPORT_CT &amp; "_data"),M$46)</f>
        <v>0</v>
      </c>
      <c r="N47">
        <f>(All_Questions_Q_GRID_EXPORT_CT&lt;&gt;"(None)")*COUNTIFS(Q_GRID_EXPORTr1_data,"Selected",passes_workbook_filters_data,1,passes_workbook_custom_filters_data,1,INDIRECT(All_Questions_Q_GRID_EXPORT_CT &amp; "_data"),N$46)</f>
        <v>0</v>
      </c>
      <c r="O47">
        <f>SUM(G47:N47)</f>
        <v>0</v>
      </c>
    </row>
    <row r="48">
      <c r="A48" t="inlineStr">
        <is>
          <t>Grid second row</t>
        </is>
      </c>
      <c r="B48">
        <f>COUNTIFS(Q_GRID_EXPORTr2_data,"Selected",passes_workbook_filters_data,1,passes_workbook_custom_filters_data,1)</f>
        <v>10</v>
      </c>
      <c r="C48" s="7">
        <f>IFERROR(B48/SUBTOTAL(9,B47:B48),0)</f>
        <v>0.5</v>
      </c>
      <c r="D48" s="14">
        <f>SUBTOTAL(9,B47:B48)</f>
        <v>20</v>
      </c>
      <c r="F48" t="inlineStr">
        <is>
          <t>Grid second row</t>
        </is>
      </c>
      <c r="G48">
        <f>(All_Questions_Q_GRID_EXPORT_CT&lt;&gt;"(None)")*COUNTIFS(Q_GRID_EXPORTr2_data,"Selected",passes_workbook_filters_data,1,passes_workbook_custom_filters_data,1,INDIRECT(All_Questions_Q_GRID_EXPORT_CT &amp; "_data"),G$46)</f>
        <v>0</v>
      </c>
      <c r="H48">
        <f>(All_Questions_Q_GRID_EXPORT_CT&lt;&gt;"(None)")*COUNTIFS(Q_GRID_EXPORTr2_data,"Selected",passes_workbook_filters_data,1,passes_workbook_custom_filters_data,1,INDIRECT(All_Questions_Q_GRID_EXPORT_CT &amp; "_data"),H$46)</f>
        <v>0</v>
      </c>
      <c r="I48">
        <f>(All_Questions_Q_GRID_EXPORT_CT&lt;&gt;"(None)")*COUNTIFS(Q_GRID_EXPORTr2_data,"Selected",passes_workbook_filters_data,1,passes_workbook_custom_filters_data,1,INDIRECT(All_Questions_Q_GRID_EXPORT_CT &amp; "_data"),I$46)</f>
        <v>0</v>
      </c>
      <c r="J48">
        <f>(All_Questions_Q_GRID_EXPORT_CT&lt;&gt;"(None)")*COUNTIFS(Q_GRID_EXPORTr2_data,"Selected",passes_workbook_filters_data,1,passes_workbook_custom_filters_data,1,INDIRECT(All_Questions_Q_GRID_EXPORT_CT &amp; "_data"),J$46)</f>
        <v>0</v>
      </c>
      <c r="K48">
        <f>(All_Questions_Q_GRID_EXPORT_CT&lt;&gt;"(None)")*COUNTIFS(Q_GRID_EXPORTr2_data,"Selected",passes_workbook_filters_data,1,passes_workbook_custom_filters_data,1,INDIRECT(All_Questions_Q_GRID_EXPORT_CT &amp; "_data"),K$46)</f>
        <v>0</v>
      </c>
      <c r="L48">
        <f>(All_Questions_Q_GRID_EXPORT_CT&lt;&gt;"(None)")*COUNTIFS(Q_GRID_EXPORTr2_data,"Selected",passes_workbook_filters_data,1,passes_workbook_custom_filters_data,1,INDIRECT(All_Questions_Q_GRID_EXPORT_CT &amp; "_data"),L$46)</f>
        <v>0</v>
      </c>
      <c r="M48">
        <f>(All_Questions_Q_GRID_EXPORT_CT&lt;&gt;"(None)")*COUNTIFS(Q_GRID_EXPORTr2_data,"Selected",passes_workbook_filters_data,1,passes_workbook_custom_filters_data,1,INDIRECT(All_Questions_Q_GRID_EXPORT_CT &amp; "_data"),M$46)</f>
        <v>0</v>
      </c>
      <c r="N48">
        <f>(All_Questions_Q_GRID_EXPORT_CT&lt;&gt;"(None)")*COUNTIFS(Q_GRID_EXPORTr2_data,"Selected",passes_workbook_filters_data,1,passes_workbook_custom_filters_data,1,INDIRECT(All_Questions_Q_GRID_EXPORT_CT &amp; "_data"),N$46)</f>
        <v>0</v>
      </c>
      <c r="O48">
        <f>SUM(G48:N48)</f>
        <v>0</v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IF(All_Questions_Q_VERY_LONG_SINGLE_SELECT_EXPORT_NAME_F_Q="(None)","respondent_id_data",All_Questions_Q_VERY_LONG_SINGLE_SELECT_EXPORT_NAME_F_Q &amp; "_data")</f>
        <v>respondent_id_data</v>
      </c>
      <c r="G52" t="str">
        <f>"|" &amp; SUBSTITUTE(All_Questions_Q_VERY_LONG_SINGLE_SELECT_EXPORT_NAME_F_V, ", ", "|") &amp; "|"</f>
        <v>|(All)|</v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>0</v>
      </c>
      <c r="H55">
        <f>IFERROR(INDEX(INDIRECT(All_Questions_Q_VERY_LONG_SINGLE_SELECT_EXPORT_NAME_CT &amp; "_options"),3),"")</f>
        <v>0</v>
      </c>
      <c r="I55">
        <f>IFERROR(INDEX(INDIRECT(All_Questions_Q_VERY_LONG_SINGLE_SELECT_EXPORT_NAME_CT &amp; "_options"),4),"")</f>
        <v>0</v>
      </c>
      <c r="J55">
        <f>IFERROR(INDEX(INDIRECT(All_Questions_Q_VERY_LONG_SINGLE_SELECT_EXPORT_NAME_CT &amp; "_options"),5),"")</f>
        <v>0</v>
      </c>
      <c r="K55">
        <f>IFERROR(INDEX(INDIRECT(All_Questions_Q_VERY_LONG_SINGLE_SELECT_EXPORT_NAME_CT &amp; "_options"),6),"")</f>
        <v>0</v>
      </c>
      <c r="L55">
        <f>IFERROR(INDEX(INDIRECT(All_Questions_Q_VERY_LONG_SINGLE_SELECT_EXPORT_NAME_CT &amp; "_options"),7),"")</f>
        <v>0</v>
      </c>
      <c r="M55">
        <f>IFERROR(INDEX(INDIRECT(All_Questions_Q_VERY_LONG_SINGLE_SELECT_EXPORT_NAME_CT &amp; "_options"),8),"")</f>
        <v>0</v>
      </c>
      <c r="N55">
        <f>IFERROR(INDEX(INDIRECT(All_Questions_Q_VERY_LONG_SINGLE_SELECT_EXPORT_NAME_CT &amp; "_options"),9),"")</f>
        <v>0</v>
      </c>
      <c r="O55" s="5" t="inlineStr">
        <is>
          <t>TOTAL</t>
        </is>
      </c>
    </row>
    <row r="56">
      <c r="A56" t="inlineStr">
        <is>
          <t>A</t>
        </is>
      </c>
      <c r="B56">
        <f>COUNTIFS(Q_VERY_LONG_SINGLE_SELECT_EXPOR_data,"A",passes_workbook_filters_data,1,passes_workbook_custom_filters_data,1)</f>
        <v>7</v>
      </c>
      <c r="C56" s="7">
        <f>IFERROR(B56/SUBTOTAL(9,B56:B57),0)</f>
        <v>0.7</v>
      </c>
      <c r="D56" s="14">
        <f>SUBTOTAL(9,B56:B57)</f>
        <v>10</v>
      </c>
      <c r="F56" t="inlineStr">
        <is>
          <t>A</t>
        </is>
      </c>
      <c r="G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"_data"),G$55)</f>
        <v>0</v>
      </c>
      <c r="H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"_data"),H$55)</f>
        <v>0</v>
      </c>
      <c r="I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"_data"),I$55)</f>
        <v>0</v>
      </c>
      <c r="J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"_data"),J$55)</f>
        <v>0</v>
      </c>
      <c r="K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"_data"),K$55)</f>
        <v>0</v>
      </c>
      <c r="L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"_data"),L$55)</f>
        <v>0</v>
      </c>
      <c r="M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"_data"),M$55)</f>
        <v>0</v>
      </c>
      <c r="N56">
        <f>(All_Questions_Q_VERY_LONG_SINGLE_SELECT_EXPORT_NAME_CT&lt;&gt;"(None)")*COUNTIFS(Q_VERY_LONG_SINGLE_SELECT_EXPOR_data,"A",passes_workbook_filters_data,1,passes_workbook_custom_filters_data,1,INDIRECT(All_Questions_Q_VERY_LONG_SINGLE_SELECT_EXPORT_NAME_CT &amp; "_data"),N$55)</f>
        <v>0</v>
      </c>
      <c r="O56">
        <f>SUM(G56:N56)</f>
        <v>0</v>
      </c>
    </row>
    <row r="57">
      <c r="A57" t="inlineStr">
        <is>
          <t>B</t>
        </is>
      </c>
      <c r="B57">
        <f>COUNTIFS(Q_VERY_LONG_SINGLE_SELECT_EXPOR_data,"B",passes_workbook_filters_data,1,passes_workbook_custom_filters_data,1)</f>
        <v>3</v>
      </c>
      <c r="C57" s="7">
        <f>IFERROR(B57/SUBTOTAL(9,B56:B57),0)</f>
        <v>0.3</v>
      </c>
      <c r="D57" s="14">
        <f>SUBTOTAL(9,B56:B57)</f>
        <v>10</v>
      </c>
      <c r="F57" t="inlineStr">
        <is>
          <t>B</t>
        </is>
      </c>
      <c r="G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"_data"),G$55)</f>
        <v>0</v>
      </c>
      <c r="H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"_data"),H$55)</f>
        <v>0</v>
      </c>
      <c r="I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"_data"),I$55)</f>
        <v>0</v>
      </c>
      <c r="J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"_data"),J$55)</f>
        <v>0</v>
      </c>
      <c r="K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"_data"),K$55)</f>
        <v>0</v>
      </c>
      <c r="L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"_data"),L$55)</f>
        <v>0</v>
      </c>
      <c r="M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"_data"),M$55)</f>
        <v>0</v>
      </c>
      <c r="N57">
        <f>(All_Questions_Q_VERY_LONG_SINGLE_SELECT_EXPORT_NAME_CT&lt;&gt;"(None)")*COUNTIFS(Q_VERY_LONG_SINGLE_SELECT_EXPOR_data,"B",passes_workbook_filters_data,1,passes_workbook_custom_filters_data,1,INDIRECT(All_Questions_Q_VERY_LONG_SINGLE_SELECT_EXPORT_NAME_CT &amp; "_data"),N$55)</f>
        <v>0</v>
      </c>
      <c r="O57">
        <f>SUM(G57:N57)</f>
        <v>0</v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2026-05-15T05:26:02Z</dcterms:created>
  <dcterms:modified xmlns:dcterms="http://purl.org/dc/terms/" xmlns:xsi="http://www.w3.org/2001/XMLSchema-instance" xsi:type="dcterms:W3CDTF">2026-05-15T05:26:02Z</dcterms:modified>
</cp:coreProperties>
</file>