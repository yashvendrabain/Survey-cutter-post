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3" i="9"/>
  <c r="G23" i="9"/>
  <c r="G26" i="9"/>
  <c r="H26" i="9"/>
  <c r="I26" i="9"/>
  <c r="J26" i="9"/>
  <c r="K26" i="9"/>
  <c r="L26" i="9"/>
  <c r="M26" i="9"/>
  <c r="N26" i="9"/>
  <c r="O26" i="9"/>
  <c r="P26" i="9"/>
  <c r="Q26" i="9"/>
  <c r="R26" i="9"/>
  <c r="B27" i="9"/>
  <c r="C27" i="9"/>
  <c r="D27" i="9"/>
  <c r="B28" i="9"/>
  <c r="C28" i="9"/>
  <c r="D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S30" i="9"/>
  <c r="F33" i="9"/>
  <c r="G33" i="9"/>
  <c r="G36" i="9"/>
  <c r="H36" i="9"/>
  <c r="I36" i="9"/>
  <c r="J36" i="9"/>
  <c r="K36" i="9"/>
  <c r="L36" i="9"/>
  <c r="M36" i="9"/>
  <c r="N36" i="9"/>
  <c r="O36" i="9"/>
  <c r="P36" i="9"/>
  <c r="Q36" i="9"/>
  <c r="R36" i="9"/>
  <c r="B37" i="9"/>
  <c r="C37" i="9"/>
  <c r="D37" i="9"/>
  <c r="B38" i="9"/>
  <c r="C38" i="9"/>
  <c r="D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S40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IFERROR(INDEX(All_Questions_Data_Names,MATCH(All_Questions_Q_GRID_EXPORT_F_Q,All_Questions,0)),"'_RawData'!$A:$A")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IF(All_Questions_Q_GRID_EXPORT_CT="(None)","",IFERROR(INDEX(INDIRECT(IFERROR(INDEX(All_Questions_Options_Names,MATCH(All_Questions_Q_GRID_EXPORT_CT,All_Questions,0)),"'_Options'!$E$2:$E$2")),2),""))</f>
        <v/>
      </c>
      <c r="H26" s="2" t="str">
        <f>IF(All_Questions_Q_GRID_EXPORT_CT="(None)","",IFERROR(INDEX(INDIRECT(IFERROR(INDEX(All_Questions_Options_Names,MATCH(All_Questions_Q_GRID_EXPORT_CT,All_Questions,0)),"'_Options'!$E$2:$E$2")),3),""))</f>
        <v/>
      </c>
      <c r="I26" s="2" t="str">
        <f>IF(All_Questions_Q_GRID_EXPORT_CT="(None)","",IFERROR(INDEX(INDIRECT(IFERROR(INDEX(All_Questions_Options_Names,MATCH(All_Questions_Q_GRID_EXPORT_CT,All_Questions,0)),"'_Options'!$E$2:$E$2")),4),""))</f>
        <v/>
      </c>
      <c r="J26" s="2" t="str">
        <f>IF(All_Questions_Q_GRID_EXPORT_CT="(None)","",IFERROR(INDEX(INDIRECT(IFERROR(INDEX(All_Questions_Options_Names,MATCH(All_Questions_Q_GRID_EXPORT_CT,All_Questions,0)),"'_Options'!$E$2:$E$2")),5),""))</f>
        <v/>
      </c>
      <c r="K26" s="2" t="str">
        <f>IF(All_Questions_Q_GRID_EXPORT_CT="(None)","",IFERROR(INDEX(INDIRECT(IFERROR(INDEX(All_Questions_Options_Names,MATCH(All_Questions_Q_GRID_EXPORT_CT,All_Questions,0)),"'_Options'!$E$2:$E$2")),6),""))</f>
        <v/>
      </c>
      <c r="L26" s="2" t="str">
        <f>IF(All_Questions_Q_GRID_EXPORT_CT="(None)","",IFERROR(INDEX(INDIRECT(IFERROR(INDEX(All_Questions_Options_Names,MATCH(All_Questions_Q_GRID_EXPORT_CT,All_Questions,0)),"'_Options'!$E$2:$E$2")),7),""))</f>
        <v/>
      </c>
      <c r="M26" s="2" t="str">
        <f>IF(All_Questions_Q_GRID_EXPORT_CT="(None)","",IFERROR(INDEX(INDIRECT(IFERROR(INDEX(All_Questions_Options_Names,MATCH(All_Questions_Q_GRID_EXPORT_CT,All_Questions,0)),"'_Options'!$E$2:$E$2")),8),""))</f>
        <v/>
      </c>
      <c r="N26" s="2" t="str">
        <f>IF(All_Questions_Q_GRID_EXPORT_CT="(None)","",IFERROR(INDEX(INDIRECT(IFERROR(INDEX(All_Questions_Options_Names,MATCH(All_Questions_Q_GRID_EXPORT_CT,All_Questions,0)),"'_Options'!$E$2:$E$2")),9),""))</f>
        <v/>
      </c>
      <c r="O26" s="2" t="str">
        <f>IF(All_Questions_Q_GRID_EXPORT_CT="(None)","",IFERROR(INDEX(INDIRECT(IFERROR(INDEX(All_Questions_Options_Names,MATCH(All_Questions_Q_GRID_EXPORT_CT,All_Questions,0)),"'_Options'!$E$2:$E$2")),10),""))</f>
        <v/>
      </c>
      <c r="P26" s="2" t="str">
        <f>IF(All_Questions_Q_GRID_EXPORT_CT="(None)","",IFERROR(INDEX(INDIRECT(IFERROR(INDEX(All_Questions_Options_Names,MATCH(All_Questions_Q_GRID_EXPORT_CT,All_Questions,0)),"'_Options'!$E$2:$E$2")),11),""))</f>
        <v/>
      </c>
      <c r="Q26" s="2" t="str">
        <f>IF(All_Questions_Q_GRID_EXPORT_CT="(None)","",IFERROR(INDEX(INDIRECT(IFERROR(INDEX(All_Questions_Options_Names,MATCH(All_Questions_Q_GRID_EXPORT_CT,All_Questions,0)),"'_Options'!$E$2:$E$2")),12),""))</f>
        <v/>
      </c>
      <c r="R2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6" s="4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first row</t>
        </is>
      </c>
      <c r="G28">
        <f>IF(OR(All_Questions_Q_GRID_EXPORT_CT="(None)",G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$26))</f>
        <v>0</v>
      </c>
      <c r="H28">
        <f>IF(OR(All_Questions_Q_GRID_EXPORT_CT="(None)",H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$26))</f>
        <v>0</v>
      </c>
      <c r="I28">
        <f>IF(OR(All_Questions_Q_GRID_EXPORT_CT="(None)",I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$26))</f>
        <v>0</v>
      </c>
      <c r="J28">
        <f>IF(OR(All_Questions_Q_GRID_EXPORT_CT="(None)",J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$26))</f>
        <v>0</v>
      </c>
      <c r="K28">
        <f>IF(OR(All_Questions_Q_GRID_EXPORT_CT="(None)",K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$26))</f>
        <v>0</v>
      </c>
      <c r="L28">
        <f>IF(OR(All_Questions_Q_GRID_EXPORT_CT="(None)",L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$26))</f>
        <v>0</v>
      </c>
      <c r="M28">
        <f>IF(OR(All_Questions_Q_GRID_EXPORT_CT="(None)",M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$26))</f>
        <v>0</v>
      </c>
      <c r="N28">
        <f>IF(OR(All_Questions_Q_GRID_EXPORT_CT="(None)",N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$26))</f>
        <v>0</v>
      </c>
      <c r="O28">
        <f>IF(OR(All_Questions_Q_GRID_EXPORT_CT="(None)",O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$26))</f>
        <v>0</v>
      </c>
      <c r="P28">
        <f>IF(OR(All_Questions_Q_GRID_EXPORT_CT="(None)",P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$26))</f>
        <v>0</v>
      </c>
      <c r="Q28">
        <f>IF(OR(All_Questions_Q_GRID_EXPORT_CT="(None)",Q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$26))</f>
        <v>0</v>
      </c>
      <c r="R28">
        <f>IF(OR(All_Questions_Q_GRID_EXPORT_CT="(None)",R$26=""),"",IF(R$26="Other",COUNTIFS(Q_GRID_EXPORTr1_data,"Selected",passes_workbook_filters_data,1,passes_workbook_custom_filters_data,1,All_Questions_passes_local_filters_data,1,All_Questions_Q_GRID_EXPORT_F_passes_per_q_filter_data,1)-SUM(G28,H28,I28,J28,K28,L28,M28,N28,O28,P28,Q28)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$26)))</f>
        <v>0</v>
      </c>
      <c r="S2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  <c r="F29" t="inlineStr">
        <is>
          <t>Grid second row</t>
        </is>
      </c>
      <c r="G29">
        <f>IF(OR(All_Questions_Q_GRID_EXPORT_CT="(None)",G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$26))</f>
        <v>0</v>
      </c>
      <c r="H29">
        <f>IF(OR(All_Questions_Q_GRID_EXPORT_CT="(None)",H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$26))</f>
        <v>0</v>
      </c>
      <c r="I29">
        <f>IF(OR(All_Questions_Q_GRID_EXPORT_CT="(None)",I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$26))</f>
        <v>0</v>
      </c>
      <c r="J29">
        <f>IF(OR(All_Questions_Q_GRID_EXPORT_CT="(None)",J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$26))</f>
        <v>0</v>
      </c>
      <c r="K29">
        <f>IF(OR(All_Questions_Q_GRID_EXPORT_CT="(None)",K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$26))</f>
        <v>0</v>
      </c>
      <c r="L29">
        <f>IF(OR(All_Questions_Q_GRID_EXPORT_CT="(None)",L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$26))</f>
        <v>0</v>
      </c>
      <c r="M29">
        <f>IF(OR(All_Questions_Q_GRID_EXPORT_CT="(None)",M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$26))</f>
        <v>0</v>
      </c>
      <c r="N29">
        <f>IF(OR(All_Questions_Q_GRID_EXPORT_CT="(None)",N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$26))</f>
        <v>0</v>
      </c>
      <c r="O29">
        <f>IF(OR(All_Questions_Q_GRID_EXPORT_CT="(None)",O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$26))</f>
        <v>0</v>
      </c>
      <c r="P29">
        <f>IF(OR(All_Questions_Q_GRID_EXPORT_CT="(None)",P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$26))</f>
        <v>0</v>
      </c>
      <c r="Q29">
        <f>IF(OR(All_Questions_Q_GRID_EXPORT_CT="(None)",Q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$26))</f>
        <v>0</v>
      </c>
      <c r="R29">
        <f>IF(OR(All_Questions_Q_GRID_EXPORT_CT="(None)",R$26=""),"",IF(R$26="Other",COUNTIFS(Q_GRID_EXPORTr2_data,"Selected",passes_workbook_filters_data,1,passes_workbook_custom_filters_data,1,All_Questions_passes_local_filters_data,1,All_Questions_Q_GRID_EXPORT_F_passes_per_q_filter_data,1)-SUM(G29,H29,I29,J29,K29,L29,M29,N29,O29,P29,Q29)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$26)))</f>
        <v>0</v>
      </c>
      <c r="S2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sheet name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IFERROR(INDEX(All_Questions_Data_Names,MATCH(All_Questions_Q_VERY_LONG_SINGLE_SELECT_EXPORT_NAME_F_Q,All_Questions,0)),"'_RawData'!$A:$A")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6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6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6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6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6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6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6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6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6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6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6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6" s="4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A</t>
        </is>
      </c>
      <c r="G38">
        <f>IF(OR(All_Questions_Q_VERY_LONG_SINGLE_SELECT_EXPORT_NAME_CT="(None)",G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$36))</f>
        <v>0</v>
      </c>
      <c r="H38">
        <f>IF(OR(All_Questions_Q_VERY_LONG_SINGLE_SELECT_EXPORT_NAME_CT="(None)",H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$36))</f>
        <v>0</v>
      </c>
      <c r="I38">
        <f>IF(OR(All_Questions_Q_VERY_LONG_SINGLE_SELECT_EXPORT_NAME_CT="(None)",I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$36))</f>
        <v>0</v>
      </c>
      <c r="J38">
        <f>IF(OR(All_Questions_Q_VERY_LONG_SINGLE_SELECT_EXPORT_NAME_CT="(None)",J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$36))</f>
        <v>0</v>
      </c>
      <c r="K38">
        <f>IF(OR(All_Questions_Q_VERY_LONG_SINGLE_SELECT_EXPORT_NAME_CT="(None)",K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$36))</f>
        <v>0</v>
      </c>
      <c r="L38">
        <f>IF(OR(All_Questions_Q_VERY_LONG_SINGLE_SELECT_EXPORT_NAME_CT="(None)",L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$36))</f>
        <v>0</v>
      </c>
      <c r="M38">
        <f>IF(OR(All_Questions_Q_VERY_LONG_SINGLE_SELECT_EXPORT_NAME_CT="(None)",M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$36))</f>
        <v>0</v>
      </c>
      <c r="N38">
        <f>IF(OR(All_Questions_Q_VERY_LONG_SINGLE_SELECT_EXPORT_NAME_CT="(None)",N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$36))</f>
        <v>0</v>
      </c>
      <c r="O38">
        <f>IF(OR(All_Questions_Q_VERY_LONG_SINGLE_SELECT_EXPORT_NAME_CT="(None)",O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$36))</f>
        <v>0</v>
      </c>
      <c r="P38">
        <f>IF(OR(All_Questions_Q_VERY_LONG_SINGLE_SELECT_EXPORT_NAME_CT="(None)",P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$36))</f>
        <v>0</v>
      </c>
      <c r="Q38">
        <f>IF(OR(All_Questions_Q_VERY_LONG_SINGLE_SELECT_EXPORT_NAME_CT="(None)",Q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$36))</f>
        <v>0</v>
      </c>
      <c r="R38">
        <f>IF(OR(All_Questions_Q_VERY_LONG_SINGLE_SELECT_EXPORT_NAME_CT="(None)",R$36=""),"",IF(R$36="Other",COUNTIFS(Q_VERY_LONG_SINGLE_SELECT_EXPOR_data,"A",passes_workbook_filters_data,1,passes_workbook_custom_filters_data,1,All_Questions_passes_local_filters_data,1,All_Questions_Q_VERY_LONG_SINGLE_SELECT_EXPORT_NAME_F_passes_per_q_filter_data,1)-SUM(G38,H38,I38,J38,K38,L38,M38,N38,O38,P38,Q38)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$36)))</f>
        <v>0</v>
      </c>
      <c r="S38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F39" t="inlineStr">
        <is>
          <t>B</t>
        </is>
      </c>
      <c r="G39">
        <f>IF(OR(All_Questions_Q_VERY_LONG_SINGLE_SELECT_EXPORT_NAME_CT="(None)",G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$36))</f>
        <v>0</v>
      </c>
      <c r="H39">
        <f>IF(OR(All_Questions_Q_VERY_LONG_SINGLE_SELECT_EXPORT_NAME_CT="(None)",H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$36))</f>
        <v>0</v>
      </c>
      <c r="I39">
        <f>IF(OR(All_Questions_Q_VERY_LONG_SINGLE_SELECT_EXPORT_NAME_CT="(None)",I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$36))</f>
        <v>0</v>
      </c>
      <c r="J39">
        <f>IF(OR(All_Questions_Q_VERY_LONG_SINGLE_SELECT_EXPORT_NAME_CT="(None)",J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$36))</f>
        <v>0</v>
      </c>
      <c r="K39">
        <f>IF(OR(All_Questions_Q_VERY_LONG_SINGLE_SELECT_EXPORT_NAME_CT="(None)",K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$36))</f>
        <v>0</v>
      </c>
      <c r="L39">
        <f>IF(OR(All_Questions_Q_VERY_LONG_SINGLE_SELECT_EXPORT_NAME_CT="(None)",L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$36))</f>
        <v>0</v>
      </c>
      <c r="M39">
        <f>IF(OR(All_Questions_Q_VERY_LONG_SINGLE_SELECT_EXPORT_NAME_CT="(None)",M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$36))</f>
        <v>0</v>
      </c>
      <c r="N39">
        <f>IF(OR(All_Questions_Q_VERY_LONG_SINGLE_SELECT_EXPORT_NAME_CT="(None)",N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$36))</f>
        <v>0</v>
      </c>
      <c r="O39">
        <f>IF(OR(All_Questions_Q_VERY_LONG_SINGLE_SELECT_EXPORT_NAME_CT="(None)",O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$36))</f>
        <v>0</v>
      </c>
      <c r="P39">
        <f>IF(OR(All_Questions_Q_VERY_LONG_SINGLE_SELECT_EXPORT_NAME_CT="(None)",P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$36))</f>
        <v>0</v>
      </c>
      <c r="Q39">
        <f>IF(OR(All_Questions_Q_VERY_LONG_SINGLE_SELECT_EXPORT_NAME_CT="(None)",Q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$36))</f>
        <v>0</v>
      </c>
      <c r="R39">
        <f>IF(OR(All_Questions_Q_VERY_LONG_SINGLE_SELECT_EXPORT_NAME_CT="(None)",R$36=""),"",IF(R$36="Other",COUNTIFS(Q_VERY_LONG_SINGLE_SELECT_EXPOR_data,"B",passes_workbook_filters_data,1,passes_workbook_custom_filters_data,1,All_Questions_passes_local_filters_data,1,All_Questions_Q_VERY_LONG_SINGLE_SELECT_EXPORT_NAME_F_passes_per_q_filter_data,1)-SUM(G39,H39,I39,J39,K39,L39,M39,N39,O39,P39,Q39)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$36)))</f>
        <v>0</v>
      </c>
      <c r="S39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2026-05-18T19:34:22Z</dcterms:created>
  <dcterms:modified xmlns:dcterms="http://purl.org/dc/terms/" xmlns:xsi="http://www.w3.org/2001/XMLSchema-instance" xsi:type="dcterms:W3CDTF">2026-05-18T19:34:22Z</dcterms:modified>
</cp:coreProperties>
</file>