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resolved_criteria">'All Questions'!$H$24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resolved_criteria">'All Questions'!$H$35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resolved_criteria">'All Questions'!$H$52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resolved_criteria">'All Questions'!$H$70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H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H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H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H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IF(All_Questions_Q_SS_EXPORT_CT="(None)","",IFERROR(INDEX(INDIRECT(IFERROR(INDEX(Cross_Tab_Questions_Options_Names,MATCH(All_Questions_Q_SS_EXPORT_CT,Cross_Tab_Questions,0)),"'_Options'!$E$2:$E$2")),2),""))</f>
        <v/>
      </c>
      <c r="H16" s="2" t="str">
        <f>IF(All_Questions_Q_SS_EXPORT_CT="(None)","",IFERROR(INDEX(INDIRECT(IFERROR(INDEX(Cross_Tab_Questions_Options_Names,MATCH(All_Questions_Q_SS_EXPORT_CT,Cross_Tab_Questions,0)),"'_Options'!$E$2:$E$2")),3),""))</f>
        <v/>
      </c>
      <c r="I16" s="2" t="str">
        <f>IF(All_Questions_Q_SS_EXPORT_CT="(None)","",IFERROR(INDEX(INDIRECT(IFERROR(INDEX(Cross_Tab_Questions_Options_Names,MATCH(All_Questions_Q_SS_EXPORT_CT,Cross_Tab_Questions,0)),"'_Options'!$E$2:$E$2")),4),""))</f>
        <v/>
      </c>
      <c r="J16" s="2" t="str">
        <f>IF(All_Questions_Q_SS_EXPORT_CT="(None)","",IFERROR(INDEX(INDIRECT(IFERROR(INDEX(Cross_Tab_Questions_Options_Names,MATCH(All_Questions_Q_SS_EXPORT_CT,Cross_Tab_Questions,0)),"'_Options'!$E$2:$E$2")),5),""))</f>
        <v/>
      </c>
      <c r="K16" s="2" t="str">
        <f>IF(All_Questions_Q_SS_EXPORT_CT="(None)","",IFERROR(INDEX(INDIRECT(IFERROR(INDEX(Cross_Tab_Questions_Options_Names,MATCH(All_Questions_Q_SS_EXPORT_CT,Cross_Tab_Questions,0)),"'_Options'!$E$2:$E$2")),6),""))</f>
        <v/>
      </c>
      <c r="L16" s="2" t="str">
        <f>IF(All_Questions_Q_SS_EXPORT_CT="(None)","",IFERROR(INDEX(INDIRECT(IFERROR(INDEX(Cross_Tab_Questions_Options_Names,MATCH(All_Questions_Q_SS_EXPORT_CT,Cross_Tab_Questions,0)),"'_Options'!$E$2:$E$2")),7),""))</f>
        <v/>
      </c>
      <c r="M16" s="2" t="str">
        <f>IF(All_Questions_Q_SS_EXPORT_CT="(None)","",IFERROR(INDEX(INDIRECT(IFERROR(INDEX(Cross_Tab_Questions_Options_Names,MATCH(All_Questions_Q_SS_EXPORT_CT,Cross_Tab_Questions,0)),"'_Options'!$E$2:$E$2")),8),""))</f>
        <v/>
      </c>
      <c r="N16" s="2" t="str">
        <f>IF(All_Questions_Q_SS_EXPORT_CT="(None)","",IFERROR(INDEX(INDIRECT(IFERROR(INDEX(Cross_Tab_Questions_Options_Names,MATCH(All_Questions_Q_SS_EXPORT_CT,Cross_Tab_Questions,0)),"'_Options'!$E$2:$E$2")),9),""))</f>
        <v/>
      </c>
      <c r="O16" s="2" t="str">
        <f>IF(All_Questions_Q_SS_EXPORT_CT="(None)","",IFERROR(INDEX(INDIRECT(IFERROR(INDEX(Cross_Tab_Questions_Options_Names,MATCH(All_Questions_Q_SS_EXPORT_CT,Cross_Tab_Questions,0)),"'_Options'!$E$2:$E$2")),10),""))</f>
        <v/>
      </c>
      <c r="P16" s="2" t="str">
        <f>IF(All_Questions_Q_SS_EXPORT_CT="(None)","",IFERROR(INDEX(INDIRECT(IFERROR(INDEX(Cross_Tab_Questions_Options_Names,MATCH(All_Questions_Q_SS_EXPORT_CT,Cross_Tab_Questions,0)),"'_Options'!$E$2:$E$2")),11),""))</f>
        <v/>
      </c>
      <c r="Q16" s="2" t="str">
        <f>IF(All_Questions_Q_SS_EXPORT_CT="(None)","",IFERROR(INDEX(INDIRECT(IFERROR(INDEX(Cross_Tab_Questions_Options_Names,MATCH(All_Questions_Q_SS_EXPORT_CT,Cross_Tab_Questions,0)),"'_Options'!$E$2:$E$2")),12),""))</f>
        <v/>
      </c>
      <c r="R16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4" t="str">
        <f>"|" &amp; SUBSTITUTE(All_Questions_Q_MS_EXPORT_F_V, ", ", "|") &amp; "|"</f>
        <v>|(All)|</v>
      </c>
      <c r="H24" t="str">
        <f>IFERROR(INDEX(All_Questions_Value_Criteria,MATCH(All_Questions_Q_MS_EXPORT_F_Q&amp;"|"&amp;All_Questions_Q_MS_EXPORT_F_V,All_Questions_Value_Keys,0)),All_Questions_Q_MS_EXPORT_F_V)</f>
        <v>(All)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IF(All_Questions_Q_MS_EXPORT_CT="(None)","",IFERROR(INDEX(INDIRECT(IFERROR(INDEX(Cross_Tab_Questions_Options_Names,MATCH(All_Questions_Q_MS_EXPORT_CT,Cross_Tab_Questions,0)),"'_Options'!$E$2:$E$2")),2),""))</f>
        <v/>
      </c>
      <c r="H27" s="2" t="str">
        <f>IF(All_Questions_Q_MS_EXPORT_CT="(None)","",IFERROR(INDEX(INDIRECT(IFERROR(INDEX(Cross_Tab_Questions_Options_Names,MATCH(All_Questions_Q_MS_EXPORT_CT,Cross_Tab_Questions,0)),"'_Options'!$E$2:$E$2")),3),""))</f>
        <v/>
      </c>
      <c r="I27" s="2" t="str">
        <f>IF(All_Questions_Q_MS_EXPORT_CT="(None)","",IFERROR(INDEX(INDIRECT(IFERROR(INDEX(Cross_Tab_Questions_Options_Names,MATCH(All_Questions_Q_MS_EXPORT_CT,Cross_Tab_Questions,0)),"'_Options'!$E$2:$E$2")),4),""))</f>
        <v/>
      </c>
      <c r="J27" s="2" t="str">
        <f>IF(All_Questions_Q_MS_EXPORT_CT="(None)","",IFERROR(INDEX(INDIRECT(IFERROR(INDEX(Cross_Tab_Questions_Options_Names,MATCH(All_Questions_Q_MS_EXPORT_CT,Cross_Tab_Questions,0)),"'_Options'!$E$2:$E$2")),5),""))</f>
        <v/>
      </c>
      <c r="K27" s="2" t="str">
        <f>IF(All_Questions_Q_MS_EXPORT_CT="(None)","",IFERROR(INDEX(INDIRECT(IFERROR(INDEX(Cross_Tab_Questions_Options_Names,MATCH(All_Questions_Q_MS_EXPORT_CT,Cross_Tab_Questions,0)),"'_Options'!$E$2:$E$2")),6),""))</f>
        <v/>
      </c>
      <c r="L27" s="2" t="str">
        <f>IF(All_Questions_Q_MS_EXPORT_CT="(None)","",IFERROR(INDEX(INDIRECT(IFERROR(INDEX(Cross_Tab_Questions_Options_Names,MATCH(All_Questions_Q_MS_EXPORT_CT,Cross_Tab_Questions,0)),"'_Options'!$E$2:$E$2")),7),""))</f>
        <v/>
      </c>
      <c r="M27" s="2" t="str">
        <f>IF(All_Questions_Q_MS_EXPORT_CT="(None)","",IFERROR(INDEX(INDIRECT(IFERROR(INDEX(Cross_Tab_Questions_Options_Names,MATCH(All_Questions_Q_MS_EXPORT_CT,Cross_Tab_Questions,0)),"'_Options'!$E$2:$E$2")),8),""))</f>
        <v/>
      </c>
      <c r="N27" s="2" t="str">
        <f>IF(All_Questions_Q_MS_EXPORT_CT="(None)","",IFERROR(INDEX(INDIRECT(IFERROR(INDEX(Cross_Tab_Questions_Options_Names,MATCH(All_Questions_Q_MS_EXPORT_CT,Cross_Tab_Questions,0)),"'_Options'!$E$2:$E$2")),9),""))</f>
        <v/>
      </c>
      <c r="O27" s="2" t="str">
        <f>IF(All_Questions_Q_MS_EXPORT_CT="(None)","",IFERROR(INDEX(INDIRECT(IFERROR(INDEX(Cross_Tab_Questions_Options_Names,MATCH(All_Questions_Q_MS_EXPORT_CT,Cross_Tab_Questions,0)),"'_Options'!$E$2:$E$2")),10),""))</f>
        <v/>
      </c>
      <c r="P27" s="2" t="str">
        <f>IF(All_Questions_Q_MS_EXPORT_CT="(None)","",IFERROR(INDEX(INDIRECT(IFERROR(INDEX(Cross_Tab_Questions_Options_Names,MATCH(All_Questions_Q_MS_EXPORT_CT,Cross_Tab_Questions,0)),"'_Options'!$E$2:$E$2")),11),""))</f>
        <v/>
      </c>
      <c r="Q27" s="2" t="str">
        <f>IF(All_Questions_Q_MS_EXPORT_CT="(None)","",IFERROR(INDEX(INDIRECT(IFERROR(INDEX(Cross_Tab_Questions_Options_Names,MATCH(All_Questions_Q_MS_EXPORT_CT,Cross_Tab_Questions,0)),"'_Options'!$E$2:$E$2")),12),""))</f>
        <v/>
      </c>
      <c r="R27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35" t="str">
        <f>"|" &amp; SUBSTITUTE(All_Questions_Q_NUM_EXPORT_F_V, ", ", "|") &amp; "|"</f>
        <v>|(All)|</v>
      </c>
      <c r="H35" t="str">
        <f>IFERROR(INDEX(All_Questions_Value_Criteria,MATCH(All_Questions_Q_NUM_EXPORT_F_Q&amp;"|"&amp;All_Questions_Q_NUM_EXPORT_F_V,All_Questions_Value_Keys,0)),All_Questions_Q_NUM_EXPORT_F_V)</f>
        <v>(All)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IF(All_Questions_Q_NUM_EXPORT_CT="(None)","",IFERROR(INDEX(INDIRECT(IFERROR(INDEX(Cross_Tab_Questions_Options_Names,MATCH(All_Questions_Q_NUM_EXPORT_CT,Cross_Tab_Questions,0)),"'_Options'!$E$2:$E$2")),2),""))</f>
        <v/>
      </c>
      <c r="H45" s="2" t="str">
        <f>IF(All_Questions_Q_NUM_EXPORT_CT="(None)","",IFERROR(INDEX(INDIRECT(IFERROR(INDEX(Cross_Tab_Questions_Options_Names,MATCH(All_Questions_Q_NUM_EXPORT_CT,Cross_Tab_Questions,0)),"'_Options'!$E$2:$E$2")),3),""))</f>
        <v/>
      </c>
      <c r="I45" s="2" t="str">
        <f>IF(All_Questions_Q_NUM_EXPORT_CT="(None)","",IFERROR(INDEX(INDIRECT(IFERROR(INDEX(Cross_Tab_Questions_Options_Names,MATCH(All_Questions_Q_NUM_EXPORT_CT,Cross_Tab_Questions,0)),"'_Options'!$E$2:$E$2")),4),""))</f>
        <v/>
      </c>
      <c r="J45" s="2" t="str">
        <f>IF(All_Questions_Q_NUM_EXPORT_CT="(None)","",IFERROR(INDEX(INDIRECT(IFERROR(INDEX(Cross_Tab_Questions_Options_Names,MATCH(All_Questions_Q_NUM_EXPORT_CT,Cross_Tab_Questions,0)),"'_Options'!$E$2:$E$2")),5),""))</f>
        <v/>
      </c>
      <c r="K45" s="2" t="str">
        <f>IF(All_Questions_Q_NUM_EXPORT_CT="(None)","",IFERROR(INDEX(INDIRECT(IFERROR(INDEX(Cross_Tab_Questions_Options_Names,MATCH(All_Questions_Q_NUM_EXPORT_CT,Cross_Tab_Questions,0)),"'_Options'!$E$2:$E$2")),6),""))</f>
        <v/>
      </c>
      <c r="L45" s="2" t="str">
        <f>IF(All_Questions_Q_NUM_EXPORT_CT="(None)","",IFERROR(INDEX(INDIRECT(IFERROR(INDEX(Cross_Tab_Questions_Options_Names,MATCH(All_Questions_Q_NUM_EXPORT_CT,Cross_Tab_Questions,0)),"'_Options'!$E$2:$E$2")),7),""))</f>
        <v/>
      </c>
      <c r="M45" s="2" t="str">
        <f>IF(All_Questions_Q_NUM_EXPORT_CT="(None)","",IFERROR(INDEX(INDIRECT(IFERROR(INDEX(Cross_Tab_Questions_Options_Names,MATCH(All_Questions_Q_NUM_EXPORT_CT,Cross_Tab_Questions,0)),"'_Options'!$E$2:$E$2")),8),""))</f>
        <v/>
      </c>
      <c r="N45" s="2" t="str">
        <f>IF(All_Questions_Q_NUM_EXPORT_CT="(None)","",IFERROR(INDEX(INDIRECT(IFERROR(INDEX(Cross_Tab_Questions_Options_Names,MATCH(All_Questions_Q_NUM_EXPORT_CT,Cross_Tab_Questions,0)),"'_Options'!$E$2:$E$2")),9),""))</f>
        <v/>
      </c>
      <c r="O45" s="2" t="str">
        <f>IF(All_Questions_Q_NUM_EXPORT_CT="(None)","",IFERROR(INDEX(INDIRECT(IFERROR(INDEX(Cross_Tab_Questions_Options_Names,MATCH(All_Questions_Q_NUM_EXPORT_CT,Cross_Tab_Questions,0)),"'_Options'!$E$2:$E$2")),10),""))</f>
        <v/>
      </c>
      <c r="P45" s="2" t="str">
        <f>IF(All_Questions_Q_NUM_EXPORT_CT="(None)","",IFERROR(INDEX(INDIRECT(IFERROR(INDEX(Cross_Tab_Questions_Options_Names,MATCH(All_Questions_Q_NUM_EXPORT_CT,Cross_Tab_Questions,0)),"'_Options'!$E$2:$E$2")),11),""))</f>
        <v/>
      </c>
      <c r="Q45" s="2" t="str">
        <f>IF(All_Questions_Q_NUM_EXPORT_CT="(None)","",IFERROR(INDEX(INDIRECT(IFERROR(INDEX(Cross_Tab_Questions_Options_Names,MATCH(All_Questions_Q_NUM_EXPORT_CT,Cross_Tab_Questions,0)),"'_Options'!$E$2:$E$2")),12),""))</f>
        <v/>
      </c>
      <c r="R45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52" t="str">
        <f>"|" &amp; SUBSTITUTE(All_Questions_Q_GRID_EXPORT_F_V, ", ", "|") &amp; "|"</f>
        <v>|(All)|</v>
      </c>
      <c r="H52" t="str">
        <f>IFERROR(INDEX(All_Questions_Value_Criteria,MATCH(All_Questions_Q_GRID_EXPORT_F_Q&amp;"|"&amp;All_Questions_Q_GRID_EXPORT_F_V,All_Questions_Value_Keys,0)),All_Questions_Q_GRID_EXPORT_F_V)</f>
        <v>(All)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62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62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62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62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62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62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62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62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62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62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62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0" t="str">
        <f>"|" &amp; SUBSTITUTE(All_Questions_Q_VERY_LONG_SINGLE_SELECT_EXPORT_NAME_F_V, ", ", "|") &amp; "|"</f>
        <v>|(All)|</v>
      </c>
      <c r="H70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73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=Cross_Tab_Questions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=Cross_Tab_Questions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=Cross_Tab_Questions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2026-06-08T13:44:59.423800+00:00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2026-06-08T13:44:59.423858+00:00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2026-06-08T13:44:59.423898+00:00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2026-06-08T13:44:59.423957+00:00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2026-06-08T13:44:59.424009+00:00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2026-06-08T13:44:59.424051+00:00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2026-06-08T13:44:59.424091+00:00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2026-06-08T13:44:59.424132+00:00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2026-06-08T13:44:59.424172+00:00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2026-06-08T13:44:59.424255+00:00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2026-06-08T13:44:59.424336+00:00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2026-06-08T13:44:59.424392+00:00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2026-06-08T13:44:59.424467+00:00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2026-06-08T13:44:59.424508+00:00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2026-06-08T13:44:59.424548+00:00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2026-06-08T13:44:59.424585+00:00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2026-06-08T13:44:59.424624+00:00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2026-06-08T13:44:59.424662+00:00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2026-06-08T13:44:59.424701+00:00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2026-06-08T13:44:59.424739+00:00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2026-06-08T13:44:59.424775+00:00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2026-06-08T13:44:59.424812+00:00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2026-06-08T13:44:59.424849+00:00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2026-06-08T13:44:59.424896+00:00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2026-06-08T13:44:59.429676+00:00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2026-06-08T13:44:59.429715+00:00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2026-06-08T13:44:59.429745+00:00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2026-06-08T13:44:59.429771+00:00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2026-06-08T13:44:59.429796+00:00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2026-06-08T13:44:59.429822+00:00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2026-06-08T13:44:59.429846+00:00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2026-06-08T13:44:59.429869+00:00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2026-06-08T13:44:59.429893+00:00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2026-06-08T13:44:59.429918+00:00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2026-06-08T13:44:59.429965+00:00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2026-06-08T13:44:59.430007+00:00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2026-06-08T13:44:59Z</dcterms:created>
  <dcterms:modified xmlns:dcterms="http://purl.org/dc/terms/" xmlns:xsi="http://www.w3.org/2001/XMLSchema-instance" xsi:type="dcterms:W3CDTF">2026-06-08T13:44:59Z</dcterms:modified>
</cp:coreProperties>
</file>