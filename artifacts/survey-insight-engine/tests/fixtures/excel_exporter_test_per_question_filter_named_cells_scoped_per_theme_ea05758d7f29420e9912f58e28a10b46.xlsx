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  <c r="F33" i="9"/>
  <c r="G33" i="9"/>
  <c r="G36" i="9"/>
  <c r="H36" i="9"/>
  <c r="I36" i="9"/>
  <c r="J36" i="9"/>
  <c r="K36" i="9"/>
  <c r="L36" i="9"/>
  <c r="M36" i="9"/>
  <c r="N36" i="9"/>
  <c r="B37" i="9"/>
  <c r="C37" i="9"/>
  <c r="D37" i="9"/>
  <c r="G37" i="9"/>
  <c r="H37" i="9"/>
  <c r="I37" i="9"/>
  <c r="J37" i="9"/>
  <c r="K37" i="9"/>
  <c r="L37" i="9"/>
  <c r="M37" i="9"/>
  <c r="N37" i="9"/>
  <c r="O37" i="9"/>
  <c r="B38" i="9"/>
  <c r="C38" i="9"/>
  <c r="D38" i="9"/>
  <c r="G38" i="9"/>
  <c r="H38" i="9"/>
  <c r="I38" i="9"/>
  <c r="J38" i="9"/>
  <c r="K38" i="9"/>
  <c r="L38" i="9"/>
  <c r="M38" i="9"/>
  <c r="N38" i="9"/>
  <c r="O3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2" authorId="0" shapeId="0">
      <text>
        <t>Grid export question</t>
      </text>
    </comment>
    <comment ref="A3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</sheetData>
  <mergeCells count="2"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Multi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XLOOKUP(All_Questions_Q_MS_EXPORT_F_Q,All_Questions,All_Questions_Data_Names,"respondent_id_data")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IFERROR(INDEX(INDIRECT(XLOOKUP(All_Questions_Q_MS_EXPORT_CT,All_Questions,All_Questions_Options_Names,"None_options")),2),"")</f>
        <v/>
      </c>
      <c r="H16" t="str">
        <f>IFERROR(INDEX(INDIRECT(XLOOKUP(All_Questions_Q_MS_EXPORT_CT,All_Questions,All_Questions_Options_Names,"None_options")),3),"")</f>
        <v/>
      </c>
      <c r="I16" t="str">
        <f>IFERROR(INDEX(INDIRECT(XLOOKUP(All_Questions_Q_MS_EXPORT_CT,All_Questions,All_Questions_Options_Names,"None_options")),4),"")</f>
        <v/>
      </c>
      <c r="J16" t="str">
        <f>IFERROR(INDEX(INDIRECT(XLOOKUP(All_Questions_Q_MS_EXPORT_CT,All_Questions,All_Questions_Options_Names,"None_options")),5),"")</f>
        <v/>
      </c>
      <c r="K16" t="str">
        <f>IFERROR(INDEX(INDIRECT(XLOOKUP(All_Questions_Q_MS_EXPORT_CT,All_Questions,All_Questions_Options_Names,"None_options")),6),"")</f>
        <v/>
      </c>
      <c r="L16" t="str">
        <f>IFERROR(INDEX(INDIRECT(XLOOKUP(All_Questions_Q_MS_EXPORT_CT,All_Questions,All_Questions_Options_Names,"None_options")),7),"")</f>
        <v/>
      </c>
      <c r="M16" t="str">
        <f>IFERROR(INDEX(INDIRECT(XLOOKUP(All_Questions_Q_MS_EXPORT_CT,All_Questions,All_Questions_Options_Names,"None_options")),8),"")</f>
        <v/>
      </c>
      <c r="N16" t="str">
        <f>IFERROR(INDEX(INDIRECT(XLOOKUP(All_Questions_Q_MS_EXPORT_CT,All_Questions,All_Questions_Options_Names,"None_options")),9),"")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t="inlineStr">
        <is>
          <t>First</t>
        </is>
      </c>
      <c r="G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7">
        <f>SUM(G17:N17)</f>
        <v>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Second</t>
        </is>
      </c>
      <c r="G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Grid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XLOOKUP(All_Questions_Q_GRID_EXPORT_F_Q,All_Questions,All_Questions_Data_Names,"respondent_id_data")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IFERROR(INDEX(INDIRECT(XLOOKUP(All_Questions_Q_GRID_EXPORT_CT,All_Questions,All_Questions_Options_Names,"None_options")),2),"")</f>
        <v/>
      </c>
      <c r="H26" t="str">
        <f>IFERROR(INDEX(INDIRECT(XLOOKUP(All_Questions_Q_GRID_EXPORT_CT,All_Questions,All_Questions_Options_Names,"None_options")),3),"")</f>
        <v/>
      </c>
      <c r="I26" t="str">
        <f>IFERROR(INDEX(INDIRECT(XLOOKUP(All_Questions_Q_GRID_EXPORT_CT,All_Questions,All_Questions_Options_Names,"None_options")),4),"")</f>
        <v/>
      </c>
      <c r="J26" t="str">
        <f>IFERROR(INDEX(INDIRECT(XLOOKUP(All_Questions_Q_GRID_EXPORT_CT,All_Questions,All_Questions_Options_Names,"None_options")),5),"")</f>
        <v/>
      </c>
      <c r="K26" t="str">
        <f>IFERROR(INDEX(INDIRECT(XLOOKUP(All_Questions_Q_GRID_EXPORT_CT,All_Questions,All_Questions_Options_Names,"None_options")),6),"")</f>
        <v/>
      </c>
      <c r="L26" t="str">
        <f>IFERROR(INDEX(INDIRECT(XLOOKUP(All_Questions_Q_GRID_EXPORT_CT,All_Questions,All_Questions_Options_Names,"None_options")),7),"")</f>
        <v/>
      </c>
      <c r="M26" t="str">
        <f>IFERROR(INDEX(INDIRECT(XLOOKUP(All_Questions_Q_GRID_EXPORT_CT,All_Questions,All_Questions_Options_Names,"None_options")),8),"")</f>
        <v/>
      </c>
      <c r="N26" t="str">
        <f>IFERROR(INDEX(INDIRECT(XLOOKUP(All_Questions_Q_GRID_EXPORT_CT,All_Questions,All_Questions_Options_Names,"None_options")),9),"")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t="inlineStr">
        <is>
          <t>Grid first row</t>
        </is>
      </c>
      <c r="G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7">
        <f>SUM(G27:N27)</f>
        <v>0</v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second row</t>
        </is>
      </c>
      <c r="G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Long sheet name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XLOOKUP(All_Questions_Q_VERY_LONG_SINGLE_SELECT_EXPORT_NAME_F_Q,All_Questions,All_Questions_Data_Names,"respondent_id_data")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5" t="inlineStr">
        <is>
          <t>Option \ Cross-tab</t>
        </is>
      </c>
      <c r="G36" t="str">
        <f>IFERROR(INDEX(INDIRECT(XLOOKUP(All_Questions_Q_VERY_LONG_SINGLE_SELECT_EXPORT_NAME_CT,All_Questions,All_Questions_Options_Names,"None_options")),2),"")</f>
        <v/>
      </c>
      <c r="H36" t="str">
        <f>IFERROR(INDEX(INDIRECT(XLOOKUP(All_Questions_Q_VERY_LONG_SINGLE_SELECT_EXPORT_NAME_CT,All_Questions,All_Questions_Options_Names,"None_options")),3),"")</f>
        <v/>
      </c>
      <c r="I36" t="str">
        <f>IFERROR(INDEX(INDIRECT(XLOOKUP(All_Questions_Q_VERY_LONG_SINGLE_SELECT_EXPORT_NAME_CT,All_Questions,All_Questions_Options_Names,"None_options")),4),"")</f>
        <v/>
      </c>
      <c r="J36" t="str">
        <f>IFERROR(INDEX(INDIRECT(XLOOKUP(All_Questions_Q_VERY_LONG_SINGLE_SELECT_EXPORT_NAME_CT,All_Questions,All_Questions_Options_Names,"None_options")),5),"")</f>
        <v/>
      </c>
      <c r="K36" t="str">
        <f>IFERROR(INDEX(INDIRECT(XLOOKUP(All_Questions_Q_VERY_LONG_SINGLE_SELECT_EXPORT_NAME_CT,All_Questions,All_Questions_Options_Names,"None_options")),6),"")</f>
        <v/>
      </c>
      <c r="L36" t="str">
        <f>IFERROR(INDEX(INDIRECT(XLOOKUP(All_Questions_Q_VERY_LONG_SINGLE_SELECT_EXPORT_NAME_CT,All_Questions,All_Questions_Options_Names,"None_options")),7),"")</f>
        <v/>
      </c>
      <c r="M36" t="str">
        <f>IFERROR(INDEX(INDIRECT(XLOOKUP(All_Questions_Q_VERY_LONG_SINGLE_SELECT_EXPORT_NAME_CT,All_Questions,All_Questions_Options_Names,"None_options")),8),"")</f>
        <v/>
      </c>
      <c r="N36" t="str">
        <f>IFERROR(INDEX(INDIRECT(XLOOKUP(All_Questions_Q_VERY_LONG_SINGLE_SELECT_EXPORT_NAME_CT,All_Questions,All_Questions_Options_Names,"None_options")),9),"")</f>
        <v/>
      </c>
      <c r="O36" s="5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t="inlineStr">
        <is>
          <t>A</t>
        </is>
      </c>
      <c r="G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7">
        <f>SUM(G37:N37)</f>
        <v>0</v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B</t>
        </is>
      </c>
      <c r="G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8">
        <f>SUM(G38:N38)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</row>
  </sheetData>
  <mergeCells count="4">
    <mergeCell ref="A22:J22"/>
    <mergeCell ref="A1:J1"/>
    <mergeCell ref="A32:J32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:N3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:O3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=INDIRECT(XLOOKUP(All_Questions_Q_MS_EXPORT_F_Q,All_Questions,All_Questions_Options_Names,"None_options"))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=INDIRECT(XLOOKUP(All_Questions_Q_GRID_EXPORT_F_Q,All_Questions,All_Questions_Options_Names,"None_options"))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2026-05-15T09:58:39Z</dcterms:created>
  <dcterms:modified xmlns:dcterms="http://purl.org/dc/terms/" xmlns:xsi="http://www.w3.org/2001/XMLSchema-instance" xsi:type="dcterms:W3CDTF">2026-05-15T09:58:39Z</dcterms:modified>
</cp:coreProperties>
</file>