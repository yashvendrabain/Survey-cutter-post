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Questions'!$C$37</definedName>
    <definedName name="All_Questions_Q_VERY_LONG_SINGLE_SELECT_EXPORT_NAME_F_V">'All Questions'!$E$37</definedName>
    <definedName name="All_Questions_Q_VERY_LONG_SINGLE_SELECT_EXPORT_NAME_F_resolved_column">'All Questions'!$F$37</definedName>
    <definedName name="All_Questions_Q_VERY_LONG_SINGLE_SELECT_EXPORT_NAME_F_wrapped">'All Questions'!$G$37</definedName>
    <definedName name="All_Questions_Q_VERY_LONG_SINGLE_SELECT_EXPORT_NAME_F_passes_per_q_filter_data">'_RawData'!$Y$2:$Y$11</definedName>
    <definedName name="All_Questions_Q_VERY_LONG_SINGLE_SELECT_EXPORT_NAME_CT">'All Questions'!$C$38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B19" i="7"/>
  <c r="C19" i="7"/>
  <c r="D19" i="7"/>
  <c r="G19" i="7"/>
  <c r="H19" i="7"/>
  <c r="I19" i="7"/>
  <c r="J19" i="7"/>
  <c r="K19" i="7"/>
  <c r="L19" i="7"/>
  <c r="M19" i="7"/>
  <c r="N19" i="7"/>
  <c r="O19" i="7"/>
  <c r="B20" i="7"/>
  <c r="C20" i="7"/>
  <c r="D20" i="7"/>
  <c r="G20" i="7"/>
  <c r="H20" i="7"/>
  <c r="I20" i="7"/>
  <c r="J20" i="7"/>
  <c r="K20" i="7"/>
  <c r="L20" i="7"/>
  <c r="M20" i="7"/>
  <c r="N20" i="7"/>
  <c r="O20" i="7"/>
  <c r="F25" i="7"/>
  <c r="G25" i="7"/>
  <c r="G28" i="7"/>
  <c r="H28" i="7"/>
  <c r="I28" i="7"/>
  <c r="J28" i="7"/>
  <c r="K28" i="7"/>
  <c r="L28" i="7"/>
  <c r="M28" i="7"/>
  <c r="N28" i="7"/>
  <c r="B29" i="7"/>
  <c r="C29" i="7"/>
  <c r="D29" i="7"/>
  <c r="G29" i="7"/>
  <c r="H29" i="7"/>
  <c r="I29" i="7"/>
  <c r="J29" i="7"/>
  <c r="K29" i="7"/>
  <c r="L29" i="7"/>
  <c r="M29" i="7"/>
  <c r="N29" i="7"/>
  <c r="O29" i="7"/>
  <c r="B30" i="7"/>
  <c r="C30" i="7"/>
  <c r="D30" i="7"/>
  <c r="G30" i="7"/>
  <c r="H30" i="7"/>
  <c r="I30" i="7"/>
  <c r="J30" i="7"/>
  <c r="K30" i="7"/>
  <c r="L30" i="7"/>
  <c r="M30" i="7"/>
  <c r="N30" i="7"/>
  <c r="O30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B31" i="8"/>
  <c r="C31" i="8"/>
  <c r="D31" i="8"/>
  <c r="G31" i="8"/>
  <c r="H31" i="8"/>
  <c r="I31" i="8"/>
  <c r="J31" i="8"/>
  <c r="K31" i="8"/>
  <c r="L31" i="8"/>
  <c r="M31" i="8"/>
  <c r="N31" i="8"/>
  <c r="O31" i="8"/>
  <c r="B32" i="8"/>
  <c r="C32" i="8"/>
  <c r="D32" i="8"/>
  <c r="G32" i="8"/>
  <c r="H32" i="8"/>
  <c r="I32" i="8"/>
  <c r="J32" i="8"/>
  <c r="K32" i="8"/>
  <c r="L32" i="8"/>
  <c r="M32" i="8"/>
  <c r="N32" i="8"/>
  <c r="O32" i="8"/>
  <c r="F37" i="8"/>
  <c r="G37" i="8"/>
  <c r="G40" i="8"/>
  <c r="H40" i="8"/>
  <c r="I40" i="8"/>
  <c r="J40" i="8"/>
  <c r="K40" i="8"/>
  <c r="L40" i="8"/>
  <c r="M40" i="8"/>
  <c r="N40" i="8"/>
  <c r="B41" i="8"/>
  <c r="C41" i="8"/>
  <c r="D41" i="8"/>
  <c r="G41" i="8"/>
  <c r="H41" i="8"/>
  <c r="I41" i="8"/>
  <c r="J41" i="8"/>
  <c r="K41" i="8"/>
  <c r="L41" i="8"/>
  <c r="M41" i="8"/>
  <c r="N41" i="8"/>
  <c r="O41" i="8"/>
  <c r="B42" i="8"/>
  <c r="C42" i="8"/>
  <c r="D42" i="8"/>
  <c r="G42" i="8"/>
  <c r="H42" i="8"/>
  <c r="I42" i="8"/>
  <c r="J42" i="8"/>
  <c r="K42" i="8"/>
  <c r="L42" i="8"/>
  <c r="M42" i="8"/>
  <c r="N42" i="8"/>
  <c r="O42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Single select export question</t>
      </text>
    </comment>
    <comment ref="A24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Numeric export question</t>
      </text>
    </comment>
    <comment ref="A26" authorId="0" shapeId="0">
      <text>
        <t>Grid export question</t>
      </text>
    </comment>
    <comment ref="A36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3" headerRowCount="1">
  <autoFilter ref="A30:D3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0_1" displayName="T_All_Questions_40_1" ref="A40:D43" headerRowCount="1">
  <autoFilter ref="A40:D4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XLOOKUP(F_Custom1_Q,All_Questions,All_Questions_Data_Names,"respondent_id_data")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XLOOKUP(F_Custom2_Q,All_Questions,All_Questions_Data_Names,"respondent_id_data")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=INDIRECT(XLOOKUP(F_Custom1_Q,All_Questions,All_Questions_Options_Names,"None_options"))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XLOOKUP(Demographics_F_Custom1_Q_resolved,All_Questions,All_Questions_Data_Names,"respondent_id_data")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XLOOKUP(Demographics_F_Custom2_Q_resolved,All_Questions,All_Questions_Data_Names,"respondent_id_data")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Single select export question</t>
        </is>
      </c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XLOOKUP(Demographics_Q_SS_EXPORT_F_Q,All_Questions,All_Questions_Data_Names,"respondent_id_data")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5" t="inlineStr">
        <is>
          <t>Option \ Cross-tab</t>
        </is>
      </c>
      <c r="G18" t="str">
        <f>IFERROR(INDEX(INDIRECT(XLOOKUP(Demographics_Q_SS_EXPORT_CT,All_Questions,All_Questions_Options_Names,"None_options")),2),"")</f>
        <v/>
      </c>
      <c r="H18" t="str">
        <f>IFERROR(INDEX(INDIRECT(XLOOKUP(Demographics_Q_SS_EXPORT_CT,All_Questions,All_Questions_Options_Names,"None_options")),3),"")</f>
        <v/>
      </c>
      <c r="I18" t="str">
        <f>IFERROR(INDEX(INDIRECT(XLOOKUP(Demographics_Q_SS_EXPORT_CT,All_Questions,All_Questions_Options_Names,"None_options")),4),"")</f>
        <v/>
      </c>
      <c r="J18" t="str">
        <f>IFERROR(INDEX(INDIRECT(XLOOKUP(Demographics_Q_SS_EXPORT_CT,All_Questions,All_Questions_Options_Names,"None_options")),5),"")</f>
        <v/>
      </c>
      <c r="K18" t="str">
        <f>IFERROR(INDEX(INDIRECT(XLOOKUP(Demographics_Q_SS_EXPORT_CT,All_Questions,All_Questions_Options_Names,"None_options")),6),"")</f>
        <v/>
      </c>
      <c r="L18" t="str">
        <f>IFERROR(INDEX(INDIRECT(XLOOKUP(Demographics_Q_SS_EXPORT_CT,All_Questions,All_Questions_Options_Names,"None_options")),7),"")</f>
        <v/>
      </c>
      <c r="M18" t="str">
        <f>IFERROR(INDEX(INDIRECT(XLOOKUP(Demographics_Q_SS_EXPORT_CT,All_Questions,All_Questions_Options_Names,"None_options")),8),"")</f>
        <v/>
      </c>
      <c r="N18" t="str">
        <f>IFERROR(INDEX(INDIRECT(XLOOKUP(Demographics_Q_SS_EXPORT_CT,All_Questions,All_Questions_Options_Names,"None_options")),9),"")</f>
        <v/>
      </c>
      <c r="O18" s="5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t="inlineStr">
        <is>
          <t>Yes</t>
        </is>
      </c>
      <c r="G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$18)</f>
        <v>0</v>
      </c>
      <c r="H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$18)</f>
        <v>0</v>
      </c>
      <c r="I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$18)</f>
        <v>0</v>
      </c>
      <c r="J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$18)</f>
        <v>0</v>
      </c>
      <c r="K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$18)</f>
        <v>0</v>
      </c>
      <c r="L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$18)</f>
        <v>0</v>
      </c>
      <c r="M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$18)</f>
        <v>0</v>
      </c>
      <c r="N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$18)</f>
        <v>0</v>
      </c>
      <c r="O19">
        <f>SUM(G19:N19)</f>
        <v>0</v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No</t>
        </is>
      </c>
      <c r="G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$18)</f>
        <v>0</v>
      </c>
      <c r="H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$18)</f>
        <v>0</v>
      </c>
      <c r="I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$18)</f>
        <v>0</v>
      </c>
      <c r="J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$18)</f>
        <v>0</v>
      </c>
      <c r="K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$18)</f>
        <v>0</v>
      </c>
      <c r="L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$18)</f>
        <v>0</v>
      </c>
      <c r="M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$18)</f>
        <v>0</v>
      </c>
      <c r="N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$18)</f>
        <v>0</v>
      </c>
      <c r="O20">
        <f>SUM(G20:N20)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Multi select export question</t>
        </is>
      </c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XLOOKUP(Demographics_Q_MS_EXPORT_F_Q,All_Questions,All_Questions_Data_Names,"respondent_id_data")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5" t="inlineStr">
        <is>
          <t>Option \ Cross-tab</t>
        </is>
      </c>
      <c r="G28" t="str">
        <f>IFERROR(INDEX(INDIRECT(XLOOKUP(Demographics_Q_MS_EXPORT_CT,All_Questions,All_Questions_Options_Names,"None_options")),2),"")</f>
        <v/>
      </c>
      <c r="H28" t="str">
        <f>IFERROR(INDEX(INDIRECT(XLOOKUP(Demographics_Q_MS_EXPORT_CT,All_Questions,All_Questions_Options_Names,"None_options")),3),"")</f>
        <v/>
      </c>
      <c r="I28" t="str">
        <f>IFERROR(INDEX(INDIRECT(XLOOKUP(Demographics_Q_MS_EXPORT_CT,All_Questions,All_Questions_Options_Names,"None_options")),4),"")</f>
        <v/>
      </c>
      <c r="J28" t="str">
        <f>IFERROR(INDEX(INDIRECT(XLOOKUP(Demographics_Q_MS_EXPORT_CT,All_Questions,All_Questions_Options_Names,"None_options")),5),"")</f>
        <v/>
      </c>
      <c r="K28" t="str">
        <f>IFERROR(INDEX(INDIRECT(XLOOKUP(Demographics_Q_MS_EXPORT_CT,All_Questions,All_Questions_Options_Names,"None_options")),6),"")</f>
        <v/>
      </c>
      <c r="L28" t="str">
        <f>IFERROR(INDEX(INDIRECT(XLOOKUP(Demographics_Q_MS_EXPORT_CT,All_Questions,All_Questions_Options_Names,"None_options")),7),"")</f>
        <v/>
      </c>
      <c r="M28" t="str">
        <f>IFERROR(INDEX(INDIRECT(XLOOKUP(Demographics_Q_MS_EXPORT_CT,All_Questions,All_Questions_Options_Names,"None_options")),8),"")</f>
        <v/>
      </c>
      <c r="N28" t="str">
        <f>IFERROR(INDEX(INDIRECT(XLOOKUP(Demographics_Q_MS_EXPORT_CT,All_Questions,All_Questions_Options_Names,"None_options")),9),"")</f>
        <v/>
      </c>
      <c r="O28" s="5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t="inlineStr">
        <is>
          <t>First</t>
        </is>
      </c>
      <c r="G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</f>
        <v>0</v>
      </c>
      <c r="H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H$28)</f>
        <v>0</v>
      </c>
      <c r="I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</f>
        <v>0</v>
      </c>
      <c r="J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J$28)</f>
        <v>0</v>
      </c>
      <c r="K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</f>
        <v>0</v>
      </c>
      <c r="L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L$28)</f>
        <v>0</v>
      </c>
      <c r="M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</f>
        <v>0</v>
      </c>
      <c r="N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N$28)</f>
        <v>0</v>
      </c>
      <c r="O29">
        <f>SUM(G29:N29)</f>
        <v>0</v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Second</t>
        </is>
      </c>
      <c r="G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</f>
        <v>0</v>
      </c>
      <c r="H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H$28)</f>
        <v>0</v>
      </c>
      <c r="I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</f>
        <v>0</v>
      </c>
      <c r="J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J$28)</f>
        <v>0</v>
      </c>
      <c r="K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</f>
        <v>0</v>
      </c>
      <c r="L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L$28)</f>
        <v>0</v>
      </c>
      <c r="M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</f>
        <v>0</v>
      </c>
      <c r="N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N$28)</f>
        <v>0</v>
      </c>
      <c r="O30">
        <f>SUM(G30:N30)</f>
        <v>0</v>
      </c>
    </row>
    <row r="31">
      <c r="A31" s="15" t="inlineStr">
        <is>
          <t>Total respondents</t>
        </is>
      </c>
      <c r="B31" s="15" t="n">
        <v>7</v>
      </c>
      <c r="C31" s="15" t="n"/>
      <c r="D31" s="15" t="n"/>
    </row>
  </sheetData>
  <mergeCells count="3">
    <mergeCell ref="A1:J1"/>
    <mergeCell ref="A24:J24"/>
    <mergeCell ref="A14:J14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N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N3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=INDIRECT(XLOOKUP(Demographics_F_Custom1_Q_resolved,All_Questions,All_Questions_Options_Names,"None_options"))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=INDIRECT(XLOOKUP(Demographics_F_Custom2_Q_resolved,All_Questions,All_Questions_Options_Names,"None_options"))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=INDIRECT(XLOOKUP(Demographics_Q_SS_EXPORT_F_Q,All_Questions,All_Questions_Options_Names,"None_options"))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=INDIRECT(XLOOKUP(Demographics_Q_MS_EXPORT_F_Q,All_Questions,All_Questions_Options_Names,"None_options"))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XLOOKUP(All_Questions_F_Custom1_Q_resolved,All_Questions,All_Questions_Data_Names,"respondent_id_data")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XLOOKUP(All_Questions_F_Custom2_Q_resolved,All_Questions,All_Questions_Data_Names,"respondent_id_data")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Numeric export question</t>
        </is>
      </c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XLOOKUP(All_Questions_Q_NUM_EXPORT_F_Q,All_Questions,All_Questions_Data_Names,"respondent_id_data")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Grid export question</t>
        </is>
      </c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XLOOKUP(All_Questions_Q_GRID_EXPORT_F_Q,All_Questions,All_Questions_Data_Names,"respondent_id_data")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5" t="inlineStr">
        <is>
          <t>Option \ Cross-tab</t>
        </is>
      </c>
      <c r="G30" t="str">
        <f>IFERROR(INDEX(INDIRECT(XLOOKUP(All_Questions_Q_GRID_EXPORT_CT,All_Questions,All_Questions_Options_Names,"None_options")),2),"")</f>
        <v/>
      </c>
      <c r="H30" t="str">
        <f>IFERROR(INDEX(INDIRECT(XLOOKUP(All_Questions_Q_GRID_EXPORT_CT,All_Questions,All_Questions_Options_Names,"None_options")),3),"")</f>
        <v/>
      </c>
      <c r="I30" t="str">
        <f>IFERROR(INDEX(INDIRECT(XLOOKUP(All_Questions_Q_GRID_EXPORT_CT,All_Questions,All_Questions_Options_Names,"None_options")),4),"")</f>
        <v/>
      </c>
      <c r="J30" t="str">
        <f>IFERROR(INDEX(INDIRECT(XLOOKUP(All_Questions_Q_GRID_EXPORT_CT,All_Questions,All_Questions_Options_Names,"None_options")),5),"")</f>
        <v/>
      </c>
      <c r="K30" t="str">
        <f>IFERROR(INDEX(INDIRECT(XLOOKUP(All_Questions_Q_GRID_EXPORT_CT,All_Questions,All_Questions_Options_Names,"None_options")),6),"")</f>
        <v/>
      </c>
      <c r="L30" t="str">
        <f>IFERROR(INDEX(INDIRECT(XLOOKUP(All_Questions_Q_GRID_EXPORT_CT,All_Questions,All_Questions_Options_Names,"None_options")),7),"")</f>
        <v/>
      </c>
      <c r="M30" t="str">
        <f>IFERROR(INDEX(INDIRECT(XLOOKUP(All_Questions_Q_GRID_EXPORT_CT,All_Questions,All_Questions_Options_Names,"None_options")),8),"")</f>
        <v/>
      </c>
      <c r="N30" t="str">
        <f>IFERROR(INDEX(INDIRECT(XLOOKUP(All_Questions_Q_GRID_EXPORT_CT,All_Questions,All_Questions_Options_Names,"None_options")),9),"")</f>
        <v/>
      </c>
      <c r="O30" s="5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t="inlineStr">
        <is>
          <t>Grid first row</t>
        </is>
      </c>
      <c r="G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</f>
        <v>0</v>
      </c>
      <c r="H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$30)</f>
        <v>0</v>
      </c>
      <c r="I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</f>
        <v>0</v>
      </c>
      <c r="J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$30)</f>
        <v>0</v>
      </c>
      <c r="K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</f>
        <v>0</v>
      </c>
      <c r="L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$30)</f>
        <v>0</v>
      </c>
      <c r="M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</f>
        <v>0</v>
      </c>
      <c r="N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$30)</f>
        <v>0</v>
      </c>
      <c r="O31">
        <f>SUM(G31:N31)</f>
        <v>0</v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second row</t>
        </is>
      </c>
      <c r="G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</f>
        <v>0</v>
      </c>
      <c r="H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$30)</f>
        <v>0</v>
      </c>
      <c r="I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</f>
        <v>0</v>
      </c>
      <c r="J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$30)</f>
        <v>0</v>
      </c>
      <c r="K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</f>
        <v>0</v>
      </c>
      <c r="L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$30)</f>
        <v>0</v>
      </c>
      <c r="M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</f>
        <v>0</v>
      </c>
      <c r="N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$30)</f>
        <v>0</v>
      </c>
      <c r="O32">
        <f>SUM(G32:N32)</f>
        <v>0</v>
      </c>
    </row>
    <row r="33">
      <c r="A33" s="15" t="inlineStr">
        <is>
          <t>Total respondents</t>
        </is>
      </c>
      <c r="B33" s="15" t="n">
        <v>20</v>
      </c>
      <c r="C33" s="15" t="n"/>
      <c r="D33" s="15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Long sheet name export question</t>
        </is>
      </c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XLOOKUP(All_Questions_Q_VERY_LONG_SINGLE_SELECT_EXPORT_NAME_F_Q,All_Questions,All_Questions_Data_Names,"respondent_id_data")</f>
        <v>respondent_id_data</v>
      </c>
      <c r="G37" t="str">
        <f>"|" &amp; SUBSTITUTE(All_Questions_Q_VERY_LONG_SINGLE_SELECT_EXPORT_NAME_F_V,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5" t="inlineStr">
        <is>
          <t>Option \ Cross-tab</t>
        </is>
      </c>
      <c r="G40" t="str">
        <f>IFERROR(INDEX(INDIRECT(XLOOKUP(All_Questions_Q_VERY_LONG_SINGLE_SELECT_EXPORT_NAME_CT,All_Questions,All_Questions_Options_Names,"None_options")),2),"")</f>
        <v/>
      </c>
      <c r="H40" t="str">
        <f>IFERROR(INDEX(INDIRECT(XLOOKUP(All_Questions_Q_VERY_LONG_SINGLE_SELECT_EXPORT_NAME_CT,All_Questions,All_Questions_Options_Names,"None_options")),3),"")</f>
        <v/>
      </c>
      <c r="I40" t="str">
        <f>IFERROR(INDEX(INDIRECT(XLOOKUP(All_Questions_Q_VERY_LONG_SINGLE_SELECT_EXPORT_NAME_CT,All_Questions,All_Questions_Options_Names,"None_options")),4),"")</f>
        <v/>
      </c>
      <c r="J40" t="str">
        <f>IFERROR(INDEX(INDIRECT(XLOOKUP(All_Questions_Q_VERY_LONG_SINGLE_SELECT_EXPORT_NAME_CT,All_Questions,All_Questions_Options_Names,"None_options")),5),"")</f>
        <v/>
      </c>
      <c r="K40" t="str">
        <f>IFERROR(INDEX(INDIRECT(XLOOKUP(All_Questions_Q_VERY_LONG_SINGLE_SELECT_EXPORT_NAME_CT,All_Questions,All_Questions_Options_Names,"None_options")),6),"")</f>
        <v/>
      </c>
      <c r="L40" t="str">
        <f>IFERROR(INDEX(INDIRECT(XLOOKUP(All_Questions_Q_VERY_LONG_SINGLE_SELECT_EXPORT_NAME_CT,All_Questions,All_Questions_Options_Names,"None_options")),7),"")</f>
        <v/>
      </c>
      <c r="M40" t="str">
        <f>IFERROR(INDEX(INDIRECT(XLOOKUP(All_Questions_Q_VERY_LONG_SINGLE_SELECT_EXPORT_NAME_CT,All_Questions,All_Questions_Options_Names,"None_options")),8),"")</f>
        <v/>
      </c>
      <c r="N40" t="str">
        <f>IFERROR(INDEX(INDIRECT(XLOOKUP(All_Questions_Q_VERY_LONG_SINGLE_SELECT_EXPORT_NAME_CT,All_Questions,All_Questions_Options_Names,"None_options")),9),"")</f>
        <v/>
      </c>
      <c r="O40" s="5" t="inlineStr">
        <is>
          <t>TOTAL</t>
        </is>
      </c>
    </row>
    <row r="41">
      <c r="A41" t="inlineStr">
        <is>
          <t>A</t>
        </is>
      </c>
      <c r="B4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1" s="7">
        <f>IFERROR(B41/SUBTOTAL(9,B41:B42),0)</f>
        <v>0.7</v>
      </c>
      <c r="D41" s="14">
        <f>SUBTOTAL(9,B41:B42)</f>
        <v>10</v>
      </c>
      <c r="F41" t="inlineStr">
        <is>
          <t>A</t>
        </is>
      </c>
      <c r="G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</f>
        <v>0</v>
      </c>
      <c r="H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$40)</f>
        <v>0</v>
      </c>
      <c r="I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</f>
        <v>0</v>
      </c>
      <c r="J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$40)</f>
        <v>0</v>
      </c>
      <c r="K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</f>
        <v>0</v>
      </c>
      <c r="L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$40)</f>
        <v>0</v>
      </c>
      <c r="M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</f>
        <v>0</v>
      </c>
      <c r="N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$40)</f>
        <v>0</v>
      </c>
      <c r="O41">
        <f>SUM(G41:N41)</f>
        <v>0</v>
      </c>
    </row>
    <row r="42">
      <c r="A42" t="inlineStr">
        <is>
          <t>B</t>
        </is>
      </c>
      <c r="B4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2" s="7">
        <f>IFERROR(B42/SUBTOTAL(9,B41:B42),0)</f>
        <v>0.3</v>
      </c>
      <c r="D42" s="14">
        <f>SUBTOTAL(9,B41:B42)</f>
        <v>10</v>
      </c>
      <c r="F42" t="inlineStr">
        <is>
          <t>B</t>
        </is>
      </c>
      <c r="G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</f>
        <v>0</v>
      </c>
      <c r="H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$40)</f>
        <v>0</v>
      </c>
      <c r="I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</f>
        <v>0</v>
      </c>
      <c r="J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$40)</f>
        <v>0</v>
      </c>
      <c r="K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</f>
        <v>0</v>
      </c>
      <c r="L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$40)</f>
        <v>0</v>
      </c>
      <c r="M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</f>
        <v>0</v>
      </c>
      <c r="N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$40)</f>
        <v>0</v>
      </c>
      <c r="O42">
        <f>SUM(G42:N42)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</row>
  </sheetData>
  <mergeCells count="4">
    <mergeCell ref="A1:J1"/>
    <mergeCell ref="A36:J36"/>
    <mergeCell ref="A26:J26"/>
    <mergeCell ref="A14:J14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1:N3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1:O3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1:N4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1:O4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=INDIRECT(XLOOKUP(All_Questions_F_Custom2_Q_resolved,All_Questions,All_Questions_Options_Names,"None_options"))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=INDIRECT(XLOOKUP(All_Questions_Q_NUM_EXPORT_F_Q,All_Questions,All_Questions_Options_Names,"None_options"))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=INDIRECT(XLOOKUP(All_Questions_Q_GRID_EXPORT_F_Q,All_Questions,All_Questions_Options_Names,"None_options"))</formula1>
    </dataValidation>
    <dataValidation sqref="C28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38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3">
    <tablePart r:id="rId1"/>
    <tablePart r:id="rId2"/>
    <tablePart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2026-05-15T09:57:27Z</dcterms:created>
  <dcterms:modified xmlns:dcterms="http://purl.org/dc/terms/" xmlns:xsi="http://www.w3.org/2001/XMLSchema-instance" xsi:type="dcterms:W3CDTF">2026-05-15T09:57:27Z</dcterms:modified>
</cp:coreProperties>
</file>