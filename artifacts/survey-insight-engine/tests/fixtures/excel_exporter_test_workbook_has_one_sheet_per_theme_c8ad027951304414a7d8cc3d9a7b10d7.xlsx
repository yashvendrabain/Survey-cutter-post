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I16" i="9"/>
  <c r="K16" i="9"/>
  <c r="M16" i="9"/>
  <c r="O16" i="9"/>
  <c r="Q16" i="9"/>
  <c r="S16" i="9"/>
  <c r="U16" i="9"/>
  <c r="W16" i="9"/>
  <c r="Y16" i="9"/>
  <c r="AA16" i="9"/>
  <c r="AC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E20" i="9"/>
  <c r="F23" i="9"/>
  <c r="G23" i="9"/>
  <c r="G26" i="9"/>
  <c r="I26" i="9"/>
  <c r="K26" i="9"/>
  <c r="M26" i="9"/>
  <c r="O26" i="9"/>
  <c r="Q26" i="9"/>
  <c r="S26" i="9"/>
  <c r="U26" i="9"/>
  <c r="W26" i="9"/>
  <c r="Y26" i="9"/>
  <c r="AA26" i="9"/>
  <c r="AC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E3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IF(Theme_One_Q_SS_EXPORT_CT="(None)","",IFERROR(INDEX(INDIRECT(XLOOKUP(Theme_One_Q_SS_EXPORT_CT,All_Questions,All_Questions_Options_Names,"None_options")),2),""))</f>
        <v/>
      </c>
      <c r="H16" s="2" t="n"/>
      <c r="I16" s="2" t="str">
        <f>IF(Theme_One_Q_SS_EXPORT_CT="(None)","",IFERROR(INDEX(INDIRECT(XLOOKUP(Theme_One_Q_SS_EXPORT_CT,All_Questions,All_Questions_Options_Names,"None_options")),3),""))</f>
        <v/>
      </c>
      <c r="J16" s="2" t="n"/>
      <c r="K16" s="2" t="str">
        <f>IF(Theme_One_Q_SS_EXPORT_CT="(None)","",IFERROR(INDEX(INDIRECT(XLOOKUP(Theme_One_Q_SS_EXPORT_CT,All_Questions,All_Questions_Options_Names,"None_options")),4),""))</f>
        <v/>
      </c>
      <c r="L16" s="2" t="n"/>
      <c r="M16" s="2" t="str">
        <f>IF(Theme_One_Q_SS_EXPORT_CT="(None)","",IFERROR(INDEX(INDIRECT(XLOOKUP(Theme_One_Q_SS_EXPORT_CT,All_Questions,All_Questions_Options_Names,"None_options")),5),""))</f>
        <v/>
      </c>
      <c r="N16" s="2" t="n"/>
      <c r="O16" s="2" t="str">
        <f>IF(Theme_One_Q_SS_EXPORT_CT="(None)","",IFERROR(INDEX(INDIRECT(XLOOKUP(Theme_One_Q_SS_EXPORT_CT,All_Questions,All_Questions_Options_Names,"None_options")),6),""))</f>
        <v/>
      </c>
      <c r="P16" s="2" t="n"/>
      <c r="Q16" s="2" t="str">
        <f>IF(Theme_One_Q_SS_EXPORT_CT="(None)","",IFERROR(INDEX(INDIRECT(XLOOKUP(Theme_One_Q_SS_EXPORT_CT,All_Questions,All_Questions_Options_Names,"None_options")),7),""))</f>
        <v/>
      </c>
      <c r="R16" s="2" t="n"/>
      <c r="S16" s="2" t="str">
        <f>IF(Theme_One_Q_SS_EXPORT_CT="(None)","",IFERROR(INDEX(INDIRECT(XLOOKUP(Theme_One_Q_SS_EXPORT_CT,All_Questions,All_Questions_Options_Names,"None_options")),8),""))</f>
        <v/>
      </c>
      <c r="T16" s="2" t="n"/>
      <c r="U16" s="2" t="str">
        <f>IF(Theme_One_Q_SS_EXPORT_CT="(None)","",IFERROR(INDEX(INDIRECT(XLOOKUP(Theme_One_Q_SS_EXPORT_CT,All_Questions,All_Questions_Options_Names,"None_options")),9),""))</f>
        <v/>
      </c>
      <c r="V16" s="2" t="n"/>
      <c r="W16" s="2" t="str">
        <f>IF(Theme_One_Q_SS_EXPORT_CT="(None)","",IFERROR(INDEX(INDIRECT(XLOOKUP(Theme_One_Q_SS_EXPORT_CT,All_Questions,All_Questions_Options_Names,"None_options")),10),""))</f>
        <v/>
      </c>
      <c r="X16" s="2" t="n"/>
      <c r="Y16" s="2" t="str">
        <f>IF(Theme_One_Q_SS_EXPORT_CT="(None)","",IFERROR(INDEX(INDIRECT(XLOOKUP(Theme_One_Q_SS_EXPORT_CT,All_Questions,All_Questions_Options_Names,"None_options")),11),""))</f>
        <v/>
      </c>
      <c r="Z16" s="2" t="n"/>
      <c r="AA16" s="2" t="str">
        <f>IF(Theme_One_Q_SS_EXPORT_CT="(None)","",IFERROR(INDEX(INDIRECT(XLOOKUP(Theme_One_Q_SS_EXPORT_CT,All_Questions,All_Questions_Options_Names,"None_options")),12),""))</f>
        <v/>
      </c>
      <c r="AB16" s="2" t="n"/>
      <c r="AC16" s="2" t="str">
        <f>IF(Theme_One_Q_SS_EXPORT_CT="(None)","",IF(COUNTA(INDIRECT(XLOOKUP(Theme_One_Q_SS_EXPORT_CT,All_Questions,All_Questions_Options_Names,"None_options")))-1&gt;11,"Other",IFERROR(INDEX(INDIRECT(XLOOKUP(Theme_One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8" s="7">
        <f>IFERROR(G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8" s="7">
        <f>IFERROR(I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8" s="7">
        <f>IFERROR(K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8" s="7">
        <f>IFERROR(M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8" s="7">
        <f>IFERROR(O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8" s="7">
        <f>IFERROR(Q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8">
        <f>IF(OR(Theme_One_Q_SS_EXPORT_CT="(None)",S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8" s="7">
        <f>IFERROR(S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8">
        <f>IF(OR(Theme_One_Q_SS_EXPORT_CT="(None)",U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8" s="7">
        <f>IFERROR(U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8">
        <f>IF(OR(Theme_One_Q_SS_EXPORT_CT="(None)",W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8" s="7">
        <f>IFERROR(W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8">
        <f>IF(OR(Theme_One_Q_SS_EXPORT_CT="(None)",Y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8" s="7">
        <f>IFERROR(Y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8">
        <f>IF(OR(Theme_One_Q_SS_EXPORT_CT="(None)",AA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8" s="7">
        <f>IFERROR(AA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8">
        <f>IF(OR(Theme_One_Q_SS_EXPORT_CT="(None)",AC$16=""),"",IF(AC$16="Other",COUNTIFS(Q_SS_EXPORT_data,"Yes",passes_workbook_filters_data,1,passes_workbook_custom_filters_data,1,Theme_One_passes_local_filters_data,1,Theme_One_Q_SS_EXPORT_F_passes_per_q_filter_data,1)-SUM(G18,I18,K18,M18,O18,Q18,S18,U18,W18,Y18,AA18)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9" s="7">
        <f>IFERROR(G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9" s="7">
        <f>IFERROR(I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9" s="7">
        <f>IFERROR(K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9" s="7">
        <f>IFERROR(M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9" s="7">
        <f>IFERROR(O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9" s="7">
        <f>IFERROR(Q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9">
        <f>IF(OR(Theme_One_Q_SS_EXPORT_CT="(None)",S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9" s="7">
        <f>IFERROR(S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9">
        <f>IF(OR(Theme_One_Q_SS_EXPORT_CT="(None)",U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9" s="7">
        <f>IFERROR(U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9">
        <f>IF(OR(Theme_One_Q_SS_EXPORT_CT="(None)",W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9" s="7">
        <f>IFERROR(W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9">
        <f>IF(OR(Theme_One_Q_SS_EXPORT_CT="(None)",Y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9" s="7">
        <f>IFERROR(Y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9">
        <f>IF(OR(Theme_One_Q_SS_EXPORT_CT="(None)",AA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9" s="7">
        <f>IFERROR(AA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9">
        <f>IF(OR(Theme_One_Q_SS_EXPORT_CT="(None)",AC$16=""),"",IF(AC$16="Other",COUNTIFS(Q_SS_EXPORT_data,"No",passes_workbook_filters_data,1,passes_workbook_custom_filters_data,1,Theme_One_passes_local_filters_data,1,Theme_One_Q_SS_EXPORT_F_passes_per_q_filter_data,1)-SUM(G19,I19,K19,M19,O19,Q19,S19,U19,W19,Y19,AA19)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IF(Theme_One_Q_MS_EXPORT_CT="(None)","",IFERROR(INDEX(INDIRECT(XLOOKUP(Theme_One_Q_MS_EXPORT_CT,All_Questions,All_Questions_Options_Names,"None_options")),2),""))</f>
        <v/>
      </c>
      <c r="H26" s="2" t="n"/>
      <c r="I26" s="2" t="str">
        <f>IF(Theme_One_Q_MS_EXPORT_CT="(None)","",IFERROR(INDEX(INDIRECT(XLOOKUP(Theme_One_Q_MS_EXPORT_CT,All_Questions,All_Questions_Options_Names,"None_options")),3),""))</f>
        <v/>
      </c>
      <c r="J26" s="2" t="n"/>
      <c r="K26" s="2" t="str">
        <f>IF(Theme_One_Q_MS_EXPORT_CT="(None)","",IFERROR(INDEX(INDIRECT(XLOOKUP(Theme_One_Q_MS_EXPORT_CT,All_Questions,All_Questions_Options_Names,"None_options")),4),""))</f>
        <v/>
      </c>
      <c r="L26" s="2" t="n"/>
      <c r="M26" s="2" t="str">
        <f>IF(Theme_One_Q_MS_EXPORT_CT="(None)","",IFERROR(INDEX(INDIRECT(XLOOKUP(Theme_One_Q_MS_EXPORT_CT,All_Questions,All_Questions_Options_Names,"None_options")),5),""))</f>
        <v/>
      </c>
      <c r="N26" s="2" t="n"/>
      <c r="O26" s="2" t="str">
        <f>IF(Theme_One_Q_MS_EXPORT_CT="(None)","",IFERROR(INDEX(INDIRECT(XLOOKUP(Theme_One_Q_MS_EXPORT_CT,All_Questions,All_Questions_Options_Names,"None_options")),6),""))</f>
        <v/>
      </c>
      <c r="P26" s="2" t="n"/>
      <c r="Q26" s="2" t="str">
        <f>IF(Theme_One_Q_MS_EXPORT_CT="(None)","",IFERROR(INDEX(INDIRECT(XLOOKUP(Theme_One_Q_MS_EXPORT_CT,All_Questions,All_Questions_Options_Names,"None_options")),7),""))</f>
        <v/>
      </c>
      <c r="R26" s="2" t="n"/>
      <c r="S26" s="2" t="str">
        <f>IF(Theme_One_Q_MS_EXPORT_CT="(None)","",IFERROR(INDEX(INDIRECT(XLOOKUP(Theme_One_Q_MS_EXPORT_CT,All_Questions,All_Questions_Options_Names,"None_options")),8),""))</f>
        <v/>
      </c>
      <c r="T26" s="2" t="n"/>
      <c r="U26" s="2" t="str">
        <f>IF(Theme_One_Q_MS_EXPORT_CT="(None)","",IFERROR(INDEX(INDIRECT(XLOOKUP(Theme_One_Q_MS_EXPORT_CT,All_Questions,All_Questions_Options_Names,"None_options")),9),""))</f>
        <v/>
      </c>
      <c r="V26" s="2" t="n"/>
      <c r="W26" s="2" t="str">
        <f>IF(Theme_One_Q_MS_EXPORT_CT="(None)","",IFERROR(INDEX(INDIRECT(XLOOKUP(Theme_One_Q_MS_EXPORT_CT,All_Questions,All_Questions_Options_Names,"None_options")),10),""))</f>
        <v/>
      </c>
      <c r="X26" s="2" t="n"/>
      <c r="Y26" s="2" t="str">
        <f>IF(Theme_One_Q_MS_EXPORT_CT="(None)","",IFERROR(INDEX(INDIRECT(XLOOKUP(Theme_One_Q_MS_EXPORT_CT,All_Questions,All_Questions_Options_Names,"None_options")),11),""))</f>
        <v/>
      </c>
      <c r="Z26" s="2" t="n"/>
      <c r="AA26" s="2" t="str">
        <f>IF(Theme_One_Q_MS_EXPORT_CT="(None)","",IFERROR(INDEX(INDIRECT(XLOOKUP(Theme_One_Q_MS_EXPORT_CT,All_Questions,All_Questions_Options_Names,"None_options")),12),""))</f>
        <v/>
      </c>
      <c r="AB26" s="2" t="n"/>
      <c r="AC26" s="2" t="str">
        <f>IF(Theme_One_Q_MS_EXPORT_CT="(None)","",IF(COUNTA(INDIRECT(XLOOKUP(Theme_One_Q_MS_EXPORT_CT,All_Questions,All_Questions_Options_Names,"None_options")))-1&gt;11,"Other",IFERROR(INDEX(INDIRECT(XLOOKUP(Theme_One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)</f>
        <v>0</v>
      </c>
      <c r="H28" s="7">
        <f>IFERROR(G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),0)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)</f>
        <v>0</v>
      </c>
      <c r="J28" s="7">
        <f>IFERROR(I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),0)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)</f>
        <v>0</v>
      </c>
      <c r="L28" s="7">
        <f>IFERROR(K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),0)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)</f>
        <v>0</v>
      </c>
      <c r="N28" s="7">
        <f>IFERROR(M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),0)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O$26))</f>
        <v>0</v>
      </c>
      <c r="P28" s="7">
        <f>IFERROR(O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),0)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Q$26))</f>
        <v>0</v>
      </c>
      <c r="R28" s="7">
        <f>IFERROR(Q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),0)</f>
        <v>0</v>
      </c>
      <c r="S28">
        <f>IF(OR(Theme_One_Q_MS_EXPORT_CT="(None)",S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S$26))</f>
        <v>0</v>
      </c>
      <c r="T28" s="7">
        <f>IFERROR(S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),0)</f>
        <v>0</v>
      </c>
      <c r="U28">
        <f>IF(OR(Theme_One_Q_MS_EXPORT_CT="(None)",U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U$26))</f>
        <v>0</v>
      </c>
      <c r="V28" s="7">
        <f>IFERROR(U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),0)</f>
        <v>0</v>
      </c>
      <c r="W28">
        <f>IF(OR(Theme_One_Q_MS_EXPORT_CT="(None)",W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W$26))</f>
        <v>0</v>
      </c>
      <c r="X28" s="7">
        <f>IFERROR(W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),0)</f>
        <v>0</v>
      </c>
      <c r="Y28">
        <f>IF(OR(Theme_One_Q_MS_EXPORT_CT="(None)",Y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Y$26))</f>
        <v>0</v>
      </c>
      <c r="Z28" s="7">
        <f>IFERROR(Y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),0)</f>
        <v>0</v>
      </c>
      <c r="AA28">
        <f>IF(OR(Theme_One_Q_MS_EXPORT_CT="(None)",AA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A$26))</f>
        <v>0</v>
      </c>
      <c r="AB28" s="7">
        <f>IFERROR(AA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0)</f>
        <v>0</v>
      </c>
      <c r="AC28">
        <f>IF(OR(Theme_One_Q_MS_EXPORT_CT="(None)",AC$26=""),"",IF(AC$26="Other",COUNTIFS(Q_MS_EXPORTr1_data,"Selected",passes_workbook_filters_data,1,passes_workbook_custom_filters_data,1,Theme_One_passes_local_filters_data,1,Theme_One_Q_MS_EXPORT_F_passes_per_q_filter_data,1)-SUM(G28,I28,K28,M28,O28,Q28,S28,U28,W28,Y28,AA28)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Theme_One_passes_local_filters_data,1,Theme_One_Q_MS_EXPORT_F_passes_per_q_filter_data,1)-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C$26))),0)</f>
        <v>0</v>
      </c>
      <c r="AE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)</f>
        <v>0</v>
      </c>
      <c r="H29" s="7">
        <f>IFERROR(G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),0)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)</f>
        <v>0</v>
      </c>
      <c r="J29" s="7">
        <f>IFERROR(I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),0)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)</f>
        <v>0</v>
      </c>
      <c r="L29" s="7">
        <f>IFERROR(K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),0)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)</f>
        <v>0</v>
      </c>
      <c r="N29" s="7">
        <f>IFERROR(M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),0)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O$26))</f>
        <v>0</v>
      </c>
      <c r="P29" s="7">
        <f>IFERROR(O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),0)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Q$26))</f>
        <v>0</v>
      </c>
      <c r="R29" s="7">
        <f>IFERROR(Q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),0)</f>
        <v>0</v>
      </c>
      <c r="S29">
        <f>IF(OR(Theme_One_Q_MS_EXPORT_CT="(None)",S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S$26))</f>
        <v>0</v>
      </c>
      <c r="T29" s="7">
        <f>IFERROR(S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),0)</f>
        <v>0</v>
      </c>
      <c r="U29">
        <f>IF(OR(Theme_One_Q_MS_EXPORT_CT="(None)",U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U$26))</f>
        <v>0</v>
      </c>
      <c r="V29" s="7">
        <f>IFERROR(U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),0)</f>
        <v>0</v>
      </c>
      <c r="W29">
        <f>IF(OR(Theme_One_Q_MS_EXPORT_CT="(None)",W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W$26))</f>
        <v>0</v>
      </c>
      <c r="X29" s="7">
        <f>IFERROR(W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),0)</f>
        <v>0</v>
      </c>
      <c r="Y29">
        <f>IF(OR(Theme_One_Q_MS_EXPORT_CT="(None)",Y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Y$26))</f>
        <v>0</v>
      </c>
      <c r="Z29" s="7">
        <f>IFERROR(Y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),0)</f>
        <v>0</v>
      </c>
      <c r="AA29">
        <f>IF(OR(Theme_One_Q_MS_EXPORT_CT="(None)",AA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A$26))</f>
        <v>0</v>
      </c>
      <c r="AB29" s="7">
        <f>IFERROR(AA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0)</f>
        <v>0</v>
      </c>
      <c r="AC29">
        <f>IF(OR(Theme_One_Q_MS_EXPORT_CT="(None)",AC$26=""),"",IF(AC$26="Other",COUNTIFS(Q_MS_EXPORTr2_data,"Selected",passes_workbook_filters_data,1,passes_workbook_custom_filters_data,1,Theme_One_passes_local_filters_data,1,Theme_One_Q_MS_EXPORT_F_passes_per_q_filter_data,1)-SUM(G29,I29,K29,M29,O29,Q29,S29,U29,W29,Y29,AA29)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Theme_One_passes_local_filters_data,1,Theme_One_Q_MS_EXPORT_F_passes_per_q_filter_data,1)-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C$26))),0)</f>
        <v>0</v>
      </c>
      <c r="AE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25">
    <mergeCell ref="K16:L16"/>
    <mergeCell ref="Q16:R16"/>
    <mergeCell ref="S16:T16"/>
    <mergeCell ref="AC16:AD16"/>
    <mergeCell ref="I26:J26"/>
    <mergeCell ref="K26:L26"/>
    <mergeCell ref="W26:X26"/>
    <mergeCell ref="I16:J16"/>
    <mergeCell ref="U16:V16"/>
    <mergeCell ref="O26:P26"/>
    <mergeCell ref="Q26:R2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G26:H26"/>
    <mergeCell ref="M26:N26"/>
    <mergeCell ref="G16:H1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IF(All_Questions_Q_GRID_EXPORT_CT="(None)","",IFERROR(INDEX(INDIRECT(XLOOKUP(All_Questions_Q_GRID_EXPORT_CT,All_Questions,All_Questions_Options_Names,"None_options")),2),""))</f>
        <v/>
      </c>
      <c r="H16" s="2" t="n"/>
      <c r="I16" s="2" t="str">
        <f>IF(All_Questions_Q_GRID_EXPORT_CT="(None)","",IFERROR(INDEX(INDIRECT(XLOOKUP(All_Questions_Q_GRID_EXPORT_CT,All_Questions,All_Questions_Options_Names,"None_options")),3),""))</f>
        <v/>
      </c>
      <c r="J16" s="2" t="n"/>
      <c r="K16" s="2" t="str">
        <f>IF(All_Questions_Q_GRID_EXPORT_CT="(None)","",IFERROR(INDEX(INDIRECT(XLOOKUP(All_Questions_Q_GRID_EXPORT_CT,All_Questions,All_Questions_Options_Names,"None_options")),4),""))</f>
        <v/>
      </c>
      <c r="L16" s="2" t="n"/>
      <c r="M16" s="2" t="str">
        <f>IF(All_Questions_Q_GRID_EXPORT_CT="(None)","",IFERROR(INDEX(INDIRECT(XLOOKUP(All_Questions_Q_GRID_EXPORT_CT,All_Questions,All_Questions_Options_Names,"None_options")),5),""))</f>
        <v/>
      </c>
      <c r="N16" s="2" t="n"/>
      <c r="O16" s="2" t="str">
        <f>IF(All_Questions_Q_GRID_EXPORT_CT="(None)","",IFERROR(INDEX(INDIRECT(XLOOKUP(All_Questions_Q_GRID_EXPORT_CT,All_Questions,All_Questions_Options_Names,"None_options")),6),""))</f>
        <v/>
      </c>
      <c r="P16" s="2" t="n"/>
      <c r="Q16" s="2" t="str">
        <f>IF(All_Questions_Q_GRID_EXPORT_CT="(None)","",IFERROR(INDEX(INDIRECT(XLOOKUP(All_Questions_Q_GRID_EXPORT_CT,All_Questions,All_Questions_Options_Names,"None_options")),7),""))</f>
        <v/>
      </c>
      <c r="R16" s="2" t="n"/>
      <c r="S16" s="2" t="str">
        <f>IF(All_Questions_Q_GRID_EXPORT_CT="(None)","",IFERROR(INDEX(INDIRECT(XLOOKUP(All_Questions_Q_GRID_EXPORT_CT,All_Questions,All_Questions_Options_Names,"None_options")),8),""))</f>
        <v/>
      </c>
      <c r="T16" s="2" t="n"/>
      <c r="U16" s="2" t="str">
        <f>IF(All_Questions_Q_GRID_EXPORT_CT="(None)","",IFERROR(INDEX(INDIRECT(XLOOKUP(All_Questions_Q_GRID_EXPORT_CT,All_Questions,All_Questions_Options_Names,"None_options")),9),""))</f>
        <v/>
      </c>
      <c r="V16" s="2" t="n"/>
      <c r="W16" s="2" t="str">
        <f>IF(All_Questions_Q_GRID_EXPORT_CT="(None)","",IFERROR(INDEX(INDIRECT(XLOOKUP(All_Questions_Q_GRID_EXPORT_CT,All_Questions,All_Questions_Options_Names,"None_options")),10),""))</f>
        <v/>
      </c>
      <c r="X16" s="2" t="n"/>
      <c r="Y16" s="2" t="str">
        <f>IF(All_Questions_Q_GRID_EXPORT_CT="(None)","",IFERROR(INDEX(INDIRECT(XLOOKUP(All_Questions_Q_GRID_EXPORT_CT,All_Questions,All_Questions_Options_Names,"None_options")),11),""))</f>
        <v/>
      </c>
      <c r="Z16" s="2" t="n"/>
      <c r="AA16" s="2" t="str">
        <f>IF(All_Questions_Q_GRID_EXPORT_CT="(None)","",IFERROR(INDEX(INDIRECT(XLOOKUP(All_Questions_Q_GRID_EXPORT_CT,All_Questions,All_Questions_Options_Names,"None_options")),12),""))</f>
        <v/>
      </c>
      <c r="AB16" s="2" t="n"/>
      <c r="AC16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,0)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,0)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,0)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,0)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,0)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,0)</f>
        <v>0</v>
      </c>
      <c r="S18">
        <f>IF(OR(All_Questions_Q_GRID_EXPORT_CT="(None)",S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,0)</f>
        <v>0</v>
      </c>
      <c r="U18">
        <f>IF(OR(All_Questions_Q_GRID_EXPORT_CT="(None)",U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,0)</f>
        <v>0</v>
      </c>
      <c r="W18">
        <f>IF(OR(All_Questions_Q_GRID_EXPORT_CT="(None)",W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,0)</f>
        <v>0</v>
      </c>
      <c r="Y18">
        <f>IF(OR(All_Questions_Q_GRID_EXPORT_CT="(None)",Y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,0)</f>
        <v>0</v>
      </c>
      <c r="AA18">
        <f>IF(OR(All_Questions_Q_GRID_EXPORT_CT="(None)",AA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0)</f>
        <v>0</v>
      </c>
      <c r="AC18">
        <f>IF(OR(All_Questions_Q_GRID_EXPORT_CT="(None)",AC$16=""),"",IF(AC$16="Other",COUNTIFS(Q_GRID_EXPORTr1_data,"Selected",passes_workbook_filters_data,1,passes_workbook_custom_filters_data,1,All_Questions_passes_local_filters_data,1,All_Questions_Q_GRID_EXPORT_F_passes_per_q_filter_data,1)-SUM(G18,I18,K18,M18,O18,Q18,S18,U18,W18,Y18,AA18)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,0)</f>
        <v>0</v>
      </c>
      <c r="AE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,0)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,0)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,0)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,0)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,0)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,0)</f>
        <v>0</v>
      </c>
      <c r="S19">
        <f>IF(OR(All_Questions_Q_GRID_EXPORT_CT="(None)",S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,0)</f>
        <v>0</v>
      </c>
      <c r="U19">
        <f>IF(OR(All_Questions_Q_GRID_EXPORT_CT="(None)",U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,0)</f>
        <v>0</v>
      </c>
      <c r="W19">
        <f>IF(OR(All_Questions_Q_GRID_EXPORT_CT="(None)",W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,0)</f>
        <v>0</v>
      </c>
      <c r="Y19">
        <f>IF(OR(All_Questions_Q_GRID_EXPORT_CT="(None)",Y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,0)</f>
        <v>0</v>
      </c>
      <c r="AA19">
        <f>IF(OR(All_Questions_Q_GRID_EXPORT_CT="(None)",AA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0)</f>
        <v>0</v>
      </c>
      <c r="AC19">
        <f>IF(OR(All_Questions_Q_GRID_EXPORT_CT="(None)",AC$16=""),"",IF(AC$16="Other",COUNTIFS(Q_GRID_EXPORTr2_data,"Selected",passes_workbook_filters_data,1,passes_workbook_custom_filters_data,1,All_Questions_passes_local_filters_data,1,All_Questions_Q_GRID_EXPORT_F_passes_per_q_filter_data,1)-SUM(G19,I19,K19,M19,O19,Q19,S19,U19,W19,Y19,AA19)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,0)</f>
        <v>0</v>
      </c>
      <c r="AE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sheet name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26" s="2" t="n"/>
      <c r="I26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26" s="2" t="n"/>
      <c r="K26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26" s="2" t="n"/>
      <c r="M26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26" s="2" t="n"/>
      <c r="O26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26" s="2" t="n"/>
      <c r="Q26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26" s="2" t="n"/>
      <c r="S26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26" s="2" t="n"/>
      <c r="U26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26" s="2" t="n"/>
      <c r="W26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26" s="2" t="n"/>
      <c r="Y26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26" s="2" t="n"/>
      <c r="AA26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26" s="2" t="n"/>
      <c r="AC26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A</t>
        </is>
      </c>
      <c r="G28">
        <f>IF(OR(All_Questions_Q_VERY_LONG_SINGLE_SELECT_EXPORT_NAME_CT="(None)",G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,0)</f>
        <v>0</v>
      </c>
      <c r="I28">
        <f>IF(OR(All_Questions_Q_VERY_LONG_SINGLE_SELECT_EXPORT_NAME_CT="(None)",I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,0)</f>
        <v>0</v>
      </c>
      <c r="K28">
        <f>IF(OR(All_Questions_Q_VERY_LONG_SINGLE_SELECT_EXPORT_NAME_CT="(None)",K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,0)</f>
        <v>0</v>
      </c>
      <c r="M28">
        <f>IF(OR(All_Questions_Q_VERY_LONG_SINGLE_SELECT_EXPORT_NAME_CT="(None)",M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,0)</f>
        <v>0</v>
      </c>
      <c r="O28">
        <f>IF(OR(All_Questions_Q_VERY_LONG_SINGLE_SELECT_EXPORT_NAME_CT="(None)",O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,0)</f>
        <v>0</v>
      </c>
      <c r="Q28">
        <f>IF(OR(All_Questions_Q_VERY_LONG_SINGLE_SELECT_EXPORT_NAME_CT="(None)",Q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,0)</f>
        <v>0</v>
      </c>
      <c r="S28">
        <f>IF(OR(All_Questions_Q_VERY_LONG_SINGLE_SELECT_EXPORT_NAME_CT="(None)",S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,0)</f>
        <v>0</v>
      </c>
      <c r="U28">
        <f>IF(OR(All_Questions_Q_VERY_LONG_SINGLE_SELECT_EXPORT_NAME_CT="(None)",U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,0)</f>
        <v>0</v>
      </c>
      <c r="W28">
        <f>IF(OR(All_Questions_Q_VERY_LONG_SINGLE_SELECT_EXPORT_NAME_CT="(None)",W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,0)</f>
        <v>0</v>
      </c>
      <c r="Y28">
        <f>IF(OR(All_Questions_Q_VERY_LONG_SINGLE_SELECT_EXPORT_NAME_CT="(None)",Y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,0)</f>
        <v>0</v>
      </c>
      <c r="AA28">
        <f>IF(OR(All_Questions_Q_VERY_LONG_SINGLE_SELECT_EXPORT_NAME_CT="(None)",AA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0)</f>
        <v>0</v>
      </c>
      <c r="AC28">
        <f>IF(OR(All_Questions_Q_VERY_LONG_SINGLE_SELECT_EXPORT_NAME_CT="(None)",AC$26=""),"",IF(AC$26="Other",COUNTIFS(Q_VERY_LONG_SINGLE_SELECT_EXPOR_data,"A",passes_workbook_filters_data,1,passes_workbook_custom_filters_data,1,All_Questions_passes_local_filters_data,1,All_Questions_Q_VERY_LONG_SINGLE_SELECT_EXPORT_NAME_F_passes_per_q_filter_data,1)-SUM(G28,I28,K28,M28,O28,Q28,S28,U28,W28,Y28,AA28)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,0)</f>
        <v>0</v>
      </c>
      <c r="AE2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B</t>
        </is>
      </c>
      <c r="G29">
        <f>IF(OR(All_Questions_Q_VERY_LONG_SINGLE_SELECT_EXPORT_NAME_CT="(None)",G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,0)</f>
        <v>0</v>
      </c>
      <c r="I29">
        <f>IF(OR(All_Questions_Q_VERY_LONG_SINGLE_SELECT_EXPORT_NAME_CT="(None)",I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,0)</f>
        <v>0</v>
      </c>
      <c r="K29">
        <f>IF(OR(All_Questions_Q_VERY_LONG_SINGLE_SELECT_EXPORT_NAME_CT="(None)",K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,0)</f>
        <v>0</v>
      </c>
      <c r="M29">
        <f>IF(OR(All_Questions_Q_VERY_LONG_SINGLE_SELECT_EXPORT_NAME_CT="(None)",M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,0)</f>
        <v>0</v>
      </c>
      <c r="O29">
        <f>IF(OR(All_Questions_Q_VERY_LONG_SINGLE_SELECT_EXPORT_NAME_CT="(None)",O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,0)</f>
        <v>0</v>
      </c>
      <c r="Q29">
        <f>IF(OR(All_Questions_Q_VERY_LONG_SINGLE_SELECT_EXPORT_NAME_CT="(None)",Q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,0)</f>
        <v>0</v>
      </c>
      <c r="S29">
        <f>IF(OR(All_Questions_Q_VERY_LONG_SINGLE_SELECT_EXPORT_NAME_CT="(None)",S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,0)</f>
        <v>0</v>
      </c>
      <c r="U29">
        <f>IF(OR(All_Questions_Q_VERY_LONG_SINGLE_SELECT_EXPORT_NAME_CT="(None)",U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,0)</f>
        <v>0</v>
      </c>
      <c r="W29">
        <f>IF(OR(All_Questions_Q_VERY_LONG_SINGLE_SELECT_EXPORT_NAME_CT="(None)",W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,0)</f>
        <v>0</v>
      </c>
      <c r="Y29">
        <f>IF(OR(All_Questions_Q_VERY_LONG_SINGLE_SELECT_EXPORT_NAME_CT="(None)",Y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,0)</f>
        <v>0</v>
      </c>
      <c r="AA29">
        <f>IF(OR(All_Questions_Q_VERY_LONG_SINGLE_SELECT_EXPORT_NAME_CT="(None)",AA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0)</f>
        <v>0</v>
      </c>
      <c r="AC29">
        <f>IF(OR(All_Questions_Q_VERY_LONG_SINGLE_SELECT_EXPORT_NAME_CT="(None)",AC$26=""),"",IF(AC$26="Other",COUNTIFS(Q_VERY_LONG_SINGLE_SELECT_EXPOR_data,"B",passes_workbook_filters_data,1,passes_workbook_custom_filters_data,1,All_Questions_passes_local_filters_data,1,All_Questions_Q_VERY_LONG_SINGLE_SELECT_EXPORT_NAME_F_passes_per_q_filter_data,1)-SUM(G29,I29,K29,M29,O29,Q29,S29,U29,W29,Y29,AA29)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,0)</f>
        <v>0</v>
      </c>
      <c r="AE2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K16:L16"/>
    <mergeCell ref="Q16:R16"/>
    <mergeCell ref="S16:T16"/>
    <mergeCell ref="AC16:AD16"/>
    <mergeCell ref="I26:J26"/>
    <mergeCell ref="K26:L26"/>
    <mergeCell ref="W26:X26"/>
    <mergeCell ref="I16:J16"/>
    <mergeCell ref="U16:V16"/>
    <mergeCell ref="O26:P26"/>
    <mergeCell ref="Q26:R2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G26:H26"/>
    <mergeCell ref="M26:N26"/>
    <mergeCell ref="G16:H1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2026-05-18T10:54:24Z</dcterms:created>
  <dcterms:modified xmlns:dcterms="http://purl.org/dc/terms/" xmlns:xsi="http://www.w3.org/2001/XMLSchema-instance" xsi:type="dcterms:W3CDTF">2026-05-18T10:54:25Z</dcterms:modified>
</cp:coreProperties>
</file>