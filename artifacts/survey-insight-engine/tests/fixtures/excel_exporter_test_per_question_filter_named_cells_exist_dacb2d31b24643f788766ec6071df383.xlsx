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I3" i="1"/>
  <c r="J3" i="1"/>
  <c r="K3" i="1"/>
  <c r="L3" i="1"/>
  <c r="I4" i="1"/>
  <c r="J4" i="1"/>
  <c r="K4" i="1"/>
  <c r="L4" i="1"/>
  <c r="I5" i="1"/>
  <c r="J5" i="1"/>
  <c r="K5" i="1"/>
  <c r="L5" i="1"/>
  <c r="I6" i="1"/>
  <c r="J6" i="1"/>
  <c r="K6" i="1"/>
  <c r="L6" i="1"/>
  <c r="I7" i="1"/>
  <c r="J7" i="1"/>
  <c r="K7" i="1"/>
  <c r="L7" i="1"/>
  <c r="I8" i="1"/>
  <c r="J8" i="1"/>
  <c r="K8" i="1"/>
  <c r="L8" i="1"/>
  <c r="I9" i="1"/>
  <c r="J9" i="1"/>
  <c r="K9" i="1"/>
  <c r="L9" i="1"/>
  <c r="I10" i="1"/>
  <c r="J10" i="1"/>
  <c r="K10" i="1"/>
  <c r="L10" i="1"/>
  <c r="I11" i="1"/>
  <c r="J11" i="1"/>
  <c r="K11" i="1"/>
  <c r="L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>0</v>
      </c>
      <c r="H16">
        <f>IFERROR(INDEX(INDIRECT(All_Questions_Q_SS_EXPORT_CT &amp; "_options"),3),"")</f>
        <v>0</v>
      </c>
      <c r="I16">
        <f>IFERROR(INDEX(INDIRECT(All_Questions_Q_SS_EXPORT_CT &amp; "_options"),4),"")</f>
        <v>0</v>
      </c>
      <c r="J16">
        <f>IFERROR(INDEX(INDIRECT(All_Questions_Q_SS_EXPORT_CT &amp; "_options"),5),"")</f>
        <v>0</v>
      </c>
      <c r="K16">
        <f>IFERROR(INDEX(INDIRECT(All_Questions_Q_SS_EXPORT_CT &amp; "_options"),6),"")</f>
        <v>0</v>
      </c>
      <c r="L16">
        <f>IFERROR(INDEX(INDIRECT(All_Questions_Q_SS_EXPORT_CT &amp; "_options"),7),"")</f>
        <v>0</v>
      </c>
      <c r="M16">
        <f>IFERROR(INDEX(INDIRECT(All_Questions_Q_SS_EXPORT_CT &amp; "_options"),8),"")</f>
        <v>0</v>
      </c>
      <c r="N16">
        <f>IFERROR(INDEX(INDIRECT(All_Questions_Q_SS_EXPORT_CT &amp; "_options"),9),"")</f>
        <v>0</v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(All_Questions_Q_SS_EXPORT_CT&lt;&gt;"(None)")*COUNTIFS(Q_SS_EXPORT_data,"Yes",passes_workbook_filters_data,1,passes_workbook_custom_filters_data,1,INDIRECT(All_Questions_Q_SS_EXPORT_CT &amp; "_data"),G$16)</f>
        <v>0</v>
      </c>
      <c r="H17">
        <f>(All_Questions_Q_SS_EXPORT_CT&lt;&gt;"(None)")*COUNTIFS(Q_SS_EXPORT_data,"Yes",passes_workbook_filters_data,1,passes_workbook_custom_filters_data,1,INDIRECT(All_Questions_Q_SS_EXPORT_CT &amp; "_data"),H$16)</f>
        <v>0</v>
      </c>
      <c r="I17">
        <f>(All_Questions_Q_SS_EXPORT_CT&lt;&gt;"(None)")*COUNTIFS(Q_SS_EXPORT_data,"Yes",passes_workbook_filters_data,1,passes_workbook_custom_filters_data,1,INDIRECT(All_Questions_Q_SS_EXPORT_CT &amp; "_data"),I$16)</f>
        <v>0</v>
      </c>
      <c r="J17">
        <f>(All_Questions_Q_SS_EXPORT_CT&lt;&gt;"(None)")*COUNTIFS(Q_SS_EXPORT_data,"Yes",passes_workbook_filters_data,1,passes_workbook_custom_filters_data,1,INDIRECT(All_Questions_Q_SS_EXPORT_CT &amp; "_data"),J$16)</f>
        <v>0</v>
      </c>
      <c r="K17">
        <f>(All_Questions_Q_SS_EXPORT_CT&lt;&gt;"(None)")*COUNTIFS(Q_SS_EXPORT_data,"Yes",passes_workbook_filters_data,1,passes_workbook_custom_filters_data,1,INDIRECT(All_Questions_Q_SS_EXPORT_CT &amp; "_data"),K$16)</f>
        <v>0</v>
      </c>
      <c r="L17">
        <f>(All_Questions_Q_SS_EXPORT_CT&lt;&gt;"(None)")*COUNTIFS(Q_SS_EXPORT_data,"Yes",passes_workbook_filters_data,1,passes_workbook_custom_filters_data,1,INDIRECT(All_Questions_Q_SS_EXPORT_CT &amp; "_data"),L$16)</f>
        <v>0</v>
      </c>
      <c r="M17">
        <f>(All_Questions_Q_SS_EXPORT_CT&lt;&gt;"(None)")*COUNTIFS(Q_SS_EXPORT_data,"Yes",passes_workbook_filters_data,1,passes_workbook_custom_filters_data,1,INDIRECT(All_Questions_Q_SS_EXPORT_CT &amp; "_data"),M$16)</f>
        <v>0</v>
      </c>
      <c r="N17">
        <f>(All_Questions_Q_SS_EXPORT_CT&lt;&gt;"(None)")*COUNTIFS(Q_SS_EXPORT_data,"Yes",passes_workbook_filters_data,1,passes_workbook_custom_filters_data,1,INDIRECT(All_Questions_Q_SS_EXPORT_CT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(All_Questions_Q_SS_EXPORT_CT&lt;&gt;"(None)")*COUNTIFS(Q_SS_EXPORT_data,"No",passes_workbook_filters_data,1,passes_workbook_custom_filters_data,1,INDIRECT(All_Questions_Q_SS_EXPORT_CT &amp; "_data"),G$16)</f>
        <v>0</v>
      </c>
      <c r="H18">
        <f>(All_Questions_Q_SS_EXPORT_CT&lt;&gt;"(None)")*COUNTIFS(Q_SS_EXPORT_data,"No",passes_workbook_filters_data,1,passes_workbook_custom_filters_data,1,INDIRECT(All_Questions_Q_SS_EXPORT_CT &amp; "_data"),H$16)</f>
        <v>0</v>
      </c>
      <c r="I18">
        <f>(All_Questions_Q_SS_EXPORT_CT&lt;&gt;"(None)")*COUNTIFS(Q_SS_EXPORT_data,"No",passes_workbook_filters_data,1,passes_workbook_custom_filters_data,1,INDIRECT(All_Questions_Q_SS_EXPORT_CT &amp; "_data"),I$16)</f>
        <v>0</v>
      </c>
      <c r="J18">
        <f>(All_Questions_Q_SS_EXPORT_CT&lt;&gt;"(None)")*COUNTIFS(Q_SS_EXPORT_data,"No",passes_workbook_filters_data,1,passes_workbook_custom_filters_data,1,INDIRECT(All_Questions_Q_SS_EXPORT_CT &amp; "_data"),J$16)</f>
        <v>0</v>
      </c>
      <c r="K18">
        <f>(All_Questions_Q_SS_EXPORT_CT&lt;&gt;"(None)")*COUNTIFS(Q_SS_EXPORT_data,"No",passes_workbook_filters_data,1,passes_workbook_custom_filters_data,1,INDIRECT(All_Questions_Q_SS_EXPORT_CT &amp; "_data"),K$16)</f>
        <v>0</v>
      </c>
      <c r="L18">
        <f>(All_Questions_Q_SS_EXPORT_CT&lt;&gt;"(None)")*COUNTIFS(Q_SS_EXPORT_data,"No",passes_workbook_filters_data,1,passes_workbook_custom_filters_data,1,INDIRECT(All_Questions_Q_SS_EXPORT_CT &amp; "_data"),L$16)</f>
        <v>0</v>
      </c>
      <c r="M18">
        <f>(All_Questions_Q_SS_EXPORT_CT&lt;&gt;"(None)")*COUNTIFS(Q_SS_EXPORT_data,"No",passes_workbook_filters_data,1,passes_workbook_custom_filters_data,1,INDIRECT(All_Questions_Q_SS_EXPORT_CT &amp; "_data"),M$16)</f>
        <v>0</v>
      </c>
      <c r="N18">
        <f>(All_Questions_Q_SS_EXPORT_CT&lt;&gt;"(None)")*COUNTIFS(Q_SS_EXPORT_data,"No",passes_workbook_filters_data,1,passes_workbook_custom_filters_data,1,INDIRECT(All_Questions_Q_SS_EXPORT_CT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>0</v>
      </c>
      <c r="H25">
        <f>IFERROR(INDEX(INDIRECT(All_Questions_Q_MS_EXPORT_CT &amp; "_options"),3),"")</f>
        <v>0</v>
      </c>
      <c r="I25">
        <f>IFERROR(INDEX(INDIRECT(All_Questions_Q_MS_EXPORT_CT &amp; "_options"),4),"")</f>
        <v>0</v>
      </c>
      <c r="J25">
        <f>IFERROR(INDEX(INDIRECT(All_Questions_Q_MS_EXPORT_CT &amp; "_options"),5),"")</f>
        <v>0</v>
      </c>
      <c r="K25">
        <f>IFERROR(INDEX(INDIRECT(All_Questions_Q_MS_EXPORT_CT &amp; "_options"),6),"")</f>
        <v>0</v>
      </c>
      <c r="L25">
        <f>IFERROR(INDEX(INDIRECT(All_Questions_Q_MS_EXPORT_CT &amp; "_options"),7),"")</f>
        <v>0</v>
      </c>
      <c r="M25">
        <f>IFERROR(INDEX(INDIRECT(All_Questions_Q_MS_EXPORT_CT &amp; "_options"),8),"")</f>
        <v>0</v>
      </c>
      <c r="N25">
        <f>IFERROR(INDEX(INDIRECT(All_Questions_Q_MS_EXPORT_CT &amp; "_options"),9),"")</f>
        <v>0</v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IFERROR(AVERAGEIFS(Q_NUM_EXPORT_data,passes_workbook_filters_data,1,passes_workbook_custom_filters_data,1),0)</f>
        <v>5.5</v>
      </c>
      <c r="D35">
        <f>COUNTIFS(Q_NUM_EXPORT_data,"&lt;&gt;",passes_workbook_filters_data,1,passes_workbook_custom_filters_data,1)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IFERROR(MINIFS(Q_NUM_EXPORT_data,passes_workbook_filters_data,1,passes_workbook_custom_filters_data,1),0)</f>
        <v>1.0</v>
      </c>
      <c r="D36">
        <f>COUNTIFS(Q_NUM_EXPORT_data,"&lt;&gt;",passes_workbook_filters_data,1,passes_workbook_custom_filters_data,1)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IFERROR(MAXIFS(Q_NUM_EXPORT_data,passes_workbook_filters_data,1,passes_workbook_custom_filters_data,1),0)</f>
        <v>10.0</v>
      </c>
      <c r="D37">
        <f>COUNTIFS(Q_NUM_EXPORT_data,"&lt;&gt;",passes_workbook_filters_data,1,passes_workbook_custom_filters_data,1)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>0</v>
      </c>
      <c r="H46">
        <f>IFERROR(INDEX(INDIRECT(All_Questions_Q_GRID_EXPORT_CT &amp; "_options"),3),"")</f>
        <v>0</v>
      </c>
      <c r="I46">
        <f>IFERROR(INDEX(INDIRECT(All_Questions_Q_GRID_EXPORT_CT &amp; "_options"),4),"")</f>
        <v>0</v>
      </c>
      <c r="J46">
        <f>IFERROR(INDEX(INDIRECT(All_Questions_Q_GRID_EXPORT_CT &amp; "_options"),5),"")</f>
        <v>0</v>
      </c>
      <c r="K46">
        <f>IFERROR(INDEX(INDIRECT(All_Questions_Q_GRID_EXPORT_CT &amp; "_options"),6),"")</f>
        <v>0</v>
      </c>
      <c r="L46">
        <f>IFERROR(INDEX(INDIRECT(All_Questions_Q_GRID_EXPORT_CT &amp; "_options"),7),"")</f>
        <v>0</v>
      </c>
      <c r="M46">
        <f>IFERROR(INDEX(INDIRECT(All_Questions_Q_GRID_EXPORT_CT &amp; "_options"),8),"")</f>
        <v>0</v>
      </c>
      <c r="N46">
        <f>IFERROR(INDEX(INDIRECT(All_Questions_Q_GRID_EXPORT_CT &amp; "_options"),9),"")</f>
        <v>0</v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>0</v>
      </c>
      <c r="H55">
        <f>IFERROR(INDEX(INDIRECT(All_Questions_Q_VERY_LONG_SINGLE_SELECT_EXPORT_NAME_CT &amp; "_options"),3),"")</f>
        <v>0</v>
      </c>
      <c r="I55">
        <f>IFERROR(INDEX(INDIRECT(All_Questions_Q_VERY_LONG_SINGLE_SELECT_EXPORT_NAME_CT &amp; "_options"),4),"")</f>
        <v>0</v>
      </c>
      <c r="J55">
        <f>IFERROR(INDEX(INDIRECT(All_Questions_Q_VERY_LONG_SINGLE_SELECT_EXPORT_NAME_CT &amp; "_options"),5),"")</f>
        <v>0</v>
      </c>
      <c r="K55">
        <f>IFERROR(INDEX(INDIRECT(All_Questions_Q_VERY_LONG_SINGLE_SELECT_EXPORT_NAME_CT &amp; "_options"),6),"")</f>
        <v>0</v>
      </c>
      <c r="L55">
        <f>IFERROR(INDEX(INDIRECT(All_Questions_Q_VERY_LONG_SINGLE_SELECT_EXPORT_NAME_CT &amp; "_options"),7),"")</f>
        <v>0</v>
      </c>
      <c r="M55">
        <f>IFERROR(INDEX(INDIRECT(All_Questions_Q_VERY_LONG_SINGLE_SELECT_EXPORT_NAME_CT &amp; "_options"),8),"")</f>
        <v>0</v>
      </c>
      <c r="N55">
        <f>IFERROR(INDEX(INDIRECT(All_Questions_Q_VERY_LONG_SINGLE_SELECT_EXPORT_NAME_CT &amp; "_options"),9),"")</f>
        <v>0</v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2026-05-15T05:25:58Z</dcterms:created>
  <dcterms:modified xmlns:dcterms="http://purl.org/dc/terms/" xmlns:xsi="http://www.w3.org/2001/XMLSchema-instance" xsi:type="dcterms:W3CDTF">2026-05-15T05:25:58Z</dcterms:modified>
</cp:coreProperties>
</file>