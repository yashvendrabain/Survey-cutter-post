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F_passes_per_q_filter_data">'_RawData'!$T$2:$T$11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F_passes_per_q_filter_data">'_RawData'!$U$2:$U$11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F_passes_per_q_filter_data">'_RawData'!$V$2:$V$11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F_passes_per_q_filter_data">'_RawData'!$W$2:$W$11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IF(OR(F_Custom1_Q="(None)",F_Custom1_Q="",ISBLANK(F_Custom1_Q),F_Custom1_V="(All)",F_Custom1_V="",ISBLANK(F_Custom1_V)),1,IFERROR(IF(ISNUMBER(SEARCH("|"&amp;INDEX($A2:$M2,1,MATCH(F_Custom1_Q,$A$1:$M$1,0))&amp;"|",F_Custom1_wrapped)),1,0),0))</f>
        <v>1</v>
      </c>
      <c r="P2">
        <f>IF(OR(F_Custom2_Q="(None)",F_Custom2_Q="",ISBLANK(F_Custom2_Q),F_Custom2_V="(All)",F_Custom2_V="",ISBLANK(F_Custom2_V)),1,IFERROR(IF(ISNUMBER(SEARCH("|"&amp;INDEX($A2:$M2,1,MATCH(F_Custom2_Q,$A$1:$M$1,0))&amp;"|",F_Custom2_wrapped)),1,0),0))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2:$M2,1,MATCH(All_Questions_Q_SS_EXPORT_F_Q,$A$1:$M$1,0)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M2,1,MATCH(All_Questions_Q_MS_EXPORT_F_Q,$A$1:$M$1,0)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M2,1,MATCH(All_Questions_Q_NUM_EXPORT_F_Q,$A$1:$M$1,0)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M2,1,MATCH(All_Questions_Q_GRID_EXPORT_F_Q,$A$1:$M$1,0)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M2,1,MATCH(All_Questions_Q_VERY_LONG_SINGLE_SELECT_EXPORT_NAME_F_Q,$A$1:$M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IF(OR(F_Custom1_Q="(None)",F_Custom1_Q="",ISBLANK(F_Custom1_Q),F_Custom1_V="(All)",F_Custom1_V="",ISBLANK(F_Custom1_V)),1,IFERROR(IF(ISNUMBER(SEARCH("|"&amp;INDEX($A3:$M3,1,MATCH(F_Custom1_Q,$A$1:$M$1,0))&amp;"|",F_Custom1_wrapped)),1,0),0))</f>
        <v>1</v>
      </c>
      <c r="P3">
        <f>IF(OR(F_Custom2_Q="(None)",F_Custom2_Q="",ISBLANK(F_Custom2_Q),F_Custom2_V="(All)",F_Custom2_V="",ISBLANK(F_Custom2_V)),1,IFERROR(IF(ISNUMBER(SEARCH("|"&amp;INDEX($A3:$M3,1,MATCH(F_Custom2_Q,$A$1:$M$1,0))&amp;"|",F_Custom2_wrapped)),1,0),0))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3:$M3,1,MATCH(All_Questions_Q_SS_EXPORT_F_Q,$A$1:$M$1,0)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M3,1,MATCH(All_Questions_Q_MS_EXPORT_F_Q,$A$1:$M$1,0)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M3,1,MATCH(All_Questions_Q_NUM_EXPORT_F_Q,$A$1:$M$1,0)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M3,1,MATCH(All_Questions_Q_GRID_EXPORT_F_Q,$A$1:$M$1,0)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M3,1,MATCH(All_Questions_Q_VERY_LONG_SINGLE_SELECT_EXPORT_NAME_F_Q,$A$1:$M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IF(OR(F_Custom1_Q="(None)",F_Custom1_Q="",ISBLANK(F_Custom1_Q),F_Custom1_V="(All)",F_Custom1_V="",ISBLANK(F_Custom1_V)),1,IFERROR(IF(ISNUMBER(SEARCH("|"&amp;INDEX($A4:$M4,1,MATCH(F_Custom1_Q,$A$1:$M$1,0))&amp;"|",F_Custom1_wrapped)),1,0),0))</f>
        <v>1</v>
      </c>
      <c r="P4">
        <f>IF(OR(F_Custom2_Q="(None)",F_Custom2_Q="",ISBLANK(F_Custom2_Q),F_Custom2_V="(All)",F_Custom2_V="",ISBLANK(F_Custom2_V)),1,IFERROR(IF(ISNUMBER(SEARCH("|"&amp;INDEX($A4:$M4,1,MATCH(F_Custom2_Q,$A$1:$M$1,0))&amp;"|",F_Custom2_wrapped)),1,0),0))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4:$M4,1,MATCH(All_Questions_Q_SS_EXPORT_F_Q,$A$1:$M$1,0)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M4,1,MATCH(All_Questions_Q_MS_EXPORT_F_Q,$A$1:$M$1,0)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M4,1,MATCH(All_Questions_Q_NUM_EXPORT_F_Q,$A$1:$M$1,0)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M4,1,MATCH(All_Questions_Q_GRID_EXPORT_F_Q,$A$1:$M$1,0)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M4,1,MATCH(All_Questions_Q_VERY_LONG_SINGLE_SELECT_EXPORT_NAME_F_Q,$A$1:$M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IF(OR(F_Custom1_Q="(None)",F_Custom1_Q="",ISBLANK(F_Custom1_Q),F_Custom1_V="(All)",F_Custom1_V="",ISBLANK(F_Custom1_V)),1,IFERROR(IF(ISNUMBER(SEARCH("|"&amp;INDEX($A5:$M5,1,MATCH(F_Custom1_Q,$A$1:$M$1,0))&amp;"|",F_Custom1_wrapped)),1,0),0))</f>
        <v>1</v>
      </c>
      <c r="P5">
        <f>IF(OR(F_Custom2_Q="(None)",F_Custom2_Q="",ISBLANK(F_Custom2_Q),F_Custom2_V="(All)",F_Custom2_V="",ISBLANK(F_Custom2_V)),1,IFERROR(IF(ISNUMBER(SEARCH("|"&amp;INDEX($A5:$M5,1,MATCH(F_Custom2_Q,$A$1:$M$1,0))&amp;"|",F_Custom2_wrapped)),1,0),0))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5:$M5,1,MATCH(All_Questions_Q_SS_EXPORT_F_Q,$A$1:$M$1,0)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M5,1,MATCH(All_Questions_Q_MS_EXPORT_F_Q,$A$1:$M$1,0)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M5,1,MATCH(All_Questions_Q_NUM_EXPORT_F_Q,$A$1:$M$1,0)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M5,1,MATCH(All_Questions_Q_GRID_EXPORT_F_Q,$A$1:$M$1,0)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M5,1,MATCH(All_Questions_Q_VERY_LONG_SINGLE_SELECT_EXPORT_NAME_F_Q,$A$1:$M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IF(OR(F_Custom1_Q="(None)",F_Custom1_Q="",ISBLANK(F_Custom1_Q),F_Custom1_V="(All)",F_Custom1_V="",ISBLANK(F_Custom1_V)),1,IFERROR(IF(ISNUMBER(SEARCH("|"&amp;INDEX($A6:$M6,1,MATCH(F_Custom1_Q,$A$1:$M$1,0))&amp;"|",F_Custom1_wrapped)),1,0),0))</f>
        <v>1</v>
      </c>
      <c r="P6">
        <f>IF(OR(F_Custom2_Q="(None)",F_Custom2_Q="",ISBLANK(F_Custom2_Q),F_Custom2_V="(All)",F_Custom2_V="",ISBLANK(F_Custom2_V)),1,IFERROR(IF(ISNUMBER(SEARCH("|"&amp;INDEX($A6:$M6,1,MATCH(F_Custom2_Q,$A$1:$M$1,0))&amp;"|",F_Custom2_wrapped)),1,0),0))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6:$M6,1,MATCH(All_Questions_Q_SS_EXPORT_F_Q,$A$1:$M$1,0)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M6,1,MATCH(All_Questions_Q_MS_EXPORT_F_Q,$A$1:$M$1,0)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M6,1,MATCH(All_Questions_Q_NUM_EXPORT_F_Q,$A$1:$M$1,0)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M6,1,MATCH(All_Questions_Q_GRID_EXPORT_F_Q,$A$1:$M$1,0)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M6,1,MATCH(All_Questions_Q_VERY_LONG_SINGLE_SELECT_EXPORT_NAME_F_Q,$A$1:$M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IF(OR(F_Custom1_Q="(None)",F_Custom1_Q="",ISBLANK(F_Custom1_Q),F_Custom1_V="(All)",F_Custom1_V="",ISBLANK(F_Custom1_V)),1,IFERROR(IF(ISNUMBER(SEARCH("|"&amp;INDEX($A7:$M7,1,MATCH(F_Custom1_Q,$A$1:$M$1,0))&amp;"|",F_Custom1_wrapped)),1,0),0))</f>
        <v>1</v>
      </c>
      <c r="P7">
        <f>IF(OR(F_Custom2_Q="(None)",F_Custom2_Q="",ISBLANK(F_Custom2_Q),F_Custom2_V="(All)",F_Custom2_V="",ISBLANK(F_Custom2_V)),1,IFERROR(IF(ISNUMBER(SEARCH("|"&amp;INDEX($A7:$M7,1,MATCH(F_Custom2_Q,$A$1:$M$1,0))&amp;"|",F_Custom2_wrapped)),1,0),0))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7:$M7,1,MATCH(All_Questions_Q_SS_EXPORT_F_Q,$A$1:$M$1,0)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M7,1,MATCH(All_Questions_Q_MS_EXPORT_F_Q,$A$1:$M$1,0)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M7,1,MATCH(All_Questions_Q_NUM_EXPORT_F_Q,$A$1:$M$1,0)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M7,1,MATCH(All_Questions_Q_GRID_EXPORT_F_Q,$A$1:$M$1,0)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M7,1,MATCH(All_Questions_Q_VERY_LONG_SINGLE_SELECT_EXPORT_NAME_F_Q,$A$1:$M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IF(OR(F_Custom1_Q="(None)",F_Custom1_Q="",ISBLANK(F_Custom1_Q),F_Custom1_V="(All)",F_Custom1_V="",ISBLANK(F_Custom1_V)),1,IFERROR(IF(ISNUMBER(SEARCH("|"&amp;INDEX($A8:$M8,1,MATCH(F_Custom1_Q,$A$1:$M$1,0))&amp;"|",F_Custom1_wrapped)),1,0),0))</f>
        <v>1</v>
      </c>
      <c r="P8">
        <f>IF(OR(F_Custom2_Q="(None)",F_Custom2_Q="",ISBLANK(F_Custom2_Q),F_Custom2_V="(All)",F_Custom2_V="",ISBLANK(F_Custom2_V)),1,IFERROR(IF(ISNUMBER(SEARCH("|"&amp;INDEX($A8:$M8,1,MATCH(F_Custom2_Q,$A$1:$M$1,0))&amp;"|",F_Custom2_wrapped)),1,0),0))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8:$M8,1,MATCH(All_Questions_Q_SS_EXPORT_F_Q,$A$1:$M$1,0)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M8,1,MATCH(All_Questions_Q_MS_EXPORT_F_Q,$A$1:$M$1,0)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M8,1,MATCH(All_Questions_Q_NUM_EXPORT_F_Q,$A$1:$M$1,0)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M8,1,MATCH(All_Questions_Q_GRID_EXPORT_F_Q,$A$1:$M$1,0)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M8,1,MATCH(All_Questions_Q_VERY_LONG_SINGLE_SELECT_EXPORT_NAME_F_Q,$A$1:$M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IF(OR(F_Custom1_Q="(None)",F_Custom1_Q="",ISBLANK(F_Custom1_Q),F_Custom1_V="(All)",F_Custom1_V="",ISBLANK(F_Custom1_V)),1,IFERROR(IF(ISNUMBER(SEARCH("|"&amp;INDEX($A9:$M9,1,MATCH(F_Custom1_Q,$A$1:$M$1,0))&amp;"|",F_Custom1_wrapped)),1,0),0))</f>
        <v>1</v>
      </c>
      <c r="P9">
        <f>IF(OR(F_Custom2_Q="(None)",F_Custom2_Q="",ISBLANK(F_Custom2_Q),F_Custom2_V="(All)",F_Custom2_V="",ISBLANK(F_Custom2_V)),1,IFERROR(IF(ISNUMBER(SEARCH("|"&amp;INDEX($A9:$M9,1,MATCH(F_Custom2_Q,$A$1:$M$1,0))&amp;"|",F_Custom2_wrapped)),1,0),0))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9:$M9,1,MATCH(All_Questions_Q_SS_EXPORT_F_Q,$A$1:$M$1,0)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M9,1,MATCH(All_Questions_Q_MS_EXPORT_F_Q,$A$1:$M$1,0)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M9,1,MATCH(All_Questions_Q_NUM_EXPORT_F_Q,$A$1:$M$1,0)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M9,1,MATCH(All_Questions_Q_GRID_EXPORT_F_Q,$A$1:$M$1,0)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M9,1,MATCH(All_Questions_Q_VERY_LONG_SINGLE_SELECT_EXPORT_NAME_F_Q,$A$1:$M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IF(OR(F_Custom1_Q="(None)",F_Custom1_Q="",ISBLANK(F_Custom1_Q),F_Custom1_V="(All)",F_Custom1_V="",ISBLANK(F_Custom1_V)),1,IFERROR(IF(ISNUMBER(SEARCH("|"&amp;INDEX($A10:$M10,1,MATCH(F_Custom1_Q,$A$1:$M$1,0))&amp;"|",F_Custom1_wrapped)),1,0),0))</f>
        <v>1</v>
      </c>
      <c r="P10">
        <f>IF(OR(F_Custom2_Q="(None)",F_Custom2_Q="",ISBLANK(F_Custom2_Q),F_Custom2_V="(All)",F_Custom2_V="",ISBLANK(F_Custom2_V)),1,IFERROR(IF(ISNUMBER(SEARCH("|"&amp;INDEX($A10:$M10,1,MATCH(F_Custom2_Q,$A$1:$M$1,0))&amp;"|",F_Custom2_wrapped)),1,0),0))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10:$M10,1,MATCH(All_Questions_Q_SS_EXPORT_F_Q,$A$1:$M$1,0)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M10,1,MATCH(All_Questions_Q_MS_EXPORT_F_Q,$A$1:$M$1,0)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M10,1,MATCH(All_Questions_Q_NUM_EXPORT_F_Q,$A$1:$M$1,0)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M10,1,MATCH(All_Questions_Q_GRID_EXPORT_F_Q,$A$1:$M$1,0)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M10,1,MATCH(All_Questions_Q_VERY_LONG_SINGLE_SELECT_EXPORT_NAME_F_Q,$A$1:$M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IF(OR(F_Custom1_Q="(None)",F_Custom1_Q="",ISBLANK(F_Custom1_Q),F_Custom1_V="(All)",F_Custom1_V="",ISBLANK(F_Custom1_V)),1,IFERROR(IF(ISNUMBER(SEARCH("|"&amp;INDEX($A11:$M11,1,MATCH(F_Custom1_Q,$A$1:$M$1,0))&amp;"|",F_Custom1_wrapped)),1,0),0))</f>
        <v>1</v>
      </c>
      <c r="P11">
        <f>IF(OR(F_Custom2_Q="(None)",F_Custom2_Q="",ISBLANK(F_Custom2_Q),F_Custom2_V="(All)",F_Custom2_V="",ISBLANK(F_Custom2_V)),1,IFERROR(IF(ISNUMBER(SEARCH("|"&amp;INDEX($A11:$M11,1,MATCH(F_Custom2_Q,$A$1:$M$1,0))&amp;"|",F_Custom2_wrapped)),1,0),0))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11:$M11,1,MATCH(All_Questions_Q_SS_EXPORT_F_Q,$A$1:$M$1,0)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M11,1,MATCH(All_Questions_Q_MS_EXPORT_F_Q,$A$1:$M$1,0)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M11,1,MATCH(All_Questions_Q_NUM_EXPORT_F_Q,$A$1:$M$1,0)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M11,1,MATCH(All_Questions_Q_GRID_EXPORT_F_Q,$A$1:$M$1,0)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M11,1,MATCH(All_Questions_Q_VERY_LONG_SINGLE_SELECT_EXPORT_NAME_F_Q,$A$1:$M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IFERROR(INDEX(INDIRECT(All_Questions_Q_SS_EXPORT_CT &amp; "_options"),2),"")</f>
        <v/>
      </c>
      <c r="H16" t="str">
        <f>IFERROR(INDEX(INDIRECT(All_Questions_Q_SS_EXPORT_CT &amp; "_options"),3),"")</f>
        <v/>
      </c>
      <c r="I16" t="str">
        <f>IFERROR(INDEX(INDIRECT(All_Questions_Q_SS_EXPORT_CT &amp; "_options"),4),"")</f>
        <v/>
      </c>
      <c r="J16" t="str">
        <f>IFERROR(INDEX(INDIRECT(All_Questions_Q_SS_EXPORT_CT &amp; "_options"),5),"")</f>
        <v/>
      </c>
      <c r="K16" t="str">
        <f>IFERROR(INDEX(INDIRECT(All_Questions_Q_SS_EXPORT_CT &amp; "_options"),6),"")</f>
        <v/>
      </c>
      <c r="L16" t="str">
        <f>IFERROR(INDEX(INDIRECT(All_Questions_Q_SS_EXPORT_CT &amp; "_options"),7),"")</f>
        <v/>
      </c>
      <c r="M16" t="str">
        <f>IFERROR(INDEX(INDIRECT(All_Questions_Q_SS_EXPORT_CT &amp; "_options"),8),"")</f>
        <v/>
      </c>
      <c r="N16" t="str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IFERROR(INDEX(INDIRECT(All_Questions_Q_MS_EXPORT_CT &amp; "_options"),2),"")</f>
        <v/>
      </c>
      <c r="H25" t="str">
        <f>IFERROR(INDEX(INDIRECT(All_Questions_Q_MS_EXPORT_CT &amp; "_options"),3),"")</f>
        <v/>
      </c>
      <c r="I25" t="str">
        <f>IFERROR(INDEX(INDIRECT(All_Questions_Q_MS_EXPORT_CT &amp; "_options"),4),"")</f>
        <v/>
      </c>
      <c r="J25" t="str">
        <f>IFERROR(INDEX(INDIRECT(All_Questions_Q_MS_EXPORT_CT &amp; "_options"),5),"")</f>
        <v/>
      </c>
      <c r="K25" t="str">
        <f>IFERROR(INDEX(INDIRECT(All_Questions_Q_MS_EXPORT_CT &amp; "_options"),6),"")</f>
        <v/>
      </c>
      <c r="L25" t="str">
        <f>IFERROR(INDEX(INDIRECT(All_Questions_Q_MS_EXPORT_CT &amp; "_options"),7),"")</f>
        <v/>
      </c>
      <c r="M25" t="str">
        <f>IFERROR(INDEX(INDIRECT(All_Questions_Q_MS_EXPORT_CT &amp; "_options"),8),"")</f>
        <v/>
      </c>
      <c r="N25" t="str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COUNTIFS(Q_MS_EXPORTr1_data,"Selected",passes_workbook_filters_data,1,passes_workbook_custom_filters_data,1,All_Questions_passes_local_filters_data,1,All_Questions_Q_MS_EXPORT_F_passes_per_q_filter_data,1)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COUNTIFS(Q_MS_EXPORTr2_data,"Selected",passes_workbook_filters_data,1,passes_workbook_custom_filters_data,1,All_Questions_passes_local_filters_data,1,All_Questions_Q_MS_EXPORT_F_passes_per_q_filter_data,1)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IFERROR(AVERAGEIFS(Q_NUM_EXPORT_data,passes_workbook_filters_data,1,passes_workbook_custom_filters_data,1,All_Questions_passes_local_filters_data,1,All_Questions_Q_NUM_EXPORT_F_passes_per_q_filter_data,1),0)</f>
        <v>5.5</v>
      </c>
      <c r="D35">
        <f>COUNTIFS(Q_NUM_EXPORT_data,"&lt;&gt;",passes_workbook_filters_data,1,passes_workbook_custom_filters_data,1,All_Questions_passes_local_filters_data,1,All_Questions_Q_NUM_EXPORT_F_passes_per_q_filter_data,1)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IFERROR(MINIFS(Q_NUM_EXPORT_data,passes_workbook_filters_data,1,passes_workbook_custom_filters_data,1,All_Questions_passes_local_filters_data,1,All_Questions_Q_NUM_EXPORT_F_passes_per_q_filter_data,1),0)</f>
        <v>1.0</v>
      </c>
      <c r="D36">
        <f>COUNTIFS(Q_NUM_EXPORT_data,"&lt;&gt;",passes_workbook_filters_data,1,passes_workbook_custom_filters_data,1,All_Questions_passes_local_filters_data,1,All_Questions_Q_NUM_EXPORT_F_passes_per_q_filter_data,1)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IFERROR(MAXIFS(Q_NUM_EXPORT_data,passes_workbook_filters_data,1,passes_workbook_custom_filters_data,1,All_Questions_passes_local_filters_data,1,All_Questions_Q_NUM_EXPORT_F_passes_per_q_filter_data,1),0)</f>
        <v>10.0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 t="str">
        <f>IFERROR(INDEX(INDIRECT(All_Questions_Q_GRID_EXPORT_CT &amp; "_options"),2),"")</f>
        <v/>
      </c>
      <c r="H46" t="str">
        <f>IFERROR(INDEX(INDIRECT(All_Questions_Q_GRID_EXPORT_CT &amp; "_options"),3),"")</f>
        <v/>
      </c>
      <c r="I46" t="str">
        <f>IFERROR(INDEX(INDIRECT(All_Questions_Q_GRID_EXPORT_CT &amp; "_options"),4),"")</f>
        <v/>
      </c>
      <c r="J46" t="str">
        <f>IFERROR(INDEX(INDIRECT(All_Questions_Q_GRID_EXPORT_CT &amp; "_options"),5),"")</f>
        <v/>
      </c>
      <c r="K46" t="str">
        <f>IFERROR(INDEX(INDIRECT(All_Questions_Q_GRID_EXPORT_CT &amp; "_options"),6),"")</f>
        <v/>
      </c>
      <c r="L46" t="str">
        <f>IFERROR(INDEX(INDIRECT(All_Questions_Q_GRID_EXPORT_CT &amp; "_options"),7),"")</f>
        <v/>
      </c>
      <c r="M46" t="str">
        <f>IFERROR(INDEX(INDIRECT(All_Questions_Q_GRID_EXPORT_CT &amp; "_options"),8),"")</f>
        <v/>
      </c>
      <c r="N46" t="str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COUNTIFS(Q_GRID_EXPORTr1_data,"Selected",passes_workbook_filters_data,1,passes_workbook_custom_filters_data,1,All_Questions_passes_local_filters_data,1,All_Questions_Q_GRID_EXPORT_F_passes_per_q_filter_data,1)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COUNTIFS(Q_GRID_EXPORTr2_data,"Selected",passes_workbook_filters_data,1,passes_workbook_custom_filters_data,1,All_Questions_passes_local_filters_data,1,All_Questions_Q_GRID_EXPORT_F_passes_per_q_filter_data,1)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 t="str">
        <f>IFERROR(INDEX(INDIRECT(All_Questions_Q_VERY_LONG_SINGLE_SELECT_EXPORT_NAME_CT &amp; "_options"),2),"")</f>
        <v/>
      </c>
      <c r="H55" t="str">
        <f>IFERROR(INDEX(INDIRECT(All_Questions_Q_VERY_LONG_SINGLE_SELECT_EXPORT_NAME_CT &amp; "_options"),3),"")</f>
        <v/>
      </c>
      <c r="I55" t="str">
        <f>IFERROR(INDEX(INDIRECT(All_Questions_Q_VERY_LONG_SINGLE_SELECT_EXPORT_NAME_CT &amp; "_options"),4),"")</f>
        <v/>
      </c>
      <c r="J55" t="str">
        <f>IFERROR(INDEX(INDIRECT(All_Questions_Q_VERY_LONG_SINGLE_SELECT_EXPORT_NAME_CT &amp; "_options"),5),"")</f>
        <v/>
      </c>
      <c r="K55" t="str">
        <f>IFERROR(INDEX(INDIRECT(All_Questions_Q_VERY_LONG_SINGLE_SELECT_EXPORT_NAME_CT &amp; "_options"),6),"")</f>
        <v/>
      </c>
      <c r="L55" t="str">
        <f>IFERROR(INDEX(INDIRECT(All_Questions_Q_VERY_LONG_SINGLE_SELECT_EXPORT_NAME_CT &amp; "_options"),7),"")</f>
        <v/>
      </c>
      <c r="M55" t="str">
        <f>IFERROR(INDEX(INDIRECT(All_Questions_Q_VERY_LONG_SINGLE_SELECT_EXPORT_NAME_CT &amp; "_options"),8),"")</f>
        <v/>
      </c>
      <c r="N55" t="str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2026-05-15T06:09:18.038816+00:00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2026-05-15T06:09:18.039477+00:00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2026-05-15T06:09:18.039522+00:00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2026-05-15T06:09:18.040726+00:00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2026-05-15T06:09:18.041622+00:00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2026-05-15T06:09:18.042492+00:00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2026-05-15T06:09:18.043148+00:00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2026-05-15T06:09:18.043168+00:00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2026-05-15T06:09:18.044082+00:00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2026-05-15T06:09:18.044750+00:00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2026-05-15T06:09:18.045385+00:00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2026-05-15T06:09:18.045476+00:00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2026-05-15T06:09:18Z</dcterms:created>
  <dcterms:modified xmlns:dcterms="http://purl.org/dc/terms/" xmlns:xsi="http://www.w3.org/2001/XMLSchema-instance" xsi:type="dcterms:W3CDTF">2026-05-15T06:09:18Z</dcterms:modified>
</cp:coreProperties>
</file>