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SEG_data">'_RawData'!$B$2:$B$5</definedName>
    <definedName name="Q_GB_R1_data">'_RawData'!$C$2:$C$5</definedName>
    <definedName name="All_Questions">'_Options'!$A$2:$A$4</definedName>
    <definedName name="All_Questions_Local">'_Options'!$B$2:$B$5</definedName>
    <definedName name="Cross_Tab_Questions">'_Options'!$J$2:$J$3</definedName>
    <definedName name="Cross_Tab_Questions_Data_Names">'_Options'!$K$2:$K$3</definedName>
    <definedName name="None_options">'_Options'!$E$2:$E$2</definedName>
    <definedName name="Q_SEG_options">'_Options'!$F$2:$F$4</definedName>
    <definedName name="Q_SEG_local_options">'_Options'!$H$2:$H$5</definedName>
    <definedName name="Q_GB_R1_options">'_Options'!$G$2:$G$3</definedName>
    <definedName name="Q_GB_R1_local_options">'_Options'!$I$2:$I$4</definedName>
    <definedName name="Q_GB_filter_values_options">'_Options'!$O$2:$O$3</definedName>
    <definedName name="Q_GB_filter_values_local_options">'_Options'!$P$2:$P$4</definedName>
    <definedName name="All_Questions_Data_Names">'_Options'!$C$2:$C$4</definedName>
    <definedName name="All_Questions_Options_Names">'_Options'!$D$2:$D$4</definedName>
    <definedName name="Cross_Tab_Questions_Options_Names">'_Options'!$L$2:$L$3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SEG_F_Q">'All Questions'!$C$13</definedName>
    <definedName name="All_Questions_Q_SEG_F_V">'All Questions'!$E$13</definedName>
    <definedName name="All_Questions_Q_SEG_F_resolved_column">'All Questions'!$F$13</definedName>
    <definedName name="All_Questions_Q_SEG_F_wrapped">'All Questions'!$G$13</definedName>
    <definedName name="All_Questions_Q_SEG_F_resolved_criteria">'All Questions'!$H$13</definedName>
    <definedName name="All_Questions_Q_SEG_F_passes_per_q_filter_data">'_RawData'!$I$2:$I$5</definedName>
    <definedName name="All_Questions_Q_SEG_CT">'All Questions'!$C$14</definedName>
    <definedName name="All_Questions_Q_GB_F_Q">'All Questions'!$C$29</definedName>
    <definedName name="All_Questions_Q_GB_F_V">'All Questions'!$E$29</definedName>
    <definedName name="All_Questions_Q_GB_F_resolved_column">'All Questions'!$F$29</definedName>
    <definedName name="All_Questions_Q_GB_F_wrapped">'All Questions'!$G$29</definedName>
    <definedName name="All_Questions_Q_GB_F_resolved_criteria">'All Questions'!$H$29</definedName>
    <definedName name="All_Questions_Q_GB_F_passes_per_q_filter_data">'_RawData'!$J$2:$J$5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Q_SEG</t>
        </is>
      </c>
      <c r="C1" t="inlineStr">
        <is>
          <t>Q_GB_R1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All_Questions_Q_SEG_F_passes_per_q_filter</t>
        </is>
      </c>
      <c r="J1" t="inlineStr">
        <is>
          <t>All_Questions_Q_GB_F_passes_per_q_filter</t>
        </is>
      </c>
    </row>
    <row r="2">
      <c r="A2" t="n">
        <v>1</v>
      </c>
      <c r="B2" t="inlineStr">
        <is>
          <t>Segment A</t>
        </is>
      </c>
      <c r="C2" t="inlineStr">
        <is>
          <t>Selected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1)&amp;"|",("|" &amp; SUBSTITUTE(All_Questions_Q_SEG_F_resolved_criteria, ", ", "|") &amp; "|"))),1,0),0))*1</f>
        <v>1</v>
      </c>
      <c r="J2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1)&amp;"|",("|" &amp; SUBSTITUTE(All_Questions_Q_GB_F_resolved_criteria, ", ", "|") &amp; "|"))),1,0),0))*1</f>
        <v>1</v>
      </c>
    </row>
    <row r="3">
      <c r="A3" t="n">
        <v>2</v>
      </c>
      <c r="B3" t="inlineStr">
        <is>
          <t>Segment A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2)&amp;"|",("|" &amp; SUBSTITUTE(All_Questions_Q_SEG_F_resolved_criteria, ", ", "|") &amp; "|"))),1,0),0))*1</f>
        <v>1</v>
      </c>
      <c r="J3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2)&amp;"|",("|" &amp; SUBSTITUTE(All_Questions_Q_GB_F_resolved_criteria, ", ", "|") &amp; "|"))),1,0),0))*1</f>
        <v>1</v>
      </c>
    </row>
    <row r="4">
      <c r="A4" t="n">
        <v>3</v>
      </c>
      <c r="B4" t="inlineStr">
        <is>
          <t>Segment B</t>
        </is>
      </c>
      <c r="C4" t="inlineStr">
        <is>
          <t>Selected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3)&amp;"|",("|" &amp; SUBSTITUTE(All_Questions_Q_SEG_F_resolved_criteria, ", ", "|") &amp; "|"))),1,0),0))*1</f>
        <v>1</v>
      </c>
      <c r="J4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3)&amp;"|",("|" &amp; SUBSTITUTE(All_Questions_Q_GB_F_resolved_criteria, ", ", "|") &amp; "|"))),1,0),0))*1</f>
        <v>1</v>
      </c>
    </row>
    <row r="5">
      <c r="A5" t="n">
        <v>4</v>
      </c>
      <c r="B5" t="inlineStr">
        <is>
          <t>Segment B</t>
        </is>
      </c>
      <c r="C5" t="inlineStr">
        <is>
          <t>Selected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4)&amp;"|",("|" &amp; SUBSTITUTE(All_Questions_Q_SEG_F_resolved_criteria, ", ", "|") &amp; "|"))),1,0),0))*1</f>
        <v>1</v>
      </c>
      <c r="J5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4)&amp;"|",("|" &amp; SUBSTITUTE(All_Questions_Q_GB_F_resolved_criteria,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Q_SEG_options</t>
        </is>
      </c>
      <c r="G1" t="inlineStr">
        <is>
          <t>Q_GB_R1_options</t>
        </is>
      </c>
      <c r="H1" t="inlineStr">
        <is>
          <t>Q_SEG_local_options</t>
        </is>
      </c>
      <c r="I1" t="inlineStr">
        <is>
          <t>Q_GB_R1_local_options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O1" t="inlineStr">
        <is>
          <t>Q_GB_filter_values_options</t>
        </is>
      </c>
      <c r="P1" t="inlineStr">
        <is>
          <t>Q_GB_filter_values_local_options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Q_GB - Binary Grid|Capability</t>
        </is>
      </c>
      <c r="S2" t="inlineStr">
        <is>
          <t>'_RawData'!$C$2:$C$5</t>
        </is>
      </c>
      <c r="T2" t="inlineStr">
        <is>
          <t>Selected</t>
        </is>
      </c>
    </row>
    <row r="3">
      <c r="A3" t="inlineStr">
        <is>
          <t>Q_SEG - Segment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Segment A</t>
        </is>
      </c>
      <c r="G3" t="inlineStr">
        <is>
          <t>Selected</t>
        </is>
      </c>
      <c r="H3" t="inlineStr">
        <is>
          <t>(All)</t>
        </is>
      </c>
      <c r="I3" t="inlineStr">
        <is>
          <t>(All)</t>
        </is>
      </c>
      <c r="J3" t="inlineStr">
        <is>
          <t>Q_SEG - Segment</t>
        </is>
      </c>
      <c r="K3" t="inlineStr">
        <is>
          <t>'_RawData'!$B$2:$B$5</t>
        </is>
      </c>
      <c r="L3" t="inlineStr">
        <is>
          <t>'_Options'!$F$2:$F$4</t>
        </is>
      </c>
      <c r="O3" t="inlineStr">
        <is>
          <t>Capability</t>
        </is>
      </c>
      <c r="P3" t="inlineStr">
        <is>
          <t>(All)</t>
        </is>
      </c>
    </row>
    <row r="4">
      <c r="A4" t="inlineStr">
        <is>
          <t>Q_GB - Binary Grid</t>
        </is>
      </c>
      <c r="B4" t="inlineStr">
        <is>
          <t>Q_SEG - Segment</t>
        </is>
      </c>
      <c r="C4" t="inlineStr">
        <is>
          <t>'_RawData'!$C$2:$C$5</t>
        </is>
      </c>
      <c r="D4" t="inlineStr">
        <is>
          <t>'_Options'!$O$2:$O$3</t>
        </is>
      </c>
      <c r="F4" t="inlineStr">
        <is>
          <t>Segment B</t>
        </is>
      </c>
      <c r="H4" t="inlineStr">
        <is>
          <t>Segment A</t>
        </is>
      </c>
      <c r="I4" t="inlineStr">
        <is>
          <t>Selected</t>
        </is>
      </c>
      <c r="P4" t="inlineStr">
        <is>
          <t>Capability</t>
        </is>
      </c>
    </row>
    <row r="5">
      <c r="B5" t="inlineStr">
        <is>
          <t>Q_GB - Binary Grid</t>
        </is>
      </c>
      <c r="H5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[Q_SEG]</t>
        </is>
      </c>
      <c r="B2" t="inlineStr">
        <is>
          <t>Q_SEG</t>
        </is>
      </c>
      <c r="C2" t="inlineStr">
        <is>
          <t>Segment</t>
        </is>
      </c>
      <c r="D2" t="inlineStr">
        <is>
          <t>SINGLE_SELECT</t>
        </is>
      </c>
      <c r="E2" t="inlineStr">
        <is>
          <t>Q_SEG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[Q_GB]</t>
        </is>
      </c>
      <c r="B3" t="inlineStr">
        <is>
          <t>Q_GB</t>
        </is>
      </c>
      <c r="C3" t="inlineStr">
        <is>
          <t>Binary grid</t>
        </is>
      </c>
      <c r="D3" t="inlineStr">
        <is>
          <t>GRID_BINARY_SELECT</t>
        </is>
      </c>
      <c r="E3" t="inlineStr">
        <is>
          <t>Q_GB_R1</t>
        </is>
      </c>
      <c r="F3" t="n">
        <v>1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Q_SEG</t>
        </is>
      </c>
      <c r="B2" t="inlineStr">
        <is>
          <t>Q_SEG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Q_GB</t>
        </is>
      </c>
      <c r="B3" t="inlineStr">
        <is>
          <t>Q_GB</t>
        </is>
      </c>
      <c r="C3" t="inlineStr">
        <is>
          <t>GRID_BINARY_SELECT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Q_SEG - Segment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IFERROR(INDEX(All_Questions_Value_Data_Names,MATCH(All_Questions_Q_SEG_F_Q&amp;"|"&amp;All_Questions_Q_SEG_F_V,All_Questions_Value_Keys,0)),IFERROR(INDEX(All_Questions_Data_Names,MATCH(All_Questions_Q_SEG_F_Q,All_Questions,0)),"'_RawData'!$A:$A"))</f>
        <v>respondent_id_data</v>
      </c>
      <c r="G13" t="str">
        <f>"|" &amp; SUBSTITUTE(All_Questions_Q_SEG_F_V, ", ", "|") &amp; "|"</f>
        <v>|(All)|</v>
      </c>
      <c r="H13" t="str">
        <f>IFERROR(INDEX(All_Questions_Value_Criteria,MATCH(All_Questions_Q_SEG_F_Q&amp;"|"&amp;All_Questions_Q_SEG_F_V,All_Questions_Value_Keys,0)),All_Questions_Q_SEG_F_V)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Segment A</t>
        </is>
      </c>
      <c r="B17">
        <f>COUNTIFS(Q_SEG_data,"Segment A",passes_workbook_filters_data,1,passes_workbook_custom_filters_data,1,All_Questions_passes_local_filters_data,1,All_Questions_Q_SEG_F_passes_per_q_filter_data,1)</f>
        <v>2</v>
      </c>
      <c r="C17" s="7">
        <f>IFERROR(B17/SUBTOTAL(9,B17:B18),0)</f>
        <v>0.5</v>
      </c>
      <c r="D17" s="14">
        <f>SUBTOTAL(9,B17:B18)</f>
        <v>4</v>
      </c>
    </row>
    <row r="18">
      <c r="A18" t="inlineStr">
        <is>
          <t>Segment B</t>
        </is>
      </c>
      <c r="B18">
        <f>COUNTIFS(Q_SEG_data,"Segment B",passes_workbook_filters_data,1,passes_workbook_custom_filters_data,1,All_Questions_passes_local_filters_data,1,All_Questions_Q_SEG_F_passes_per_q_filter_data,1)</f>
        <v>2</v>
      </c>
      <c r="C18" s="7">
        <f>IFERROR(B18/SUBTOTAL(9,B17:B18),0)</f>
        <v>0.5</v>
      </c>
      <c r="D18" s="14">
        <f>SUBTOTAL(9,B17:B18)</f>
        <v>4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IF(All_Questions_Q_SEG_CT="(None)","",IFERROR(INDEX(INDIRECT(IFERROR(INDEX(Cross_Tab_Questions_Options_Names,MATCH(All_Questions_Q_SEG_CT,Cross_Tab_Questions,0)),"'_Options'!$E$2:$E$2")),2),""))</f>
        <v/>
      </c>
      <c r="C21" s="2" t="str">
        <f>IF(All_Questions_Q_SEG_CT="(None)","",IFERROR(INDEX(INDIRECT(IFERROR(INDEX(Cross_Tab_Questions_Options_Names,MATCH(All_Questions_Q_SEG_CT,Cross_Tab_Questions,0)),"'_Options'!$E$2:$E$2")),3),""))</f>
        <v/>
      </c>
      <c r="D21" s="2" t="str">
        <f>IF(All_Questions_Q_SEG_CT="(None)","",IFERROR(INDEX(INDIRECT(IFERROR(INDEX(Cross_Tab_Questions_Options_Names,MATCH(All_Questions_Q_SEG_CT,Cross_Tab_Questions,0)),"'_Options'!$E$2:$E$2")),4),""))</f>
        <v/>
      </c>
      <c r="E21" s="2" t="str">
        <f>IF(All_Questions_Q_SEG_CT="(None)","",IFERROR(INDEX(INDIRECT(IFERROR(INDEX(Cross_Tab_Questions_Options_Names,MATCH(All_Questions_Q_SEG_CT,Cross_Tab_Questions,0)),"'_Options'!$E$2:$E$2")),5),""))</f>
        <v/>
      </c>
      <c r="F21" s="2" t="str">
        <f>IF(All_Questions_Q_SEG_CT="(None)","",IFERROR(INDEX(INDIRECT(IFERROR(INDEX(Cross_Tab_Questions_Options_Names,MATCH(All_Questions_Q_SEG_CT,Cross_Tab_Questions,0)),"'_Options'!$E$2:$E$2")),6),""))</f>
        <v/>
      </c>
      <c r="G21" s="2" t="str">
        <f>IF(All_Questions_Q_SEG_CT="(None)","",IFERROR(INDEX(INDIRECT(IFERROR(INDEX(Cross_Tab_Questions_Options_Names,MATCH(All_Questions_Q_SEG_CT,Cross_Tab_Questions,0)),"'_Options'!$E$2:$E$2")),7),""))</f>
        <v/>
      </c>
      <c r="H21" s="2" t="str">
        <f>IF(All_Questions_Q_SEG_CT="(None)","",IFERROR(INDEX(INDIRECT(IFERROR(INDEX(Cross_Tab_Questions_Options_Names,MATCH(All_Questions_Q_SEG_CT,Cross_Tab_Questions,0)),"'_Options'!$E$2:$E$2")),8),""))</f>
        <v/>
      </c>
      <c r="I21" s="2" t="str">
        <f>IF(All_Questions_Q_SEG_CT="(None)","",IFERROR(INDEX(INDIRECT(IFERROR(INDEX(Cross_Tab_Questions_Options_Names,MATCH(All_Questions_Q_SEG_CT,Cross_Tab_Questions,0)),"'_Options'!$E$2:$E$2")),9),""))</f>
        <v/>
      </c>
      <c r="J21" s="2" t="str">
        <f>IF(All_Questions_Q_SEG_CT="(None)","",IFERROR(INDEX(INDIRECT(IFERROR(INDEX(Cross_Tab_Questions_Options_Names,MATCH(All_Questions_Q_SEG_CT,Cross_Tab_Questions,0)),"'_Options'!$E$2:$E$2")),10),""))</f>
        <v/>
      </c>
      <c r="K21" s="2" t="str">
        <f>IF(All_Questions_Q_SEG_CT="(None)","",IFERROR(INDEX(INDIRECT(IFERROR(INDEX(Cross_Tab_Questions_Options_Names,MATCH(All_Questions_Q_SEG_CT,Cross_Tab_Questions,0)),"'_Options'!$E$2:$E$2")),11),""))</f>
        <v/>
      </c>
      <c r="L21" s="2" t="str">
        <f>IF(All_Questions_Q_SEG_CT="(None)","",IFERROR(INDEX(INDIRECT(IFERROR(INDEX(Cross_Tab_Questions_Options_Names,MATCH(All_Questions_Q_SEG_CT,Cross_Tab_Questions,0)),"'_Options'!$E$2:$E$2")),12),""))</f>
        <v/>
      </c>
      <c r="M21" s="2" t="str">
        <f>IF(All_Questions_Q_SEG_CT="(None)","",IF(COUNTA(INDIRECT(IFERROR(INDEX(Cross_Tab_Questions_Options_Names,MATCH(All_Questions_Q_SEG_CT,Cross_Tab_Questions,0)),"'_Options'!$E$2:$E$2")))-1&gt;11,"Other",IFERROR(INDEX(INDIRECT(IFERROR(INDEX(Cross_Tab_Questions_Options_Names,MATCH(All_Questions_Q_SEG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Segment A</t>
        </is>
      </c>
      <c r="B23" s="14">
        <f>IF(OR(All_Questions_Q_SEG_CT="(None)",B$21=""),"",COUNTIFS(Q_SEG_data,"Segment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B$21))</f>
        <v>0</v>
      </c>
      <c r="C23" s="14">
        <f>IF(OR(All_Questions_Q_SEG_CT="(None)",C$21=""),"",COUNTIFS(Q_SEG_data,"Segment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C$21))</f>
        <v>0</v>
      </c>
      <c r="D23" s="14">
        <f>IF(OR(All_Questions_Q_SEG_CT="(None)",D$21=""),"",COUNTIFS(Q_SEG_data,"Segment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D$21))</f>
        <v>0</v>
      </c>
      <c r="E23" s="14">
        <f>IF(OR(All_Questions_Q_SEG_CT="(None)",E$21=""),"",COUNTIFS(Q_SEG_data,"Segment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E$21))</f>
        <v>0</v>
      </c>
      <c r="F23" s="14">
        <f>IF(OR(All_Questions_Q_SEG_CT="(None)",F$21=""),"",COUNTIFS(Q_SEG_data,"Segment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F$21))</f>
        <v>0</v>
      </c>
      <c r="G23" s="14">
        <f>IF(OR(All_Questions_Q_SEG_CT="(None)",G$21=""),"",COUNTIFS(Q_SEG_data,"Segment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$21))</f>
        <v>0</v>
      </c>
      <c r="H23" s="14">
        <f>IF(OR(All_Questions_Q_SEG_CT="(None)",H$21=""),"",COUNTIFS(Q_SEG_data,"Segment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$21))</f>
        <v>0</v>
      </c>
      <c r="I23" s="14">
        <f>IF(OR(All_Questions_Q_SEG_CT="(None)",I$21=""),"",COUNTIFS(Q_SEG_data,"Segment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$21))</f>
        <v>0</v>
      </c>
      <c r="J23" s="14">
        <f>IF(OR(All_Questions_Q_SEG_CT="(None)",J$21=""),"",COUNTIFS(Q_SEG_data,"Segment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$21))</f>
        <v>0</v>
      </c>
      <c r="K23" s="14">
        <f>IF(OR(All_Questions_Q_SEG_CT="(None)",K$21=""),"",COUNTIFS(Q_SEG_data,"Segment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$21))</f>
        <v>0</v>
      </c>
      <c r="L23" s="14">
        <f>IF(OR(All_Questions_Q_SEG_CT="(None)",L$21=""),"",COUNTIFS(Q_SEG_data,"Segment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$21))</f>
        <v>0</v>
      </c>
      <c r="M23" s="14">
        <f>IF(OR(All_Questions_Q_SEG_CT="(None)",M$21=""),"",IF(M$21="Other",COUNTIFS(Q_SEG_data,"Segment A",passes_workbook_filters_data,1,passes_workbook_custom_filters_data,1,All_Questions_passes_local_filters_data,1,All_Questions_Q_SEG_F_passes_per_q_filter_data,1)-SUM(B23,C23,D23,E23,F23,G23,H23,I23,J23,K23,L23),COUNTIFS(Q_SEG_data,"Segment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$21)))</f>
        <v>0</v>
      </c>
      <c r="N23" s="14">
        <f>IF(All_Questions_Q_SEG_CT="(None)","",COUNTIFS(Q_SEG_data,"Segment A",passes_workbook_filters_data,1,passes_workbook_custom_filters_data,1,All_Questions_passes_local_filters_data,1,All_Questions_Q_SEG_F_passes_per_q_filter_data,1))</f>
        <v>0</v>
      </c>
    </row>
    <row r="24">
      <c r="A24" t="inlineStr">
        <is>
          <t>Segment B</t>
        </is>
      </c>
      <c r="B24" s="14">
        <f>IF(OR(All_Questions_Q_SEG_CT="(None)",B$21=""),"",COUNTIFS(Q_SEG_data,"Segment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B$21))</f>
        <v>0</v>
      </c>
      <c r="C24" s="14">
        <f>IF(OR(All_Questions_Q_SEG_CT="(None)",C$21=""),"",COUNTIFS(Q_SEG_data,"Segment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C$21))</f>
        <v>0</v>
      </c>
      <c r="D24" s="14">
        <f>IF(OR(All_Questions_Q_SEG_CT="(None)",D$21=""),"",COUNTIFS(Q_SEG_data,"Segment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D$21))</f>
        <v>0</v>
      </c>
      <c r="E24" s="14">
        <f>IF(OR(All_Questions_Q_SEG_CT="(None)",E$21=""),"",COUNTIFS(Q_SEG_data,"Segment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E$21))</f>
        <v>0</v>
      </c>
      <c r="F24" s="14">
        <f>IF(OR(All_Questions_Q_SEG_CT="(None)",F$21=""),"",COUNTIFS(Q_SEG_data,"Segment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F$21))</f>
        <v>0</v>
      </c>
      <c r="G24" s="14">
        <f>IF(OR(All_Questions_Q_SEG_CT="(None)",G$21=""),"",COUNTIFS(Q_SEG_data,"Segment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$21))</f>
        <v>0</v>
      </c>
      <c r="H24" s="14">
        <f>IF(OR(All_Questions_Q_SEG_CT="(None)",H$21=""),"",COUNTIFS(Q_SEG_data,"Segment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$21))</f>
        <v>0</v>
      </c>
      <c r="I24" s="14">
        <f>IF(OR(All_Questions_Q_SEG_CT="(None)",I$21=""),"",COUNTIFS(Q_SEG_data,"Segment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$21))</f>
        <v>0</v>
      </c>
      <c r="J24" s="14">
        <f>IF(OR(All_Questions_Q_SEG_CT="(None)",J$21=""),"",COUNTIFS(Q_SEG_data,"Segment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$21))</f>
        <v>0</v>
      </c>
      <c r="K24" s="14">
        <f>IF(OR(All_Questions_Q_SEG_CT="(None)",K$21=""),"",COUNTIFS(Q_SEG_data,"Segment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$21))</f>
        <v>0</v>
      </c>
      <c r="L24" s="14">
        <f>IF(OR(All_Questions_Q_SEG_CT="(None)",L$21=""),"",COUNTIFS(Q_SEG_data,"Segment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$21))</f>
        <v>0</v>
      </c>
      <c r="M24" s="14">
        <f>IF(OR(All_Questions_Q_SEG_CT="(None)",M$21=""),"",IF(M$21="Other",COUNTIFS(Q_SEG_data,"Segment B",passes_workbook_filters_data,1,passes_workbook_custom_filters_data,1,All_Questions_passes_local_filters_data,1,All_Questions_Q_SEG_F_passes_per_q_filter_data,1)-SUM(B24,C24,D24,E24,F24,G24,H24,I24,J24,K24,L24),COUNTIFS(Q_SEG_data,"Segment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$21)))</f>
        <v>0</v>
      </c>
      <c r="N24" s="14">
        <f>IF(All_Questions_Q_SEG_CT="(None)","",COUNTIFS(Q_SEG_data,"Segment B",passes_workbook_filters_data,1,passes_workbook_custom_filters_data,1,All_Questions_passes_local_filters_data,1,All_Questions_Q_SEG_F_passes_per_q_filter_data,1))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IF(All_Questions_Q_SEG_CT="(None)","",COUNTIFS(respondent_id_data,"&lt;&gt;",passes_workbook_filters_data,1,passes_workbook_custom_filters_data,1,All_Questions_passes_local_filters_data,1,All_Questions_Q_SEG_F_passes_per_q_filter_data,1))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Q_GB - Binary grid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IFERROR(INDEX(All_Questions_Value_Data_Names,MATCH(All_Questions_Q_GB_F_Q&amp;"|"&amp;All_Questions_Q_GB_F_V,All_Questions_Value_Keys,0)),IFERROR(INDEX(All_Questions_Data_Names,MATCH(All_Questions_Q_GB_F_Q,All_Questions,0)),"'_RawData'!$A:$A"))</f>
        <v>respondent_id_data</v>
      </c>
      <c r="G29" t="str">
        <f>"|" &amp; SUBSTITUTE(All_Questions_Q_GB_F_V, ", ", "|") &amp; "|"</f>
        <v>|(All)|</v>
      </c>
      <c r="H29" t="str">
        <f>IFERROR(INDEX(All_Questions_Value_Criteria,MATCH(All_Questions_Q_GB_F_Q&amp;"|"&amp;All_Questions_Q_GB_F_V,All_Questions_Value_Keys,0)),All_Questions_Q_GB_F_V)</f>
        <v>(All)</v>
      </c>
    </row>
    <row r="30"/>
    <row r="31">
      <c r="A31" s="4" t="inlineStr">
        <is>
          <t>Sub-question ID</t>
        </is>
      </c>
      <c r="B31" s="4" t="inlineStr">
        <is>
          <t>Sub-question</t>
        </is>
      </c>
      <c r="C31" s="4" t="inlineStr">
        <is>
          <t>Selected</t>
        </is>
      </c>
      <c r="D31" s="2" t="n"/>
    </row>
    <row r="32">
      <c r="A32" s="2" t="inlineStr"/>
      <c r="B32" s="2" t="inlineStr"/>
      <c r="C32" s="4" t="inlineStr">
        <is>
          <t>Count</t>
        </is>
      </c>
      <c r="D32" s="4" t="inlineStr">
        <is>
          <t>%</t>
        </is>
      </c>
    </row>
    <row r="33">
      <c r="A33" s="16" t="inlineStr">
        <is>
          <t>Q_GB_R1</t>
        </is>
      </c>
      <c r="B33" t="inlineStr">
        <is>
          <t>Capability</t>
        </is>
      </c>
      <c r="C33" s="14" t="n">
        <v>3</v>
      </c>
      <c r="D33" s="7" t="n">
        <v>0.75</v>
      </c>
    </row>
    <row r="34">
      <c r="A34" s="15" t="inlineStr">
        <is>
          <t>Total respondents</t>
        </is>
      </c>
      <c r="B34" s="15" t="n">
        <v>4</v>
      </c>
      <c r="C34" s="15" t="n"/>
      <c r="D34" s="15" t="n"/>
    </row>
    <row r="35">
      <c r="A35" s="4" t="inlineStr">
        <is>
          <t>Total responses</t>
        </is>
      </c>
      <c r="B35" s="4" t="n">
        <v>3</v>
      </c>
      <c r="C35" s="4" t="n"/>
      <c r="D35" s="4" t="n"/>
    </row>
    <row r="36">
      <c r="B36" s="5" t="inlineStr">
        <is>
          <t>QC check</t>
        </is>
      </c>
      <c r="C36" t="b">
        <v>1</v>
      </c>
    </row>
  </sheetData>
  <mergeCells count="2">
    <mergeCell ref="C31:D31"/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=INDIRECT(IFERROR(INDEX(All_Questions_Options_Names,MATCH(All_Questions_Q_SEG_F_Q,All_Questions,0)),"'_Options'!$E$2:$E$2"))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=INDIRECT(IFERROR(INDEX(All_Questions_Options_Names,MATCH(All_Questions_Q_GB_F_Q,All_Questions,0)),"'_Options'!$E$2:$E$2"))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2026-06-09T11:30:25Z</dcterms:created>
  <dcterms:modified xmlns:dcterms="http://purl.org/dc/terms/" xmlns:xsi="http://www.w3.org/2001/XMLSchema-instance" xsi:type="dcterms:W3CDTF">2026-06-09T11:30:26Z</dcterms:modified>
</cp:coreProperties>
</file>