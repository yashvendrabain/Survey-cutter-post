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IF(All_Questions_Q20_CT="(None)","",IFERROR(INDEX(INDIRECT(IFERROR(INDEX(Cross_Tab_Questions_Options_Names,MATCH(All_Questions_Q20_CT,Cross_Tab_Questions,0)),"'_Options'!$E$2:$E$2")),2),""))</f>
        <v/>
      </c>
      <c r="C22" s="2" t="str">
        <f>IF(All_Questions_Q20_CT="(None)","",IFERROR(INDEX(INDIRECT(IFERROR(INDEX(Cross_Tab_Questions_Options_Names,MATCH(All_Questions_Q20_CT,Cross_Tab_Questions,0)),"'_Options'!$E$2:$E$2")),3),""))</f>
        <v/>
      </c>
      <c r="D22" s="2" t="str">
        <f>IF(All_Questions_Q20_CT="(None)","",IFERROR(INDEX(INDIRECT(IFERROR(INDEX(Cross_Tab_Questions_Options_Names,MATCH(All_Questions_Q20_CT,Cross_Tab_Questions,0)),"'_Options'!$E$2:$E$2")),4),""))</f>
        <v/>
      </c>
      <c r="E22" s="2" t="str">
        <f>IF(All_Questions_Q20_CT="(None)","",IFERROR(INDEX(INDIRECT(IFERROR(INDEX(Cross_Tab_Questions_Options_Names,MATCH(All_Questions_Q20_CT,Cross_Tab_Questions,0)),"'_Options'!$E$2:$E$2")),5),""))</f>
        <v/>
      </c>
      <c r="F22" s="2" t="str">
        <f>IF(All_Questions_Q20_CT="(None)","",IFERROR(INDEX(INDIRECT(IFERROR(INDEX(Cross_Tab_Questions_Options_Names,MATCH(All_Questions_Q20_CT,Cross_Tab_Questions,0)),"'_Options'!$E$2:$E$2")),6),""))</f>
        <v/>
      </c>
      <c r="G22" s="2" t="str">
        <f>IF(All_Questions_Q20_CT="(None)","",IFERROR(INDEX(INDIRECT(IFERROR(INDEX(Cross_Tab_Questions_Options_Names,MATCH(All_Questions_Q20_CT,Cross_Tab_Questions,0)),"'_Options'!$E$2:$E$2")),7),""))</f>
        <v/>
      </c>
      <c r="H22" s="2" t="str">
        <f>IF(All_Questions_Q20_CT="(None)","",IFERROR(INDEX(INDIRECT(IFERROR(INDEX(Cross_Tab_Questions_Options_Names,MATCH(All_Questions_Q20_CT,Cross_Tab_Questions,0)),"'_Options'!$E$2:$E$2")),8),""))</f>
        <v/>
      </c>
      <c r="I22" s="2" t="str">
        <f>IF(All_Questions_Q20_CT="(None)","",IFERROR(INDEX(INDIRECT(IFERROR(INDEX(Cross_Tab_Questions_Options_Names,MATCH(All_Questions_Q20_CT,Cross_Tab_Questions,0)),"'_Options'!$E$2:$E$2")),9),""))</f>
        <v/>
      </c>
      <c r="J22" s="2" t="str">
        <f>IF(All_Questions_Q20_CT="(None)","",IFERROR(INDEX(INDIRECT(IFERROR(INDEX(Cross_Tab_Questions_Options_Names,MATCH(All_Questions_Q20_CT,Cross_Tab_Questions,0)),"'_Options'!$E$2:$E$2")),10),""))</f>
        <v/>
      </c>
      <c r="K22" s="2" t="str">
        <f>IF(All_Questions_Q20_CT="(None)","",IFERROR(INDEX(INDIRECT(IFERROR(INDEX(Cross_Tab_Questions_Options_Names,MATCH(All_Questions_Q20_CT,Cross_Tab_Questions,0)),"'_Options'!$E$2:$E$2")),11),""))</f>
        <v/>
      </c>
      <c r="L22" s="2" t="str">
        <f>IF(All_Questions_Q20_CT="(None)","",IFERROR(INDEX(INDIRECT(IFERROR(INDEX(Cross_Tab_Questions_Options_Names,MATCH(All_Questions_Q20_CT,Cross_Tab_Questions,0)),"'_Options'!$E$2:$E$2")),12),""))</f>
        <v/>
      </c>
      <c r="M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Mean</t>
        </is>
      </c>
      <c r="C23" s="4" t="inlineStr">
        <is>
          <t>Mean</t>
        </is>
      </c>
      <c r="D23" s="4" t="inlineStr">
        <is>
          <t>Mean</t>
        </is>
      </c>
      <c r="E23" s="4" t="inlineStr">
        <is>
          <t>Mean</t>
        </is>
      </c>
      <c r="F23" s="4" t="inlineStr">
        <is>
          <t>Mean</t>
        </is>
      </c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</row>
    <row r="24">
      <c r="A24" t="inlineStr">
        <is>
          <t>Existing customers - net retention</t>
        </is>
      </c>
      <c r="B24" s="14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28.9</v>
      </c>
      <c r="C24" s="14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28.9</v>
      </c>
      <c r="D24" s="14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28.9</v>
      </c>
      <c r="E24" s="14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28.9</v>
      </c>
      <c r="F24" s="14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28.9</v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A25" t="inlineStr">
        <is>
          <t>Existing customers - cross-sell / up-sell</t>
        </is>
      </c>
      <c r="B25" s="14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24.6</v>
      </c>
      <c r="C25" s="14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24.6</v>
      </c>
      <c r="D25" s="14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24.6</v>
      </c>
      <c r="E25" s="14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24.6</v>
      </c>
      <c r="F25" s="1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24.6</v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A26" t="inlineStr">
        <is>
          <t>New customers - existing geographies</t>
        </is>
      </c>
      <c r="B26" s="14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22.9</v>
      </c>
      <c r="C26" s="14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22.9</v>
      </c>
      <c r="D26" s="1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22.9</v>
      </c>
      <c r="E26" s="14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22.9</v>
      </c>
      <c r="F26" s="14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22.9</v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B$22</t>
        </is>
      </c>
      <c r="H8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8" t="n">
        <v>28.9</v>
      </c>
      <c r="J8" t="n">
        <v>0</v>
      </c>
      <c r="K8" t="n">
        <v>0</v>
      </c>
      <c r="L8" t="inlineStr">
        <is>
          <t>2026-06-09T11:22:44.117824+00:00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C$22</t>
        </is>
      </c>
      <c r="H9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9" t="n">
        <v>28.9</v>
      </c>
      <c r="J9" t="n">
        <v>0</v>
      </c>
      <c r="K9" t="n">
        <v>0</v>
      </c>
      <c r="L9" t="inlineStr">
        <is>
          <t>2026-06-09T11:22:44.118107+00:00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D$22</t>
        </is>
      </c>
      <c r="H10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10" t="n">
        <v>28.9</v>
      </c>
      <c r="J10" t="n">
        <v>0</v>
      </c>
      <c r="K10" t="n">
        <v>0</v>
      </c>
      <c r="L10" t="inlineStr">
        <is>
          <t>2026-06-09T11:22:44.118300+00:00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E$22</t>
        </is>
      </c>
      <c r="H11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11" t="n">
        <v>28.9</v>
      </c>
      <c r="J11" t="n">
        <v>0</v>
      </c>
      <c r="K11" t="n">
        <v>0</v>
      </c>
      <c r="L11" t="inlineStr">
        <is>
          <t>2026-06-09T11:22:44.118493+00:00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F$22</t>
        </is>
      </c>
      <c r="H12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12" t="n">
        <v>28.9</v>
      </c>
      <c r="J12" t="n">
        <v>0</v>
      </c>
      <c r="K12" t="n">
        <v>0</v>
      </c>
      <c r="L12" t="inlineStr">
        <is>
          <t>2026-06-09T11:22:44.118679+00:00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G$22</t>
        </is>
      </c>
      <c r="H13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13" t="n">
        <v>28.9</v>
      </c>
      <c r="J13" t="n">
        <v>0</v>
      </c>
      <c r="K13" t="n">
        <v>0</v>
      </c>
      <c r="L13" t="inlineStr">
        <is>
          <t>2026-06-09T11:22:44.118861+00:00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H$22</t>
        </is>
      </c>
      <c r="H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14" t="n">
        <v>28.9</v>
      </c>
      <c r="J14" t="n">
        <v>0</v>
      </c>
      <c r="K14" t="n">
        <v>0</v>
      </c>
      <c r="L14" t="inlineStr">
        <is>
          <t>2026-06-09T11:22:44.119098+00:00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I$22</t>
        </is>
      </c>
      <c r="H15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5" t="n">
        <v>28.9</v>
      </c>
      <c r="J15" t="n">
        <v>0</v>
      </c>
      <c r="K15" t="n">
        <v>0</v>
      </c>
      <c r="L15" t="inlineStr">
        <is>
          <t>2026-06-09T11:22:44.119287+00:00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J$22</t>
        </is>
      </c>
      <c r="H16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6" t="n">
        <v>28.9</v>
      </c>
      <c r="J16" t="n">
        <v>0</v>
      </c>
      <c r="K16" t="n">
        <v>0</v>
      </c>
      <c r="L16" t="inlineStr">
        <is>
          <t>2026-06-09T11:22:44.119471+00:00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K$22</t>
        </is>
      </c>
      <c r="H17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7" t="n">
        <v>28.9</v>
      </c>
      <c r="J17" t="n">
        <v>0</v>
      </c>
      <c r="K17" t="n">
        <v>0</v>
      </c>
      <c r="L17" t="inlineStr">
        <is>
          <t>2026-06-09T11:22:44.119647+00:00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L$22</t>
        </is>
      </c>
      <c r="H18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8" t="n">
        <v>28.9</v>
      </c>
      <c r="J18" t="n">
        <v>0</v>
      </c>
      <c r="K18" t="n">
        <v>0</v>
      </c>
      <c r="L18" t="inlineStr">
        <is>
          <t>2026-06-09T11:22:44.119824+00:00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M$22</t>
        </is>
      </c>
      <c r="H19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9" t="n">
        <v>28.9</v>
      </c>
      <c r="J19" t="n">
        <v>0</v>
      </c>
      <c r="K19" t="n">
        <v>0</v>
      </c>
      <c r="L19" t="inlineStr">
        <is>
          <t>2026-06-09T11:22:44.120127+00:00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B$22</t>
        </is>
      </c>
      <c r="H20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20" t="n">
        <v>24.6</v>
      </c>
      <c r="J20" t="n">
        <v>0</v>
      </c>
      <c r="K20" t="n">
        <v>0</v>
      </c>
      <c r="L20" t="inlineStr">
        <is>
          <t>2026-06-09T11:22:44.120425+00:00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C$22</t>
        </is>
      </c>
      <c r="H21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21" t="n">
        <v>24.6</v>
      </c>
      <c r="J21" t="n">
        <v>0</v>
      </c>
      <c r="K21" t="n">
        <v>0</v>
      </c>
      <c r="L21" t="inlineStr">
        <is>
          <t>2026-06-09T11:22:44.120595+00:00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D$22</t>
        </is>
      </c>
      <c r="H22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22" t="n">
        <v>24.6</v>
      </c>
      <c r="J22" t="n">
        <v>0</v>
      </c>
      <c r="K22" t="n">
        <v>0</v>
      </c>
      <c r="L22" t="inlineStr">
        <is>
          <t>2026-06-09T11:22:44.120768+00:00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E$22</t>
        </is>
      </c>
      <c r="H23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23" t="n">
        <v>24.6</v>
      </c>
      <c r="J23" t="n">
        <v>0</v>
      </c>
      <c r="K23" t="n">
        <v>0</v>
      </c>
      <c r="L23" t="inlineStr">
        <is>
          <t>2026-06-09T11:22:44.120986+00:00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F$22</t>
        </is>
      </c>
      <c r="H2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24" t="n">
        <v>24.6</v>
      </c>
      <c r="J24" t="n">
        <v>0</v>
      </c>
      <c r="K24" t="n">
        <v>0</v>
      </c>
      <c r="L24" t="inlineStr">
        <is>
          <t>2026-06-09T11:22:44.121178+00:00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G$22</t>
        </is>
      </c>
      <c r="H25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5" t="n">
        <v>24.6</v>
      </c>
      <c r="J25" t="n">
        <v>0</v>
      </c>
      <c r="K25" t="n">
        <v>0</v>
      </c>
      <c r="L25" t="inlineStr">
        <is>
          <t>2026-06-09T11:22:44.121360+00:00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H$22</t>
        </is>
      </c>
      <c r="H26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6" t="n">
        <v>24.6</v>
      </c>
      <c r="J26" t="n">
        <v>0</v>
      </c>
      <c r="K26" t="n">
        <v>0</v>
      </c>
      <c r="L26" t="inlineStr">
        <is>
          <t>2026-06-09T11:22:44.121541+00:00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I$22</t>
        </is>
      </c>
      <c r="H27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7" t="n">
        <v>24.6</v>
      </c>
      <c r="J27" t="n">
        <v>0</v>
      </c>
      <c r="K27" t="n">
        <v>0</v>
      </c>
      <c r="L27" t="inlineStr">
        <is>
          <t>2026-06-09T11:22:44.121723+00:00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J$22</t>
        </is>
      </c>
      <c r="H28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8" t="n">
        <v>24.6</v>
      </c>
      <c r="J28" t="n">
        <v>0</v>
      </c>
      <c r="K28" t="n">
        <v>0</v>
      </c>
      <c r="L28" t="inlineStr">
        <is>
          <t>2026-06-09T11:22:44.121903+00:00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K$22</t>
        </is>
      </c>
      <c r="H29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9" t="n">
        <v>24.6</v>
      </c>
      <c r="J29" t="n">
        <v>0</v>
      </c>
      <c r="K29" t="n">
        <v>0</v>
      </c>
      <c r="L29" t="inlineStr">
        <is>
          <t>2026-06-09T11:22:44.122153+00:00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L$22</t>
        </is>
      </c>
      <c r="H30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0" t="n">
        <v>24.6</v>
      </c>
      <c r="J30" t="n">
        <v>0</v>
      </c>
      <c r="K30" t="n">
        <v>0</v>
      </c>
      <c r="L30" t="inlineStr">
        <is>
          <t>2026-06-09T11:22:44.122339+00:00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M$22</t>
        </is>
      </c>
      <c r="H31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1" t="n">
        <v>24.6</v>
      </c>
      <c r="J31" t="n">
        <v>0</v>
      </c>
      <c r="K31" t="n">
        <v>0</v>
      </c>
      <c r="L31" t="inlineStr">
        <is>
          <t>2026-06-09T11:22:44.122607+00:00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B$22</t>
        </is>
      </c>
      <c r="H32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32" t="n">
        <v>22.9</v>
      </c>
      <c r="J32" t="n">
        <v>0</v>
      </c>
      <c r="K32" t="n">
        <v>0</v>
      </c>
      <c r="L32" t="inlineStr">
        <is>
          <t>2026-06-09T11:22:44.122939+00:00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C$22</t>
        </is>
      </c>
      <c r="H33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33" t="n">
        <v>22.9</v>
      </c>
      <c r="J33" t="n">
        <v>0</v>
      </c>
      <c r="K33" t="n">
        <v>0</v>
      </c>
      <c r="L33" t="inlineStr">
        <is>
          <t>2026-06-09T11:22:44.123159+00:00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D$22</t>
        </is>
      </c>
      <c r="H3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34" t="n">
        <v>22.9</v>
      </c>
      <c r="J34" t="n">
        <v>0</v>
      </c>
      <c r="K34" t="n">
        <v>0</v>
      </c>
      <c r="L34" t="inlineStr">
        <is>
          <t>2026-06-09T11:22:44.123344+00:00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E$22</t>
        </is>
      </c>
      <c r="H35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35" t="n">
        <v>22.9</v>
      </c>
      <c r="J35" t="n">
        <v>0</v>
      </c>
      <c r="K35" t="n">
        <v>0</v>
      </c>
      <c r="L35" t="inlineStr">
        <is>
          <t>2026-06-09T11:22:44.123531+00:00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F$22</t>
        </is>
      </c>
      <c r="H36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36" t="n">
        <v>22.9</v>
      </c>
      <c r="J36" t="n">
        <v>0</v>
      </c>
      <c r="K36" t="n">
        <v>0</v>
      </c>
      <c r="L36" t="inlineStr">
        <is>
          <t>2026-06-09T11:22:44.123711+00:00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G$22</t>
        </is>
      </c>
      <c r="H37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7" t="n">
        <v>22.9</v>
      </c>
      <c r="J37" t="n">
        <v>0</v>
      </c>
      <c r="K37" t="n">
        <v>0</v>
      </c>
      <c r="L37" t="inlineStr">
        <is>
          <t>2026-06-09T11:22:44.123891+00:00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H$22</t>
        </is>
      </c>
      <c r="H38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8" t="n">
        <v>22.9</v>
      </c>
      <c r="J38" t="n">
        <v>0</v>
      </c>
      <c r="K38" t="n">
        <v>0</v>
      </c>
      <c r="L38" t="inlineStr">
        <is>
          <t>2026-06-09T11:22:44.124130+00:00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I$22</t>
        </is>
      </c>
      <c r="H39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9" t="n">
        <v>22.9</v>
      </c>
      <c r="J39" t="n">
        <v>0</v>
      </c>
      <c r="K39" t="n">
        <v>0</v>
      </c>
      <c r="L39" t="inlineStr">
        <is>
          <t>2026-06-09T11:22:44.124318+00:00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J$22</t>
        </is>
      </c>
      <c r="H40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40" t="n">
        <v>22.9</v>
      </c>
      <c r="J40" t="n">
        <v>0</v>
      </c>
      <c r="K40" t="n">
        <v>0</v>
      </c>
      <c r="L40" t="inlineStr">
        <is>
          <t>2026-06-09T11:22:44.124502+00:00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K$22</t>
        </is>
      </c>
      <c r="H41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41" t="n">
        <v>22.9</v>
      </c>
      <c r="J41" t="n">
        <v>0</v>
      </c>
      <c r="K41" t="n">
        <v>0</v>
      </c>
      <c r="L41" t="inlineStr">
        <is>
          <t>2026-06-09T11:22:44.124684+00:00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L$22</t>
        </is>
      </c>
      <c r="H42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42" t="n">
        <v>22.9</v>
      </c>
      <c r="J42" t="n">
        <v>0</v>
      </c>
      <c r="K42" t="n">
        <v>0</v>
      </c>
      <c r="L42" t="inlineStr">
        <is>
          <t>2026-06-09T11:22:44.124863+00:00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M$22</t>
        </is>
      </c>
      <c r="H43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43" t="n">
        <v>22.9</v>
      </c>
      <c r="J43" t="n">
        <v>0</v>
      </c>
      <c r="K43" t="n">
        <v>0</v>
      </c>
      <c r="L43" t="inlineStr">
        <is>
          <t>2026-06-09T11:22:44.125173+00:00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2026-06-09T11:22:43Z</dcterms:created>
  <dcterms:modified xmlns:dcterms="http://purl.org/dc/terms/" xmlns:xsi="http://www.w3.org/2001/XMLSchema-instance" xsi:type="dcterms:W3CDTF">2026-06-09T11:22:44Z</dcterms:modified>
</cp:coreProperties>
</file>