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One'!$C$22</definedName>
    <definedName name="Theme_One_Q_MS_EXPORT_F_V">'Theme One'!$E$22</definedName>
    <definedName name="Theme_One_Q_MS_EXPORT_F_resolved_column">'Theme One'!$F$22</definedName>
    <definedName name="Theme_One_Q_MS_EXPORT_F_wrapped">'Theme One'!$G$22</definedName>
    <definedName name="Theme_One_Q_MS_EXPORT_F_passes_per_q_filter_data">'_RawData'!$O$2:$O$11</definedName>
    <definedName name="Theme_One_Q_MS_EXPORT_CT">'Theme One'!$C$23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Questions'!$C$22</definedName>
    <definedName name="All_Questions_Q_VERY_LONG_SINGLE_SELECT_EXPORT_NAME_F_V">'All Questions'!$E$22</definedName>
    <definedName name="All_Questions_Q_VERY_LONG_SINGLE_SELECT_EXPORT_NAME_F_resolved_column">'All Questions'!$F$22</definedName>
    <definedName name="All_Questions_Q_VERY_LONG_SINGLE_SELECT_EXPORT_NAME_F_wrapped">'All Questions'!$G$22</definedName>
    <definedName name="All_Questions_Q_VERY_LONG_SINGLE_SELECT_EXPORT_NAME_F_passes_per_q_filter_data">'_RawData'!$T$2:$T$11</definedName>
    <definedName name="All_Questions_Q_VERY_LONG_SINGLE_SELECT_EXPORT_NAME_CT">'All Questions'!$C$23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2" i="9"/>
  <c r="G22" i="9"/>
  <c r="G25" i="9"/>
  <c r="H25" i="9"/>
  <c r="I25" i="9"/>
  <c r="J25" i="9"/>
  <c r="K25" i="9"/>
  <c r="L25" i="9"/>
  <c r="M25" i="9"/>
  <c r="N25" i="9"/>
  <c r="B26" i="9"/>
  <c r="C26" i="9"/>
  <c r="D26" i="9"/>
  <c r="G26" i="9"/>
  <c r="H26" i="9"/>
  <c r="I26" i="9"/>
  <c r="J26" i="9"/>
  <c r="K26" i="9"/>
  <c r="L26" i="9"/>
  <c r="M26" i="9"/>
  <c r="N26" i="9"/>
  <c r="O26" i="9"/>
  <c r="B27" i="9"/>
  <c r="C27" i="9"/>
  <c r="D27" i="9"/>
  <c r="G27" i="9"/>
  <c r="H27" i="9"/>
  <c r="I27" i="9"/>
  <c r="J27" i="9"/>
  <c r="K27" i="9"/>
  <c r="L27" i="9"/>
  <c r="M27" i="9"/>
  <c r="N27" i="9"/>
  <c r="O27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$A2:$H2,1,MATCH(Theme_One_Q_SS_EXPORT_F_Q,$A$1:$H$1,0)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$A2:$H2,1,MATCH(Theme_One_Q_MS_EXPORT_F_Q,$A$1:$H$1,0)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$A2:$H2,1,MATCH(Theme_Two_Q_NUM_EXPORT_F_Q,$A$1:$H$1,0)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$A3:$H3,1,MATCH(Theme_One_Q_SS_EXPORT_F_Q,$A$1:$H$1,0)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$A3:$H3,1,MATCH(Theme_One_Q_MS_EXPORT_F_Q,$A$1:$H$1,0)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$A3:$H3,1,MATCH(Theme_Two_Q_NUM_EXPORT_F_Q,$A$1:$H$1,0)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$A4:$H4,1,MATCH(Theme_One_Q_SS_EXPORT_F_Q,$A$1:$H$1,0)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$A4:$H4,1,MATCH(Theme_One_Q_MS_EXPORT_F_Q,$A$1:$H$1,0)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$A4:$H4,1,MATCH(Theme_Two_Q_NUM_EXPORT_F_Q,$A$1:$H$1,0)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$A5:$H5,1,MATCH(Theme_One_Q_SS_EXPORT_F_Q,$A$1:$H$1,0)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$A5:$H5,1,MATCH(Theme_One_Q_MS_EXPORT_F_Q,$A$1:$H$1,0)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$A5:$H5,1,MATCH(Theme_Two_Q_NUM_EXPORT_F_Q,$A$1:$H$1,0)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$A6:$H6,1,MATCH(Theme_One_Q_SS_EXPORT_F_Q,$A$1:$H$1,0)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$A6:$H6,1,MATCH(Theme_One_Q_MS_EXPORT_F_Q,$A$1:$H$1,0)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$A6:$H6,1,MATCH(Theme_Two_Q_NUM_EXPORT_F_Q,$A$1:$H$1,0)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$A7:$H7,1,MATCH(Theme_One_Q_SS_EXPORT_F_Q,$A$1:$H$1,0)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$A7:$H7,1,MATCH(Theme_One_Q_MS_EXPORT_F_Q,$A$1:$H$1,0)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$A7:$H7,1,MATCH(Theme_Two_Q_NUM_EXPORT_F_Q,$A$1:$H$1,0)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$A8:$H8,1,MATCH(Theme_One_Q_SS_EXPORT_F_Q,$A$1:$H$1,0)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$A8:$H8,1,MATCH(Theme_One_Q_MS_EXPORT_F_Q,$A$1:$H$1,0)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$A8:$H8,1,MATCH(Theme_Two_Q_NUM_EXPORT_F_Q,$A$1:$H$1,0)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$A9:$H9,1,MATCH(Theme_One_Q_SS_EXPORT_F_Q,$A$1:$H$1,0)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$A9:$H9,1,MATCH(Theme_One_Q_MS_EXPORT_F_Q,$A$1:$H$1,0)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$A9:$H9,1,MATCH(Theme_Two_Q_NUM_EXPORT_F_Q,$A$1:$H$1,0)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$A10:$H10,1,MATCH(Theme_One_Q_SS_EXPORT_F_Q,$A$1:$H$1,0)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$A10:$H10,1,MATCH(Theme_One_Q_MS_EXPORT_F_Q,$A$1:$H$1,0)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$A10:$H10,1,MATCH(Theme_Two_Q_NUM_EXPORT_F_Q,$A$1:$H$1,0)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$A11:$H11,1,MATCH(Theme_One_Q_SS_EXPORT_F_Q,$A$1:$H$1,0)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$A11:$H11,1,MATCH(Theme_One_Q_MS_EXPORT_F_Q,$A$1:$H$1,0)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$A11:$H11,1,MATCH(Theme_Two_Q_NUM_EXPORT_F_Q,$A$1:$H$1,0)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IF(Theme_One_F_Custom1_Q_resolved="(None)","respondent_id_data",Theme_One_F_Custom1_Q_resolved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IF(Theme_One_F_Custom2_Q_resolved="(None)","respondent_id_data",Theme_One_F_Custom2_Q_resolved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IF(Theme_One_Q_SS_EXPORT_F_Q="(None)","respondent_id_data",Theme_One_Q_SS_EXPORT_F_Q &amp; "_data")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IFERROR(INDEX(INDIRECT(Theme_One_Q_SS_EXPORT_CT &amp; "_options"),2),"")</f>
        <v/>
      </c>
      <c r="H16" t="str">
        <f>IFERROR(INDEX(INDIRECT(Theme_One_Q_SS_EXPORT_CT &amp; "_options"),3),"")</f>
        <v/>
      </c>
      <c r="I16" t="str">
        <f>IFERROR(INDEX(INDIRECT(Theme_One_Q_SS_EXPORT_CT &amp; "_options"),4),"")</f>
        <v/>
      </c>
      <c r="J16" t="str">
        <f>IFERROR(INDEX(INDIRECT(Theme_One_Q_SS_EXPORT_CT &amp; "_options"),5),"")</f>
        <v/>
      </c>
      <c r="K16" t="str">
        <f>IFERROR(INDEX(INDIRECT(Theme_One_Q_SS_EXPORT_CT &amp; "_options"),6),"")</f>
        <v/>
      </c>
      <c r="L16" t="str">
        <f>IFERROR(INDEX(INDIRECT(Theme_One_Q_SS_EXPORT_CT &amp; "_options"),7),"")</f>
        <v/>
      </c>
      <c r="M16" t="str">
        <f>IFERROR(INDEX(INDIRECT(Theme_One_Q_SS_EXPORT_CT &amp; "_options"),8),"")</f>
        <v/>
      </c>
      <c r="N16" t="str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(Theme_One_Q_SS_EXPORT_CT&lt;&gt;"(None)")*COUNTIFS(Q_SS_EXPORT_data,"Yes",passes_workbook_filters_data,1,passes_workbook_custom_filters_data,1,Theme_One_passes_local_filters_data,1,Theme_One_Q_SS_EXPORT_F_passes_per_q_filter_data,1,INDIRECT(Theme_One_Q_SS_EXPORT_CT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(Theme_One_Q_SS_EXPORT_CT&lt;&gt;"(None)")*COUNTIFS(Q_SS_EXPORT_data,"No",passes_workbook_filters_data,1,passes_workbook_custom_filters_data,1,Theme_One_passes_local_filters_data,1,Theme_One_Q_SS_EXPORT_F_passes_per_q_filter_data,1,INDIRECT(Theme_One_Q_SS_EXPORT_CT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IF(Theme_One_Q_MS_EXPORT_F_Q="(None)","respondent_id_data",Theme_One_Q_MS_EXPORT_F_Q &amp; "_data")</f>
        <v>respondent_id_data</v>
      </c>
      <c r="G22" t="str">
        <f>"|" &amp; SUBSTITUTE(Theme_One_Q_MS_EXPORT_F_V,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IFERROR(INDEX(INDIRECT(Theme_One_Q_MS_EXPORT_CT &amp; "_options"),2),"")</f>
        <v/>
      </c>
      <c r="H25" t="str">
        <f>IFERROR(INDEX(INDIRECT(Theme_One_Q_MS_EXPORT_CT &amp; "_options"),3),"")</f>
        <v/>
      </c>
      <c r="I25" t="str">
        <f>IFERROR(INDEX(INDIRECT(Theme_One_Q_MS_EXPORT_CT &amp; "_options"),4),"")</f>
        <v/>
      </c>
      <c r="J25" t="str">
        <f>IFERROR(INDEX(INDIRECT(Theme_One_Q_MS_EXPORT_CT &amp; "_options"),5),"")</f>
        <v/>
      </c>
      <c r="K25" t="str">
        <f>IFERROR(INDEX(INDIRECT(Theme_One_Q_MS_EXPORT_CT &amp; "_options"),6),"")</f>
        <v/>
      </c>
      <c r="L25" t="str">
        <f>IFERROR(INDEX(INDIRECT(Theme_One_Q_MS_EXPORT_CT &amp; "_options"),7),"")</f>
        <v/>
      </c>
      <c r="M25" t="str">
        <f>IFERROR(INDEX(INDIRECT(Theme_One_Q_MS_EXPORT_CT &amp; "_options"),8),"")</f>
        <v/>
      </c>
      <c r="N25" t="str">
        <f>IFERROR(INDEX(INDIRECT(Theme_One_Q_MS_EXPORT_CT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COUNTIFS(Q_MS_EXPORTr1_data,"Selected",passes_workbook_filters_data,1,passes_workbook_custom_filters_data,1,Theme_One_passes_local_filters_data,1,Theme_One_Q_MS_EXPORT_F_passes_per_q_filter_data,1)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"_data"),G$25)</f>
        <v>0</v>
      </c>
      <c r="H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"_data"),H$25)</f>
        <v>0</v>
      </c>
      <c r="I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"_data"),I$25)</f>
        <v>0</v>
      </c>
      <c r="J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"_data"),J$25)</f>
        <v>0</v>
      </c>
      <c r="K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"_data"),K$25)</f>
        <v>0</v>
      </c>
      <c r="L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"_data"),L$25)</f>
        <v>0</v>
      </c>
      <c r="M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"_data"),M$25)</f>
        <v>0</v>
      </c>
      <c r="N26">
        <f>(Theme_One_Q_MS_EXPORT_CT&lt;&gt;"(None)")*COUNTIFS(Q_MS_EXPORTr1_data,"Selected",passes_workbook_filters_data,1,passes_workbook_custom_filters_data,1,Theme_One_passes_local_filters_data,1,Theme_One_Q_MS_EXPORT_F_passes_per_q_filter_data,1,INDIRECT(Theme_One_Q_MS_EXPORT_CT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COUNTIFS(Q_MS_EXPORTr2_data,"Selected",passes_workbook_filters_data,1,passes_workbook_custom_filters_data,1,Theme_One_passes_local_filters_data,1,Theme_One_Q_MS_EXPORT_F_passes_per_q_filter_data,1)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"_data"),G$25)</f>
        <v>0</v>
      </c>
      <c r="H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"_data"),H$25)</f>
        <v>0</v>
      </c>
      <c r="I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"_data"),I$25)</f>
        <v>0</v>
      </c>
      <c r="J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"_data"),J$25)</f>
        <v>0</v>
      </c>
      <c r="K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"_data"),K$25)</f>
        <v>0</v>
      </c>
      <c r="L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"_data"),L$25)</f>
        <v>0</v>
      </c>
      <c r="M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"_data"),M$25)</f>
        <v>0</v>
      </c>
      <c r="N27">
        <f>(Theme_One_Q_MS_EXPORT_CT&lt;&gt;"(None)")*COUNTIFS(Q_MS_EXPORTr2_data,"Selected",passes_workbook_filters_data,1,passes_workbook_custom_filters_data,1,Theme_One_passes_local_filters_data,1,Theme_One_Q_MS_EXPORT_F_passes_per_q_filter_data,1,INDIRECT(Theme_One_Q_MS_EXPORT_CT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=INDIRECT(IF(Theme_One_Q_MS_EXPORT_F_Q="(None)","None_options",Theme_One_Q_MS_EXPORT_F_Q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IF(Theme_Two_F_Custom1_Q_resolved="(None)","respondent_id_data",Theme_Two_F_Custom1_Q_resolved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IF(Theme_Two_F_Custom2_Q_resolved="(None)","respondent_id_data",Theme_Two_F_Custom2_Q_resolved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IF(Theme_Two_Q_NUM_EXPORT_F_Q="(None)","respondent_id_data",Theme_Two_Q_NUM_EXPORT_F_Q &amp; "_data")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IF(All_Questions_Q_GRID_EXPORT_F_Q="(None)","respondent_id_data",All_Questions_Q_GRID_EXPORT_F_Q &amp; "_data")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IFERROR(INDEX(INDIRECT(All_Questions_Q_GRID_EXPORT_CT &amp; "_options"),2),"")</f>
        <v/>
      </c>
      <c r="H16" t="str">
        <f>IFERROR(INDEX(INDIRECT(All_Questions_Q_GRID_EXPORT_CT &amp; "_options"),3),"")</f>
        <v/>
      </c>
      <c r="I16" t="str">
        <f>IFERROR(INDEX(INDIRECT(All_Questions_Q_GRID_EXPORT_CT &amp; "_options"),4),"")</f>
        <v/>
      </c>
      <c r="J16" t="str">
        <f>IFERROR(INDEX(INDIRECT(All_Questions_Q_GRID_EXPORT_CT &amp; "_options"),5),"")</f>
        <v/>
      </c>
      <c r="K16" t="str">
        <f>IFERROR(INDEX(INDIRECT(All_Questions_Q_GRID_EXPORT_CT &amp; "_options"),6),"")</f>
        <v/>
      </c>
      <c r="L16" t="str">
        <f>IFERROR(INDEX(INDIRECT(All_Questions_Q_GRID_EXPORT_CT &amp; "_options"),7),"")</f>
        <v/>
      </c>
      <c r="M16" t="str">
        <f>IFERROR(INDEX(INDIRECT(All_Questions_Q_GRID_EXPORT_CT &amp; "_options"),8),"")</f>
        <v/>
      </c>
      <c r="N16" t="str">
        <f>IFERROR(INDEX(INDIRECT(All_Questions_Q_GRID_EXPORT_CT &amp; "_options"),9),"")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Q_VERY_LONG_SINGLE_SELECT_EXPORT_NAME - Long sheet name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IF(All_Questions_Q_VERY_LONG_SINGLE_SELECT_EXPORT_NAME_F_Q="(None)","respondent_id_data",All_Questions_Q_VERY_LONG_SINGLE_SELECT_EXPORT_NAME_F_Q &amp; "_data")</f>
        <v>respondent_id_data</v>
      </c>
      <c r="G22" t="str">
        <f>"|" &amp; SUBSTITUTE(All_Questions_Q_VERY_LONG_SINGLE_SELECT_EXPORT_NAME_F_V,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IFERROR(INDEX(INDIRECT(All_Questions_Q_VERY_LONG_SINGLE_SELECT_EXPORT_NAME_CT &amp; "_options"),2),"")</f>
        <v/>
      </c>
      <c r="H25" t="str">
        <f>IFERROR(INDEX(INDIRECT(All_Questions_Q_VERY_LONG_SINGLE_SELECT_EXPORT_NAME_CT &amp; "_options"),3),"")</f>
        <v/>
      </c>
      <c r="I25" t="str">
        <f>IFERROR(INDEX(INDIRECT(All_Questions_Q_VERY_LONG_SINGLE_SELECT_EXPORT_NAME_CT &amp; "_options"),4),"")</f>
        <v/>
      </c>
      <c r="J25" t="str">
        <f>IFERROR(INDEX(INDIRECT(All_Questions_Q_VERY_LONG_SINGLE_SELECT_EXPORT_NAME_CT &amp; "_options"),5),"")</f>
        <v/>
      </c>
      <c r="K25" t="str">
        <f>IFERROR(INDEX(INDIRECT(All_Questions_Q_VERY_LONG_SINGLE_SELECT_EXPORT_NAME_CT &amp; "_options"),6),"")</f>
        <v/>
      </c>
      <c r="L25" t="str">
        <f>IFERROR(INDEX(INDIRECT(All_Questions_Q_VERY_LONG_SINGLE_SELECT_EXPORT_NAME_CT &amp; "_options"),7),"")</f>
        <v/>
      </c>
      <c r="M25" t="str">
        <f>IFERROR(INDEX(INDIRECT(All_Questions_Q_VERY_LONG_SINGLE_SELECT_EXPORT_NAME_CT &amp; "_options"),8),"")</f>
        <v/>
      </c>
      <c r="N25" t="str">
        <f>IFERROR(INDEX(INDIRECT(All_Questions_Q_VERY_LONG_SINGLE_SELECT_EXPORT_NAME_CT &amp; "_options"),9),"")</f>
        <v/>
      </c>
      <c r="O25" s="5" t="inlineStr">
        <is>
          <t>TOTAL</t>
        </is>
      </c>
    </row>
    <row r="26">
      <c r="A26" t="inlineStr">
        <is>
          <t>A</t>
        </is>
      </c>
      <c r="B2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6" s="7">
        <f>IFERROR(B26/SUBTOTAL(9,B26:B27),0)</f>
        <v>0.7</v>
      </c>
      <c r="D26" s="14">
        <f>SUBTOTAL(9,B26:B27)</f>
        <v>10</v>
      </c>
      <c r="F26" t="inlineStr">
        <is>
          <t>A</t>
        </is>
      </c>
      <c r="G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6">
        <f>SUM(G26:N26)</f>
        <v>0</v>
      </c>
    </row>
    <row r="27">
      <c r="A27" t="inlineStr">
        <is>
          <t>B</t>
        </is>
      </c>
      <c r="B2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7" s="7">
        <f>IFERROR(B27/SUBTOTAL(9,B26:B27),0)</f>
        <v>0.3</v>
      </c>
      <c r="D27" s="14">
        <f>SUBTOTAL(9,B26:B27)</f>
        <v>10</v>
      </c>
      <c r="F27" t="inlineStr">
        <is>
          <t>B</t>
        </is>
      </c>
      <c r="G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"_data"),G$25)</f>
        <v>0</v>
      </c>
      <c r="H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"_data"),H$25)</f>
        <v>0</v>
      </c>
      <c r="I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"_data"),I$25)</f>
        <v>0</v>
      </c>
      <c r="J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"_data"),J$25)</f>
        <v>0</v>
      </c>
      <c r="K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"_data"),K$25)</f>
        <v>0</v>
      </c>
      <c r="L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"_data"),L$25)</f>
        <v>0</v>
      </c>
      <c r="M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"_data"),M$25)</f>
        <v>0</v>
      </c>
      <c r="N2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"_data"),N$25)</f>
        <v>0</v>
      </c>
      <c r="O27">
        <f>SUM(G27:N27)</f>
        <v>0</v>
      </c>
    </row>
  </sheetData>
  <mergeCells count="3">
    <mergeCell ref="A1:J1"/>
    <mergeCell ref="A12:J12"/>
    <mergeCell ref="A21:J2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2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2026-05-15T06:07:46Z</dcterms:created>
  <dcterms:modified xmlns:dcterms="http://purl.org/dc/terms/" xmlns:xsi="http://www.w3.org/2001/XMLSchema-instance" xsi:type="dcterms:W3CDTF">2026-05-15T06:07:46Z</dcterms:modified>
</cp:coreProperties>
</file>