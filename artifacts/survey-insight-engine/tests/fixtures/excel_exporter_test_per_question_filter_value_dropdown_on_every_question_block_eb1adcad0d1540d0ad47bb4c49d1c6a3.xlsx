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  <c r="F65" i="7"/>
  <c r="G65" i="7"/>
  <c r="G68" i="7"/>
  <c r="H68" i="7"/>
  <c r="I68" i="7"/>
  <c r="J68" i="7"/>
  <c r="K68" i="7"/>
  <c r="L68" i="7"/>
  <c r="M68" i="7"/>
  <c r="N68" i="7"/>
  <c r="O68" i="7"/>
  <c r="P68" i="7"/>
  <c r="Q68" i="7"/>
  <c r="R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S72" i="7"/>
  <c r="F75" i="7"/>
  <c r="G75" i="7"/>
  <c r="G78" i="7"/>
  <c r="H78" i="7"/>
  <c r="I78" i="7"/>
  <c r="J78" i="7"/>
  <c r="K78" i="7"/>
  <c r="L78" i="7"/>
  <c r="M78" i="7"/>
  <c r="N78" i="7"/>
  <c r="O78" i="7"/>
  <c r="P78" i="7"/>
  <c r="Q78" i="7"/>
  <c r="R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S82" i="7"/>
  <c r="F85" i="7"/>
  <c r="G85" i="7"/>
  <c r="G88" i="7"/>
  <c r="H88" i="7"/>
  <c r="I88" i="7"/>
  <c r="J88" i="7"/>
  <c r="K88" i="7"/>
  <c r="L88" i="7"/>
  <c r="M88" i="7"/>
  <c r="N88" i="7"/>
  <c r="O88" i="7"/>
  <c r="P88" i="7"/>
  <c r="Q88" i="7"/>
  <c r="R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S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IFERROR(INDEX(All_Questions_Data_Names,MATCH(All_Questions_Q_EXTRA_1_F_Q,All_Questions,0)),"'_RawData'!$A:$A")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IF(All_Questions_Q_EXTRA_1_CT="(None)","",IFERROR(INDEX(INDIRECT(IFERROR(INDEX(All_Questions_Options_Names,MATCH(All_Questions_Q_EXTRA_1_CT,All_Questions,0)),"'_Options'!$E$2:$E$2")),2),""))</f>
        <v/>
      </c>
      <c r="H68" s="2" t="str">
        <f>IF(All_Questions_Q_EXTRA_1_CT="(None)","",IFERROR(INDEX(INDIRECT(IFERROR(INDEX(All_Questions_Options_Names,MATCH(All_Questions_Q_EXTRA_1_CT,All_Questions,0)),"'_Options'!$E$2:$E$2")),3),""))</f>
        <v/>
      </c>
      <c r="I68" s="2" t="str">
        <f>IF(All_Questions_Q_EXTRA_1_CT="(None)","",IFERROR(INDEX(INDIRECT(IFERROR(INDEX(All_Questions_Options_Names,MATCH(All_Questions_Q_EXTRA_1_CT,All_Questions,0)),"'_Options'!$E$2:$E$2")),4),""))</f>
        <v/>
      </c>
      <c r="J68" s="2" t="str">
        <f>IF(All_Questions_Q_EXTRA_1_CT="(None)","",IFERROR(INDEX(INDIRECT(IFERROR(INDEX(All_Questions_Options_Names,MATCH(All_Questions_Q_EXTRA_1_CT,All_Questions,0)),"'_Options'!$E$2:$E$2")),5),""))</f>
        <v/>
      </c>
      <c r="K68" s="2" t="str">
        <f>IF(All_Questions_Q_EXTRA_1_CT="(None)","",IFERROR(INDEX(INDIRECT(IFERROR(INDEX(All_Questions_Options_Names,MATCH(All_Questions_Q_EXTRA_1_CT,All_Questions,0)),"'_Options'!$E$2:$E$2")),6),""))</f>
        <v/>
      </c>
      <c r="L68" s="2" t="str">
        <f>IF(All_Questions_Q_EXTRA_1_CT="(None)","",IFERROR(INDEX(INDIRECT(IFERROR(INDEX(All_Questions_Options_Names,MATCH(All_Questions_Q_EXTRA_1_CT,All_Questions,0)),"'_Options'!$E$2:$E$2")),7),""))</f>
        <v/>
      </c>
      <c r="M68" s="2" t="str">
        <f>IF(All_Questions_Q_EXTRA_1_CT="(None)","",IFERROR(INDEX(INDIRECT(IFERROR(INDEX(All_Questions_Options_Names,MATCH(All_Questions_Q_EXTRA_1_CT,All_Questions,0)),"'_Options'!$E$2:$E$2")),8),""))</f>
        <v/>
      </c>
      <c r="N68" s="2" t="str">
        <f>IF(All_Questions_Q_EXTRA_1_CT="(None)","",IFERROR(INDEX(INDIRECT(IFERROR(INDEX(All_Questions_Options_Names,MATCH(All_Questions_Q_EXTRA_1_CT,All_Questions,0)),"'_Options'!$E$2:$E$2")),9),""))</f>
        <v/>
      </c>
      <c r="O68" s="2" t="str">
        <f>IF(All_Questions_Q_EXTRA_1_CT="(None)","",IFERROR(INDEX(INDIRECT(IFERROR(INDEX(All_Questions_Options_Names,MATCH(All_Questions_Q_EXTRA_1_CT,All_Questions,0)),"'_Options'!$E$2:$E$2")),10),""))</f>
        <v/>
      </c>
      <c r="P68" s="2" t="str">
        <f>IF(All_Questions_Q_EXTRA_1_CT="(None)","",IFERROR(INDEX(INDIRECT(IFERROR(INDEX(All_Questions_Options_Names,MATCH(All_Questions_Q_EXTRA_1_CT,All_Questions,0)),"'_Options'!$E$2:$E$2")),11),""))</f>
        <v/>
      </c>
      <c r="Q68" s="2" t="str">
        <f>IF(All_Questions_Q_EXTRA_1_CT="(None)","",IFERROR(INDEX(INDIRECT(IFERROR(INDEX(All_Questions_Options_Names,MATCH(All_Questions_Q_EXTRA_1_CT,All_Questions,0)),"'_Options'!$E$2:$E$2")),12),""))</f>
        <v/>
      </c>
      <c r="R68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# of resp</t>
        </is>
      </c>
      <c r="I69" s="4" t="inlineStr">
        <is>
          <t># of resp</t>
        </is>
      </c>
      <c r="J69" s="4" t="inlineStr">
        <is>
          <t># of resp</t>
        </is>
      </c>
      <c r="K69" s="4" t="inlineStr">
        <is>
          <t># of resp</t>
        </is>
      </c>
      <c r="L69" s="4" t="inlineStr">
        <is>
          <t># of resp</t>
        </is>
      </c>
      <c r="M69" s="4" t="inlineStr">
        <is>
          <t># of resp</t>
        </is>
      </c>
      <c r="N69" s="4" t="inlineStr">
        <is>
          <t># of resp</t>
        </is>
      </c>
      <c r="O69" s="4" t="inlineStr">
        <is>
          <t># of resp</t>
        </is>
      </c>
      <c r="P69" s="4" t="inlineStr">
        <is>
          <t># of resp</t>
        </is>
      </c>
      <c r="Q69" s="4" t="inlineStr">
        <is>
          <t># of resp</t>
        </is>
      </c>
      <c r="R69" s="4" t="inlineStr">
        <is>
          <t># of resp</t>
        </is>
      </c>
      <c r="S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)</f>
        <v>0</v>
      </c>
      <c r="H70">
        <f>IF(OR(All_Questions_Q_EXTRA_1_CT="(None)",H$68=""),"",COUNTIFS(Q_EXTRA_1_data,"Extra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$68)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)</f>
        <v>0</v>
      </c>
      <c r="J70">
        <f>IF(OR(All_Questions_Q_EXTRA_1_CT="(None)",J$68=""),"",COUNTIFS(Q_EXTRA_1_data,"Extra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$68)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)</f>
        <v>0</v>
      </c>
      <c r="L70">
        <f>IF(OR(All_Questions_Q_EXTRA_1_CT="(None)",L$68=""),"",COUNTIFS(Q_EXTRA_1_data,"Extra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$68)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)</f>
        <v>0</v>
      </c>
      <c r="N70">
        <f>IF(OR(All_Questions_Q_EXTRA_1_CT="(None)",N$68=""),"",COUNTIFS(Q_EXTRA_1_data,"Extra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$68)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)</f>
        <v>0</v>
      </c>
      <c r="P70">
        <f>IF(OR(All_Questions_Q_EXTRA_1_CT="(None)",P$68=""),"",COUNTIFS(Q_EXTRA_1_data,"Extra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$68)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)</f>
        <v>0</v>
      </c>
      <c r="R70">
        <f>IF(OR(All_Questions_Q_EXTRA_1_CT="(None)",R$68=""),"",IF(R$68="Other",COUNTIFS(Q_EXTRA_1_data,"Extra 1 A",passes_workbook_filters_data,1,passes_workbook_custom_filters_data,1,All_Questions_passes_local_filters_data,1,All_Questions_Q_EXTRA_1_F_passes_per_q_filter_data,1)-SUM(G70,H70,I70,J70,K70,L70,M70,N70,O70,P70,Q70),COUNTIFS(Q_EXTRA_1_data,"Extra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$68)))</f>
        <v>0</v>
      </c>
      <c r="S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)</f>
        <v>0</v>
      </c>
      <c r="H71">
        <f>IF(OR(All_Questions_Q_EXTRA_1_CT="(None)",H$68=""),"",COUNTIFS(Q_EXTRA_1_data,"Extra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$68)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)</f>
        <v>0</v>
      </c>
      <c r="J71">
        <f>IF(OR(All_Questions_Q_EXTRA_1_CT="(None)",J$68=""),"",COUNTIFS(Q_EXTRA_1_data,"Extra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$68)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)</f>
        <v>0</v>
      </c>
      <c r="L71">
        <f>IF(OR(All_Questions_Q_EXTRA_1_CT="(None)",L$68=""),"",COUNTIFS(Q_EXTRA_1_data,"Extra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$68)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)</f>
        <v>0</v>
      </c>
      <c r="N71">
        <f>IF(OR(All_Questions_Q_EXTRA_1_CT="(None)",N$68=""),"",COUNTIFS(Q_EXTRA_1_data,"Extra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$68)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)</f>
        <v>0</v>
      </c>
      <c r="P71">
        <f>IF(OR(All_Questions_Q_EXTRA_1_CT="(None)",P$68=""),"",COUNTIFS(Q_EXTRA_1_data,"Extra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$68)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)</f>
        <v>0</v>
      </c>
      <c r="R71">
        <f>IF(OR(All_Questions_Q_EXTRA_1_CT="(None)",R$68=""),"",IF(R$68="Other",COUNTIFS(Q_EXTRA_1_data,"Extra 1 B",passes_workbook_filters_data,1,passes_workbook_custom_filters_data,1,All_Questions_passes_local_filters_data,1,All_Questions_Q_EXTRA_1_F_passes_per_q_filter_data,1)-SUM(G71,H71,I71,J71,K71,L71,M71,N71,O71,P71,Q71),COUNTIFS(Q_EXTRA_1_data,"Extra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$68)))</f>
        <v>0</v>
      </c>
      <c r="S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IFERROR(INDEX(All_Questions_Data_Names,MATCH(All_Questions_Q_EXTRA_2_F_Q,All_Questions,0)),"'_RawData'!$A:$A")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IF(All_Questions_Q_EXTRA_2_CT="(None)","",IFERROR(INDEX(INDIRECT(IFERROR(INDEX(All_Questions_Options_Names,MATCH(All_Questions_Q_EXTRA_2_CT,All_Questions,0)),"'_Options'!$E$2:$E$2")),2),""))</f>
        <v/>
      </c>
      <c r="H78" s="2" t="str">
        <f>IF(All_Questions_Q_EXTRA_2_CT="(None)","",IFERROR(INDEX(INDIRECT(IFERROR(INDEX(All_Questions_Options_Names,MATCH(All_Questions_Q_EXTRA_2_CT,All_Questions,0)),"'_Options'!$E$2:$E$2")),3),""))</f>
        <v/>
      </c>
      <c r="I78" s="2" t="str">
        <f>IF(All_Questions_Q_EXTRA_2_CT="(None)","",IFERROR(INDEX(INDIRECT(IFERROR(INDEX(All_Questions_Options_Names,MATCH(All_Questions_Q_EXTRA_2_CT,All_Questions,0)),"'_Options'!$E$2:$E$2")),4),""))</f>
        <v/>
      </c>
      <c r="J78" s="2" t="str">
        <f>IF(All_Questions_Q_EXTRA_2_CT="(None)","",IFERROR(INDEX(INDIRECT(IFERROR(INDEX(All_Questions_Options_Names,MATCH(All_Questions_Q_EXTRA_2_CT,All_Questions,0)),"'_Options'!$E$2:$E$2")),5),""))</f>
        <v/>
      </c>
      <c r="K78" s="2" t="str">
        <f>IF(All_Questions_Q_EXTRA_2_CT="(None)","",IFERROR(INDEX(INDIRECT(IFERROR(INDEX(All_Questions_Options_Names,MATCH(All_Questions_Q_EXTRA_2_CT,All_Questions,0)),"'_Options'!$E$2:$E$2")),6),""))</f>
        <v/>
      </c>
      <c r="L78" s="2" t="str">
        <f>IF(All_Questions_Q_EXTRA_2_CT="(None)","",IFERROR(INDEX(INDIRECT(IFERROR(INDEX(All_Questions_Options_Names,MATCH(All_Questions_Q_EXTRA_2_CT,All_Questions,0)),"'_Options'!$E$2:$E$2")),7),""))</f>
        <v/>
      </c>
      <c r="M78" s="2" t="str">
        <f>IF(All_Questions_Q_EXTRA_2_CT="(None)","",IFERROR(INDEX(INDIRECT(IFERROR(INDEX(All_Questions_Options_Names,MATCH(All_Questions_Q_EXTRA_2_CT,All_Questions,0)),"'_Options'!$E$2:$E$2")),8),""))</f>
        <v/>
      </c>
      <c r="N78" s="2" t="str">
        <f>IF(All_Questions_Q_EXTRA_2_CT="(None)","",IFERROR(INDEX(INDIRECT(IFERROR(INDEX(All_Questions_Options_Names,MATCH(All_Questions_Q_EXTRA_2_CT,All_Questions,0)),"'_Options'!$E$2:$E$2")),9),""))</f>
        <v/>
      </c>
      <c r="O78" s="2" t="str">
        <f>IF(All_Questions_Q_EXTRA_2_CT="(None)","",IFERROR(INDEX(INDIRECT(IFERROR(INDEX(All_Questions_Options_Names,MATCH(All_Questions_Q_EXTRA_2_CT,All_Questions,0)),"'_Options'!$E$2:$E$2")),10),""))</f>
        <v/>
      </c>
      <c r="P78" s="2" t="str">
        <f>IF(All_Questions_Q_EXTRA_2_CT="(None)","",IFERROR(INDEX(INDIRECT(IFERROR(INDEX(All_Questions_Options_Names,MATCH(All_Questions_Q_EXTRA_2_CT,All_Questions,0)),"'_Options'!$E$2:$E$2")),11),""))</f>
        <v/>
      </c>
      <c r="Q78" s="2" t="str">
        <f>IF(All_Questions_Q_EXTRA_2_CT="(None)","",IFERROR(INDEX(INDIRECT(IFERROR(INDEX(All_Questions_Options_Names,MATCH(All_Questions_Q_EXTRA_2_CT,All_Questions,0)),"'_Options'!$E$2:$E$2")),12),""))</f>
        <v/>
      </c>
      <c r="R78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# of resp</t>
        </is>
      </c>
      <c r="I79" s="4" t="inlineStr">
        <is>
          <t># of resp</t>
        </is>
      </c>
      <c r="J79" s="4" t="inlineStr">
        <is>
          <t># of resp</t>
        </is>
      </c>
      <c r="K79" s="4" t="inlineStr">
        <is>
          <t># of resp</t>
        </is>
      </c>
      <c r="L79" s="4" t="inlineStr">
        <is>
          <t># of resp</t>
        </is>
      </c>
      <c r="M79" s="4" t="inlineStr">
        <is>
          <t># of resp</t>
        </is>
      </c>
      <c r="N79" s="4" t="inlineStr">
        <is>
          <t># of resp</t>
        </is>
      </c>
      <c r="O79" s="4" t="inlineStr">
        <is>
          <t># of resp</t>
        </is>
      </c>
      <c r="P79" s="4" t="inlineStr">
        <is>
          <t># of resp</t>
        </is>
      </c>
      <c r="Q79" s="4" t="inlineStr">
        <is>
          <t># of resp</t>
        </is>
      </c>
      <c r="R79" s="4" t="inlineStr">
        <is>
          <t># of resp</t>
        </is>
      </c>
      <c r="S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)</f>
        <v>0</v>
      </c>
      <c r="H80">
        <f>IF(OR(All_Questions_Q_EXTRA_2_CT="(None)",H$78=""),"",COUNTIFS(Q_EXTRA_2_data,"Extra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$78)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)</f>
        <v>0</v>
      </c>
      <c r="J80">
        <f>IF(OR(All_Questions_Q_EXTRA_2_CT="(None)",J$78=""),"",COUNTIFS(Q_EXTRA_2_data,"Extra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$78)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)</f>
        <v>0</v>
      </c>
      <c r="L80">
        <f>IF(OR(All_Questions_Q_EXTRA_2_CT="(None)",L$78=""),"",COUNTIFS(Q_EXTRA_2_data,"Extra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$78)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)</f>
        <v>0</v>
      </c>
      <c r="N80">
        <f>IF(OR(All_Questions_Q_EXTRA_2_CT="(None)",N$78=""),"",COUNTIFS(Q_EXTRA_2_data,"Extra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$78)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)</f>
        <v>0</v>
      </c>
      <c r="P80">
        <f>IF(OR(All_Questions_Q_EXTRA_2_CT="(None)",P$78=""),"",COUNTIFS(Q_EXTRA_2_data,"Extra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$78)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)</f>
        <v>0</v>
      </c>
      <c r="R80">
        <f>IF(OR(All_Questions_Q_EXTRA_2_CT="(None)",R$78=""),"",IF(R$78="Other",COUNTIFS(Q_EXTRA_2_data,"Extra 2 A",passes_workbook_filters_data,1,passes_workbook_custom_filters_data,1,All_Questions_passes_local_filters_data,1,All_Questions_Q_EXTRA_2_F_passes_per_q_filter_data,1)-SUM(G80,H80,I80,J80,K80,L80,M80,N80,O80,P80,Q80),COUNTIFS(Q_EXTRA_2_data,"Extra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$78)))</f>
        <v>0</v>
      </c>
      <c r="S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)</f>
        <v>0</v>
      </c>
      <c r="H81">
        <f>IF(OR(All_Questions_Q_EXTRA_2_CT="(None)",H$78=""),"",COUNTIFS(Q_EXTRA_2_data,"Extra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$78)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)</f>
        <v>0</v>
      </c>
      <c r="J81">
        <f>IF(OR(All_Questions_Q_EXTRA_2_CT="(None)",J$78=""),"",COUNTIFS(Q_EXTRA_2_data,"Extra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$78)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)</f>
        <v>0</v>
      </c>
      <c r="L81">
        <f>IF(OR(All_Questions_Q_EXTRA_2_CT="(None)",L$78=""),"",COUNTIFS(Q_EXTRA_2_data,"Extra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$78)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)</f>
        <v>0</v>
      </c>
      <c r="N81">
        <f>IF(OR(All_Questions_Q_EXTRA_2_CT="(None)",N$78=""),"",COUNTIFS(Q_EXTRA_2_data,"Extra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$78)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)</f>
        <v>0</v>
      </c>
      <c r="P81">
        <f>IF(OR(All_Questions_Q_EXTRA_2_CT="(None)",P$78=""),"",COUNTIFS(Q_EXTRA_2_data,"Extra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$78)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)</f>
        <v>0</v>
      </c>
      <c r="R81">
        <f>IF(OR(All_Questions_Q_EXTRA_2_CT="(None)",R$78=""),"",IF(R$78="Other",COUNTIFS(Q_EXTRA_2_data,"Extra 2 B",passes_workbook_filters_data,1,passes_workbook_custom_filters_data,1,All_Questions_passes_local_filters_data,1,All_Questions_Q_EXTRA_2_F_passes_per_q_filter_data,1)-SUM(G81,H81,I81,J81,K81,L81,M81,N81,O81,P81,Q81),COUNTIFS(Q_EXTRA_2_data,"Extra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$78)))</f>
        <v>0</v>
      </c>
      <c r="S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IFERROR(INDEX(All_Questions_Data_Names,MATCH(All_Questions_Q_EXTRA_3_F_Q,All_Questions,0)),"'_RawData'!$A:$A")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IF(All_Questions_Q_EXTRA_3_CT="(None)","",IFERROR(INDEX(INDIRECT(IFERROR(INDEX(All_Questions_Options_Names,MATCH(All_Questions_Q_EXTRA_3_CT,All_Questions,0)),"'_Options'!$E$2:$E$2")),2),""))</f>
        <v/>
      </c>
      <c r="H88" s="2" t="str">
        <f>IF(All_Questions_Q_EXTRA_3_CT="(None)","",IFERROR(INDEX(INDIRECT(IFERROR(INDEX(All_Questions_Options_Names,MATCH(All_Questions_Q_EXTRA_3_CT,All_Questions,0)),"'_Options'!$E$2:$E$2")),3),""))</f>
        <v/>
      </c>
      <c r="I88" s="2" t="str">
        <f>IF(All_Questions_Q_EXTRA_3_CT="(None)","",IFERROR(INDEX(INDIRECT(IFERROR(INDEX(All_Questions_Options_Names,MATCH(All_Questions_Q_EXTRA_3_CT,All_Questions,0)),"'_Options'!$E$2:$E$2")),4),""))</f>
        <v/>
      </c>
      <c r="J88" s="2" t="str">
        <f>IF(All_Questions_Q_EXTRA_3_CT="(None)","",IFERROR(INDEX(INDIRECT(IFERROR(INDEX(All_Questions_Options_Names,MATCH(All_Questions_Q_EXTRA_3_CT,All_Questions,0)),"'_Options'!$E$2:$E$2")),5),""))</f>
        <v/>
      </c>
      <c r="K88" s="2" t="str">
        <f>IF(All_Questions_Q_EXTRA_3_CT="(None)","",IFERROR(INDEX(INDIRECT(IFERROR(INDEX(All_Questions_Options_Names,MATCH(All_Questions_Q_EXTRA_3_CT,All_Questions,0)),"'_Options'!$E$2:$E$2")),6),""))</f>
        <v/>
      </c>
      <c r="L88" s="2" t="str">
        <f>IF(All_Questions_Q_EXTRA_3_CT="(None)","",IFERROR(INDEX(INDIRECT(IFERROR(INDEX(All_Questions_Options_Names,MATCH(All_Questions_Q_EXTRA_3_CT,All_Questions,0)),"'_Options'!$E$2:$E$2")),7),""))</f>
        <v/>
      </c>
      <c r="M88" s="2" t="str">
        <f>IF(All_Questions_Q_EXTRA_3_CT="(None)","",IFERROR(INDEX(INDIRECT(IFERROR(INDEX(All_Questions_Options_Names,MATCH(All_Questions_Q_EXTRA_3_CT,All_Questions,0)),"'_Options'!$E$2:$E$2")),8),""))</f>
        <v/>
      </c>
      <c r="N88" s="2" t="str">
        <f>IF(All_Questions_Q_EXTRA_3_CT="(None)","",IFERROR(INDEX(INDIRECT(IFERROR(INDEX(All_Questions_Options_Names,MATCH(All_Questions_Q_EXTRA_3_CT,All_Questions,0)),"'_Options'!$E$2:$E$2")),9),""))</f>
        <v/>
      </c>
      <c r="O88" s="2" t="str">
        <f>IF(All_Questions_Q_EXTRA_3_CT="(None)","",IFERROR(INDEX(INDIRECT(IFERROR(INDEX(All_Questions_Options_Names,MATCH(All_Questions_Q_EXTRA_3_CT,All_Questions,0)),"'_Options'!$E$2:$E$2")),10),""))</f>
        <v/>
      </c>
      <c r="P88" s="2" t="str">
        <f>IF(All_Questions_Q_EXTRA_3_CT="(None)","",IFERROR(INDEX(INDIRECT(IFERROR(INDEX(All_Questions_Options_Names,MATCH(All_Questions_Q_EXTRA_3_CT,All_Questions,0)),"'_Options'!$E$2:$E$2")),11),""))</f>
        <v/>
      </c>
      <c r="Q88" s="2" t="str">
        <f>IF(All_Questions_Q_EXTRA_3_CT="(None)","",IFERROR(INDEX(INDIRECT(IFERROR(INDEX(All_Questions_Options_Names,MATCH(All_Questions_Q_EXTRA_3_CT,All_Questions,0)),"'_Options'!$E$2:$E$2")),12),""))</f>
        <v/>
      </c>
      <c r="R88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# of resp</t>
        </is>
      </c>
      <c r="I89" s="4" t="inlineStr">
        <is>
          <t># of resp</t>
        </is>
      </c>
      <c r="J89" s="4" t="inlineStr">
        <is>
          <t># of resp</t>
        </is>
      </c>
      <c r="K89" s="4" t="inlineStr">
        <is>
          <t># of resp</t>
        </is>
      </c>
      <c r="L89" s="4" t="inlineStr">
        <is>
          <t># of resp</t>
        </is>
      </c>
      <c r="M89" s="4" t="inlineStr">
        <is>
          <t># of resp</t>
        </is>
      </c>
      <c r="N89" s="4" t="inlineStr">
        <is>
          <t># of resp</t>
        </is>
      </c>
      <c r="O89" s="4" t="inlineStr">
        <is>
          <t># of resp</t>
        </is>
      </c>
      <c r="P89" s="4" t="inlineStr">
        <is>
          <t># of resp</t>
        </is>
      </c>
      <c r="Q89" s="4" t="inlineStr">
        <is>
          <t># of resp</t>
        </is>
      </c>
      <c r="R89" s="4" t="inlineStr">
        <is>
          <t># of resp</t>
        </is>
      </c>
      <c r="S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)</f>
        <v>0</v>
      </c>
      <c r="H90">
        <f>IF(OR(All_Questions_Q_EXTRA_3_CT="(None)",H$88=""),"",COUNTIFS(Q_EXTRA_3_data,"Extra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$88)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)</f>
        <v>0</v>
      </c>
      <c r="J90">
        <f>IF(OR(All_Questions_Q_EXTRA_3_CT="(None)",J$88=""),"",COUNTIFS(Q_EXTRA_3_data,"Extra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$88)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)</f>
        <v>0</v>
      </c>
      <c r="L90">
        <f>IF(OR(All_Questions_Q_EXTRA_3_CT="(None)",L$88=""),"",COUNTIFS(Q_EXTRA_3_data,"Extra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$88)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)</f>
        <v>0</v>
      </c>
      <c r="N90">
        <f>IF(OR(All_Questions_Q_EXTRA_3_CT="(None)",N$88=""),"",COUNTIFS(Q_EXTRA_3_data,"Extra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$88)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)</f>
        <v>0</v>
      </c>
      <c r="P90">
        <f>IF(OR(All_Questions_Q_EXTRA_3_CT="(None)",P$88=""),"",COUNTIFS(Q_EXTRA_3_data,"Extra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$88)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)</f>
        <v>0</v>
      </c>
      <c r="R90">
        <f>IF(OR(All_Questions_Q_EXTRA_3_CT="(None)",R$88=""),"",IF(R$88="Other",COUNTIFS(Q_EXTRA_3_data,"Extra 3 A",passes_workbook_filters_data,1,passes_workbook_custom_filters_data,1,All_Questions_passes_local_filters_data,1,All_Questions_Q_EXTRA_3_F_passes_per_q_filter_data,1)-SUM(G90,H90,I90,J90,K90,L90,M90,N90,O90,P90,Q90),COUNTIFS(Q_EXTRA_3_data,"Extra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$88)))</f>
        <v>0</v>
      </c>
      <c r="S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)</f>
        <v>0</v>
      </c>
      <c r="H91">
        <f>IF(OR(All_Questions_Q_EXTRA_3_CT="(None)",H$88=""),"",COUNTIFS(Q_EXTRA_3_data,"Extra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$88)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)</f>
        <v>0</v>
      </c>
      <c r="J91">
        <f>IF(OR(All_Questions_Q_EXTRA_3_CT="(None)",J$88=""),"",COUNTIFS(Q_EXTRA_3_data,"Extra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$88)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)</f>
        <v>0</v>
      </c>
      <c r="L91">
        <f>IF(OR(All_Questions_Q_EXTRA_3_CT="(None)",L$88=""),"",COUNTIFS(Q_EXTRA_3_data,"Extra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$88)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)</f>
        <v>0</v>
      </c>
      <c r="N91">
        <f>IF(OR(All_Questions_Q_EXTRA_3_CT="(None)",N$88=""),"",COUNTIFS(Q_EXTRA_3_data,"Extra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$88)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)</f>
        <v>0</v>
      </c>
      <c r="P91">
        <f>IF(OR(All_Questions_Q_EXTRA_3_CT="(None)",P$88=""),"",COUNTIFS(Q_EXTRA_3_data,"Extra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$88)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)</f>
        <v>0</v>
      </c>
      <c r="R91">
        <f>IF(OR(All_Questions_Q_EXTRA_3_CT="(None)",R$88=""),"",IF(R$88="Other",COUNTIFS(Q_EXTRA_3_data,"Extra 3 B",passes_workbook_filters_data,1,passes_workbook_custom_filters_data,1,All_Questions_passes_local_filters_data,1,All_Questions_Q_EXTRA_3_F_passes_per_q_filter_data,1)-SUM(G91,H91,I91,J91,K91,L91,M91,N91,O91,P91,Q91),COUNTIFS(Q_EXTRA_3_data,"Extra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$88)))</f>
        <v>0</v>
      </c>
      <c r="S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0:G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0:I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0:K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0:M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0:O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0:Q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0:G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0:I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0:K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0:M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0:O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0:Q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0:G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0:I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0:K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0:M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0:O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0:Q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2026-05-18T19:36:36Z</dcterms:created>
  <dcterms:modified xmlns:dcterms="http://purl.org/dc/terms/" xmlns:xsi="http://www.w3.org/2001/XMLSchema-instance" xsi:type="dcterms:W3CDTF">2026-05-18T19:36:45Z</dcterms:modified>
</cp:coreProperties>
</file>