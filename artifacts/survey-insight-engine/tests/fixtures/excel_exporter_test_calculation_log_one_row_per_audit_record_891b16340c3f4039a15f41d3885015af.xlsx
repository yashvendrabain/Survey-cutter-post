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F_passes_per_q_filter_data">'_RawData'!$O$2:$O$11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F_passes_per_q_filter_data">'_RawData'!$P$2:$P$11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F_passes_per_q_filter_data">'_RawData'!$Q$2:$Q$11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F_passes_per_q_filter_data">'_RawData'!$R$2:$R$11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2:$H2,1,MATCH(All_Questions_Q_SS_EXPORT_F_Q,$A$1:$H$1,0)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2:$H2,1,MATCH(All_Questions_Q_MS_EXPORT_F_Q,$A$1:$H$1,0)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2:$H2,1,MATCH(All_Questions_Q_NUM_EXPORT_F_Q,$A$1:$H$1,0)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2:$H2,1,MATCH(All_Questions_Q_GRID_EXPORT_F_Q,$A$1:$H$1,0)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2:$H2,1,MATCH(All_Questions_Q_VERY_LONG_SINGLE_SELECT_EXPORT_NAME_F_Q,$A$1:$H$1,0)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3:$H3,1,MATCH(All_Questions_Q_SS_EXPORT_F_Q,$A$1:$H$1,0)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3:$H3,1,MATCH(All_Questions_Q_MS_EXPORT_F_Q,$A$1:$H$1,0)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3:$H3,1,MATCH(All_Questions_Q_NUM_EXPORT_F_Q,$A$1:$H$1,0)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3:$H3,1,MATCH(All_Questions_Q_GRID_EXPORT_F_Q,$A$1:$H$1,0)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3:$H3,1,MATCH(All_Questions_Q_VERY_LONG_SINGLE_SELECT_EXPORT_NAME_F_Q,$A$1:$H$1,0)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4:$H4,1,MATCH(All_Questions_Q_SS_EXPORT_F_Q,$A$1:$H$1,0)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4:$H4,1,MATCH(All_Questions_Q_MS_EXPORT_F_Q,$A$1:$H$1,0)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4:$H4,1,MATCH(All_Questions_Q_NUM_EXPORT_F_Q,$A$1:$H$1,0)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4:$H4,1,MATCH(All_Questions_Q_GRID_EXPORT_F_Q,$A$1:$H$1,0)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4:$H4,1,MATCH(All_Questions_Q_VERY_LONG_SINGLE_SELECT_EXPORT_NAME_F_Q,$A$1:$H$1,0)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5:$H5,1,MATCH(All_Questions_Q_SS_EXPORT_F_Q,$A$1:$H$1,0)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5:$H5,1,MATCH(All_Questions_Q_MS_EXPORT_F_Q,$A$1:$H$1,0)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5:$H5,1,MATCH(All_Questions_Q_NUM_EXPORT_F_Q,$A$1:$H$1,0)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5:$H5,1,MATCH(All_Questions_Q_GRID_EXPORT_F_Q,$A$1:$H$1,0)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5:$H5,1,MATCH(All_Questions_Q_VERY_LONG_SINGLE_SELECT_EXPORT_NAME_F_Q,$A$1:$H$1,0)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6:$H6,1,MATCH(All_Questions_Q_SS_EXPORT_F_Q,$A$1:$H$1,0)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6:$H6,1,MATCH(All_Questions_Q_MS_EXPORT_F_Q,$A$1:$H$1,0)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6:$H6,1,MATCH(All_Questions_Q_NUM_EXPORT_F_Q,$A$1:$H$1,0)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6:$H6,1,MATCH(All_Questions_Q_GRID_EXPORT_F_Q,$A$1:$H$1,0)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6:$H6,1,MATCH(All_Questions_Q_VERY_LONG_SINGLE_SELECT_EXPORT_NAME_F_Q,$A$1:$H$1,0)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7:$H7,1,MATCH(All_Questions_Q_SS_EXPORT_F_Q,$A$1:$H$1,0)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7:$H7,1,MATCH(All_Questions_Q_MS_EXPORT_F_Q,$A$1:$H$1,0)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7:$H7,1,MATCH(All_Questions_Q_NUM_EXPORT_F_Q,$A$1:$H$1,0)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7:$H7,1,MATCH(All_Questions_Q_GRID_EXPORT_F_Q,$A$1:$H$1,0)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7:$H7,1,MATCH(All_Questions_Q_VERY_LONG_SINGLE_SELECT_EXPORT_NAME_F_Q,$A$1:$H$1,0)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8:$H8,1,MATCH(All_Questions_Q_SS_EXPORT_F_Q,$A$1:$H$1,0)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8:$H8,1,MATCH(All_Questions_Q_MS_EXPORT_F_Q,$A$1:$H$1,0)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8:$H8,1,MATCH(All_Questions_Q_NUM_EXPORT_F_Q,$A$1:$H$1,0)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8:$H8,1,MATCH(All_Questions_Q_GRID_EXPORT_F_Q,$A$1:$H$1,0)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8:$H8,1,MATCH(All_Questions_Q_VERY_LONG_SINGLE_SELECT_EXPORT_NAME_F_Q,$A$1:$H$1,0)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9:$H9,1,MATCH(All_Questions_Q_SS_EXPORT_F_Q,$A$1:$H$1,0)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9:$H9,1,MATCH(All_Questions_Q_MS_EXPORT_F_Q,$A$1:$H$1,0)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9:$H9,1,MATCH(All_Questions_Q_NUM_EXPORT_F_Q,$A$1:$H$1,0)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9:$H9,1,MATCH(All_Questions_Q_GRID_EXPORT_F_Q,$A$1:$H$1,0)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9:$H9,1,MATCH(All_Questions_Q_VERY_LONG_SINGLE_SELECT_EXPORT_NAME_F_Q,$A$1:$H$1,0)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10:$H10,1,MATCH(All_Questions_Q_SS_EXPORT_F_Q,$A$1:$H$1,0)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10:$H10,1,MATCH(All_Questions_Q_MS_EXPORT_F_Q,$A$1:$H$1,0)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10:$H10,1,MATCH(All_Questions_Q_NUM_EXPORT_F_Q,$A$1:$H$1,0)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10:$H10,1,MATCH(All_Questions_Q_GRID_EXPORT_F_Q,$A$1:$H$1,0)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10:$H10,1,MATCH(All_Questions_Q_VERY_LONG_SINGLE_SELECT_EXPORT_NAME_F_Q,$A$1:$H$1,0)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$A11:$H11,1,MATCH(All_Questions_Q_SS_EXPORT_F_Q,$A$1:$H$1,0)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$A11:$H11,1,MATCH(All_Questions_Q_MS_EXPORT_F_Q,$A$1:$H$1,0)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$A11:$H11,1,MATCH(All_Questions_Q_NUM_EXPORT_F_Q,$A$1:$H$1,0)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$A11:$H11,1,MATCH(All_Questions_Q_GRID_EXPORT_F_Q,$A$1:$H$1,0)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$A11:$H11,1,MATCH(All_Questions_Q_VERY_LONG_SINGLE_SELECT_EXPORT_NAME_F_Q,$A$1:$H$1,0)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IFERROR(INDEX(INDIRECT(All_Questions_Q_SS_EXPORT_CT &amp; "_options"),2),"")</f>
        <v/>
      </c>
      <c r="H16" t="str">
        <f>IFERROR(INDEX(INDIRECT(All_Questions_Q_SS_EXPORT_CT &amp; "_options"),3),"")</f>
        <v/>
      </c>
      <c r="I16" t="str">
        <f>IFERROR(INDEX(INDIRECT(All_Questions_Q_SS_EXPORT_CT &amp; "_options"),4),"")</f>
        <v/>
      </c>
      <c r="J16" t="str">
        <f>IFERROR(INDEX(INDIRECT(All_Questions_Q_SS_EXPORT_CT &amp; "_options"),5),"")</f>
        <v/>
      </c>
      <c r="K16" t="str">
        <f>IFERROR(INDEX(INDIRECT(All_Questions_Q_SS_EXPORT_CT &amp; "_options"),6),"")</f>
        <v/>
      </c>
      <c r="L16" t="str">
        <f>IFERROR(INDEX(INDIRECT(All_Questions_Q_SS_EXPORT_CT &amp; "_options"),7),"")</f>
        <v/>
      </c>
      <c r="M16" t="str">
        <f>IFERROR(INDEX(INDIRECT(All_Questions_Q_SS_EXPORT_CT &amp; "_options"),8),"")</f>
        <v/>
      </c>
      <c r="N16" t="str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 t="str">
        <f>IFERROR(INDEX(INDIRECT(All_Questions_Q_MS_EXPORT_CT &amp; "_options"),2),"")</f>
        <v/>
      </c>
      <c r="H25" t="str">
        <f>IFERROR(INDEX(INDIRECT(All_Questions_Q_MS_EXPORT_CT &amp; "_options"),3),"")</f>
        <v/>
      </c>
      <c r="I25" t="str">
        <f>IFERROR(INDEX(INDIRECT(All_Questions_Q_MS_EXPORT_CT &amp; "_options"),4),"")</f>
        <v/>
      </c>
      <c r="J25" t="str">
        <f>IFERROR(INDEX(INDIRECT(All_Questions_Q_MS_EXPORT_CT &amp; "_options"),5),"")</f>
        <v/>
      </c>
      <c r="K25" t="str">
        <f>IFERROR(INDEX(INDIRECT(All_Questions_Q_MS_EXPORT_CT &amp; "_options"),6),"")</f>
        <v/>
      </c>
      <c r="L25" t="str">
        <f>IFERROR(INDEX(INDIRECT(All_Questions_Q_MS_EXPORT_CT &amp; "_options"),7),"")</f>
        <v/>
      </c>
      <c r="M25" t="str">
        <f>IFERROR(INDEX(INDIRECT(All_Questions_Q_MS_EXPORT_CT &amp; "_options"),8),"")</f>
        <v/>
      </c>
      <c r="N25" t="str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COUNTIFS(Q_MS_EXPORTr1_data,"Selected",passes_workbook_filters_data,1,passes_workbook_custom_filters_data,1,All_Questions_passes_local_filters_data,1,All_Questions_Q_MS_EXPORT_F_passes_per_q_filter_data,1)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COUNTIFS(Q_MS_EXPORTr2_data,"Selected",passes_workbook_filters_data,1,passes_workbook_custom_filters_data,1,All_Questions_passes_local_filters_data,1,All_Questions_Q_MS_EXPORT_F_passes_per_q_filter_data,1)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All_Questions_passes_local_filters_data,1,All_Questions_Q_MS_EXPORT_F_passes_per_q_filter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IFERROR(AVERAGEIFS(Q_NUM_EXPORT_data,passes_workbook_filters_data,1,passes_workbook_custom_filters_data,1,All_Questions_passes_local_filters_data,1,All_Questions_Q_NUM_EXPORT_F_passes_per_q_filter_data,1),0)</f>
        <v>5.5</v>
      </c>
      <c r="D35">
        <f>COUNTIFS(Q_NUM_EXPORT_data,"&lt;&gt;",passes_workbook_filters_data,1,passes_workbook_custom_filters_data,1,All_Questions_passes_local_filters_data,1,All_Questions_Q_NUM_EXPORT_F_passes_per_q_filter_data,1)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IFERROR(MINIFS(Q_NUM_EXPORT_data,passes_workbook_filters_data,1,passes_workbook_custom_filters_data,1,All_Questions_passes_local_filters_data,1,All_Questions_Q_NUM_EXPORT_F_passes_per_q_filter_data,1),0)</f>
        <v>1.0</v>
      </c>
      <c r="D36">
        <f>COUNTIFS(Q_NUM_EXPORT_data,"&lt;&gt;",passes_workbook_filters_data,1,passes_workbook_custom_filters_data,1,All_Questions_passes_local_filters_data,1,All_Questions_Q_NUM_EXPORT_F_passes_per_q_filter_data,1)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IFERROR(MAXIFS(Q_NUM_EXPORT_data,passes_workbook_filters_data,1,passes_workbook_custom_filters_data,1,All_Questions_passes_local_filters_data,1,All_Questions_Q_NUM_EXPORT_F_passes_per_q_filter_data,1),0)</f>
        <v>10.0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 t="str">
        <f>IFERROR(INDEX(INDIRECT(All_Questions_Q_GRID_EXPORT_CT &amp; "_options"),2),"")</f>
        <v/>
      </c>
      <c r="H46" t="str">
        <f>IFERROR(INDEX(INDIRECT(All_Questions_Q_GRID_EXPORT_CT &amp; "_options"),3),"")</f>
        <v/>
      </c>
      <c r="I46" t="str">
        <f>IFERROR(INDEX(INDIRECT(All_Questions_Q_GRID_EXPORT_CT &amp; "_options"),4),"")</f>
        <v/>
      </c>
      <c r="J46" t="str">
        <f>IFERROR(INDEX(INDIRECT(All_Questions_Q_GRID_EXPORT_CT &amp; "_options"),5),"")</f>
        <v/>
      </c>
      <c r="K46" t="str">
        <f>IFERROR(INDEX(INDIRECT(All_Questions_Q_GRID_EXPORT_CT &amp; "_options"),6),"")</f>
        <v/>
      </c>
      <c r="L46" t="str">
        <f>IFERROR(INDEX(INDIRECT(All_Questions_Q_GRID_EXPORT_CT &amp; "_options"),7),"")</f>
        <v/>
      </c>
      <c r="M46" t="str">
        <f>IFERROR(INDEX(INDIRECT(All_Questions_Q_GRID_EXPORT_CT &amp; "_options"),8),"")</f>
        <v/>
      </c>
      <c r="N46" t="str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COUNTIFS(Q_GRID_EXPORTr1_data,"Selected",passes_workbook_filters_data,1,passes_workbook_custom_filters_data,1,All_Questions_passes_local_filters_data,1,All_Questions_Q_GRID_EXPORT_F_passes_per_q_filter_data,1)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COUNTIFS(Q_GRID_EXPORTr2_data,"Selected",passes_workbook_filters_data,1,passes_workbook_custom_filters_data,1,All_Questions_passes_local_filters_data,1,All_Questions_Q_GRID_EXPORT_F_passes_per_q_filter_data,1)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 t="str">
        <f>IFERROR(INDEX(INDIRECT(All_Questions_Q_VERY_LONG_SINGLE_SELECT_EXPORT_NAME_CT &amp; "_options"),2),"")</f>
        <v/>
      </c>
      <c r="H55" t="str">
        <f>IFERROR(INDEX(INDIRECT(All_Questions_Q_VERY_LONG_SINGLE_SELECT_EXPORT_NAME_CT &amp; "_options"),3),"")</f>
        <v/>
      </c>
      <c r="I55" t="str">
        <f>IFERROR(INDEX(INDIRECT(All_Questions_Q_VERY_LONG_SINGLE_SELECT_EXPORT_NAME_CT &amp; "_options"),4),"")</f>
        <v/>
      </c>
      <c r="J55" t="str">
        <f>IFERROR(INDEX(INDIRECT(All_Questions_Q_VERY_LONG_SINGLE_SELECT_EXPORT_NAME_CT &amp; "_options"),5),"")</f>
        <v/>
      </c>
      <c r="K55" t="str">
        <f>IFERROR(INDEX(INDIRECT(All_Questions_Q_VERY_LONG_SINGLE_SELECT_EXPORT_NAME_CT &amp; "_options"),6),"")</f>
        <v/>
      </c>
      <c r="L55" t="str">
        <f>IFERROR(INDEX(INDIRECT(All_Questions_Q_VERY_LONG_SINGLE_SELECT_EXPORT_NAME_CT &amp; "_options"),7),"")</f>
        <v/>
      </c>
      <c r="M55" t="str">
        <f>IFERROR(INDEX(INDIRECT(All_Questions_Q_VERY_LONG_SINGLE_SELECT_EXPORT_NAME_CT &amp; "_options"),8),"")</f>
        <v/>
      </c>
      <c r="N55" t="str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2026-05-15T06:09:12Z</dcterms:created>
  <dcterms:modified xmlns:dcterms="http://purl.org/dc/terms/" xmlns:xsi="http://www.w3.org/2001/XMLSchema-instance" xsi:type="dcterms:W3CDTF">2026-05-15T06:09:12Z</dcterms:modified>
</cp:coreProperties>
</file>