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1.xml" ContentType="application/vnd.openxmlformats-officedocument.spreadsheetml.comments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'_Options'!$A$2:$A$9</definedName>
    <definedName name="All_Questions_Local">'_Options'!$B$2:$B$10</definedName>
    <definedName name="All_Questions_Data_Names">'_Options'!$C$2:$C$9</definedName>
    <definedName name="All_Questions_Options_Names">'_Options'!$D$2:$D$9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Questions'!$C$33</definedName>
    <definedName name="All_Questions_Q_NUM_EXPORT_F_V">'All Questions'!$E$33</definedName>
    <definedName name="All_Questions_Q_NUM_EXPORT_F_resolved_column">'All Questions'!$F$33</definedName>
    <definedName name="All_Questions_Q_NUM_EXPORT_F_wrapped">'All Questions'!$G$33</definedName>
    <definedName name="All_Questions_Q_NUM_EXPORT_F_passes_per_q_filter_data">'_RawData'!$P$2:$P$11</definedName>
    <definedName name="All_Questions_Q_NUM_EXPORT_CT">'All Questions'!$C$34</definedName>
    <definedName name="All_Questions_Q_GRID_EXPORT_F_Q">'All Questions'!$C$45</definedName>
    <definedName name="All_Questions_Q_GRID_EXPORT_F_V">'All Questions'!$E$45</definedName>
    <definedName name="All_Questions_Q_GRID_EXPORT_F_resolved_column">'All Questions'!$F$45</definedName>
    <definedName name="All_Questions_Q_GRID_EXPORT_F_wrapped">'All Questions'!$G$45</definedName>
    <definedName name="All_Questions_Q_GRID_EXPORT_F_passes_per_q_filter_data">'_RawData'!$Q$2:$Q$11</definedName>
    <definedName name="All_Questions_Q_GRID_EXPORT_CT">'All Questions'!$C$46</definedName>
    <definedName name="All_Questions_Q_VERY_LONG_SINGLE_SELECT_EXPORT_NAME_F_Q">'All Questions'!$C$55</definedName>
    <definedName name="All_Questions_Q_VERY_LONG_SINGLE_SELECT_EXPORT_NAME_F_V">'All Questions'!$E$55</definedName>
    <definedName name="All_Questions_Q_VERY_LONG_SINGLE_SELECT_EXPORT_NAME_F_resolved_column">'All Questions'!$F$55</definedName>
    <definedName name="All_Questions_Q_VERY_LONG_SINGLE_SELECT_EXPORT_NAME_F_wrapped">'All Questions'!$G$55</definedName>
    <definedName name="All_Questions_Q_VERY_LONG_SINGLE_SELECT_EXPORT_NAME_F_passes_per_q_filter_data">'_RawData'!$R$2:$R$11</definedName>
    <definedName name="All_Questions_Q_VERY_LONG_SINGLE_SELECT_EXPORT_NAME_CT">'All Questions'!$C$56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B17" i="7"/>
  <c r="C17" i="7"/>
  <c r="D17" i="7"/>
  <c r="G17" i="7"/>
  <c r="H17" i="7"/>
  <c r="I17" i="7"/>
  <c r="J17" i="7"/>
  <c r="K17" i="7"/>
  <c r="L17" i="7"/>
  <c r="M17" i="7"/>
  <c r="N17" i="7"/>
  <c r="O17" i="7"/>
  <c r="B18" i="7"/>
  <c r="C18" i="7"/>
  <c r="D18" i="7"/>
  <c r="G18" i="7"/>
  <c r="H18" i="7"/>
  <c r="I18" i="7"/>
  <c r="J18" i="7"/>
  <c r="K18" i="7"/>
  <c r="L18" i="7"/>
  <c r="M18" i="7"/>
  <c r="N18" i="7"/>
  <c r="O18" i="7"/>
  <c r="F23" i="7"/>
  <c r="G23" i="7"/>
  <c r="G26" i="7"/>
  <c r="H26" i="7"/>
  <c r="I26" i="7"/>
  <c r="J26" i="7"/>
  <c r="K26" i="7"/>
  <c r="L26" i="7"/>
  <c r="M26" i="7"/>
  <c r="N26" i="7"/>
  <c r="B27" i="7"/>
  <c r="C27" i="7"/>
  <c r="D27" i="7"/>
  <c r="G27" i="7"/>
  <c r="H27" i="7"/>
  <c r="I27" i="7"/>
  <c r="J27" i="7"/>
  <c r="K27" i="7"/>
  <c r="L27" i="7"/>
  <c r="M27" i="7"/>
  <c r="N27" i="7"/>
  <c r="O27" i="7"/>
  <c r="B28" i="7"/>
  <c r="C28" i="7"/>
  <c r="D28" i="7"/>
  <c r="G28" i="7"/>
  <c r="H28" i="7"/>
  <c r="I28" i="7"/>
  <c r="J28" i="7"/>
  <c r="K28" i="7"/>
  <c r="L28" i="7"/>
  <c r="M28" i="7"/>
  <c r="N28" i="7"/>
  <c r="O28" i="7"/>
  <c r="F33" i="7"/>
  <c r="G33" i="7"/>
  <c r="B37" i="7"/>
  <c r="D37" i="7"/>
  <c r="B38" i="7"/>
  <c r="D38" i="7"/>
  <c r="B39" i="7"/>
  <c r="D39" i="7"/>
  <c r="D40" i="7"/>
  <c r="F45" i="7"/>
  <c r="G45" i="7"/>
  <c r="G48" i="7"/>
  <c r="H48" i="7"/>
  <c r="I48" i="7"/>
  <c r="J48" i="7"/>
  <c r="K48" i="7"/>
  <c r="L48" i="7"/>
  <c r="M48" i="7"/>
  <c r="N48" i="7"/>
  <c r="B49" i="7"/>
  <c r="C49" i="7"/>
  <c r="D49" i="7"/>
  <c r="G49" i="7"/>
  <c r="H49" i="7"/>
  <c r="I49" i="7"/>
  <c r="J49" i="7"/>
  <c r="K49" i="7"/>
  <c r="L49" i="7"/>
  <c r="M49" i="7"/>
  <c r="N49" i="7"/>
  <c r="O49" i="7"/>
  <c r="B50" i="7"/>
  <c r="C50" i="7"/>
  <c r="D50" i="7"/>
  <c r="G50" i="7"/>
  <c r="H50" i="7"/>
  <c r="I50" i="7"/>
  <c r="J50" i="7"/>
  <c r="K50" i="7"/>
  <c r="L50" i="7"/>
  <c r="M50" i="7"/>
  <c r="N50" i="7"/>
  <c r="O50" i="7"/>
  <c r="F55" i="7"/>
  <c r="G55" i="7"/>
  <c r="G58" i="7"/>
  <c r="H58" i="7"/>
  <c r="I58" i="7"/>
  <c r="J58" i="7"/>
  <c r="K58" i="7"/>
  <c r="L58" i="7"/>
  <c r="M58" i="7"/>
  <c r="N58" i="7"/>
  <c r="B59" i="7"/>
  <c r="C59" i="7"/>
  <c r="D59" i="7"/>
  <c r="G59" i="7"/>
  <c r="H59" i="7"/>
  <c r="I59" i="7"/>
  <c r="J59" i="7"/>
  <c r="K59" i="7"/>
  <c r="L59" i="7"/>
  <c r="M59" i="7"/>
  <c r="N59" i="7"/>
  <c r="O59" i="7"/>
  <c r="B60" i="7"/>
  <c r="C60" i="7"/>
  <c r="D60" i="7"/>
  <c r="G60" i="7"/>
  <c r="H60" i="7"/>
  <c r="I60" i="7"/>
  <c r="J60" i="7"/>
  <c r="K60" i="7"/>
  <c r="L60" i="7"/>
  <c r="M60" i="7"/>
  <c r="N60" i="7"/>
  <c r="O6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sz val="11"/>
    </font>
    <font>
      <name val="Arial"/>
      <b val="1"/>
      <sz val="9"/>
    </font>
  </fonts>
  <fills count="4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0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12" authorId="0" shapeId="0">
      <text>
        <t>Single select export question</t>
      </text>
    </comment>
    <comment ref="A22" authorId="0" shapeId="0">
      <text>
        <t>Multi select export question</t>
      </text>
    </comment>
    <comment ref="A32" authorId="0" shapeId="0">
      <text>
        <t>Numeric export question</t>
      </text>
    </comment>
    <comment ref="A44" authorId="0" shapeId="0">
      <text>
        <t>Grid export question</t>
      </text>
    </comment>
    <comment ref="A54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29" headerRowCount="1">
  <autoFilter ref="A26:D2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6_1" displayName="T_All_Questions_36_1" ref="A36:D40" headerRowCount="1">
  <autoFilter ref="A36:D40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8_1" displayName="T_All_Questions_48_1" ref="A48:D51" headerRowCount="1">
  <autoFilter ref="A48:D5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8_1" displayName="T_All_Questions_58_1" ref="A58:D61" headerRowCount="1">
  <autoFilter ref="A58:D6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respondent_id_data</t>
        </is>
      </c>
      <c r="D2" t="inlineStr">
        <is>
          <t>None_options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Single Select Export Question</t>
        </is>
      </c>
      <c r="B3" t="inlineStr">
        <is>
          <t>(None)</t>
        </is>
      </c>
      <c r="C3" t="inlineStr">
        <is>
          <t>Q_SS_EXPORT_data</t>
        </is>
      </c>
      <c r="D3" t="inlineStr">
        <is>
          <t>Q_SS_EXPORT_options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First</t>
        </is>
      </c>
      <c r="B4" t="inlineStr">
        <is>
          <t>Single Select Export Question</t>
        </is>
      </c>
      <c r="C4" t="inlineStr">
        <is>
          <t>Q_MS_EXPORTr1_data</t>
        </is>
      </c>
      <c r="D4" t="inlineStr">
        <is>
          <t>Q_MS_EXPORTr1_options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A5" t="inlineStr">
        <is>
          <t>Second</t>
        </is>
      </c>
      <c r="B5" t="inlineStr">
        <is>
          <t>First</t>
        </is>
      </c>
      <c r="C5" t="inlineStr">
        <is>
          <t>Q_MS_EXPORTr2_data</t>
        </is>
      </c>
      <c r="D5" t="inlineStr">
        <is>
          <t>Q_MS_EXPORTr2_options</t>
        </is>
      </c>
      <c r="M5" t="inlineStr">
        <is>
          <t>No</t>
        </is>
      </c>
      <c r="S5" t="inlineStr">
        <is>
          <t>B</t>
        </is>
      </c>
    </row>
    <row r="6">
      <c r="A6" t="inlineStr">
        <is>
          <t>Numeric Export Question</t>
        </is>
      </c>
      <c r="B6" t="inlineStr">
        <is>
          <t>Second</t>
        </is>
      </c>
      <c r="C6" t="inlineStr">
        <is>
          <t>Q_NUM_EXPORT_data</t>
        </is>
      </c>
      <c r="D6" t="inlineStr">
        <is>
          <t>Q_NUM_EXPORT_options</t>
        </is>
      </c>
    </row>
    <row r="7">
      <c r="A7" t="inlineStr">
        <is>
          <t>Grid first row</t>
        </is>
      </c>
      <c r="B7" t="inlineStr">
        <is>
          <t>Numeric Export Question</t>
        </is>
      </c>
      <c r="C7" t="inlineStr">
        <is>
          <t>Q_GRID_EXPORTr1_data</t>
        </is>
      </c>
      <c r="D7" t="inlineStr">
        <is>
          <t>Q_GRID_EXPORTr1_options</t>
        </is>
      </c>
    </row>
    <row r="8">
      <c r="A8" t="inlineStr">
        <is>
          <t>Grid second row</t>
        </is>
      </c>
      <c r="B8" t="inlineStr">
        <is>
          <t>Grid first row</t>
        </is>
      </c>
      <c r="C8" t="inlineStr">
        <is>
          <t>Q_GRID_EXPORTr2_data</t>
        </is>
      </c>
      <c r="D8" t="inlineStr">
        <is>
          <t>Q_GRID_EXPORTr2_options</t>
        </is>
      </c>
    </row>
    <row r="9">
      <c r="A9" t="inlineStr">
        <is>
          <t>Long Sheet Name Export Question</t>
        </is>
      </c>
      <c r="B9" t="inlineStr">
        <is>
          <t>Grid second row</t>
        </is>
      </c>
      <c r="C9" t="inlineStr">
        <is>
          <t>Q_VERY_LONG_SINGLE_SELECT_EXPOR_data</t>
        </is>
      </c>
      <c r="D9" t="inlineStr">
        <is>
          <t>Q_VERY_LONG_SINGLE_SELECT_EXPOR_options</t>
        </is>
      </c>
    </row>
    <row r="10">
      <c r="B10" t="inlineStr">
        <is>
          <t>Long Sheet Name Export Question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XLOOKUP(F_Custom1_Q,All_Questions,All_Questions_Data_Names,"respondent_id_data")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XLOOKUP(F_Custom2_Q,All_Questions,All_Questions_Data_Names,"respondent_id_data")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=INDIRECT(XLOOKUP(F_Custom1_Q,All_Questions,All_Questions_Options_Names,"None_options"))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=INDIRECT(XLOOKUP(F_Custom2_Q,All_Questions,All_Questions_Options_Names,"None_options"))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ref="E2" r:id="rId1"/>
    <hyperlink ref="E3" r:id="rId2"/>
    <hyperlink ref="E4" r:id="rId3"/>
    <hyperlink ref="E5" r:id="rId4"/>
    <hyperlink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O6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XLOOKUP(All_Questions_F_Custom1_Q_resolved,All_Questions,All_Questions_Data_Names,"respondent_id_data")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XLOOKUP(All_Questions_F_Custom2_Q_resolved,All_Questions,All_Questions_Data_Names,"respondent_id_data")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Single select export question</t>
        </is>
      </c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XLOOKUP(All_Questions_Q_SS_EXPORT_F_Q,All_Questions,All_Questions_Data_Names,"respondent_id_data")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5" t="inlineStr">
        <is>
          <t>Option \ Cross-tab</t>
        </is>
      </c>
      <c r="G16" t="str">
        <f>IFERROR(INDEX(INDIRECT(XLOOKUP(All_Questions_Q_SS_EXPORT_CT,All_Questions,All_Questions_Options_Names,"None_options")),2),"")</f>
        <v/>
      </c>
      <c r="H16" t="str">
        <f>IFERROR(INDEX(INDIRECT(XLOOKUP(All_Questions_Q_SS_EXPORT_CT,All_Questions,All_Questions_Options_Names,"None_options")),3),"")</f>
        <v/>
      </c>
      <c r="I16" t="str">
        <f>IFERROR(INDEX(INDIRECT(XLOOKUP(All_Questions_Q_SS_EXPORT_CT,All_Questions,All_Questions_Options_Names,"None_options")),4),"")</f>
        <v/>
      </c>
      <c r="J16" t="str">
        <f>IFERROR(INDEX(INDIRECT(XLOOKUP(All_Questions_Q_SS_EXPORT_CT,All_Questions,All_Questions_Options_Names,"None_options")),5),"")</f>
        <v/>
      </c>
      <c r="K16" t="str">
        <f>IFERROR(INDEX(INDIRECT(XLOOKUP(All_Questions_Q_SS_EXPORT_CT,All_Questions,All_Questions_Options_Names,"None_options")),6),"")</f>
        <v/>
      </c>
      <c r="L16" t="str">
        <f>IFERROR(INDEX(INDIRECT(XLOOKUP(All_Questions_Q_SS_EXPORT_CT,All_Questions,All_Questions_Options_Names,"None_options")),7),"")</f>
        <v/>
      </c>
      <c r="M16" t="str">
        <f>IFERROR(INDEX(INDIRECT(XLOOKUP(All_Questions_Q_SS_EXPORT_CT,All_Questions,All_Questions_Options_Names,"None_options")),8),"")</f>
        <v/>
      </c>
      <c r="N16" t="str">
        <f>IFERROR(INDEX(INDIRECT(XLOOKUP(All_Questions_Q_SS_EXPORT_CT,All_Questions,All_Questions_Options_Names,"None_options")),9),"")</f>
        <v/>
      </c>
      <c r="O16" s="5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t="inlineStr">
        <is>
          <t>Yes</t>
        </is>
      </c>
      <c r="G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7">
        <f>SUM(G17:N17)</f>
        <v>0</v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No</t>
        </is>
      </c>
      <c r="G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8">
        <f>SUM(G18:N18)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Multi select export question</t>
        </is>
      </c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XLOOKUP(All_Questions_Q_MS_EXPORT_F_Q,All_Questions,All_Questions_Data_Names,"respondent_id_data")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5" t="inlineStr">
        <is>
          <t>Option \ Cross-tab</t>
        </is>
      </c>
      <c r="G26" t="str">
        <f>IFERROR(INDEX(INDIRECT(XLOOKUP(All_Questions_Q_MS_EXPORT_CT,All_Questions,All_Questions_Options_Names,"None_options")),2),"")</f>
        <v/>
      </c>
      <c r="H26" t="str">
        <f>IFERROR(INDEX(INDIRECT(XLOOKUP(All_Questions_Q_MS_EXPORT_CT,All_Questions,All_Questions_Options_Names,"None_options")),3),"")</f>
        <v/>
      </c>
      <c r="I26" t="str">
        <f>IFERROR(INDEX(INDIRECT(XLOOKUP(All_Questions_Q_MS_EXPORT_CT,All_Questions,All_Questions_Options_Names,"None_options")),4),"")</f>
        <v/>
      </c>
      <c r="J26" t="str">
        <f>IFERROR(INDEX(INDIRECT(XLOOKUP(All_Questions_Q_MS_EXPORT_CT,All_Questions,All_Questions_Options_Names,"None_options")),5),"")</f>
        <v/>
      </c>
      <c r="K26" t="str">
        <f>IFERROR(INDEX(INDIRECT(XLOOKUP(All_Questions_Q_MS_EXPORT_CT,All_Questions,All_Questions_Options_Names,"None_options")),6),"")</f>
        <v/>
      </c>
      <c r="L26" t="str">
        <f>IFERROR(INDEX(INDIRECT(XLOOKUP(All_Questions_Q_MS_EXPORT_CT,All_Questions,All_Questions_Options_Names,"None_options")),7),"")</f>
        <v/>
      </c>
      <c r="M26" t="str">
        <f>IFERROR(INDEX(INDIRECT(XLOOKUP(All_Questions_Q_MS_EXPORT_CT,All_Questions,All_Questions_Options_Names,"None_options")),8),"")</f>
        <v/>
      </c>
      <c r="N26" t="str">
        <f>IFERROR(INDEX(INDIRECT(XLOOKUP(All_Questions_Q_MS_EXPORT_CT,All_Questions,All_Questions_Options_Names,"None_options")),9),"")</f>
        <v/>
      </c>
      <c r="O26" s="5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t="inlineStr">
        <is>
          <t>First</t>
        </is>
      </c>
      <c r="G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7">
        <f>SUM(G27:N27)</f>
        <v>0</v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Second</t>
        </is>
      </c>
      <c r="G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8">
        <f>SUM(G28:N28)</f>
        <v>0</v>
      </c>
    </row>
    <row r="29">
      <c r="A29" s="15" t="inlineStr">
        <is>
          <t>Total respondents</t>
        </is>
      </c>
      <c r="B29" s="15" t="n">
        <v>7</v>
      </c>
      <c r="C29" s="15" t="n"/>
      <c r="D29" s="15" t="n"/>
    </row>
    <row r="31">
      <c r="A31" s="11" t="n"/>
      <c r="B31" s="11" t="n"/>
      <c r="C31" s="11" t="n"/>
      <c r="D31" s="11" t="n"/>
      <c r="E31" s="11" t="n"/>
      <c r="F31" s="11" t="n"/>
      <c r="G31" s="11" t="n"/>
      <c r="H31" s="11" t="n"/>
      <c r="I31" s="11" t="n"/>
      <c r="J31" s="11" t="n"/>
    </row>
    <row r="32">
      <c r="A32" s="12" t="inlineStr">
        <is>
          <t>Numeric export question</t>
        </is>
      </c>
    </row>
    <row r="33">
      <c r="A33" s="13" t="inlineStr">
        <is>
          <t>Per-question filter</t>
        </is>
      </c>
      <c r="B33" t="inlineStr">
        <is>
          <t>Filter Q</t>
        </is>
      </c>
      <c r="C33" t="inlineStr">
        <is>
          <t>(None)</t>
        </is>
      </c>
      <c r="D33" t="inlineStr">
        <is>
          <t>Value</t>
        </is>
      </c>
      <c r="E33" t="inlineStr">
        <is>
          <t>(All)</t>
        </is>
      </c>
      <c r="F33" t="str">
        <f>XLOOKUP(All_Questions_Q_NUM_EXPORT_F_Q,All_Questions,All_Questions_Data_Names,"respondent_id_data")</f>
        <v>respondent_id_data</v>
      </c>
      <c r="G33" t="str">
        <f>"|" &amp; SUBSTITUTE(All_Questions_Q_NUM_EXPORT_F_V, ", ", "|") &amp; "|"</f>
        <v>|(All)|</v>
      </c>
    </row>
    <row r="34">
      <c r="A34" s="13" t="inlineStr">
        <is>
          <t>Cross-tab by</t>
        </is>
      </c>
      <c r="C34" t="inlineStr">
        <is>
          <t>(None)</t>
        </is>
      </c>
    </row>
    <row r="36">
      <c r="A36" s="4" t="inlineStr">
        <is>
          <t>Metric</t>
        </is>
      </c>
      <c r="B36" s="4" t="inlineStr">
        <is>
          <t>Value</t>
        </is>
      </c>
      <c r="C36" s="4" t="inlineStr">
        <is>
          <t>Note</t>
        </is>
      </c>
      <c r="D36" s="4" t="inlineStr">
        <is>
          <t>Denominator</t>
        </is>
      </c>
    </row>
    <row r="37">
      <c r="A37" t="inlineStr">
        <is>
          <t>Mean</t>
        </is>
      </c>
      <c r="B37">
        <f>IFERROR(AVERAGEIFS(Q_NUM_EXPORT_data,passes_workbook_filters_data,1,passes_workbook_custom_filters_data,1,All_Questions_passes_local_filters_data,1,All_Questions_Q_NUM_EXPORT_F_passes_per_q_filter_data,1),0)</f>
        <v>5.5</v>
      </c>
      <c r="D37">
        <f>COUNTIFS(Q_NUM_EXPORT_data,"&lt;&gt;",passes_workbook_filters_data,1,passes_workbook_custom_filters_data,1,All_Questions_passes_local_filters_data,1,All_Questions_Q_NUM_EXPORT_F_passes_per_q_filter_data,1)</f>
        <v>10</v>
      </c>
    </row>
    <row r="38">
      <c r="A38" t="inlineStr">
        <is>
          <t>Min</t>
        </is>
      </c>
      <c r="B38">
        <f>IFERROR(MINIFS(Q_NUM_EXPORT_data,passes_workbook_filters_data,1,passes_workbook_custom_filters_data,1,All_Questions_passes_local_filters_data,1,All_Questions_Q_NUM_EXPORT_F_passes_per_q_filter_data,1),0)</f>
        <v>1.0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Max</t>
        </is>
      </c>
      <c r="B39">
        <f>IFERROR(MAXIFS(Q_NUM_EXPORT_data,passes_workbook_filters_data,1,passes_workbook_custom_filters_data,1,All_Questions_passes_local_filters_data,1,All_Questions_Q_NUM_EXPORT_F_passes_per_q_filter_data,1),0)</f>
        <v>10.0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Std</t>
        </is>
      </c>
      <c r="B40" t="n">
        <v>2.9</v>
      </c>
      <c r="C40" t="inlineStr">
        <is>
          <t>static baseline</t>
        </is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s="10" t="inlineStr">
        <is>
          <t>Median not available in filtered view - see static baseline in audit log.</t>
        </is>
      </c>
    </row>
    <row r="43">
      <c r="A43" s="11" t="n"/>
      <c r="B43" s="11" t="n"/>
      <c r="C43" s="11" t="n"/>
      <c r="D43" s="11" t="n"/>
      <c r="E43" s="11" t="n"/>
      <c r="F43" s="11" t="n"/>
      <c r="G43" s="11" t="n"/>
      <c r="H43" s="11" t="n"/>
      <c r="I43" s="11" t="n"/>
      <c r="J43" s="11" t="n"/>
    </row>
    <row r="44">
      <c r="A44" s="12" t="inlineStr">
        <is>
          <t>Grid export question</t>
        </is>
      </c>
    </row>
    <row r="45">
      <c r="A45" s="13" t="inlineStr">
        <is>
          <t>Per-question filter</t>
        </is>
      </c>
      <c r="B45" t="inlineStr">
        <is>
          <t>Filter Q</t>
        </is>
      </c>
      <c r="C45" t="inlineStr">
        <is>
          <t>(None)</t>
        </is>
      </c>
      <c r="D45" t="inlineStr">
        <is>
          <t>Value</t>
        </is>
      </c>
      <c r="E45" t="inlineStr">
        <is>
          <t>(All)</t>
        </is>
      </c>
      <c r="F45" t="str">
        <f>XLOOKUP(All_Questions_Q_GRID_EXPORT_F_Q,All_Questions,All_Questions_Data_Names,"respondent_id_data")</f>
        <v>respondent_id_data</v>
      </c>
      <c r="G45" t="str">
        <f>"|" &amp; SUBSTITUTE(All_Questions_Q_GRID_EXPORT_F_V, ", ", "|") &amp; "|"</f>
        <v>|(All)|</v>
      </c>
    </row>
    <row r="46">
      <c r="A46" s="13" t="inlineStr">
        <is>
          <t>Cross-tab by</t>
        </is>
      </c>
      <c r="C46" t="inlineStr">
        <is>
          <t>(None)</t>
        </is>
      </c>
    </row>
    <row r="48">
      <c r="A48" s="4" t="inlineStr">
        <is>
          <t>Option</t>
        </is>
      </c>
      <c r="B48" s="4" t="inlineStr">
        <is>
          <t>Count</t>
        </is>
      </c>
      <c r="C48" s="4" t="inlineStr">
        <is>
          <t>%</t>
        </is>
      </c>
      <c r="D48" s="4" t="inlineStr">
        <is>
          <t>Denominator</t>
        </is>
      </c>
      <c r="F48" s="5" t="inlineStr">
        <is>
          <t>Option \ Cross-tab</t>
        </is>
      </c>
      <c r="G48" t="str">
        <f>IFERROR(INDEX(INDIRECT(XLOOKUP(All_Questions_Q_GRID_EXPORT_CT,All_Questions,All_Questions_Options_Names,"None_options")),2),"")</f>
        <v/>
      </c>
      <c r="H48" t="str">
        <f>IFERROR(INDEX(INDIRECT(XLOOKUP(All_Questions_Q_GRID_EXPORT_CT,All_Questions,All_Questions_Options_Names,"None_options")),3),"")</f>
        <v/>
      </c>
      <c r="I48" t="str">
        <f>IFERROR(INDEX(INDIRECT(XLOOKUP(All_Questions_Q_GRID_EXPORT_CT,All_Questions,All_Questions_Options_Names,"None_options")),4),"")</f>
        <v/>
      </c>
      <c r="J48" t="str">
        <f>IFERROR(INDEX(INDIRECT(XLOOKUP(All_Questions_Q_GRID_EXPORT_CT,All_Questions,All_Questions_Options_Names,"None_options")),5),"")</f>
        <v/>
      </c>
      <c r="K48" t="str">
        <f>IFERROR(INDEX(INDIRECT(XLOOKUP(All_Questions_Q_GRID_EXPORT_CT,All_Questions,All_Questions_Options_Names,"None_options")),6),"")</f>
        <v/>
      </c>
      <c r="L48" t="str">
        <f>IFERROR(INDEX(INDIRECT(XLOOKUP(All_Questions_Q_GRID_EXPORT_CT,All_Questions,All_Questions_Options_Names,"None_options")),7),"")</f>
        <v/>
      </c>
      <c r="M48" t="str">
        <f>IFERROR(INDEX(INDIRECT(XLOOKUP(All_Questions_Q_GRID_EXPORT_CT,All_Questions,All_Questions_Options_Names,"None_options")),8),"")</f>
        <v/>
      </c>
      <c r="N48" t="str">
        <f>IFERROR(INDEX(INDIRECT(XLOOKUP(All_Questions_Q_GRID_EXPORT_CT,All_Questions,All_Questions_Options_Names,"None_options")),9),"")</f>
        <v/>
      </c>
      <c r="O48" s="5" t="inlineStr">
        <is>
          <t>TOTAL</t>
        </is>
      </c>
    </row>
    <row r="49">
      <c r="A49" t="inlineStr">
        <is>
          <t>Grid first row</t>
        </is>
      </c>
      <c r="B49">
        <f>COUNTIFS(Q_GRID_EXPORTr1_data,"Selected",passes_workbook_filters_data,1,passes_workbook_custom_filters_data,1,All_Questions_passes_local_filters_data,1,All_Questions_Q_GRID_EXPORT_F_passes_per_q_filter_data,1)</f>
        <v>10</v>
      </c>
      <c r="C49" s="7">
        <f>IFERROR(B49/SUBTOTAL(9,B49:B50),0)</f>
        <v>0.5</v>
      </c>
      <c r="D49" s="14">
        <f>SUBTOTAL(9,B49:B50)</f>
        <v>20</v>
      </c>
      <c r="F49" t="inlineStr">
        <is>
          <t>Grid first row</t>
        </is>
      </c>
      <c r="G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49">
        <f>SUM(G49:N49)</f>
        <v>0</v>
      </c>
    </row>
    <row r="50">
      <c r="A50" t="inlineStr">
        <is>
          <t>Grid second row</t>
        </is>
      </c>
      <c r="B50">
        <f>COUNTIFS(Q_GRID_EXPORTr2_data,"Selected",passes_workbook_filters_data,1,passes_workbook_custom_filters_data,1,All_Questions_passes_local_filters_data,1,All_Questions_Q_GRID_EXPORT_F_passes_per_q_filter_data,1)</f>
        <v>10</v>
      </c>
      <c r="C50" s="7">
        <f>IFERROR(B50/SUBTOTAL(9,B49:B50),0)</f>
        <v>0.5</v>
      </c>
      <c r="D50" s="14">
        <f>SUBTOTAL(9,B49:B50)</f>
        <v>20</v>
      </c>
      <c r="F50" t="inlineStr">
        <is>
          <t>Grid second row</t>
        </is>
      </c>
      <c r="G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50">
        <f>SUM(G50:N50)</f>
        <v>0</v>
      </c>
    </row>
    <row r="51">
      <c r="A51" s="15" t="inlineStr">
        <is>
          <t>Total respondents</t>
        </is>
      </c>
      <c r="B51" s="15" t="n">
        <v>20</v>
      </c>
      <c r="C51" s="15" t="n"/>
      <c r="D51" s="15" t="n"/>
    </row>
    <row r="53">
      <c r="A53" s="11" t="n"/>
      <c r="B53" s="11" t="n"/>
      <c r="C53" s="11" t="n"/>
      <c r="D53" s="11" t="n"/>
      <c r="E53" s="11" t="n"/>
      <c r="F53" s="11" t="n"/>
      <c r="G53" s="11" t="n"/>
      <c r="H53" s="11" t="n"/>
      <c r="I53" s="11" t="n"/>
      <c r="J53" s="11" t="n"/>
    </row>
    <row r="54">
      <c r="A54" s="12" t="inlineStr">
        <is>
          <t>Long sheet name export question</t>
        </is>
      </c>
    </row>
    <row r="55">
      <c r="A55" s="13" t="inlineStr">
        <is>
          <t>Per-question filter</t>
        </is>
      </c>
      <c r="B55" t="inlineStr">
        <is>
          <t>Filter Q</t>
        </is>
      </c>
      <c r="C55" t="inlineStr">
        <is>
          <t>(None)</t>
        </is>
      </c>
      <c r="D55" t="inlineStr">
        <is>
          <t>Value</t>
        </is>
      </c>
      <c r="E55" t="inlineStr">
        <is>
          <t>(All)</t>
        </is>
      </c>
      <c r="F55" t="str">
        <f>XLOOKUP(All_Questions_Q_VERY_LONG_SINGLE_SELECT_EXPORT_NAME_F_Q,All_Questions,All_Questions_Data_Names,"respondent_id_data")</f>
        <v>respondent_id_data</v>
      </c>
      <c r="G55" t="str">
        <f>"|" &amp; SUBSTITUTE(All_Questions_Q_VERY_LONG_SINGLE_SELECT_EXPORT_NAME_F_V, ", ", "|") &amp; "|"</f>
        <v>|(All)|</v>
      </c>
    </row>
    <row r="56">
      <c r="A56" s="13" t="inlineStr">
        <is>
          <t>Cross-tab by</t>
        </is>
      </c>
      <c r="C56" t="inlineStr">
        <is>
          <t>(None)</t>
        </is>
      </c>
    </row>
    <row r="58">
      <c r="A58" s="4" t="inlineStr">
        <is>
          <t>Option</t>
        </is>
      </c>
      <c r="B58" s="4" t="inlineStr">
        <is>
          <t>Count</t>
        </is>
      </c>
      <c r="C58" s="4" t="inlineStr">
        <is>
          <t>%</t>
        </is>
      </c>
      <c r="D58" s="4" t="inlineStr">
        <is>
          <t>Denominator</t>
        </is>
      </c>
      <c r="F58" s="5" t="inlineStr">
        <is>
          <t>Option \ Cross-tab</t>
        </is>
      </c>
      <c r="G58" t="str">
        <f>IFERROR(INDEX(INDIRECT(XLOOKUP(All_Questions_Q_VERY_LONG_SINGLE_SELECT_EXPORT_NAME_CT,All_Questions,All_Questions_Options_Names,"None_options")),2),"")</f>
        <v/>
      </c>
      <c r="H58" t="str">
        <f>IFERROR(INDEX(INDIRECT(XLOOKUP(All_Questions_Q_VERY_LONG_SINGLE_SELECT_EXPORT_NAME_CT,All_Questions,All_Questions_Options_Names,"None_options")),3),"")</f>
        <v/>
      </c>
      <c r="I58" t="str">
        <f>IFERROR(INDEX(INDIRECT(XLOOKUP(All_Questions_Q_VERY_LONG_SINGLE_SELECT_EXPORT_NAME_CT,All_Questions,All_Questions_Options_Names,"None_options")),4),"")</f>
        <v/>
      </c>
      <c r="J58" t="str">
        <f>IFERROR(INDEX(INDIRECT(XLOOKUP(All_Questions_Q_VERY_LONG_SINGLE_SELECT_EXPORT_NAME_CT,All_Questions,All_Questions_Options_Names,"None_options")),5),"")</f>
        <v/>
      </c>
      <c r="K58" t="str">
        <f>IFERROR(INDEX(INDIRECT(XLOOKUP(All_Questions_Q_VERY_LONG_SINGLE_SELECT_EXPORT_NAME_CT,All_Questions,All_Questions_Options_Names,"None_options")),6),"")</f>
        <v/>
      </c>
      <c r="L58" t="str">
        <f>IFERROR(INDEX(INDIRECT(XLOOKUP(All_Questions_Q_VERY_LONG_SINGLE_SELECT_EXPORT_NAME_CT,All_Questions,All_Questions_Options_Names,"None_options")),7),"")</f>
        <v/>
      </c>
      <c r="M58" t="str">
        <f>IFERROR(INDEX(INDIRECT(XLOOKUP(All_Questions_Q_VERY_LONG_SINGLE_SELECT_EXPORT_NAME_CT,All_Questions,All_Questions_Options_Names,"None_options")),8),"")</f>
        <v/>
      </c>
      <c r="N58" t="str">
        <f>IFERROR(INDEX(INDIRECT(XLOOKUP(All_Questions_Q_VERY_LONG_SINGLE_SELECT_EXPORT_NAME_CT,All_Questions,All_Questions_Options_Names,"None_options")),9),"")</f>
        <v/>
      </c>
      <c r="O58" s="5" t="inlineStr">
        <is>
          <t>TOTAL</t>
        </is>
      </c>
    </row>
    <row r="59">
      <c r="A59" t="inlineStr">
        <is>
          <t>A</t>
        </is>
      </c>
      <c r="B59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9" s="7">
        <f>IFERROR(B59/SUBTOTAL(9,B59:B60),0)</f>
        <v>0.7</v>
      </c>
      <c r="D59" s="14">
        <f>SUBTOTAL(9,B59:B60)</f>
        <v>10</v>
      </c>
      <c r="F59" t="inlineStr">
        <is>
          <t>A</t>
        </is>
      </c>
      <c r="G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59">
        <f>SUM(G59:N59)</f>
        <v>0</v>
      </c>
    </row>
    <row r="60">
      <c r="A60" t="inlineStr">
        <is>
          <t>B</t>
        </is>
      </c>
      <c r="B60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0" s="7">
        <f>IFERROR(B60/SUBTOTAL(9,B59:B60),0)</f>
        <v>0.3</v>
      </c>
      <c r="D60" s="14">
        <f>SUBTOTAL(9,B59:B60)</f>
        <v>10</v>
      </c>
      <c r="F60" t="inlineStr">
        <is>
          <t>B</t>
        </is>
      </c>
      <c r="G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60">
        <f>SUM(G60:N60)</f>
        <v>0</v>
      </c>
    </row>
    <row r="61">
      <c r="A61" s="15" t="inlineStr">
        <is>
          <t>Total respondents</t>
        </is>
      </c>
      <c r="B61" s="15" t="n">
        <v>10</v>
      </c>
      <c r="C61" s="15" t="n"/>
      <c r="D61" s="15" t="n"/>
    </row>
  </sheetData>
  <mergeCells count="6">
    <mergeCell ref="A44:J44"/>
    <mergeCell ref="A1:J1"/>
    <mergeCell ref="A32:J32"/>
    <mergeCell ref="A22:J22"/>
    <mergeCell ref="A12:J12"/>
    <mergeCell ref="A54:J54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7:N18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7:O18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7:N28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7:O28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9:B5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9:C5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9:N5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9:O5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9:B6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9:C6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9:N60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9:O60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=INDIRECT(XLOOKUP(All_Questions_F_Custom1_Q_resolved,All_Questions,All_Questions_Options_Names,"None_options"))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=INDIRECT(XLOOKUP(All_Questions_F_Custom2_Q_resolved,All_Questions,All_Questions_Options_Names,"None_options"))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=INDIRECT(XLOOKUP(All_Questions_Q_SS_EXPORT_F_Q,All_Questions,All_Questions_Options_Names,"None_options"))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=INDIRECT(XLOOKUP(All_Questions_Q_MS_EXPORT_F_Q,All_Questions,All_Questions_Options_Names,"None_options"))</formula1>
    </dataValidation>
    <dataValidation sqref="C24" showDropDown="0" showInputMessage="0" showErrorMessage="0" allowBlank="1" type="list">
      <formula1>=All_Questions</formula1>
    </dataValidation>
    <dataValidation sqref="C33" showDropDown="0" showInputMessage="0" showErrorMessage="0" allowBlank="1" type="list">
      <formula1>=All_Questions</formula1>
    </dataValidation>
    <dataValidation sqref="E33" showDropDown="0" showInputMessage="0" showErrorMessage="0" allowBlank="1" type="list">
      <formula1>=INDIRECT(XLOOKUP(All_Questions_Q_NUM_EXPORT_F_Q,All_Questions,All_Questions_Options_Names,"None_options"))</formula1>
    </dataValidation>
    <dataValidation sqref="C34" showDropDown="0" showInputMessage="0" showErrorMessage="0" allowBlank="1" type="list">
      <formula1>=All_Questions</formula1>
    </dataValidation>
    <dataValidation sqref="C45" showDropDown="0" showInputMessage="0" showErrorMessage="0" allowBlank="1" type="list">
      <formula1>=All_Questions</formula1>
    </dataValidation>
    <dataValidation sqref="E45" showDropDown="0" showInputMessage="0" showErrorMessage="0" allowBlank="1" type="list">
      <formula1>=INDIRECT(XLOOKUP(All_Questions_Q_GRID_EXPORT_F_Q,All_Questions,All_Questions_Options_Names,"None_options"))</formula1>
    </dataValidation>
    <dataValidation sqref="C46" showDropDown="0" showInputMessage="0" showErrorMessage="0" allowBlank="1" type="list">
      <formula1>=All_Questions</formula1>
    </dataValidation>
    <dataValidation sqref="C55" showDropDown="0" showInputMessage="0" showErrorMessage="0" allowBlank="1" type="list">
      <formula1>=All_Questions</formula1>
    </dataValidation>
    <dataValidation sqref="E55" showDropDown="0" showInputMessage="0" showErrorMessage="0" allowBlank="1" type="list">
      <formula1>=INDIRECT(XLOOKUP(All_Questions_Q_VERY_LONG_SINGLE_SELECT_EXPORT_NAME_F_Q,All_Questions,All_Questions_Options_Names,"None_options"))</formula1>
    </dataValidation>
    <dataValidation sqref="C56" showDropDown="0" showInputMessage="0" showErrorMessage="0" allowBlank="1" type="list">
      <formula1>=All_Questions</formula1>
    </dataValidation>
  </dataValidations>
  <pageMargins left="0.75" right="0.75" top="1" bottom="1" header="0.5" footer="0.5"/>
  <legacyDrawing r:id="anysvml"/>
  <tableParts count="5">
    <tablePart r:id="rId1"/>
    <tablePart r:id="rId2"/>
    <tablePart r:id="rId3"/>
    <tablePart r:id="rId4"/>
    <tablePart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2026-05-15T09:57:04Z</dcterms:created>
  <dcterms:modified xmlns:dcterms="http://purl.org/dc/terms/" xmlns:xsi="http://www.w3.org/2001/XMLSchema-instance" xsi:type="dcterms:W3CDTF">2026-05-15T09:57:04Z</dcterms:modified>
</cp:coreProperties>
</file>