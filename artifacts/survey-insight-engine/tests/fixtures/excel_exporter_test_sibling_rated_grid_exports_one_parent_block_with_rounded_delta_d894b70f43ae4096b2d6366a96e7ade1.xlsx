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Q1_filter_values_options">'_Options'!$U$2:$U$32</definedName>
    <definedName name="Q1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Q1_filter_values_options</t>
        </is>
      </c>
      <c r="V1" t="inlineStr">
        <is>
          <t>Q1_filter_values_local_options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Q1 - Rate Each Vendor Attribute From 1 To 10|Implementation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Q1 - Rate Each Vendor Attribute From 1 To 10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Q1 - Rate Each Vendor Attribute From 1 To 10|Implementation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Q1 - Rate Each Vendor Attribute From 1 To 10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Q1 - Rate Each Vendor Attribute From 1 To 10|Implementation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Q1 - Rate Each Vendor Attribute From 1 To 10|Implementation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Q1 - Rate Each Vendor Attribute From 1 To 10|Implementation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Q1 - Rate Each Vendor Attribute From 1 To 10|Implementation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Q1 - Rate Each Vendor Attribute From 1 To 10|Implementation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Q1 - Rate Each Vendor Attribute From 1 To 10|Implementation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Q1 - Rate Each Vendor Attribute From 1 To 10|Implementation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Q1 - Rate Each Vendor Attribute From 1 To 10|Implementation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Q1 - Rate Each Vendor Attribute From 1 To 10|Implementation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Q1 - Rate Each Vendor Attribute From 1 To 10|Implementation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Q1 - Rate Each Vendor Attribute From 1 To 10|Implementation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Q1 - Rate Each Vendor Attribute From 1 To 10|Implementation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Q1 - Rate Each Vendor Attribute From 1 To 10|Implementation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Q1 - Rate Each Vendor Attribute From 1 To 10|Implementation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Q1 - Rate Each Vendor Attribute From 1 To 10|Implementation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Q1 - Rate Each Vendor Attribute From 1 To 10|Implementation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Q1 - Rate Each Vendor Attribute From 1 To 10|Implementation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Q1 - Rate Each Vendor Attribute From 1 To 10|Implementation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Q1 - Rate Each Vendor Attribute From 1 To 10|Integration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Q1 - Rate Each Vendor Attribute From 1 To 10|Integration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Q1 - Rate Each Vendor Attribute From 1 To 10|Integration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Q1 - Rate Each Vendor Attribute From 1 To 10|Integration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Q1 - Rate Each Vendor Attribute From 1 To 10|Integration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Q1 - Rate Each Vendor Attribute From 1 To 10|Integration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Q1 - Rate Each Vendor Attribute From 1 To 10|Integration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Q1 - Rate Each Vendor Attribute From 1 To 10|Integration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Q1 - Rate Each Vendor Attribute From 1 To 10|Integration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Q1 - Rate Each Vendor Attribute From 1 To 10|Integration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Q1 - Rate Each Vendor Attribute From 1 To 10|Integration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Q1 - Rate Each Vendor Attribute From 1 To 10|Integration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Q1 - Rate Each Vendor Attribute From 1 To 10|Integration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Q1 - Rate Each Vendor Attribute From 1 To 10|Integration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Q1 - Rate Each Vendor Attribute From 1 To 10|Integration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Q1 - Rate Each Vendor Attribute From 1 To 10|Integration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Q1 - Rate Each Vendor Attribute From 1 To 10|Integration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Q1 - Rate Each Vendor Attribute From 1 To 10|Integration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Q1 - Rate Each Vendor Attribute From 1 To 10|Integration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Q1 - Rate Each Vendor Attribute From 1 To 10|Integration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Q1 - Rate Each Vendor Attribute From 1 To 10|Efficiency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Q1 - Rate Each Vendor Attribute From 1 To 10|Efficiency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Q1 - Rate Each Vendor Attribute From 1 To 10|Efficiency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Q1 - Rate Each Vendor Attribute From 1 To 10|Efficiency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Q1 - Rate Each Vendor Attribute From 1 To 10|Efficiency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Q1 - Rate Each Vendor Attribute From 1 To 10|Efficiency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Q1 - Rate Each Vendor Attribute From 1 To 10|Efficiency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Q1 - Rate Each Vendor Attribute From 1 To 10|Efficiency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Q1 - Rate Each Vendor Attribute From 1 To 10|Efficiency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Q1 - Rate Each Vendor Attribute From 1 To 10|Efficiency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Q1 - Rate Each Vendor Attribute From 1 To 10|Efficiency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Q1 - Rate Each Vendor Attribute From 1 To 10|Efficiency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Q1 - Rate Each Vendor Attribute From 1 To 10|Efficiency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Q1 - Rate Each Vendor Attribute From 1 To 10|Efficiency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Q1 - Rate Each Vendor Attribute From 1 To 10|Efficiency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Q1 - Rate Each Vendor Attribute From 1 To 10|Efficiency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Q1 - Rate Each Vendor Attribute From 1 To 10|Efficiency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Q1 - Rate Each Vendor Attribute From 1 To 10|Efficiency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Q1 - Rate Each Vendor Attribute From 1 To 10|Efficiency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Q1 - Rate Each Vendor Attribute From 1 To 10|Efficiency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2026-06-08T13:43:53.408606+00:00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IF(All_Questions_Q1_CT="(None)","",IFERROR(INDEX(INDIRECT(IFERROR(INDEX(Cross_Tab_Questions_Options_Names,MATCH(All_Questions_Q1_CT,Cross_Tab_Questions,0)),"'_Options'!$E$2:$E$2")),2),""))</f>
        <v/>
      </c>
      <c r="H23" s="2" t="str">
        <f>IF(All_Questions_Q1_CT="(None)","",IFERROR(INDEX(INDIRECT(IFERROR(INDEX(Cross_Tab_Questions_Options_Names,MATCH(All_Questions_Q1_CT,Cross_Tab_Questions,0)),"'_Options'!$E$2:$E$2")),3),""))</f>
        <v/>
      </c>
      <c r="I23" s="2" t="str">
        <f>IF(All_Questions_Q1_CT="(None)","",IFERROR(INDEX(INDIRECT(IFERROR(INDEX(Cross_Tab_Questions_Options_Names,MATCH(All_Questions_Q1_CT,Cross_Tab_Questions,0)),"'_Options'!$E$2:$E$2")),4),""))</f>
        <v/>
      </c>
      <c r="J23" s="2" t="str">
        <f>IF(All_Questions_Q1_CT="(None)","",IFERROR(INDEX(INDIRECT(IFERROR(INDEX(Cross_Tab_Questions_Options_Names,MATCH(All_Questions_Q1_CT,Cross_Tab_Questions,0)),"'_Options'!$E$2:$E$2")),5),""))</f>
        <v/>
      </c>
      <c r="K23" s="2" t="str">
        <f>IF(All_Questions_Q1_CT="(None)","",IFERROR(INDEX(INDIRECT(IFERROR(INDEX(Cross_Tab_Questions_Options_Names,MATCH(All_Questions_Q1_CT,Cross_Tab_Questions,0)),"'_Options'!$E$2:$E$2")),6),""))</f>
        <v/>
      </c>
      <c r="L23" s="2" t="str">
        <f>IF(All_Questions_Q1_CT="(None)","",IFERROR(INDEX(INDIRECT(IFERROR(INDEX(Cross_Tab_Questions_Options_Names,MATCH(All_Questions_Q1_CT,Cross_Tab_Questions,0)),"'_Options'!$E$2:$E$2")),7),""))</f>
        <v/>
      </c>
      <c r="M23" s="2" t="str">
        <f>IF(All_Questions_Q1_CT="(None)","",IFERROR(INDEX(INDIRECT(IFERROR(INDEX(Cross_Tab_Questions_Options_Names,MATCH(All_Questions_Q1_CT,Cross_Tab_Questions,0)),"'_Options'!$E$2:$E$2")),8),""))</f>
        <v/>
      </c>
      <c r="N23" s="2" t="str">
        <f>IF(All_Questions_Q1_CT="(None)","",IFERROR(INDEX(INDIRECT(IFERROR(INDEX(Cross_Tab_Questions_Options_Names,MATCH(All_Questions_Q1_CT,Cross_Tab_Questions,0)),"'_Options'!$E$2:$E$2")),9),""))</f>
        <v/>
      </c>
      <c r="O23" s="2" t="str">
        <f>IF(All_Questions_Q1_CT="(None)","",IFERROR(INDEX(INDIRECT(IFERROR(INDEX(Cross_Tab_Questions_Options_Names,MATCH(All_Questions_Q1_CT,Cross_Tab_Questions,0)),"'_Options'!$E$2:$E$2")),10),""))</f>
        <v/>
      </c>
      <c r="P23" s="2" t="str">
        <f>IF(All_Questions_Q1_CT="(None)","",IFERROR(INDEX(INDIRECT(IFERROR(INDEX(Cross_Tab_Questions_Options_Names,MATCH(All_Questions_Q1_CT,Cross_Tab_Questions,0)),"'_Options'!$E$2:$E$2")),11),""))</f>
        <v/>
      </c>
      <c r="Q23" s="2" t="str">
        <f>IF(All_Questions_Q1_CT="(None)","",IFERROR(INDEX(INDIRECT(IFERROR(INDEX(Cross_Tab_Questions_Options_Names,MATCH(All_Questions_Q1_CT,Cross_Tab_Questions,0)),"'_Options'!$E$2:$E$2")),12),""))</f>
        <v/>
      </c>
      <c r="R23" s="2" t="str">
        <f>IF(All_Questions_Q1_CT="(None)","",IF(COUNTA(INDIRECT(IFERROR(INDEX(Cross_Tab_Questions_Options_Names,MATCH(All_Questions_Q1_CT,Cross_Tab_Questions,0)),"'_Options'!$E$2:$E$2")))-1&gt;11,"Other",IFERROR(INDEX(INDIRECT(IFERROR(INDEX(Cross_Tab_Questions_Options_Names,MATCH(All_Questions_Q1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8.2</v>
      </c>
      <c r="H25" s="17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8.2</v>
      </c>
      <c r="I25" s="17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8.2</v>
      </c>
      <c r="J25" s="17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8.2</v>
      </c>
      <c r="K25" s="17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8.2</v>
      </c>
      <c r="L25" s="1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8.2</v>
      </c>
      <c r="M25" s="17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8.2</v>
      </c>
      <c r="N25" s="17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8.2</v>
      </c>
      <c r="O25" s="17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8.2</v>
      </c>
      <c r="P25" s="17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8.2</v>
      </c>
      <c r="Q25" s="17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8.2</v>
      </c>
      <c r="R25" s="17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8.2</v>
      </c>
      <c r="S25" s="17">
        <f>IF(All_Questions_Q1_CT="(None)","",IFERROR(AVERAGEIFS(Q1r1c1_data,Q1r1c1_data,"&gt;=0",passes_workbook_filters_data,1,passes_workbook_custom_filters_data,1,All_Questions_passes_local_filters_data,1,All_Questions_Q1_F_passes_per_q_filter_data,1),""))</f>
        <v>8.2</v>
      </c>
    </row>
    <row r="26">
      <c r="F26" t="inlineStr">
        <is>
          <t>Integration fit</t>
        </is>
      </c>
      <c r="G26" s="17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8.8</v>
      </c>
      <c r="H26" s="17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8.8</v>
      </c>
      <c r="I26" s="17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8.8</v>
      </c>
      <c r="J26" s="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8.8</v>
      </c>
      <c r="K26" s="17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8.8</v>
      </c>
      <c r="L26" s="17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8.8</v>
      </c>
      <c r="M26" s="17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8.8</v>
      </c>
      <c r="N26" s="17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8.8</v>
      </c>
      <c r="O26" s="17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8.8</v>
      </c>
      <c r="P26" s="17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8.8</v>
      </c>
      <c r="Q26" s="17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8.8</v>
      </c>
      <c r="R26" s="17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8.8</v>
      </c>
      <c r="S26" s="17">
        <f>IF(All_Questions_Q1_CT="(None)","",IFERROR(AVERAGEIFS(Q1r2c1_data,Q1r2c1_data,"&gt;=0",passes_workbook_filters_data,1,passes_workbook_custom_filters_data,1,All_Questions_passes_local_filters_data,1,All_Questions_Q1_F_passes_per_q_filter_data,1),""))</f>
        <v>8.8</v>
      </c>
    </row>
    <row r="27">
      <c r="F27" t="inlineStr">
        <is>
          <t>Efficiency gains</t>
        </is>
      </c>
      <c r="G27" s="17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7.8</v>
      </c>
      <c r="H27" s="1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7.8</v>
      </c>
      <c r="I27" s="17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7.8</v>
      </c>
      <c r="J27" s="17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7.8</v>
      </c>
      <c r="K27" s="17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7.8</v>
      </c>
      <c r="L27" s="17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7.8</v>
      </c>
      <c r="M27" s="17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7.8</v>
      </c>
      <c r="N27" s="17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7.8</v>
      </c>
      <c r="O27" s="17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7.8</v>
      </c>
      <c r="P27" s="17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7.8</v>
      </c>
      <c r="Q27" s="17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7.8</v>
      </c>
      <c r="R27" s="1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7.8</v>
      </c>
      <c r="S27" s="17">
        <f>IF(All_Questions_Q1_CT="(None)","",IFERROR(AVERAGEIFS(Q1r3c1_data,Q1r3c1_data,"&gt;=0",passes_workbook_filters_data,1,passes_workbook_custom_filters_data,1,All_Questions_passes_local_filters_data,1,All_Questions_Q1_F_passes_per_q_filter_data,1),""))</f>
        <v>7.8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Q1</t>
        </is>
      </c>
      <c r="D2" t="inlineStr">
        <is>
          <t>Q1r1c1</t>
        </is>
      </c>
      <c r="E2" t="inlineStr">
        <is>
          <t>All_Questions_Q1_CT = G$23</t>
        </is>
      </c>
      <c r="H2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2" t="n">
        <v>8.199999999999999</v>
      </c>
      <c r="J2" t="n">
        <v>0</v>
      </c>
      <c r="K2" t="n">
        <v>0</v>
      </c>
      <c r="L2" t="inlineStr">
        <is>
          <t>2026-06-08T13:43:54.413708+00:00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Q1</t>
        </is>
      </c>
      <c r="D3" t="inlineStr">
        <is>
          <t>Q1r1c1</t>
        </is>
      </c>
      <c r="E3" t="inlineStr">
        <is>
          <t>All_Questions_Q1_CT = H$23</t>
        </is>
      </c>
      <c r="H3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3" t="n">
        <v>8.199999999999999</v>
      </c>
      <c r="J3" t="n">
        <v>0</v>
      </c>
      <c r="K3" t="n">
        <v>0</v>
      </c>
      <c r="L3" t="inlineStr">
        <is>
          <t>2026-06-08T13:43:54.413955+00:00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Q1</t>
        </is>
      </c>
      <c r="D4" t="inlineStr">
        <is>
          <t>Q1r1c1</t>
        </is>
      </c>
      <c r="E4" t="inlineStr">
        <is>
          <t>All_Questions_Q1_CT = I$23</t>
        </is>
      </c>
      <c r="H4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4" t="n">
        <v>8.199999999999999</v>
      </c>
      <c r="J4" t="n">
        <v>0</v>
      </c>
      <c r="K4" t="n">
        <v>0</v>
      </c>
      <c r="L4" t="inlineStr">
        <is>
          <t>2026-06-08T13:43:54.414180+00:00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Q1</t>
        </is>
      </c>
      <c r="D5" t="inlineStr">
        <is>
          <t>Q1r1c1</t>
        </is>
      </c>
      <c r="E5" t="inlineStr">
        <is>
          <t>All_Questions_Q1_CT = J$23</t>
        </is>
      </c>
      <c r="H5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5" t="n">
        <v>8.199999999999999</v>
      </c>
      <c r="J5" t="n">
        <v>0</v>
      </c>
      <c r="K5" t="n">
        <v>0</v>
      </c>
      <c r="L5" t="inlineStr">
        <is>
          <t>2026-06-08T13:43:54.414439+00:00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Q1</t>
        </is>
      </c>
      <c r="D6" t="inlineStr">
        <is>
          <t>Q1r1c1</t>
        </is>
      </c>
      <c r="E6" t="inlineStr">
        <is>
          <t>All_Questions_Q1_CT = K$23</t>
        </is>
      </c>
      <c r="H6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6" t="n">
        <v>8.199999999999999</v>
      </c>
      <c r="J6" t="n">
        <v>0</v>
      </c>
      <c r="K6" t="n">
        <v>0</v>
      </c>
      <c r="L6" t="inlineStr">
        <is>
          <t>2026-06-08T13:43:54.414653+00:00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Q1</t>
        </is>
      </c>
      <c r="D7" t="inlineStr">
        <is>
          <t>Q1r1c1</t>
        </is>
      </c>
      <c r="E7" t="inlineStr">
        <is>
          <t>All_Questions_Q1_CT = L$23</t>
        </is>
      </c>
      <c r="H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7" t="n">
        <v>8.199999999999999</v>
      </c>
      <c r="J7" t="n">
        <v>0</v>
      </c>
      <c r="K7" t="n">
        <v>0</v>
      </c>
      <c r="L7" t="inlineStr">
        <is>
          <t>2026-06-08T13:43:54.414842+00:00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Q1</t>
        </is>
      </c>
      <c r="D8" t="inlineStr">
        <is>
          <t>Q1r1c1</t>
        </is>
      </c>
      <c r="E8" t="inlineStr">
        <is>
          <t>All_Questions_Q1_CT = M$23</t>
        </is>
      </c>
      <c r="H8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8" t="n">
        <v>8.199999999999999</v>
      </c>
      <c r="J8" t="n">
        <v>0</v>
      </c>
      <c r="K8" t="n">
        <v>0</v>
      </c>
      <c r="L8" t="inlineStr">
        <is>
          <t>2026-06-08T13:43:54.415112+00:00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Q1</t>
        </is>
      </c>
      <c r="D9" t="inlineStr">
        <is>
          <t>Q1r1c1</t>
        </is>
      </c>
      <c r="E9" t="inlineStr">
        <is>
          <t>All_Questions_Q1_CT = N$23</t>
        </is>
      </c>
      <c r="H9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9" t="n">
        <v>8.199999999999999</v>
      </c>
      <c r="J9" t="n">
        <v>0</v>
      </c>
      <c r="K9" t="n">
        <v>0</v>
      </c>
      <c r="L9" t="inlineStr">
        <is>
          <t>2026-06-08T13:43:54.415347+00:00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Q1</t>
        </is>
      </c>
      <c r="D10" t="inlineStr">
        <is>
          <t>Q1r1c1</t>
        </is>
      </c>
      <c r="E10" t="inlineStr">
        <is>
          <t>All_Questions_Q1_CT = O$23</t>
        </is>
      </c>
      <c r="H10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10" t="n">
        <v>8.199999999999999</v>
      </c>
      <c r="J10" t="n">
        <v>0</v>
      </c>
      <c r="K10" t="n">
        <v>0</v>
      </c>
      <c r="L10" t="inlineStr">
        <is>
          <t>2026-06-08T13:43:54.415542+00:00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Q1</t>
        </is>
      </c>
      <c r="D11" t="inlineStr">
        <is>
          <t>Q1r1c1</t>
        </is>
      </c>
      <c r="E11" t="inlineStr">
        <is>
          <t>All_Questions_Q1_CT = P$23</t>
        </is>
      </c>
      <c r="H11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11" t="n">
        <v>8.199999999999999</v>
      </c>
      <c r="J11" t="n">
        <v>0</v>
      </c>
      <c r="K11" t="n">
        <v>0</v>
      </c>
      <c r="L11" t="inlineStr">
        <is>
          <t>2026-06-08T13:43:54.415728+00:00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Q1</t>
        </is>
      </c>
      <c r="D12" t="inlineStr">
        <is>
          <t>Q1r1c1</t>
        </is>
      </c>
      <c r="E12" t="inlineStr">
        <is>
          <t>All_Questions_Q1_CT = Q$23</t>
        </is>
      </c>
      <c r="H12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12" t="n">
        <v>8.199999999999999</v>
      </c>
      <c r="J12" t="n">
        <v>0</v>
      </c>
      <c r="K12" t="n">
        <v>0</v>
      </c>
      <c r="L12" t="inlineStr">
        <is>
          <t>2026-06-08T13:43:54.415912+00:00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Q1</t>
        </is>
      </c>
      <c r="D13" t="inlineStr">
        <is>
          <t>Q1r1c1</t>
        </is>
      </c>
      <c r="E13" t="inlineStr">
        <is>
          <t>All_Questions_Q1_CT = R$23</t>
        </is>
      </c>
      <c r="H13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13" t="n">
        <v>8.199999999999999</v>
      </c>
      <c r="J13" t="n">
        <v>0</v>
      </c>
      <c r="K13" t="n">
        <v>0</v>
      </c>
      <c r="L13" t="inlineStr">
        <is>
          <t>2026-06-08T13:43:54.416216+00:00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Q1</t>
        </is>
      </c>
      <c r="D14" t="inlineStr">
        <is>
          <t>Q1r2c1</t>
        </is>
      </c>
      <c r="E14" t="inlineStr">
        <is>
          <t>All_Questions_Q1_CT = G$23</t>
        </is>
      </c>
      <c r="H14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2026-06-08T13:43:54.416584+00:00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Q1</t>
        </is>
      </c>
      <c r="D15" t="inlineStr">
        <is>
          <t>Q1r2c1</t>
        </is>
      </c>
      <c r="E15" t="inlineStr">
        <is>
          <t>All_Questions_Q1_CT = H$23</t>
        </is>
      </c>
      <c r="H15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2026-06-08T13:43:54.416769+00:00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Q1</t>
        </is>
      </c>
      <c r="D16" t="inlineStr">
        <is>
          <t>Q1r2c1</t>
        </is>
      </c>
      <c r="E16" t="inlineStr">
        <is>
          <t>All_Questions_Q1_CT = I$23</t>
        </is>
      </c>
      <c r="H16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2026-06-08T13:43:54.416978+00:00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Q1</t>
        </is>
      </c>
      <c r="D17" t="inlineStr">
        <is>
          <t>Q1r2c1</t>
        </is>
      </c>
      <c r="E17" t="inlineStr">
        <is>
          <t>All_Questions_Q1_CT = J$23</t>
        </is>
      </c>
      <c r="H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2026-06-08T13:43:54.417174+00:00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Q1</t>
        </is>
      </c>
      <c r="D18" t="inlineStr">
        <is>
          <t>Q1r2c1</t>
        </is>
      </c>
      <c r="E18" t="inlineStr">
        <is>
          <t>All_Questions_Q1_CT = K$23</t>
        </is>
      </c>
      <c r="H18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2026-06-08T13:43:54.417406+00:00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Q1</t>
        </is>
      </c>
      <c r="D19" t="inlineStr">
        <is>
          <t>Q1r2c1</t>
        </is>
      </c>
      <c r="E19" t="inlineStr">
        <is>
          <t>All_Questions_Q1_CT = L$23</t>
        </is>
      </c>
      <c r="H19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2026-06-08T13:43:54.417596+00:00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Q1</t>
        </is>
      </c>
      <c r="D20" t="inlineStr">
        <is>
          <t>Q1r2c1</t>
        </is>
      </c>
      <c r="E20" t="inlineStr">
        <is>
          <t>All_Questions_Q1_CT = M$23</t>
        </is>
      </c>
      <c r="H20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2026-06-08T13:43:54.417783+00:00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Q1</t>
        </is>
      </c>
      <c r="D21" t="inlineStr">
        <is>
          <t>Q1r2c1</t>
        </is>
      </c>
      <c r="E21" t="inlineStr">
        <is>
          <t>All_Questions_Q1_CT = N$23</t>
        </is>
      </c>
      <c r="H21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2026-06-08T13:43:54.417986+00:00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Q1</t>
        </is>
      </c>
      <c r="D22" t="inlineStr">
        <is>
          <t>Q1r2c1</t>
        </is>
      </c>
      <c r="E22" t="inlineStr">
        <is>
          <t>All_Questions_Q1_CT = O$23</t>
        </is>
      </c>
      <c r="H22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2026-06-08T13:43:54.418181+00:00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Q1</t>
        </is>
      </c>
      <c r="D23" t="inlineStr">
        <is>
          <t>Q1r2c1</t>
        </is>
      </c>
      <c r="E23" t="inlineStr">
        <is>
          <t>All_Questions_Q1_CT = P$23</t>
        </is>
      </c>
      <c r="H23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2026-06-08T13:43:54.418413+00:00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Q1</t>
        </is>
      </c>
      <c r="D24" t="inlineStr">
        <is>
          <t>Q1r2c1</t>
        </is>
      </c>
      <c r="E24" t="inlineStr">
        <is>
          <t>All_Questions_Q1_CT = Q$23</t>
        </is>
      </c>
      <c r="H24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2026-06-08T13:43:54.418602+00:00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Q1</t>
        </is>
      </c>
      <c r="D25" t="inlineStr">
        <is>
          <t>Q1r2c1</t>
        </is>
      </c>
      <c r="E25" t="inlineStr">
        <is>
          <t>All_Questions_Q1_CT = R$23</t>
        </is>
      </c>
      <c r="H25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2026-06-08T13:43:54.418863+00:00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Q1</t>
        </is>
      </c>
      <c r="D26" t="inlineStr">
        <is>
          <t>Q1r3c1</t>
        </is>
      </c>
      <c r="E26" t="inlineStr">
        <is>
          <t>All_Questions_Q1_CT = G$23</t>
        </is>
      </c>
      <c r="H26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26" t="n">
        <v>7.8</v>
      </c>
      <c r="J26" t="n">
        <v>0</v>
      </c>
      <c r="K26" t="n">
        <v>0</v>
      </c>
      <c r="L26" t="inlineStr">
        <is>
          <t>2026-06-08T13:43:54.419208+00:00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Q1</t>
        </is>
      </c>
      <c r="D27" t="inlineStr">
        <is>
          <t>Q1r3c1</t>
        </is>
      </c>
      <c r="E27" t="inlineStr">
        <is>
          <t>All_Questions_Q1_CT = H$23</t>
        </is>
      </c>
      <c r="H2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27" t="n">
        <v>7.8</v>
      </c>
      <c r="J27" t="n">
        <v>0</v>
      </c>
      <c r="K27" t="n">
        <v>0</v>
      </c>
      <c r="L27" t="inlineStr">
        <is>
          <t>2026-06-08T13:43:54.419440+00:00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Q1</t>
        </is>
      </c>
      <c r="D28" t="inlineStr">
        <is>
          <t>Q1r3c1</t>
        </is>
      </c>
      <c r="E28" t="inlineStr">
        <is>
          <t>All_Questions_Q1_CT = I$23</t>
        </is>
      </c>
      <c r="H28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28" t="n">
        <v>7.8</v>
      </c>
      <c r="J28" t="n">
        <v>0</v>
      </c>
      <c r="K28" t="n">
        <v>0</v>
      </c>
      <c r="L28" t="inlineStr">
        <is>
          <t>2026-06-08T13:43:54.419628+00:00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Q1</t>
        </is>
      </c>
      <c r="D29" t="inlineStr">
        <is>
          <t>Q1r3c1</t>
        </is>
      </c>
      <c r="E29" t="inlineStr">
        <is>
          <t>All_Questions_Q1_CT = J$23</t>
        </is>
      </c>
      <c r="H29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29" t="n">
        <v>7.8</v>
      </c>
      <c r="J29" t="n">
        <v>0</v>
      </c>
      <c r="K29" t="n">
        <v>0</v>
      </c>
      <c r="L29" t="inlineStr">
        <is>
          <t>2026-06-08T13:43:54.419810+00:00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Q1</t>
        </is>
      </c>
      <c r="D30" t="inlineStr">
        <is>
          <t>Q1r3c1</t>
        </is>
      </c>
      <c r="E30" t="inlineStr">
        <is>
          <t>All_Questions_Q1_CT = K$23</t>
        </is>
      </c>
      <c r="H30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30" t="n">
        <v>7.8</v>
      </c>
      <c r="J30" t="n">
        <v>0</v>
      </c>
      <c r="K30" t="n">
        <v>0</v>
      </c>
      <c r="L30" t="inlineStr">
        <is>
          <t>2026-06-08T13:43:54.420014+00:00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Q1</t>
        </is>
      </c>
      <c r="D31" t="inlineStr">
        <is>
          <t>Q1r3c1</t>
        </is>
      </c>
      <c r="E31" t="inlineStr">
        <is>
          <t>All_Questions_Q1_CT = L$23</t>
        </is>
      </c>
      <c r="H31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31" t="n">
        <v>7.8</v>
      </c>
      <c r="J31" t="n">
        <v>0</v>
      </c>
      <c r="K31" t="n">
        <v>0</v>
      </c>
      <c r="L31" t="inlineStr">
        <is>
          <t>2026-06-08T13:43:54.420204+00:00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Q1</t>
        </is>
      </c>
      <c r="D32" t="inlineStr">
        <is>
          <t>Q1r3c1</t>
        </is>
      </c>
      <c r="E32" t="inlineStr">
        <is>
          <t>All_Questions_Q1_CT = M$23</t>
        </is>
      </c>
      <c r="H32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32" t="n">
        <v>7.8</v>
      </c>
      <c r="J32" t="n">
        <v>0</v>
      </c>
      <c r="K32" t="n">
        <v>0</v>
      </c>
      <c r="L32" t="inlineStr">
        <is>
          <t>2026-06-08T13:43:54.420442+00:00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Q1</t>
        </is>
      </c>
      <c r="D33" t="inlineStr">
        <is>
          <t>Q1r3c1</t>
        </is>
      </c>
      <c r="E33" t="inlineStr">
        <is>
          <t>All_Questions_Q1_CT = N$23</t>
        </is>
      </c>
      <c r="H33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33" t="n">
        <v>7.8</v>
      </c>
      <c r="J33" t="n">
        <v>0</v>
      </c>
      <c r="K33" t="n">
        <v>0</v>
      </c>
      <c r="L33" t="inlineStr">
        <is>
          <t>2026-06-08T13:43:54.420627+00:00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Q1</t>
        </is>
      </c>
      <c r="D34" t="inlineStr">
        <is>
          <t>Q1r3c1</t>
        </is>
      </c>
      <c r="E34" t="inlineStr">
        <is>
          <t>All_Questions_Q1_CT = O$23</t>
        </is>
      </c>
      <c r="H34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34" t="n">
        <v>7.8</v>
      </c>
      <c r="J34" t="n">
        <v>0</v>
      </c>
      <c r="K34" t="n">
        <v>0</v>
      </c>
      <c r="L34" t="inlineStr">
        <is>
          <t>2026-06-08T13:43:54.420809+00:00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Q1</t>
        </is>
      </c>
      <c r="D35" t="inlineStr">
        <is>
          <t>Q1r3c1</t>
        </is>
      </c>
      <c r="E35" t="inlineStr">
        <is>
          <t>All_Questions_Q1_CT = P$23</t>
        </is>
      </c>
      <c r="H35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35" t="n">
        <v>7.8</v>
      </c>
      <c r="J35" t="n">
        <v>0</v>
      </c>
      <c r="K35" t="n">
        <v>0</v>
      </c>
      <c r="L35" t="inlineStr">
        <is>
          <t>2026-06-08T13:43:54.421014+00:00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Q1</t>
        </is>
      </c>
      <c r="D36" t="inlineStr">
        <is>
          <t>Q1r3c1</t>
        </is>
      </c>
      <c r="E36" t="inlineStr">
        <is>
          <t>All_Questions_Q1_CT = Q$23</t>
        </is>
      </c>
      <c r="H36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36" t="n">
        <v>7.8</v>
      </c>
      <c r="J36" t="n">
        <v>0</v>
      </c>
      <c r="K36" t="n">
        <v>0</v>
      </c>
      <c r="L36" t="inlineStr">
        <is>
          <t>2026-06-08T13:43:54.421207+00:00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Q1</t>
        </is>
      </c>
      <c r="D37" t="inlineStr">
        <is>
          <t>Q1r3c1</t>
        </is>
      </c>
      <c r="E37" t="inlineStr">
        <is>
          <t>All_Questions_Q1_CT = R$23</t>
        </is>
      </c>
      <c r="H3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37" t="n">
        <v>7.8</v>
      </c>
      <c r="J37" t="n">
        <v>0</v>
      </c>
      <c r="K37" t="n">
        <v>0</v>
      </c>
      <c r="L37" t="inlineStr">
        <is>
          <t>2026-06-08T13:43:54.421502+00:00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2026-06-08T13:43:53Z</dcterms:created>
  <dcterms:modified xmlns:dcterms="http://purl.org/dc/terms/" xmlns:xsi="http://www.w3.org/2001/XMLSchema-instance" xsi:type="dcterms:W3CDTF">2026-06-08T13:43:54Z</dcterms:modified>
</cp:coreProperties>
</file>