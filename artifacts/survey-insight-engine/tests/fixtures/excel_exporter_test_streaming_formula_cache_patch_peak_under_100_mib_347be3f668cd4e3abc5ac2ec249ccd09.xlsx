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IF(All_Questions_Q_STREAM_CT="(None)","",IFERROR(INDEX(INDIRECT(IFERROR(INDEX(Cross_Tab_Questions_Options_Names,MATCH(All_Questions_Q_STREAM_CT,Cross_Tab_Questions,0)),"'_Options'!$E$2:$E$2")),2),""))</f>
        <v/>
      </c>
      <c r="C21" s="2" t="str">
        <f>IF(All_Questions_Q_STREAM_CT="(None)","",IFERROR(INDEX(INDIRECT(IFERROR(INDEX(Cross_Tab_Questions_Options_Names,MATCH(All_Questions_Q_STREAM_CT,Cross_Tab_Questions,0)),"'_Options'!$E$2:$E$2")),3),""))</f>
        <v/>
      </c>
      <c r="D21" s="2" t="str">
        <f>IF(All_Questions_Q_STREAM_CT="(None)","",IFERROR(INDEX(INDIRECT(IFERROR(INDEX(Cross_Tab_Questions_Options_Names,MATCH(All_Questions_Q_STREAM_CT,Cross_Tab_Questions,0)),"'_Options'!$E$2:$E$2")),4),""))</f>
        <v/>
      </c>
      <c r="E21" s="2" t="str">
        <f>IF(All_Questions_Q_STREAM_CT="(None)","",IFERROR(INDEX(INDIRECT(IFERROR(INDEX(Cross_Tab_Questions_Options_Names,MATCH(All_Questions_Q_STREAM_CT,Cross_Tab_Questions,0)),"'_Options'!$E$2:$E$2")),5),""))</f>
        <v/>
      </c>
      <c r="F21" s="2" t="str">
        <f>IF(All_Questions_Q_STREAM_CT="(None)","",IFERROR(INDEX(INDIRECT(IFERROR(INDEX(Cross_Tab_Questions_Options_Names,MATCH(All_Questions_Q_STREAM_CT,Cross_Tab_Questions,0)),"'_Options'!$E$2:$E$2")),6),""))</f>
        <v/>
      </c>
      <c r="G21" s="2" t="str">
        <f>IF(All_Questions_Q_STREAM_CT="(None)","",IFERROR(INDEX(INDIRECT(IFERROR(INDEX(Cross_Tab_Questions_Options_Names,MATCH(All_Questions_Q_STREAM_CT,Cross_Tab_Questions,0)),"'_Options'!$E$2:$E$2")),7),""))</f>
        <v/>
      </c>
      <c r="H21" s="2" t="str">
        <f>IF(All_Questions_Q_STREAM_CT="(None)","",IFERROR(INDEX(INDIRECT(IFERROR(INDEX(Cross_Tab_Questions_Options_Names,MATCH(All_Questions_Q_STREAM_CT,Cross_Tab_Questions,0)),"'_Options'!$E$2:$E$2")),8),""))</f>
        <v/>
      </c>
      <c r="I21" s="2" t="str">
        <f>IF(All_Questions_Q_STREAM_CT="(None)","",IFERROR(INDEX(INDIRECT(IFERROR(INDEX(Cross_Tab_Questions_Options_Names,MATCH(All_Questions_Q_STREAM_CT,Cross_Tab_Questions,0)),"'_Options'!$E$2:$E$2")),9),""))</f>
        <v/>
      </c>
      <c r="J21" s="2" t="str">
        <f>IF(All_Questions_Q_STREAM_CT="(None)","",IFERROR(INDEX(INDIRECT(IFERROR(INDEX(Cross_Tab_Questions_Options_Names,MATCH(All_Questions_Q_STREAM_CT,Cross_Tab_Questions,0)),"'_Options'!$E$2:$E$2")),10),""))</f>
        <v/>
      </c>
      <c r="K21" s="2" t="str">
        <f>IF(All_Questions_Q_STREAM_CT="(None)","",IFERROR(INDEX(INDIRECT(IFERROR(INDEX(Cross_Tab_Questions_Options_Names,MATCH(All_Questions_Q_STREAM_CT,Cross_Tab_Questions,0)),"'_Options'!$E$2:$E$2")),11),""))</f>
        <v/>
      </c>
      <c r="L21" s="2" t="str">
        <f>IF(All_Questions_Q_STREAM_CT="(None)","",IFERROR(INDEX(INDIRECT(IFERROR(INDEX(Cross_Tab_Questions_Options_Names,MATCH(All_Questions_Q_STREAM_CT,Cross_Tab_Questions,0)),"'_Options'!$E$2:$E$2")),12),""))</f>
        <v/>
      </c>
      <c r="M21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A</t>
        </is>
      </c>
      <c r="B23" s="14">
        <f>IF(OR(All_Questions_Q_STREAM_CT="(None)",B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3" s="14">
        <f>IF(OR(All_Questions_Q_STREAM_CT="(None)",C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3" s="14">
        <f>IF(OR(All_Questions_Q_STREAM_CT="(None)",D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3" s="14">
        <f>IF(OR(All_Questions_Q_STREAM_CT="(None)",E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3" s="14">
        <f>IF(OR(All_Questions_Q_STREAM_CT="(None)",F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3" s="14">
        <f>IF(OR(All_Questions_Q_STREAM_CT="(None)",G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3" s="14">
        <f>IF(OR(All_Questions_Q_STREAM_CT="(None)",H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3" s="14">
        <f>IF(OR(All_Questions_Q_STREAM_CT="(None)",I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3" s="14">
        <f>IF(OR(All_Questions_Q_STREAM_CT="(None)",J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3" s="14">
        <f>IF(OR(All_Questions_Q_STREAM_CT="(None)",K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3" s="14">
        <f>IF(OR(All_Questions_Q_STREAM_CT="(None)",L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3" s="14">
        <f>IF(OR(All_Questions_Q_STREAM_CT="(None)",M$21=""),"",IF(M$21="Other",COUNTIFS(Q_STREAM_data,"A",passes_workbook_filters_data,1,passes_workbook_custom_filters_data,1,All_Questions_passes_local_filters_data,1,All_Questions_Q_STREAM_F_passes_per_q_filter_data,1)-SUM(B23,C23,D23,E23,F23,G23,H23,I23,J23,K23,L23)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3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24">
      <c r="A24" t="inlineStr">
        <is>
          <t>B</t>
        </is>
      </c>
      <c r="B24" s="14">
        <f>IF(OR(All_Questions_Q_STREAM_CT="(None)",B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4" s="14">
        <f>IF(OR(All_Questions_Q_STREAM_CT="(None)",C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4" s="14">
        <f>IF(OR(All_Questions_Q_STREAM_CT="(None)",D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4" s="14">
        <f>IF(OR(All_Questions_Q_STREAM_CT="(None)",E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4" s="14">
        <f>IF(OR(All_Questions_Q_STREAM_CT="(None)",F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4" s="14">
        <f>IF(OR(All_Questions_Q_STREAM_CT="(None)",G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4" s="14">
        <f>IF(OR(All_Questions_Q_STREAM_CT="(None)",H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4" s="14">
        <f>IF(OR(All_Questions_Q_STREAM_CT="(None)",I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4" s="14">
        <f>IF(OR(All_Questions_Q_STREAM_CT="(None)",J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4" s="14">
        <f>IF(OR(All_Questions_Q_STREAM_CT="(None)",K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4" s="14">
        <f>IF(OR(All_Questions_Q_STREAM_CT="(None)",L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4" s="14">
        <f>IF(OR(All_Questions_Q_STREAM_CT="(None)",M$21=""),"",IF(M$21="Other",COUNTIFS(Q_STREAM_data,"B",passes_workbook_filters_data,1,passes_workbook_custom_filters_data,1,All_Questions_passes_local_filters_data,1,All_Questions_Q_STREAM_F_passes_per_q_filter_data,1)-SUM(B24,C24,D24,E24,F24,G24,H24,I24,J24,K24,L24)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4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2026-06-09T11:23:24Z</dcterms:created>
  <dcterms:modified xmlns:dcterms="http://purl.org/dc/terms/" xmlns:xsi="http://www.w3.org/2001/XMLSchema-instance" xsi:type="dcterms:W3CDTF">2026-06-09T11:23:29Z</dcterms:modified>
</cp:coreProperties>
</file>