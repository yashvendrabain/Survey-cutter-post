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CT">'Demographics'!$C$16</definedName>
    <definedName name="Demographics_Q_MS_EXPORT_F_Q">'Demographics'!$C$24</definedName>
    <definedName name="Demographics_Q_MS_EXPORT_F_V">'Demographics'!$E$24</definedName>
    <definedName name="Demographics_Q_MS_EXPORT_F_resolved_column">'Demographics'!$F$24</definedName>
    <definedName name="Demographics_Q_MS_EXPORT_F_wrapped">'Demographics'!$G$24</definedName>
    <definedName name="Demographics_Q_MS_EXPORT_CT">'Demographics'!$C$25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CT">'All Questions'!$C$28</definedName>
    <definedName name="All_Questions_Q_VERY_LONG_SINGLE_SELECT_EXPORT_NAME_F_Q">'All Questions'!$C$36</definedName>
    <definedName name="All_Questions_Q_VERY_LONG_SINGLE_SELECT_EXPORT_NAME_F_V">'All Questions'!$E$36</definedName>
    <definedName name="All_Questions_Q_VERY_LONG_SINGLE_SELECT_EXPORT_NAME_F_resolved_column">'All Questions'!$F$36</definedName>
    <definedName name="All_Questions_Q_VERY_LONG_SINGLE_SELECT_EXPORT_NAME_F_wrapped">'All Questions'!$G$36</definedName>
    <definedName name="All_Questions_Q_VERY_LONG_SINGLE_SELECT_EXPORT_NAME_CT">'All Questions'!$C$37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Single select export question</t>
      </text>
    </comment>
    <comment ref="A23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Numeric export question</t>
      </text>
    </comment>
    <comment ref="A26" authorId="0" shapeId="0">
      <text>
        <t>Grid export question</t>
      </text>
    </comment>
    <comment ref="A3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0" headerRowCount="1">
  <autoFilter ref="A18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7_1" displayName="T_Demographics_27_1" ref="A27:D29" headerRowCount="1">
  <autoFilter ref="A27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2" headerRowCount="1">
  <autoFilter ref="A30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9_1" displayName="T_All_Questions_39_1" ref="A39:D41" headerRowCount="1">
  <autoFilter ref="A39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Q_SS_EXPORT - Single select export question</t>
        </is>
      </c>
      <c r="B4" t="inlineStr">
        <is>
          <t>(All)</t>
        </is>
      </c>
      <c r="C4">
        <f>"|" &amp; SUBSTITUTE(F_Country, ", ", "|") &amp; "|"</f>
        <v/>
      </c>
      <c r="D4" t="inlineStr">
        <is>
          <t>Yes, No</t>
        </is>
      </c>
    </row>
    <row r="5">
      <c r="A5" t="inlineStr">
        <is>
          <t>Q_MS_EXPORT - Multi select export question</t>
        </is>
      </c>
      <c r="B5" t="inlineStr">
        <is>
          <t>(All)</t>
        </is>
      </c>
      <c r="C5">
        <f>"|" &amp; SUBSTITUTE(F_Industry, ", ", "|") &amp; "|"</f>
        <v/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>
        <f>IF(F_Custom1_Q="(None)","respondent_id_data",F_Custom1_Q &amp; "_data")</f>
        <v/>
      </c>
      <c r="F8">
        <f>"|" &amp; SUBSTITUTE(F_Custom1_V, ", ", "|") &amp; "|"</f>
        <v/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>
        <f>IF(F_Custom2_Q="(None)","respondent_id_data",F_Custom2_Q &amp; "_data")</f>
        <v/>
      </c>
      <c r="F9">
        <f>"|" &amp; SUBSTITUTE(F_Custom2_V, ", ", "|") &amp; "|"</f>
        <v/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=INDIRECT(IF(F_Custom1_Q="(None)","None_options",F_Custom1_Q &amp; "_options"))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IF(Demographics_F_Country="(Inherit)",F_Country,Demographics_F_Country)</f>
        <v/>
      </c>
      <c r="D5">
        <f>"|" &amp; SUBSTITUTE(Demographics_F_Country_resolved, ", ", "|") &amp; "|"</f>
        <v/>
      </c>
      <c r="E5" t="inlineStr">
        <is>
          <t>Yes, No</t>
        </is>
      </c>
    </row>
    <row r="6">
      <c r="A6" t="inlineStr">
        <is>
          <t>Q_MS_EXPORT - Multi select export question</t>
        </is>
      </c>
      <c r="B6" t="inlineStr">
        <is>
          <t>(Inherit)</t>
        </is>
      </c>
      <c r="C6">
        <f>IF(Demographics_F_Industry="(Inherit)",F_Industry,Demographics_F_Industry)</f>
        <v/>
      </c>
      <c r="D6">
        <f>"|" &amp; SUBSTITUTE(Demographics_F_Industry_resolved, ", ", "|") &amp; "|"</f>
        <v/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>
        <f>IF(Demographics_F_Custom1_Q="(Inherit)",F_Custom1_Q,Demographics_F_Custom1_Q)</f>
        <v/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>
        <f>IF(Demographics_F_Custom1_V="(Inherit)",F_Custom1_V,Demographics_F_Custom1_V)</f>
        <v/>
      </c>
      <c r="D8">
        <f>"|" &amp; SUBSTITUTE(Demographics_F_Custom1_V_resolved, ", ", "|") &amp; "|"</f>
        <v/>
      </c>
      <c r="E8" t="inlineStr">
        <is>
          <t>Choose one value or type comma-separated values</t>
        </is>
      </c>
      <c r="F8">
        <f>IF(Demographics_F_Custom1_Q_resolved="(None)","respondent_id_data",Demographics_F_Custom1_Q_resolved &amp; "_data")</f>
        <v/>
      </c>
    </row>
    <row r="9">
      <c r="A9" t="inlineStr">
        <is>
          <t>Custom 2 question</t>
        </is>
      </c>
      <c r="B9" t="inlineStr">
        <is>
          <t>(Inherit)</t>
        </is>
      </c>
      <c r="C9">
        <f>IF(Demographics_F_Custom2_Q="(Inherit)",F_Custom2_Q,Demographics_F_Custom2_Q)</f>
        <v/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>
        <f>IF(Demographics_F_Custom2_V="(Inherit)",F_Custom2_V,Demographics_F_Custom2_V)</f>
        <v/>
      </c>
      <c r="D10">
        <f>"|" &amp; SUBSTITUTE(Demographics_F_Custom2_V_resolved, ", ", "|") &amp; "|"</f>
        <v/>
      </c>
      <c r="E10" t="inlineStr">
        <is>
          <t>Choose one value or type comma-separated values</t>
        </is>
      </c>
      <c r="F10">
        <f>IF(Demographics_F_Custom2_Q_resolved="(None)","respondent_id_data",Demographics_F_Custom2_Q_resolved &amp; "_data")</f>
        <v/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>
        <f>IF(Demographics_Q_SS_EXPORT_F_Q="(None)","respondent_id_data",Demographics_Q_SS_EXPORT_F_Q &amp; "_data")</f>
        <v/>
      </c>
      <c r="G15">
        <f>"|" &amp; SUBSTITUTE(Demographics_Q_SS_EXPORT_F_V, ", ", "|") &amp; "|"</f>
        <v/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5" t="inlineStr">
        <is>
          <t>Option \ Cross-tab</t>
        </is>
      </c>
      <c r="G18">
        <f>IFERROR(INDEX(INDIRECT(Demographics_Q_SS_EXPORT_CT &amp; "_options"),2),"")</f>
        <v/>
      </c>
      <c r="H18">
        <f>IFERROR(INDEX(INDIRECT(Demographics_Q_SS_EXPORT_CT &amp; "_options"),3),"")</f>
        <v/>
      </c>
      <c r="I18">
        <f>IFERROR(INDEX(INDIRECT(Demographics_Q_SS_EXPORT_CT &amp; "_options"),4),"")</f>
        <v/>
      </c>
      <c r="J18">
        <f>IFERROR(INDEX(INDIRECT(Demographics_Q_SS_EXPORT_CT &amp; "_options"),5),"")</f>
        <v/>
      </c>
      <c r="K18">
        <f>IFERROR(INDEX(INDIRECT(Demographics_Q_SS_EXPORT_CT &amp; "_options"),6),"")</f>
        <v/>
      </c>
      <c r="L18">
        <f>IFERROR(INDEX(INDIRECT(Demographics_Q_SS_EXPORT_CT &amp; "_options"),7),"")</f>
        <v/>
      </c>
      <c r="M18">
        <f>IFERROR(INDEX(INDIRECT(Demographics_Q_SS_EXPORT_CT &amp; "_options"),8),"")</f>
        <v/>
      </c>
      <c r="N18">
        <f>IFERROR(INDEX(INDIRECT(Demographics_Q_SS_EXPORT_CT &amp; "_options"),9),"")</f>
        <v/>
      </c>
      <c r="O18" s="5" t="inlineStr">
        <is>
          <t>TOTAL</t>
        </is>
      </c>
    </row>
    <row r="19">
      <c r="A19" t="inlineStr">
        <is>
          <t>Yes</t>
        </is>
      </c>
      <c r="B19">
        <f>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1)</f>
        <v/>
      </c>
      <c r="C19" s="7">
        <f>IFERROR(B19/SUBTOTAL(9,B19:B20),0)</f>
        <v/>
      </c>
      <c r="D19" s="14">
        <f>SUBTOTAL(9,B19:B20)</f>
        <v/>
      </c>
      <c r="F19" t="inlineStr">
        <is>
          <t>Yes</t>
        </is>
      </c>
      <c r="G19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*(INDIRECT(Demographics_Q_SS_EXPORT_CT &amp; "_data")=G$18)*1)</f>
        <v/>
      </c>
      <c r="H19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*(INDIRECT(Demographics_Q_SS_EXPORT_CT &amp; "_data")=H$18)*1)</f>
        <v/>
      </c>
      <c r="I19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*(INDIRECT(Demographics_Q_SS_EXPORT_CT &amp; "_data")=I$18)*1)</f>
        <v/>
      </c>
      <c r="J19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*(INDIRECT(Demographics_Q_SS_EXPORT_CT &amp; "_data")=J$18)*1)</f>
        <v/>
      </c>
      <c r="K19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*(INDIRECT(Demographics_Q_SS_EXPORT_CT &amp; "_data")=K$18)*1)</f>
        <v/>
      </c>
      <c r="L19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*(INDIRECT(Demographics_Q_SS_EXPORT_CT &amp; "_data")=L$18)*1)</f>
        <v/>
      </c>
      <c r="M19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*(INDIRECT(Demographics_Q_SS_EXPORT_CT &amp; "_data")=M$18)*1)</f>
        <v/>
      </c>
      <c r="N19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*(INDIRECT(Demographics_Q_SS_EXPORT_CT &amp; "_data")=N$18)*1)</f>
        <v/>
      </c>
      <c r="O19">
        <f>SUM(G19:N19)</f>
        <v/>
      </c>
    </row>
    <row r="20">
      <c r="A20" t="inlineStr">
        <is>
          <t>No</t>
        </is>
      </c>
      <c r="B20">
        <f>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1)</f>
        <v/>
      </c>
      <c r="C20" s="7">
        <f>IFERROR(B20/SUBTOTAL(9,B19:B20),0)</f>
        <v/>
      </c>
      <c r="D20" s="14">
        <f>SUBTOTAL(9,B19:B20)</f>
        <v/>
      </c>
      <c r="F20" t="inlineStr">
        <is>
          <t>No</t>
        </is>
      </c>
      <c r="G20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*(INDIRECT(Demographics_Q_SS_EXPORT_CT &amp; "_data")=G$18)*1)</f>
        <v/>
      </c>
      <c r="H20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*(INDIRECT(Demographics_Q_SS_EXPORT_CT &amp; "_data")=H$18)*1)</f>
        <v/>
      </c>
      <c r="I20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*(INDIRECT(Demographics_Q_SS_EXPORT_CT &amp; "_data")=I$18)*1)</f>
        <v/>
      </c>
      <c r="J20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*(INDIRECT(Demographics_Q_SS_EXPORT_CT &amp; "_data")=J$18)*1)</f>
        <v/>
      </c>
      <c r="K20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*(INDIRECT(Demographics_Q_SS_EXPORT_CT &amp; "_data")=K$18)*1)</f>
        <v/>
      </c>
      <c r="L20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*(INDIRECT(Demographics_Q_SS_EXPORT_CT &amp; "_data")=L$18)*1)</f>
        <v/>
      </c>
      <c r="M20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*(INDIRECT(Demographics_Q_SS_EXPORT_CT &amp; "_data")=M$18)*1)</f>
        <v/>
      </c>
      <c r="N20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*(INDIRECT(Demographics_Q_SS_EXPORT_CT &amp; "_data")=N$18)*1)</f>
        <v/>
      </c>
      <c r="O20">
        <f>SUM(G20:N20)</f>
        <v/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>
        <f>IF(Demographics_Q_MS_EXPORT_F_Q="(None)","respondent_id_data",Demographics_Q_MS_EXPORT_F_Q &amp; "_data")</f>
        <v/>
      </c>
      <c r="G24">
        <f>"|" &amp; SUBSTITUTE(Demographics_Q_MS_EXPORT_F_V, ", ", "|") &amp; "|"</f>
        <v/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5" t="inlineStr">
        <is>
          <t>Option \ Cross-tab</t>
        </is>
      </c>
      <c r="G27">
        <f>IFERROR(INDEX(INDIRECT(Demographics_Q_MS_EXPORT_CT &amp; "_options"),2),"")</f>
        <v/>
      </c>
      <c r="H27">
        <f>IFERROR(INDEX(INDIRECT(Demographics_Q_MS_EXPORT_CT &amp; "_options"),3),"")</f>
        <v/>
      </c>
      <c r="I27">
        <f>IFERROR(INDEX(INDIRECT(Demographics_Q_MS_EXPORT_CT &amp; "_options"),4),"")</f>
        <v/>
      </c>
      <c r="J27">
        <f>IFERROR(INDEX(INDIRECT(Demographics_Q_MS_EXPORT_CT &amp; "_options"),5),"")</f>
        <v/>
      </c>
      <c r="K27">
        <f>IFERROR(INDEX(INDIRECT(Demographics_Q_MS_EXPORT_CT &amp; "_options"),6),"")</f>
        <v/>
      </c>
      <c r="L27">
        <f>IFERROR(INDEX(INDIRECT(Demographics_Q_MS_EXPORT_CT &amp; "_options"),7),"")</f>
        <v/>
      </c>
      <c r="M27">
        <f>IFERROR(INDEX(INDIRECT(Demographics_Q_MS_EXPORT_CT &amp; "_options"),8),"")</f>
        <v/>
      </c>
      <c r="N27">
        <f>IFERROR(INDEX(INDIRECT(Demographics_Q_MS_EXPORT_CT &amp; "_options"),9),"")</f>
        <v/>
      </c>
      <c r="O27" s="5" t="inlineStr">
        <is>
          <t>TOTAL</t>
        </is>
      </c>
    </row>
    <row r="28">
      <c r="A28" t="inlineStr">
        <is>
          <t>First</t>
        </is>
      </c>
      <c r="B28">
        <f>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MS_EXPORT_F_Q="(None)")+(Demographics_Q_MS_EXPORT_F_wrapped="|(All)|")+ISNUMBER(SEARCH("|"&amp;INDIRECT(Demographics_Q_MS_EXPORT_F_resolved_column)&amp;"|",Demographics_Q_MS_EXPORT_F_wrapped)))&gt;0)*1*(Q_MS_EXPORTr1_data="Selected")*1)</f>
        <v/>
      </c>
      <c r="C28" s="7">
        <f>IFERROR(B28/SUBTOTAL(9,B28:B29),0)</f>
        <v/>
      </c>
      <c r="D28" s="14">
        <f>SUBTOTAL(9,B28:B29)</f>
        <v/>
      </c>
      <c r="F28" t="inlineStr">
        <is>
          <t>First</t>
        </is>
      </c>
      <c r="G28">
        <f>(Demographics_Q_M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MS_EXPORT_F_Q="(None)")+(Demographics_Q_MS_EXPORT_F_wrapped="|(All)|")+ISNUMBER(SEARCH("|"&amp;INDIRECT(Demographics_Q_MS_EXPORT_F_resolved_column)&amp;"|",Demographics_Q_MS_EXPORT_F_wrapped)))&gt;0)*1*(Q_MS_EXPORTr1_data="Selected")*1*(INDIRECT(Demographics_Q_MS_EXPORT_CT &amp; "_data")=G$27)*1)</f>
        <v/>
      </c>
      <c r="H28">
        <f>(Demographics_Q_M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MS_EXPORT_F_Q="(None)")+(Demographics_Q_MS_EXPORT_F_wrapped="|(All)|")+ISNUMBER(SEARCH("|"&amp;INDIRECT(Demographics_Q_MS_EXPORT_F_resolved_column)&amp;"|",Demographics_Q_MS_EXPORT_F_wrapped)))&gt;0)*1*(Q_MS_EXPORTr1_data="Selected")*1*(INDIRECT(Demographics_Q_MS_EXPORT_CT &amp; "_data")=H$27)*1)</f>
        <v/>
      </c>
      <c r="I28">
        <f>(Demographics_Q_M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MS_EXPORT_F_Q="(None)")+(Demographics_Q_MS_EXPORT_F_wrapped="|(All)|")+ISNUMBER(SEARCH("|"&amp;INDIRECT(Demographics_Q_MS_EXPORT_F_resolved_column)&amp;"|",Demographics_Q_MS_EXPORT_F_wrapped)))&gt;0)*1*(Q_MS_EXPORTr1_data="Selected")*1*(INDIRECT(Demographics_Q_MS_EXPORT_CT &amp; "_data")=I$27)*1)</f>
        <v/>
      </c>
      <c r="J28">
        <f>(Demographics_Q_M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MS_EXPORT_F_Q="(None)")+(Demographics_Q_MS_EXPORT_F_wrapped="|(All)|")+ISNUMBER(SEARCH("|"&amp;INDIRECT(Demographics_Q_MS_EXPORT_F_resolved_column)&amp;"|",Demographics_Q_MS_EXPORT_F_wrapped)))&gt;0)*1*(Q_MS_EXPORTr1_data="Selected")*1*(INDIRECT(Demographics_Q_MS_EXPORT_CT &amp; "_data")=J$27)*1)</f>
        <v/>
      </c>
      <c r="K28">
        <f>(Demographics_Q_M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MS_EXPORT_F_Q="(None)")+(Demographics_Q_MS_EXPORT_F_wrapped="|(All)|")+ISNUMBER(SEARCH("|"&amp;INDIRECT(Demographics_Q_MS_EXPORT_F_resolved_column)&amp;"|",Demographics_Q_MS_EXPORT_F_wrapped)))&gt;0)*1*(Q_MS_EXPORTr1_data="Selected")*1*(INDIRECT(Demographics_Q_MS_EXPORT_CT &amp; "_data")=K$27)*1)</f>
        <v/>
      </c>
      <c r="L28">
        <f>(Demographics_Q_M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MS_EXPORT_F_Q="(None)")+(Demographics_Q_MS_EXPORT_F_wrapped="|(All)|")+ISNUMBER(SEARCH("|"&amp;INDIRECT(Demographics_Q_MS_EXPORT_F_resolved_column)&amp;"|",Demographics_Q_MS_EXPORT_F_wrapped)))&gt;0)*1*(Q_MS_EXPORTr1_data="Selected")*1*(INDIRECT(Demographics_Q_MS_EXPORT_CT &amp; "_data")=L$27)*1)</f>
        <v/>
      </c>
      <c r="M28">
        <f>(Demographics_Q_M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MS_EXPORT_F_Q="(None)")+(Demographics_Q_MS_EXPORT_F_wrapped="|(All)|")+ISNUMBER(SEARCH("|"&amp;INDIRECT(Demographics_Q_MS_EXPORT_F_resolved_column)&amp;"|",Demographics_Q_MS_EXPORT_F_wrapped)))&gt;0)*1*(Q_MS_EXPORTr1_data="Selected")*1*(INDIRECT(Demographics_Q_MS_EXPORT_CT &amp; "_data")=M$27)*1)</f>
        <v/>
      </c>
      <c r="N28">
        <f>(Demographics_Q_M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MS_EXPORT_F_Q="(None)")+(Demographics_Q_MS_EXPORT_F_wrapped="|(All)|")+ISNUMBER(SEARCH("|"&amp;INDIRECT(Demographics_Q_MS_EXPORT_F_resolved_column)&amp;"|",Demographics_Q_MS_EXPORT_F_wrapped)))&gt;0)*1*(Q_MS_EXPORTr1_data="Selected")*1*(INDIRECT(Demographics_Q_MS_EXPORT_CT &amp; "_data")=N$27)*1)</f>
        <v/>
      </c>
      <c r="O28">
        <f>SUM(G28:N28)</f>
        <v/>
      </c>
    </row>
    <row r="29">
      <c r="A29" t="inlineStr">
        <is>
          <t>Second</t>
        </is>
      </c>
      <c r="B29">
        <f>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MS_EXPORT_F_Q="(None)")+(Demographics_Q_MS_EXPORT_F_wrapped="|(All)|")+ISNUMBER(SEARCH("|"&amp;INDIRECT(Demographics_Q_MS_EXPORT_F_resolved_column)&amp;"|",Demographics_Q_MS_EXPORT_F_wrapped)))&gt;0)*1*(Q_MS_EXPORTr2_data="Selected")*1)</f>
        <v/>
      </c>
      <c r="C29" s="7">
        <f>IFERROR(B29/SUBTOTAL(9,B28:B29),0)</f>
        <v/>
      </c>
      <c r="D29" s="14">
        <f>SUBTOTAL(9,B28:B29)</f>
        <v/>
      </c>
      <c r="F29" t="inlineStr">
        <is>
          <t>Second</t>
        </is>
      </c>
      <c r="G29">
        <f>(Demographics_Q_M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MS_EXPORT_F_Q="(None)")+(Demographics_Q_MS_EXPORT_F_wrapped="|(All)|")+ISNUMBER(SEARCH("|"&amp;INDIRECT(Demographics_Q_MS_EXPORT_F_resolved_column)&amp;"|",Demographics_Q_MS_EXPORT_F_wrapped)))&gt;0)*1*(Q_MS_EXPORTr2_data="Selected")*1*(INDIRECT(Demographics_Q_MS_EXPORT_CT &amp; "_data")=G$27)*1)</f>
        <v/>
      </c>
      <c r="H29">
        <f>(Demographics_Q_M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MS_EXPORT_F_Q="(None)")+(Demographics_Q_MS_EXPORT_F_wrapped="|(All)|")+ISNUMBER(SEARCH("|"&amp;INDIRECT(Demographics_Q_MS_EXPORT_F_resolved_column)&amp;"|",Demographics_Q_MS_EXPORT_F_wrapped)))&gt;0)*1*(Q_MS_EXPORTr2_data="Selected")*1*(INDIRECT(Demographics_Q_MS_EXPORT_CT &amp; "_data")=H$27)*1)</f>
        <v/>
      </c>
      <c r="I29">
        <f>(Demographics_Q_M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MS_EXPORT_F_Q="(None)")+(Demographics_Q_MS_EXPORT_F_wrapped="|(All)|")+ISNUMBER(SEARCH("|"&amp;INDIRECT(Demographics_Q_MS_EXPORT_F_resolved_column)&amp;"|",Demographics_Q_MS_EXPORT_F_wrapped)))&gt;0)*1*(Q_MS_EXPORTr2_data="Selected")*1*(INDIRECT(Demographics_Q_MS_EXPORT_CT &amp; "_data")=I$27)*1)</f>
        <v/>
      </c>
      <c r="J29">
        <f>(Demographics_Q_M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MS_EXPORT_F_Q="(None)")+(Demographics_Q_MS_EXPORT_F_wrapped="|(All)|")+ISNUMBER(SEARCH("|"&amp;INDIRECT(Demographics_Q_MS_EXPORT_F_resolved_column)&amp;"|",Demographics_Q_MS_EXPORT_F_wrapped)))&gt;0)*1*(Q_MS_EXPORTr2_data="Selected")*1*(INDIRECT(Demographics_Q_MS_EXPORT_CT &amp; "_data")=J$27)*1)</f>
        <v/>
      </c>
      <c r="K29">
        <f>(Demographics_Q_M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MS_EXPORT_F_Q="(None)")+(Demographics_Q_MS_EXPORT_F_wrapped="|(All)|")+ISNUMBER(SEARCH("|"&amp;INDIRECT(Demographics_Q_MS_EXPORT_F_resolved_column)&amp;"|",Demographics_Q_MS_EXPORT_F_wrapped)))&gt;0)*1*(Q_MS_EXPORTr2_data="Selected")*1*(INDIRECT(Demographics_Q_MS_EXPORT_CT &amp; "_data")=K$27)*1)</f>
        <v/>
      </c>
      <c r="L29">
        <f>(Demographics_Q_M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MS_EXPORT_F_Q="(None)")+(Demographics_Q_MS_EXPORT_F_wrapped="|(All)|")+ISNUMBER(SEARCH("|"&amp;INDIRECT(Demographics_Q_MS_EXPORT_F_resolved_column)&amp;"|",Demographics_Q_MS_EXPORT_F_wrapped)))&gt;0)*1*(Q_MS_EXPORTr2_data="Selected")*1*(INDIRECT(Demographics_Q_MS_EXPORT_CT &amp; "_data")=L$27)*1)</f>
        <v/>
      </c>
      <c r="M29">
        <f>(Demographics_Q_M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MS_EXPORT_F_Q="(None)")+(Demographics_Q_MS_EXPORT_F_wrapped="|(All)|")+ISNUMBER(SEARCH("|"&amp;INDIRECT(Demographics_Q_MS_EXPORT_F_resolved_column)&amp;"|",Demographics_Q_MS_EXPORT_F_wrapped)))&gt;0)*1*(Q_MS_EXPORTr2_data="Selected")*1*(INDIRECT(Demographics_Q_MS_EXPORT_CT &amp; "_data")=M$27)*1)</f>
        <v/>
      </c>
      <c r="N29">
        <f>(Demographics_Q_M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MS_EXPORT_F_Q="(None)")+(Demographics_Q_MS_EXPORT_F_wrapped="|(All)|")+ISNUMBER(SEARCH("|"&amp;INDIRECT(Demographics_Q_MS_EXPORT_F_resolved_column)&amp;"|",Demographics_Q_MS_EXPORT_F_wrapped)))&gt;0)*1*(Q_MS_EXPORTr2_data="Selected")*1*(INDIRECT(Demographics_Q_MS_EXPORT_CT &amp; "_data")=N$27)*1)</f>
        <v/>
      </c>
      <c r="O29">
        <f>SUM(G29:N29)</f>
        <v/>
      </c>
    </row>
  </sheetData>
  <mergeCells count="3">
    <mergeCell ref="A1:J1"/>
    <mergeCell ref="A23:J23"/>
    <mergeCell ref="A14:J14"/>
  </mergeCells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=INDIRECT(IF(Demographics_F_Custom1_Q_resolved="(None)","None_options",Demographics_F_Custom1_Q_resolved &amp; "_local_options"))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=INDIRECT(IF(Demographics_F_Custom2_Q_resolved="(None)","None_options",Demographics_F_Custom2_Q_resolved &amp; "_local_options"))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=INDIRECT(IF(Demographics_Q_SS_EXPORT_F_Q="(None)","None_options",Demographics_Q_SS_EXPORT_F_Q &amp; "_options"))</formula1>
    </dataValidation>
    <dataValidation sqref="C16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=INDIRECT(IF(Demographics_Q_MS_EXPORT_F_Q="(None)","None_options",Demographics_Q_MS_EXPORT_F_Q &amp; "_options"))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IF(All_Questions_F_Country="(Inherit)",F_Country,All_Questions_F_Country)</f>
        <v/>
      </c>
      <c r="D5">
        <f>"|" &amp; SUBSTITUTE(All_Questions_F_Country_resolved, ", ", "|") &amp; "|"</f>
        <v/>
      </c>
      <c r="E5" t="inlineStr">
        <is>
          <t>Yes, No</t>
        </is>
      </c>
    </row>
    <row r="6">
      <c r="A6" t="inlineStr">
        <is>
          <t>Q_MS_EXPORT - Multi select export question</t>
        </is>
      </c>
      <c r="B6" t="inlineStr">
        <is>
          <t>(Inherit)</t>
        </is>
      </c>
      <c r="C6">
        <f>IF(All_Questions_F_Industry="(Inherit)",F_Industry,All_Questions_F_Industry)</f>
        <v/>
      </c>
      <c r="D6">
        <f>"|" &amp; SUBSTITUTE(All_Questions_F_Industry_resolved, ", ", "|") &amp; "|"</f>
        <v/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>
        <f>IF(All_Questions_F_Custom1_Q="(Inherit)",F_Custom1_Q,All_Questions_F_Custom1_Q)</f>
        <v/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>
        <f>IF(All_Questions_F_Custom1_V="(Inherit)",F_Custom1_V,All_Questions_F_Custom1_V)</f>
        <v/>
      </c>
      <c r="D8">
        <f>"|" &amp; SUBSTITUTE(All_Questions_F_Custom1_V_resolved, ", ", "|") &amp; "|"</f>
        <v/>
      </c>
      <c r="E8" t="inlineStr">
        <is>
          <t>Choose one value or type comma-separated values</t>
        </is>
      </c>
      <c r="F8">
        <f>IF(All_Questions_F_Custom1_Q_resolved="(None)","respondent_id_data",All_Questions_F_Custom1_Q_resolved &amp; "_data")</f>
        <v/>
      </c>
    </row>
    <row r="9">
      <c r="A9" t="inlineStr">
        <is>
          <t>Custom 2 question</t>
        </is>
      </c>
      <c r="B9" t="inlineStr">
        <is>
          <t>(Inherit)</t>
        </is>
      </c>
      <c r="C9">
        <f>IF(All_Questions_F_Custom2_Q="(Inherit)",F_Custom2_Q,All_Questions_F_Custom2_Q)</f>
        <v/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>
        <f>IF(All_Questions_F_Custom2_V="(Inherit)",F_Custom2_V,All_Questions_F_Custom2_V)</f>
        <v/>
      </c>
      <c r="D10">
        <f>"|" &amp; SUBSTITUTE(All_Questions_F_Custom2_V_resolved, ", ", "|") &amp; "|"</f>
        <v/>
      </c>
      <c r="E10" t="inlineStr">
        <is>
          <t>Choose one value or type comma-separated values</t>
        </is>
      </c>
      <c r="F10">
        <f>IF(All_Questions_F_Custom2_Q_resolved="(None)","respondent_id_data",All_Questions_F_Custom2_Q_resolved &amp; "_data")</f>
        <v/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>
        <f>IF(All_Questions_Q_NUM_EXPORT_F_Q="(None)","respondent_id_data",All_Questions_Q_NUM_EXPORT_F_Q &amp; "_data")</f>
        <v/>
      </c>
      <c r="G15">
        <f>"|" &amp; SUBSTITUTE(All_Questions_Q_NUM_EXPORT_F_V, ", ", "|") &amp; "|"</f>
        <v/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*Q_NUM_EXPORT_data)/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0)</f>
        <v/>
      </c>
      <c r="D19">
        <f>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20">
      <c r="A20" t="inlineStr">
        <is>
          <t>Min</t>
        </is>
      </c>
      <c r="B20">
        <f>IFERROR(AGGREGATE(15,6,Q_NUM_EXPORT_data/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20">
        <f>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21">
      <c r="A21" t="inlineStr">
        <is>
          <t>Max</t>
        </is>
      </c>
      <c r="B21">
        <f>IFERROR(AGGREGATE(14,6,Q_NUM_EXPORT_data/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21">
        <f>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>
        <f>IF(All_Questions_Q_GRID_EXPORT_F_Q="(None)","respondent_id_data",All_Questions_Q_GRID_EXPORT_F_Q &amp; "_data")</f>
        <v/>
      </c>
      <c r="G27">
        <f>"|" &amp; SUBSTITUTE(All_Questions_Q_GRID_EXPORT_F_V, ", ", "|") &amp; "|"</f>
        <v/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5" t="inlineStr">
        <is>
          <t>Option \ Cross-tab</t>
        </is>
      </c>
      <c r="G30">
        <f>IFERROR(INDEX(INDIRECT(All_Questions_Q_GRID_EXPORT_CT &amp; "_options"),2),"")</f>
        <v/>
      </c>
      <c r="H30">
        <f>IFERROR(INDEX(INDIRECT(All_Questions_Q_GRID_EXPORT_CT &amp; "_options"),3),"")</f>
        <v/>
      </c>
      <c r="I30">
        <f>IFERROR(INDEX(INDIRECT(All_Questions_Q_GRID_EXPORT_CT &amp; "_options"),4),"")</f>
        <v/>
      </c>
      <c r="J30">
        <f>IFERROR(INDEX(INDIRECT(All_Questions_Q_GRID_EXPORT_CT &amp; "_options"),5),"")</f>
        <v/>
      </c>
      <c r="K30">
        <f>IFERROR(INDEX(INDIRECT(All_Questions_Q_GRID_EXPORT_CT &amp; "_options"),6),"")</f>
        <v/>
      </c>
      <c r="L30">
        <f>IFERROR(INDEX(INDIRECT(All_Questions_Q_GRID_EXPORT_CT &amp; "_options"),7),"")</f>
        <v/>
      </c>
      <c r="M30">
        <f>IFERROR(INDEX(INDIRECT(All_Questions_Q_GRID_EXPORT_CT &amp; "_options"),8),"")</f>
        <v/>
      </c>
      <c r="N30">
        <f>IFERROR(INDEX(INDIRECT(All_Questions_Q_GRID_EXPORT_CT &amp; "_options"),9),"")</f>
        <v/>
      </c>
      <c r="O30" s="5" t="inlineStr">
        <is>
          <t>TOTAL</t>
        </is>
      </c>
    </row>
    <row r="31">
      <c r="A31" t="inlineStr">
        <is>
          <t>Grid first row</t>
        </is>
      </c>
      <c r="B31">
        <f>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1)</f>
        <v/>
      </c>
      <c r="C31" s="7">
        <f>IFERROR(B31/SUBTOTAL(9,B31:B32),0)</f>
        <v/>
      </c>
      <c r="D31" s="14">
        <f>SUBTOTAL(9,B31:B32)</f>
        <v/>
      </c>
      <c r="F31" t="inlineStr">
        <is>
          <t>Grid first row</t>
        </is>
      </c>
      <c r="G31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"_data")=G$30)*1)</f>
        <v/>
      </c>
      <c r="H31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"_data")=H$30)*1)</f>
        <v/>
      </c>
      <c r="I31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"_data")=I$30)*1)</f>
        <v/>
      </c>
      <c r="J31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"_data")=J$30)*1)</f>
        <v/>
      </c>
      <c r="K31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"_data")=K$30)*1)</f>
        <v/>
      </c>
      <c r="L31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"_data")=L$30)*1)</f>
        <v/>
      </c>
      <c r="M31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"_data")=M$30)*1)</f>
        <v/>
      </c>
      <c r="N31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"_data")=N$30)*1)</f>
        <v/>
      </c>
      <c r="O31">
        <f>SUM(G31:N31)</f>
        <v/>
      </c>
    </row>
    <row r="32">
      <c r="A32" t="inlineStr">
        <is>
          <t>Grid second row</t>
        </is>
      </c>
      <c r="B32">
        <f>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1)</f>
        <v/>
      </c>
      <c r="C32" s="7">
        <f>IFERROR(B32/SUBTOTAL(9,B31:B32),0)</f>
        <v/>
      </c>
      <c r="D32" s="14">
        <f>SUBTOTAL(9,B31:B32)</f>
        <v/>
      </c>
      <c r="F32" t="inlineStr">
        <is>
          <t>Grid second row</t>
        </is>
      </c>
      <c r="G32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"_data")=G$30)*1)</f>
        <v/>
      </c>
      <c r="H32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"_data")=H$30)*1)</f>
        <v/>
      </c>
      <c r="I32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"_data")=I$30)*1)</f>
        <v/>
      </c>
      <c r="J32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"_data")=J$30)*1)</f>
        <v/>
      </c>
      <c r="K32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"_data")=K$30)*1)</f>
        <v/>
      </c>
      <c r="L32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"_data")=L$30)*1)</f>
        <v/>
      </c>
      <c r="M32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"_data")=M$30)*1)</f>
        <v/>
      </c>
      <c r="N32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"_data")=N$30)*1)</f>
        <v/>
      </c>
      <c r="O32">
        <f>SUM(G32:N32)</f>
        <v/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Q_VERY_LONG_SINGLE_SELECT_EXPORT_NAME - Long sheet name export question</t>
        </is>
      </c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>
        <f>IF(All_Questions_Q_VERY_LONG_SINGLE_SELECT_EXPORT_NAME_F_Q="(None)","respondent_id_data",All_Questions_Q_VERY_LONG_SINGLE_SELECT_EXPORT_NAME_F_Q &amp; "_data")</f>
        <v/>
      </c>
      <c r="G36">
        <f>"|" &amp; SUBSTITUTE(All_Questions_Q_VERY_LONG_SINGLE_SELECT_EXPORT_NAME_F_V, ", ", "|") &amp; "|"</f>
        <v/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>
        <f>IFERROR(INDEX(INDIRECT(All_Questions_Q_VERY_LONG_SINGLE_SELECT_EXPORT_NAME_CT &amp; "_options"),2),"")</f>
        <v/>
      </c>
      <c r="H39">
        <f>IFERROR(INDEX(INDIRECT(All_Questions_Q_VERY_LONG_SINGLE_SELECT_EXPORT_NAME_CT &amp; "_options"),3),"")</f>
        <v/>
      </c>
      <c r="I39">
        <f>IFERROR(INDEX(INDIRECT(All_Questions_Q_VERY_LONG_SINGLE_SELECT_EXPORT_NAME_CT &amp; "_options"),4),"")</f>
        <v/>
      </c>
      <c r="J39">
        <f>IFERROR(INDEX(INDIRECT(All_Questions_Q_VERY_LONG_SINGLE_SELECT_EXPORT_NAME_CT &amp; "_options"),5),"")</f>
        <v/>
      </c>
      <c r="K39">
        <f>IFERROR(INDEX(INDIRECT(All_Questions_Q_VERY_LONG_SINGLE_SELECT_EXPORT_NAME_CT &amp; "_options"),6),"")</f>
        <v/>
      </c>
      <c r="L39">
        <f>IFERROR(INDEX(INDIRECT(All_Questions_Q_VERY_LONG_SINGLE_SELECT_EXPORT_NAME_CT &amp; "_options"),7),"")</f>
        <v/>
      </c>
      <c r="M39">
        <f>IFERROR(INDEX(INDIRECT(All_Questions_Q_VERY_LONG_SINGLE_SELECT_EXPORT_NAME_CT &amp; "_options"),8),"")</f>
        <v/>
      </c>
      <c r="N39">
        <f>IFERROR(INDEX(INDIRECT(All_Questions_Q_VERY_LONG_SINGLE_SELECT_EXPORT_NAME_CT &amp; "_options"),9),"")</f>
        <v/>
      </c>
      <c r="O39" s="5" t="inlineStr">
        <is>
          <t>TOTAL</t>
        </is>
      </c>
    </row>
    <row r="40">
      <c r="A40" t="inlineStr">
        <is>
          <t>A</t>
        </is>
      </c>
      <c r="B40">
        <f>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1)</f>
        <v/>
      </c>
      <c r="C40" s="7">
        <f>IFERROR(B40/SUBTOTAL(9,B40:B41),0)</f>
        <v/>
      </c>
      <c r="D40" s="14">
        <f>SUBTOTAL(9,B40:B41)</f>
        <v/>
      </c>
      <c r="F40" t="inlineStr">
        <is>
          <t>A</t>
        </is>
      </c>
      <c r="G40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"_data")=G$39)*1)</f>
        <v/>
      </c>
      <c r="H40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"_data")=H$39)*1)</f>
        <v/>
      </c>
      <c r="I40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"_data")=I$39)*1)</f>
        <v/>
      </c>
      <c r="J40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"_data")=J$39)*1)</f>
        <v/>
      </c>
      <c r="K40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"_data")=K$39)*1)</f>
        <v/>
      </c>
      <c r="L40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"_data")=L$39)*1)</f>
        <v/>
      </c>
      <c r="M40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"_data")=M$39)*1)</f>
        <v/>
      </c>
      <c r="N40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"_data")=N$39)*1)</f>
        <v/>
      </c>
      <c r="O40">
        <f>SUM(G40:N40)</f>
        <v/>
      </c>
    </row>
    <row r="41">
      <c r="A41" t="inlineStr">
        <is>
          <t>B</t>
        </is>
      </c>
      <c r="B41">
        <f>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1)</f>
        <v/>
      </c>
      <c r="C41" s="7">
        <f>IFERROR(B41/SUBTOTAL(9,B40:B41),0)</f>
        <v/>
      </c>
      <c r="D41" s="14">
        <f>SUBTOTAL(9,B40:B41)</f>
        <v/>
      </c>
      <c r="F41" t="inlineStr">
        <is>
          <t>B</t>
        </is>
      </c>
      <c r="G41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"_data")=G$39)*1)</f>
        <v/>
      </c>
      <c r="H41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"_data")=H$39)*1)</f>
        <v/>
      </c>
      <c r="I41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"_data")=I$39)*1)</f>
        <v/>
      </c>
      <c r="J41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"_data")=J$39)*1)</f>
        <v/>
      </c>
      <c r="K41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"_data")=K$39)*1)</f>
        <v/>
      </c>
      <c r="L41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"_data")=L$39)*1)</f>
        <v/>
      </c>
      <c r="M41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"_data")=M$39)*1)</f>
        <v/>
      </c>
      <c r="N41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"_data")=N$39)*1)</f>
        <v/>
      </c>
      <c r="O41">
        <f>SUM(G41:N41)</f>
        <v/>
      </c>
    </row>
  </sheetData>
  <mergeCells count="4">
    <mergeCell ref="A1:J1"/>
    <mergeCell ref="A26:J26"/>
    <mergeCell ref="A14:J14"/>
    <mergeCell ref="A35:J35"/>
  </mergeCells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28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37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2026-05-14T10:18:43Z</dcterms:created>
  <dcterms:modified xmlns:dcterms="http://purl.org/dc/terms/" xmlns:xsi="http://www.w3.org/2001/XMLSchema-instance" xsi:type="dcterms:W3CDTF">2026-05-14T10:18:43Z</dcterms:modified>
</cp:coreProperties>
</file>