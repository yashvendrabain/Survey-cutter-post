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IF(All_Questions_Q_GRID_EXPORT_CT="(None)","",IFERROR(INDEX(INDIRECT(IFERROR(INDEX(All_Questions_Options_Names,MATCH(All_Questions_Q_GRID_EXPORT_CT,All_Questions,0)),"'_Options'!$E$2:$E$2")),2),""))</f>
        <v/>
      </c>
      <c r="H34" s="2" t="str">
        <f>IF(All_Questions_Q_GRID_EXPORT_CT="(None)","",IFERROR(INDEX(INDIRECT(IFERROR(INDEX(All_Questions_Options_Names,MATCH(All_Questions_Q_GRID_EXPORT_CT,All_Questions,0)),"'_Options'!$E$2:$E$2")),3),""))</f>
        <v/>
      </c>
      <c r="I34" s="2" t="str">
        <f>IF(All_Questions_Q_GRID_EXPORT_CT="(None)","",IFERROR(INDEX(INDIRECT(IFERROR(INDEX(All_Questions_Options_Names,MATCH(All_Questions_Q_GRID_EXPORT_CT,All_Questions,0)),"'_Options'!$E$2:$E$2")),4),""))</f>
        <v/>
      </c>
      <c r="J34" s="2" t="str">
        <f>IF(All_Questions_Q_GRID_EXPORT_CT="(None)","",IFERROR(INDEX(INDIRECT(IFERROR(INDEX(All_Questions_Options_Names,MATCH(All_Questions_Q_GRID_EXPORT_CT,All_Questions,0)),"'_Options'!$E$2:$E$2")),5),""))</f>
        <v/>
      </c>
      <c r="K34" s="2" t="str">
        <f>IF(All_Questions_Q_GRID_EXPORT_CT="(None)","",IFERROR(INDEX(INDIRECT(IFERROR(INDEX(All_Questions_Options_Names,MATCH(All_Questions_Q_GRID_EXPORT_CT,All_Questions,0)),"'_Options'!$E$2:$E$2")),6),""))</f>
        <v/>
      </c>
      <c r="L34" s="2" t="str">
        <f>IF(All_Questions_Q_GRID_EXPORT_CT="(None)","",IFERROR(INDEX(INDIRECT(IFERROR(INDEX(All_Questions_Options_Names,MATCH(All_Questions_Q_GRID_EXPORT_CT,All_Questions,0)),"'_Options'!$E$2:$E$2")),7),""))</f>
        <v/>
      </c>
      <c r="M34" s="2" t="str">
        <f>IF(All_Questions_Q_GRID_EXPORT_CT="(None)","",IFERROR(INDEX(INDIRECT(IFERROR(INDEX(All_Questions_Options_Names,MATCH(All_Questions_Q_GRID_EXPORT_CT,All_Questions,0)),"'_Options'!$E$2:$E$2")),8),""))</f>
        <v/>
      </c>
      <c r="N34" s="2" t="str">
        <f>IF(All_Questions_Q_GRID_EXPORT_CT="(None)","",IFERROR(INDEX(INDIRECT(IFERROR(INDEX(All_Questions_Options_Names,MATCH(All_Questions_Q_GRID_EXPORT_CT,All_Questions,0)),"'_Options'!$E$2:$E$2")),9),""))</f>
        <v/>
      </c>
      <c r="O34" s="2" t="str">
        <f>IF(All_Questions_Q_GRID_EXPORT_CT="(None)","",IFERROR(INDEX(INDIRECT(IFERROR(INDEX(All_Questions_Options_Names,MATCH(All_Questions_Q_GRID_EXPORT_CT,All_Questions,0)),"'_Options'!$E$2:$E$2")),10),""))</f>
        <v/>
      </c>
      <c r="P34" s="2" t="str">
        <f>IF(All_Questions_Q_GRID_EXPORT_CT="(None)","",IFERROR(INDEX(INDIRECT(IFERROR(INDEX(All_Questions_Options_Names,MATCH(All_Questions_Q_GRID_EXPORT_CT,All_Questions,0)),"'_Options'!$E$2:$E$2")),11),""))</f>
        <v/>
      </c>
      <c r="Q34" s="2" t="str">
        <f>IF(All_Questions_Q_GRID_EXPORT_CT="(None)","",IFERROR(INDEX(INDIRECT(IFERROR(INDEX(All_Questions_Options_Names,MATCH(All_Questions_Q_GRID_EXPORT_CT,All_Questions,0)),"'_Options'!$E$2:$E$2")),12),""))</f>
        <v/>
      </c>
      <c r="R34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IFERROR(INDEX(All_Questions_Data_Names,MATCH(All_Questions_Q_VERY_LONG_SINGLE_SELECT_EXPORT_NAME_F_Q,All_Questions,0)),"'_RawData'!$A:$A")</f>
        <v>respondent_id_data</v>
      </c>
      <c r="G42" t="str">
        <f>"|" &amp; SUBSTITUTE(All_Questions_Q_VERY_LONG_SINGLE_SELECT_EXPORT_NAME_F_V,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5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5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5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5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5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5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5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5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5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5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5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2026-06-08T13:15:22.158890+00:00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2026-06-08T13:15:22.159113+00:00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2026-06-08T13:15:22.159311+00:00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2026-06-08T13:15:22.159490+00:00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2026-06-08T13:15:22.159658+00:00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2026-06-08T13:15:22.159822+00:00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2026-06-08T13:15:22.160004+00:00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2026-06-08T13:15:22.160173+00:00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2026-06-08T13:15:22.160366+00:00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2026-06-08T13:15:22.160533+00:00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2026-06-08T13:15:22.160696+00:00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2026-06-08T13:15:22.160928+00:00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2026-06-08T13:15:22.199422+00:00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2026-06-08T13:15:22.199694+00:00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2026-06-08T13:15:22.199955+00:00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2026-06-08T13:15:22.200212+00:00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2026-06-08T13:15:22.200493+00:00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2026-06-08T13:15:22.200742+00:00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2026-06-08T13:15:22.201005+00:00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2026-06-08T13:15:22.201259+00:00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2026-06-08T13:15:22.201538+00:00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2026-06-08T13:15:22.201778+00:00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2026-06-08T13:15:22.202043+00:00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2026-06-08T13:15:22.202392+00:00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2026-06-08T13:15:22.202829+00:00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2026-06-08T13:15:22.203102+00:00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2026-06-08T13:15:22.203380+00:00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2026-06-08T13:15:22.203629+00:00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2026-06-08T13:15:22.203875+00:00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2026-06-08T13:15:22.204149+00:00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2026-06-08T13:15:22.204474+00:00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2026-06-08T13:15:22.204718+00:00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2026-06-08T13:15:22.204979+00:00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2026-06-08T13:15:22.205236+00:00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2026-06-08T13:15:22.205511+00:00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2026-06-08T13:15:22.205822+00:00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2026-06-08T13:15:22Z</dcterms:created>
  <dcterms:modified xmlns:dcterms="http://purl.org/dc/terms/" xmlns:xsi="http://www.w3.org/2001/XMLSchema-instance" xsi:type="dcterms:W3CDTF">2026-06-08T13:15:22Z</dcterms:modified>
</cp:coreProperties>
</file>