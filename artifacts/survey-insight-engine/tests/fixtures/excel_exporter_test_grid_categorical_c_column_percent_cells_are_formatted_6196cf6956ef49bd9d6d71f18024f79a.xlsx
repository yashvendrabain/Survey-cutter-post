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Q26_filter_values_options">'_Options'!$U$2:$U$8</definedName>
    <definedName name="Q26_filter_values_local_options">'_Options'!$V$2:$V$9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'_Options'!$X$2:$X$19</definedName>
    <definedName name="All_Questions_Value_Data_Names">'_Options'!$Y$2:$Y$19</definedName>
    <definedName name="All_Questions_Value_Criteria">'_Options'!$Z$2:$Z$19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resolved_criteria">'All Questions'!$H$13</definedName>
    <definedName name="All_Questions_Q26_F_passes_per_q_filter_data">'_RawData'!$M$2:$M$7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E17" i="7"/>
  <c r="F17" i="7"/>
  <c r="G17" i="7"/>
  <c r="H17" i="7"/>
  <c r="C18" i="7"/>
  <c r="D18" i="7"/>
  <c r="E18" i="7"/>
  <c r="F18" i="7"/>
  <c r="G18" i="7"/>
  <c r="H18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("|" &amp; SUBSTITUTE(All_Questions_Q26_F_resolved_criteria,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("|" &amp; SUBSTITUTE(All_Questions_Q26_F_resolved_criteria, ", ", "|") &amp; "|"))),1,0),0))*1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("|" &amp; SUBSTITUTE(All_Questions_Q26_F_resolved_criteria, ", ", "|") &amp; "|"))),1,0),0))*1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("|" &amp; SUBSTITUTE(All_Questions_Q26_F_resolved_criteria, ", ", "|") &amp; "|"))),1,0),0))*1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("|" &amp; SUBSTITUTE(All_Questions_Q26_F_resolved_criteria, ", ", "|") &amp; "|"))),1,0),0))*1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("|" &amp; SUBSTITUTE(All_Questions_Q26_F_resolved_criteria,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Q26_filter_values_options</t>
        </is>
      </c>
      <c r="V1" t="inlineStr">
        <is>
          <t>Q26_filter_values_local_options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'_RawData'!$A$2:$A$7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Q26 - What Role Did Each Stakeholder Play|IT / Technical: Blocked Vendors</t>
        </is>
      </c>
      <c r="Y2" t="inlineStr">
        <is>
          <t>'_RawData'!$B$2:$B$7</t>
        </is>
      </c>
      <c r="Z2" t="inlineStr">
        <is>
          <t>Blocked Vendors</t>
        </is>
      </c>
    </row>
    <row r="3">
      <c r="A3" t="inlineStr">
        <is>
          <t>Q26 - What Role Did Each Stakeholder Play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'_Options'!$U$2:$U$8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IT / Technical: Blocked Vendors</t>
        </is>
      </c>
      <c r="V3" t="inlineStr">
        <is>
          <t>(All)</t>
        </is>
      </c>
      <c r="X3" t="inlineStr">
        <is>
          <t>Q26 - What Role Did Each Stakeholder Play|IT / Technical: Scored Vendors</t>
        </is>
      </c>
      <c r="Y3" t="inlineStr">
        <is>
          <t>'_RawData'!$B$2:$B$7</t>
        </is>
      </c>
      <c r="Z3" t="inlineStr">
        <is>
          <t>Scored Vendors</t>
        </is>
      </c>
    </row>
    <row r="4">
      <c r="B4" t="inlineStr">
        <is>
          <t>Q26 - What Role Did Each Stakeholder Play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  <c r="U4" t="inlineStr">
        <is>
          <t>IT / Technical: Scored Vendors</t>
        </is>
      </c>
      <c r="V4" t="inlineStr">
        <is>
          <t>IT / Technical: Blocked Vendors</t>
        </is>
      </c>
      <c r="X4" t="inlineStr">
        <is>
          <t>Q26 - What Role Did Each Stakeholder Play|IT / Technical: Recommended for or against</t>
        </is>
      </c>
      <c r="Y4" t="inlineStr">
        <is>
          <t>'_RawData'!$B$2:$B$7</t>
        </is>
      </c>
      <c r="Z4" t="inlineStr">
        <is>
          <t>Recommended for or against</t>
        </is>
      </c>
    </row>
    <row r="5">
      <c r="U5" t="inlineStr">
        <is>
          <t>IT / Technical: Recommended for or against</t>
        </is>
      </c>
      <c r="V5" t="inlineStr">
        <is>
          <t>IT / Technical: Scored Vendors</t>
        </is>
      </c>
      <c r="X5" t="inlineStr">
        <is>
          <t>Q26 - What Role Did Each Stakeholder Play|IT / Technical: Blocked Vendors</t>
        </is>
      </c>
      <c r="Y5" t="inlineStr">
        <is>
          <t>'_RawData'!$C$2:$C$7</t>
        </is>
      </c>
      <c r="Z5" t="inlineStr">
        <is>
          <t>Blocked Vendors</t>
        </is>
      </c>
    </row>
    <row r="6">
      <c r="U6" t="inlineStr">
        <is>
          <t>Finance: Blocked Vendors</t>
        </is>
      </c>
      <c r="V6" t="inlineStr">
        <is>
          <t>IT / Technical: Recommended for or against</t>
        </is>
      </c>
      <c r="X6" t="inlineStr">
        <is>
          <t>Q26 - What Role Did Each Stakeholder Play|IT / Technical: Scored Vendors</t>
        </is>
      </c>
      <c r="Y6" t="inlineStr">
        <is>
          <t>'_RawData'!$C$2:$C$7</t>
        </is>
      </c>
      <c r="Z6" t="inlineStr">
        <is>
          <t>Scored Vendors</t>
        </is>
      </c>
    </row>
    <row r="7">
      <c r="U7" t="inlineStr">
        <is>
          <t>Finance: Scored Vendors</t>
        </is>
      </c>
      <c r="V7" t="inlineStr">
        <is>
          <t>Finance: Blocked Vendors</t>
        </is>
      </c>
      <c r="X7" t="inlineStr">
        <is>
          <t>Q26 - What Role Did Each Stakeholder Play|IT / Technical: Recommended for or against</t>
        </is>
      </c>
      <c r="Y7" t="inlineStr">
        <is>
          <t>'_RawData'!$C$2:$C$7</t>
        </is>
      </c>
      <c r="Z7" t="inlineStr">
        <is>
          <t>Recommended for or against</t>
        </is>
      </c>
    </row>
    <row r="8">
      <c r="U8" t="inlineStr">
        <is>
          <t>Finance: Recommended for or against</t>
        </is>
      </c>
      <c r="V8" t="inlineStr">
        <is>
          <t>Finance: Scored Vendors</t>
        </is>
      </c>
      <c r="X8" t="inlineStr">
        <is>
          <t>Q26 - What Role Did Each Stakeholder Play|IT / Technical: Blocked Vendors</t>
        </is>
      </c>
      <c r="Y8" t="inlineStr">
        <is>
          <t>'_RawData'!$D$2:$D$7</t>
        </is>
      </c>
      <c r="Z8" t="inlineStr">
        <is>
          <t>Blocked Vendors</t>
        </is>
      </c>
    </row>
    <row r="9">
      <c r="V9" t="inlineStr">
        <is>
          <t>Finance: Recommended for or against</t>
        </is>
      </c>
      <c r="X9" t="inlineStr">
        <is>
          <t>Q26 - What Role Did Each Stakeholder Play|IT / Technical: Scored Vendors</t>
        </is>
      </c>
      <c r="Y9" t="inlineStr">
        <is>
          <t>'_RawData'!$D$2:$D$7</t>
        </is>
      </c>
      <c r="Z9" t="inlineStr">
        <is>
          <t>Scored Vendors</t>
        </is>
      </c>
    </row>
    <row r="10">
      <c r="X10" t="inlineStr">
        <is>
          <t>Q26 - What Role Did Each Stakeholder Play|IT / Technical: Recommended for or against</t>
        </is>
      </c>
      <c r="Y10" t="inlineStr">
        <is>
          <t>'_RawData'!$D$2:$D$7</t>
        </is>
      </c>
      <c r="Z10" t="inlineStr">
        <is>
          <t>Recommended for or against</t>
        </is>
      </c>
    </row>
    <row r="11">
      <c r="X11" t="inlineStr">
        <is>
          <t>Q26 - What Role Did Each Stakeholder Play|Finance: Blocked Vendors</t>
        </is>
      </c>
      <c r="Y11" t="inlineStr">
        <is>
          <t>'_RawData'!$E$2:$E$7</t>
        </is>
      </c>
      <c r="Z11" t="inlineStr">
        <is>
          <t>Blocked Vendors</t>
        </is>
      </c>
    </row>
    <row r="12">
      <c r="X12" t="inlineStr">
        <is>
          <t>Q26 - What Role Did Each Stakeholder Play|Finance: Scored Vendors</t>
        </is>
      </c>
      <c r="Y12" t="inlineStr">
        <is>
          <t>'_RawData'!$E$2:$E$7</t>
        </is>
      </c>
      <c r="Z12" t="inlineStr">
        <is>
          <t>Scored Vendors</t>
        </is>
      </c>
    </row>
    <row r="13">
      <c r="X13" t="inlineStr">
        <is>
          <t>Q26 - What Role Did Each Stakeholder Play|Finance: Recommended for or against</t>
        </is>
      </c>
      <c r="Y13" t="inlineStr">
        <is>
          <t>'_RawData'!$E$2:$E$7</t>
        </is>
      </c>
      <c r="Z13" t="inlineStr">
        <is>
          <t>Recommended for or against</t>
        </is>
      </c>
    </row>
    <row r="14">
      <c r="X14" t="inlineStr">
        <is>
          <t>Q26 - What Role Did Each Stakeholder Play|Finance: Blocked Vendors</t>
        </is>
      </c>
      <c r="Y14" t="inlineStr">
        <is>
          <t>'_RawData'!$F$2:$F$7</t>
        </is>
      </c>
      <c r="Z14" t="inlineStr">
        <is>
          <t>Blocked Vendors</t>
        </is>
      </c>
    </row>
    <row r="15">
      <c r="X15" t="inlineStr">
        <is>
          <t>Q26 - What Role Did Each Stakeholder Play|Finance: Scored Vendors</t>
        </is>
      </c>
      <c r="Y15" t="inlineStr">
        <is>
          <t>'_RawData'!$F$2:$F$7</t>
        </is>
      </c>
      <c r="Z15" t="inlineStr">
        <is>
          <t>Scored Vendors</t>
        </is>
      </c>
    </row>
    <row r="16">
      <c r="X16" t="inlineStr">
        <is>
          <t>Q26 - What Role Did Each Stakeholder Play|Finance: Recommended for or against</t>
        </is>
      </c>
      <c r="Y16" t="inlineStr">
        <is>
          <t>'_RawData'!$F$2:$F$7</t>
        </is>
      </c>
      <c r="Z16" t="inlineStr">
        <is>
          <t>Recommended for or against</t>
        </is>
      </c>
    </row>
    <row r="17">
      <c r="X17" t="inlineStr">
        <is>
          <t>Q26 - What Role Did Each Stakeholder Play|Finance: Blocked Vendors</t>
        </is>
      </c>
      <c r="Y17" t="inlineStr">
        <is>
          <t>'_RawData'!$G$2:$G$7</t>
        </is>
      </c>
      <c r="Z17" t="inlineStr">
        <is>
          <t>Blocked Vendors</t>
        </is>
      </c>
    </row>
    <row r="18">
      <c r="X18" t="inlineStr">
        <is>
          <t>Q26 - What Role Did Each Stakeholder Play|Finance: Scored Vendors</t>
        </is>
      </c>
      <c r="Y18" t="inlineStr">
        <is>
          <t>'_RawData'!$G$2:$G$7</t>
        </is>
      </c>
      <c r="Z18" t="inlineStr">
        <is>
          <t>Scored Vendors</t>
        </is>
      </c>
    </row>
    <row r="19">
      <c r="X19" t="inlineStr">
        <is>
          <t>Q26 - What Role Did Each Stakeholder Play|Finance: Recommended for or against</t>
        </is>
      </c>
      <c r="Y19" t="inlineStr">
        <is>
          <t>'_RawData'!$G$2:$G$7</t>
        </is>
      </c>
      <c r="Z19" t="inlineStr">
        <is>
          <t>Recommended for or against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IFERROR(INDEX(All_Questions_Value_Data_Names,MATCH(All_Questions_Q26_F_Q&amp;"|"&amp;All_Questions_Q26_F_V,All_Questions_Value_Keys,0)),IFERROR(INDEX(All_Questions_Data_Names,MATCH(All_Questions_Q26_F_Q,All_Questions,0)),"'_RawData'!$A:$A"))</f>
        <v>respondent_id_data</v>
      </c>
      <c r="G13" t="str">
        <f>"|" &amp; SUBSTITUTE(All_Questions_Q26_F_V, ", ", "|") &amp; "|"</f>
        <v>|(All)|</v>
      </c>
      <c r="H13" t="str">
        <f>IFERROR(INDEX(All_Questions_Value_Criteria,MATCH(All_Questions_Q26_F_Q&amp;"|"&amp;All_Questions_Q26_F_V,All_Questions_Value_Keys,0)),All_Questions_Q26_F_V)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Blocked Vendors</t>
        </is>
      </c>
      <c r="D15" s="2" t="n"/>
      <c r="E15" s="4" t="inlineStr">
        <is>
          <t>Scored Vendors</t>
        </is>
      </c>
      <c r="F15" s="2" t="n"/>
      <c r="G15" s="4" t="inlineStr">
        <is>
          <t>Recommended for or against</t>
        </is>
      </c>
      <c r="H15" s="2" t="n"/>
    </row>
    <row r="16">
      <c r="A16" s="2" t="inlineStr"/>
      <c r="B16" s="2" t="inlineStr"/>
      <c r="C16" s="4" t="inlineStr">
        <is>
          <t>Count</t>
        </is>
      </c>
      <c r="D16" s="4" t="inlineStr">
        <is>
          <t>%</t>
        </is>
      </c>
      <c r="E16" s="4" t="inlineStr">
        <is>
          <t>Count</t>
        </is>
      </c>
      <c r="F16" s="4" t="inlineStr">
        <is>
          <t>%</t>
        </is>
      </c>
      <c r="G16" s="4" t="inlineStr">
        <is>
          <t>Count</t>
        </is>
      </c>
      <c r="H16" s="4" t="inlineStr">
        <is>
          <t>%</t>
        </is>
      </c>
    </row>
    <row r="17">
      <c r="A17" s="14" t="inlineStr">
        <is>
          <t>Q26r1</t>
        </is>
      </c>
      <c r="B17" t="inlineStr">
        <is>
          <t>IT / Technical</t>
        </is>
      </c>
      <c r="C17">
        <f>COUNTIFS(Q26r1c1_data,"Selected",passes_workbook_filters_data,1,passes_workbook_custom_filters_data,1,All_Questions_passes_local_filters_data,1,All_Questions_Q26_F_passes_per_q_filter_data,1)</f>
        <v>2</v>
      </c>
      <c r="D17" s="7">
        <f>IFERROR(C17/6,0)</f>
        <v>0.3333333333333333</v>
      </c>
      <c r="E17">
        <f>COUNTIFS(Q26r1c2_data,"Selected",passes_workbook_filters_data,1,passes_workbook_custom_filters_data,1,All_Questions_passes_local_filters_data,1,All_Questions_Q26_F_passes_per_q_filter_data,1)</f>
        <v>4</v>
      </c>
      <c r="F17" s="7">
        <f>IFERROR(E17/6,0)</f>
        <v>0.6666666666666666</v>
      </c>
      <c r="G17">
        <f>COUNTIFS(Q26r1c3_data,"Selected",passes_workbook_filters_data,1,passes_workbook_custom_filters_data,1,All_Questions_passes_local_filters_data,1,All_Questions_Q26_F_passes_per_q_filter_data,1)</f>
        <v>3</v>
      </c>
      <c r="H17" s="7">
        <f>IFERROR(G17/6,0)</f>
        <v>0.5</v>
      </c>
    </row>
    <row r="18">
      <c r="A18" s="14" t="inlineStr">
        <is>
          <t>Q26r2</t>
        </is>
      </c>
      <c r="B18" t="inlineStr">
        <is>
          <t>Finance</t>
        </is>
      </c>
      <c r="C18">
        <f>COUNTIFS(Q26r2c1_data,"Selected",passes_workbook_filters_data,1,passes_workbook_custom_filters_data,1,All_Questions_passes_local_filters_data,1,All_Questions_Q26_F_passes_per_q_filter_data,1)</f>
        <v>1</v>
      </c>
      <c r="D18" s="7">
        <f>IFERROR(C18/6,0)</f>
        <v>0.16666666666666666</v>
      </c>
      <c r="E18">
        <f>COUNTIFS(Q26r2c2_data,"Selected",passes_workbook_filters_data,1,passes_workbook_custom_filters_data,1,All_Questions_passes_local_filters_data,1,All_Questions_Q26_F_passes_per_q_filter_data,1)</f>
        <v>5</v>
      </c>
      <c r="F18" s="7">
        <f>IFERROR(E18/6,0)</f>
        <v>0.8333333333333334</v>
      </c>
      <c r="G18">
        <f>COUNTIFS(Q26r2c3_data,"Selected",passes_workbook_filters_data,1,passes_workbook_custom_filters_data,1,All_Questions_passes_local_filters_data,1,All_Questions_Q26_F_passes_per_q_filter_data,1)</f>
        <v>2</v>
      </c>
      <c r="H18" s="7">
        <f>IFERROR(G18/6,0)</f>
        <v>0.3333333333333333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E19" s="15" t="n"/>
      <c r="F19" s="15" t="n"/>
      <c r="G19" s="15" t="n"/>
      <c r="H19" s="15" t="n"/>
    </row>
    <row r="20">
      <c r="A20" s="4" t="inlineStr">
        <is>
          <t>Total responses</t>
        </is>
      </c>
      <c r="B20" s="4" t="n">
        <v>17</v>
      </c>
      <c r="C20" s="4" t="n"/>
      <c r="D20" s="4" t="n"/>
      <c r="E20" s="4" t="n"/>
      <c r="F20" s="4" t="n"/>
      <c r="G20" s="4" t="n"/>
      <c r="H20" s="4" t="n"/>
    </row>
  </sheetData>
  <mergeCells count="4">
    <mergeCell ref="E15:F15"/>
    <mergeCell ref="C15:D15"/>
    <mergeCell ref="A1:J1"/>
    <mergeCell ref="G15:H15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7:E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2026-06-09T11:30:27Z</dcterms:created>
  <dcterms:modified xmlns:dcterms="http://purl.org/dc/terms/" xmlns:xsi="http://www.w3.org/2001/XMLSchema-instance" xsi:type="dcterms:W3CDTF">2026-06-09T11:30:28Z</dcterms:modified>
</cp:coreProperties>
</file>