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Q26_filter_values_options">'_Options'!$U$2:$U$8</definedName>
    <definedName name="Q26_filter_values_local_options">'_Options'!$V$2:$V$9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'_Options'!$X$2:$X$19</definedName>
    <definedName name="All_Questions_Value_Data_Names">'_Options'!$Y$2:$Y$19</definedName>
    <definedName name="All_Questions_Value_Criteria">'_Options'!$Z$2:$Z$19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resolved_criteria">'All Questions'!$H$13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H18" i="7"/>
  <c r="C19" i="7"/>
  <c r="D19" i="7"/>
  <c r="E19" i="7"/>
  <c r="F19" i="7"/>
  <c r="G19" i="7"/>
  <c r="H19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("|" &amp; SUBSTITUTE(All_Questions_Q26_F_resolved_criteria,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("|" &amp; SUBSTITUTE(All_Questions_Q26_F_resolved_criteria, ", ", "|") &amp; "|"))),1,0),0))*1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("|" &amp; SUBSTITUTE(All_Questions_Q26_F_resolved_criteria, ", ", "|") &amp; "|"))),1,0),0))*1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("|" &amp; SUBSTITUTE(All_Questions_Q26_F_resolved_criteria, ", ", "|") &amp; "|"))),1,0),0))*1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("|" &amp; SUBSTITUTE(All_Questions_Q26_F_resolved_criteria, ", ", "|") &amp; "|"))),1,0),0))*1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("|" &amp; SUBSTITUTE(All_Questions_Q26_F_resolved_criteria,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Q26_filter_values_options</t>
        </is>
      </c>
      <c r="V1" t="inlineStr">
        <is>
          <t>Q26_filter_values_local_options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'_RawData'!$A$2:$A$7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Q26 - What Role Did Each Stakeholder Play|IT / Technical: Blocked Vendors</t>
        </is>
      </c>
      <c r="Y2" t="inlineStr">
        <is>
          <t>'_RawData'!$B$2:$B$7</t>
        </is>
      </c>
      <c r="Z2" t="inlineStr">
        <is>
          <t>Blocked Vendors</t>
        </is>
      </c>
    </row>
    <row r="3">
      <c r="A3" t="inlineStr">
        <is>
          <t>Q26 - What Role Did Each Stakeholder Play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'_Options'!$U$2:$U$8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IT / Technical: Blocked Vendors</t>
        </is>
      </c>
      <c r="V3" t="inlineStr">
        <is>
          <t>(All)</t>
        </is>
      </c>
      <c r="X3" t="inlineStr">
        <is>
          <t>Q26 - What Role Did Each Stakeholder Play|IT / Technical: Scored Vendors</t>
        </is>
      </c>
      <c r="Y3" t="inlineStr">
        <is>
          <t>'_RawData'!$B$2:$B$7</t>
        </is>
      </c>
      <c r="Z3" t="inlineStr">
        <is>
          <t>Scored Vendors</t>
        </is>
      </c>
    </row>
    <row r="4">
      <c r="B4" t="inlineStr">
        <is>
          <t>Q26 - What Role Did Each Stakeholder Play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  <c r="U4" t="inlineStr">
        <is>
          <t>IT / Technical: Scored Vendors</t>
        </is>
      </c>
      <c r="V4" t="inlineStr">
        <is>
          <t>IT / Technical: Blocked Vendors</t>
        </is>
      </c>
      <c r="X4" t="inlineStr">
        <is>
          <t>Q26 - What Role Did Each Stakeholder Play|IT / Technical: Recommended for or against</t>
        </is>
      </c>
      <c r="Y4" t="inlineStr">
        <is>
          <t>'_RawData'!$B$2:$B$7</t>
        </is>
      </c>
      <c r="Z4" t="inlineStr">
        <is>
          <t>Recommended for or against</t>
        </is>
      </c>
    </row>
    <row r="5">
      <c r="U5" t="inlineStr">
        <is>
          <t>IT / Technical: Recommended for or against</t>
        </is>
      </c>
      <c r="V5" t="inlineStr">
        <is>
          <t>IT / Technical: Scored Vendors</t>
        </is>
      </c>
      <c r="X5" t="inlineStr">
        <is>
          <t>Q26 - What Role Did Each Stakeholder Play|IT / Technical: Blocked Vendors</t>
        </is>
      </c>
      <c r="Y5" t="inlineStr">
        <is>
          <t>'_RawData'!$C$2:$C$7</t>
        </is>
      </c>
      <c r="Z5" t="inlineStr">
        <is>
          <t>Blocked Vendors</t>
        </is>
      </c>
    </row>
    <row r="6">
      <c r="U6" t="inlineStr">
        <is>
          <t>Finance: Blocked Vendors</t>
        </is>
      </c>
      <c r="V6" t="inlineStr">
        <is>
          <t>IT / Technical: Recommended for or against</t>
        </is>
      </c>
      <c r="X6" t="inlineStr">
        <is>
          <t>Q26 - What Role Did Each Stakeholder Play|IT / Technical: Scored Vendors</t>
        </is>
      </c>
      <c r="Y6" t="inlineStr">
        <is>
          <t>'_RawData'!$C$2:$C$7</t>
        </is>
      </c>
      <c r="Z6" t="inlineStr">
        <is>
          <t>Scored Vendors</t>
        </is>
      </c>
    </row>
    <row r="7">
      <c r="U7" t="inlineStr">
        <is>
          <t>Finance: Scored Vendors</t>
        </is>
      </c>
      <c r="V7" t="inlineStr">
        <is>
          <t>Finance: Blocked Vendors</t>
        </is>
      </c>
      <c r="X7" t="inlineStr">
        <is>
          <t>Q26 - What Role Did Each Stakeholder Play|IT / Technical: Recommended for or against</t>
        </is>
      </c>
      <c r="Y7" t="inlineStr">
        <is>
          <t>'_RawData'!$C$2:$C$7</t>
        </is>
      </c>
      <c r="Z7" t="inlineStr">
        <is>
          <t>Recommended for or against</t>
        </is>
      </c>
    </row>
    <row r="8">
      <c r="U8" t="inlineStr">
        <is>
          <t>Finance: Recommended for or against</t>
        </is>
      </c>
      <c r="V8" t="inlineStr">
        <is>
          <t>Finance: Scored Vendors</t>
        </is>
      </c>
      <c r="X8" t="inlineStr">
        <is>
          <t>Q26 - What Role Did Each Stakeholder Play|IT / Technical: Blocked Vendors</t>
        </is>
      </c>
      <c r="Y8" t="inlineStr">
        <is>
          <t>'_RawData'!$D$2:$D$7</t>
        </is>
      </c>
      <c r="Z8" t="inlineStr">
        <is>
          <t>Blocked Vendors</t>
        </is>
      </c>
    </row>
    <row r="9">
      <c r="V9" t="inlineStr">
        <is>
          <t>Finance: Recommended for or against</t>
        </is>
      </c>
      <c r="X9" t="inlineStr">
        <is>
          <t>Q26 - What Role Did Each Stakeholder Play|IT / Technical: Scored Vendors</t>
        </is>
      </c>
      <c r="Y9" t="inlineStr">
        <is>
          <t>'_RawData'!$D$2:$D$7</t>
        </is>
      </c>
      <c r="Z9" t="inlineStr">
        <is>
          <t>Scored Vendors</t>
        </is>
      </c>
    </row>
    <row r="10">
      <c r="X10" t="inlineStr">
        <is>
          <t>Q26 - What Role Did Each Stakeholder Play|IT / Technical: Recommended for or against</t>
        </is>
      </c>
      <c r="Y10" t="inlineStr">
        <is>
          <t>'_RawData'!$D$2:$D$7</t>
        </is>
      </c>
      <c r="Z10" t="inlineStr">
        <is>
          <t>Recommended for or against</t>
        </is>
      </c>
    </row>
    <row r="11">
      <c r="X11" t="inlineStr">
        <is>
          <t>Q26 - What Role Did Each Stakeholder Play|Finance: Blocked Vendors</t>
        </is>
      </c>
      <c r="Y11" t="inlineStr">
        <is>
          <t>'_RawData'!$E$2:$E$7</t>
        </is>
      </c>
      <c r="Z11" t="inlineStr">
        <is>
          <t>Blocked Vendors</t>
        </is>
      </c>
    </row>
    <row r="12">
      <c r="X12" t="inlineStr">
        <is>
          <t>Q26 - What Role Did Each Stakeholder Play|Finance: Scored Vendors</t>
        </is>
      </c>
      <c r="Y12" t="inlineStr">
        <is>
          <t>'_RawData'!$E$2:$E$7</t>
        </is>
      </c>
      <c r="Z12" t="inlineStr">
        <is>
          <t>Scored Vendors</t>
        </is>
      </c>
    </row>
    <row r="13">
      <c r="X13" t="inlineStr">
        <is>
          <t>Q26 - What Role Did Each Stakeholder Play|Finance: Recommended for or against</t>
        </is>
      </c>
      <c r="Y13" t="inlineStr">
        <is>
          <t>'_RawData'!$E$2:$E$7</t>
        </is>
      </c>
      <c r="Z13" t="inlineStr">
        <is>
          <t>Recommended for or against</t>
        </is>
      </c>
    </row>
    <row r="14">
      <c r="X14" t="inlineStr">
        <is>
          <t>Q26 - What Role Did Each Stakeholder Play|Finance: Blocked Vendors</t>
        </is>
      </c>
      <c r="Y14" t="inlineStr">
        <is>
          <t>'_RawData'!$F$2:$F$7</t>
        </is>
      </c>
      <c r="Z14" t="inlineStr">
        <is>
          <t>Blocked Vendors</t>
        </is>
      </c>
    </row>
    <row r="15">
      <c r="X15" t="inlineStr">
        <is>
          <t>Q26 - What Role Did Each Stakeholder Play|Finance: Scored Vendors</t>
        </is>
      </c>
      <c r="Y15" t="inlineStr">
        <is>
          <t>'_RawData'!$F$2:$F$7</t>
        </is>
      </c>
      <c r="Z15" t="inlineStr">
        <is>
          <t>Scored Vendors</t>
        </is>
      </c>
    </row>
    <row r="16">
      <c r="X16" t="inlineStr">
        <is>
          <t>Q26 - What Role Did Each Stakeholder Play|Finance: Recommended for or against</t>
        </is>
      </c>
      <c r="Y16" t="inlineStr">
        <is>
          <t>'_RawData'!$F$2:$F$7</t>
        </is>
      </c>
      <c r="Z16" t="inlineStr">
        <is>
          <t>Recommended for or against</t>
        </is>
      </c>
    </row>
    <row r="17">
      <c r="X17" t="inlineStr">
        <is>
          <t>Q26 - What Role Did Each Stakeholder Play|Finance: Blocked Vendors</t>
        </is>
      </c>
      <c r="Y17" t="inlineStr">
        <is>
          <t>'_RawData'!$G$2:$G$7</t>
        </is>
      </c>
      <c r="Z17" t="inlineStr">
        <is>
          <t>Blocked Vendors</t>
        </is>
      </c>
    </row>
    <row r="18">
      <c r="X18" t="inlineStr">
        <is>
          <t>Q26 - What Role Did Each Stakeholder Play|Finance: Scored Vendors</t>
        </is>
      </c>
      <c r="Y18" t="inlineStr">
        <is>
          <t>'_RawData'!$G$2:$G$7</t>
        </is>
      </c>
      <c r="Z18" t="inlineStr">
        <is>
          <t>Scored Vendors</t>
        </is>
      </c>
    </row>
    <row r="19">
      <c r="X19" t="inlineStr">
        <is>
          <t>Q26 - What Role Did Each Stakeholder Play|Finance: Recommended for or against</t>
        </is>
      </c>
      <c r="Y19" t="inlineStr">
        <is>
          <t>'_RawData'!$G$2:$G$7</t>
        </is>
      </c>
      <c r="Z19" t="inlineStr">
        <is>
          <t>Recommended for or against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IFERROR(INDEX(All_Questions_Value_Data_Names,MATCH(All_Questions_Q26_F_Q&amp;"|"&amp;All_Questions_Q26_F_V,All_Questions_Value_Keys,0)),IFERROR(INDEX(All_Questions_Data_Names,MATCH(All_Questions_Q26_F_Q,All_Questions,0)),"'_RawData'!$A:$A"))</f>
        <v>respondent_id_data</v>
      </c>
      <c r="G13" t="str">
        <f>"|" &amp; SUBSTITUTE(All_Questions_Q26_F_V, ", ", "|") &amp; "|"</f>
        <v>|(All)|</v>
      </c>
      <c r="H13" t="str">
        <f>IFERROR(INDEX(All_Questions_Value_Criteria,MATCH(All_Questions_Q26_F_Q&amp;"|"&amp;All_Questions_Q26_F_V,All_Questions_Value_Keys,0)),All_Questions_Q26_F_V)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  <row r="22"/>
    <row r="23">
      <c r="F23" s="4" t="inlineStr">
        <is>
          <t>Option</t>
        </is>
      </c>
      <c r="G23" s="2" t="str">
        <f>IF(All_Questions_Q26_CT="(None)","",IFERROR(INDEX(INDIRECT(IFERROR(INDEX(Cross_Tab_Questions_Options_Names,MATCH(All_Questions_Q26_CT,Cross_Tab_Questions,0)),"'_Options'!$E$2:$E$2")),2),""))</f>
        <v/>
      </c>
      <c r="H23" s="2" t="str">
        <f>IF(All_Questions_Q26_CT="(None)","",IFERROR(INDEX(INDIRECT(IFERROR(INDEX(Cross_Tab_Questions_Options_Names,MATCH(All_Questions_Q26_CT,Cross_Tab_Questions,0)),"'_Options'!$E$2:$E$2")),3),""))</f>
        <v/>
      </c>
      <c r="I23" s="2" t="str">
        <f>IF(All_Questions_Q26_CT="(None)","",IFERROR(INDEX(INDIRECT(IFERROR(INDEX(Cross_Tab_Questions_Options_Names,MATCH(All_Questions_Q26_CT,Cross_Tab_Questions,0)),"'_Options'!$E$2:$E$2")),4),""))</f>
        <v/>
      </c>
      <c r="J23" s="2" t="str">
        <f>IF(All_Questions_Q26_CT="(None)","",IFERROR(INDEX(INDIRECT(IFERROR(INDEX(Cross_Tab_Questions_Options_Names,MATCH(All_Questions_Q26_CT,Cross_Tab_Questions,0)),"'_Options'!$E$2:$E$2")),5),""))</f>
        <v/>
      </c>
      <c r="K23" s="2" t="str">
        <f>IF(All_Questions_Q26_CT="(None)","",IFERROR(INDEX(INDIRECT(IFERROR(INDEX(Cross_Tab_Questions_Options_Names,MATCH(All_Questions_Q26_CT,Cross_Tab_Questions,0)),"'_Options'!$E$2:$E$2")),6),""))</f>
        <v/>
      </c>
      <c r="L23" s="2" t="str">
        <f>IF(All_Questions_Q26_CT="(None)","",IFERROR(INDEX(INDIRECT(IFERROR(INDEX(Cross_Tab_Questions_Options_Names,MATCH(All_Questions_Q26_CT,Cross_Tab_Questions,0)),"'_Options'!$E$2:$E$2")),7),""))</f>
        <v/>
      </c>
      <c r="M23" s="2" t="str">
        <f>IF(All_Questions_Q26_CT="(None)","",IFERROR(INDEX(INDIRECT(IFERROR(INDEX(Cross_Tab_Questions_Options_Names,MATCH(All_Questions_Q26_CT,Cross_Tab_Questions,0)),"'_Options'!$E$2:$E$2")),8),""))</f>
        <v/>
      </c>
      <c r="N23" s="2" t="str">
        <f>IF(All_Questions_Q26_CT="(None)","",IFERROR(INDEX(INDIRECT(IFERROR(INDEX(Cross_Tab_Questions_Options_Names,MATCH(All_Questions_Q26_CT,Cross_Tab_Questions,0)),"'_Options'!$E$2:$E$2")),9),""))</f>
        <v/>
      </c>
      <c r="O23" s="2" t="str">
        <f>IF(All_Questions_Q26_CT="(None)","",IFERROR(INDEX(INDIRECT(IFERROR(INDEX(Cross_Tab_Questions_Options_Names,MATCH(All_Questions_Q26_CT,Cross_Tab_Questions,0)),"'_Options'!$E$2:$E$2")),10),""))</f>
        <v/>
      </c>
      <c r="P23" s="2" t="str">
        <f>IF(All_Questions_Q26_CT="(None)","",IFERROR(INDEX(INDIRECT(IFERROR(INDEX(Cross_Tab_Questions_Options_Names,MATCH(All_Questions_Q26_CT,Cross_Tab_Questions,0)),"'_Options'!$E$2:$E$2")),11),""))</f>
        <v/>
      </c>
      <c r="Q23" s="2" t="str">
        <f>IF(All_Questions_Q26_CT="(None)","",IFERROR(INDEX(INDIRECT(IFERROR(INDEX(Cross_Tab_Questions_Options_Names,MATCH(All_Questions_Q26_CT,Cross_Tab_Questions,0)),"'_Options'!$E$2:$E$2")),12),""))</f>
        <v/>
      </c>
      <c r="R23" s="2" t="str">
        <f>IF(All_Questions_Q26_CT="(None)","",IF(COUNTA(INDIRECT(IFERROR(INDEX(Cross_Tab_Questions_Options_Names,MATCH(All_Questions_Q26_CT,Cross_Tab_Questions,0)),"'_Options'!$E$2:$E$2")))-1&gt;11,"Other",IFERROR(INDEX(INDIRECT(IFERROR(INDEX(Cross_Tab_Questions_Options_Names,MATCH(All_Questions_Q26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  <c r="O24" s="4" t="inlineStr">
        <is>
          <t># of resp</t>
        </is>
      </c>
      <c r="P24" s="4" t="inlineStr">
        <is>
          <t># of resp</t>
        </is>
      </c>
      <c r="Q24" s="4" t="inlineStr">
        <is>
          <t># of resp</t>
        </is>
      </c>
      <c r="R24" s="4" t="inlineStr">
        <is>
          <t># of resp</t>
        </is>
      </c>
      <c r="S24" s="4" t="inlineStr">
        <is>
          <t># of resp</t>
        </is>
      </c>
    </row>
    <row r="25">
      <c r="F25" t="inlineStr">
        <is>
          <t>Finance</t>
        </is>
      </c>
      <c r="G25" s="16">
        <f>IF(OR(All_Questions_Q26_CT="(None)",G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5" s="16">
        <f>IF(OR(All_Questions_Q26_CT="(None)",H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5" s="16">
        <f>IF(OR(All_Questions_Q26_CT="(None)",I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5" s="16">
        <f>IF(OR(All_Questions_Q26_CT="(None)",J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5" s="16">
        <f>IF(OR(All_Questions_Q26_CT="(None)",K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5" s="16">
        <f>IF(OR(All_Questions_Q26_CT="(None)",L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5" s="16">
        <f>IF(OR(All_Questions_Q26_CT="(None)",M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5" s="16">
        <f>IF(OR(All_Questions_Q26_CT="(None)",N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5" s="16">
        <f>IF(OR(All_Questions_Q26_CT="(None)",O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5" s="16">
        <f>IF(OR(All_Questions_Q26_CT="(None)",P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5" s="16">
        <f>IF(OR(All_Questions_Q26_CT="(None)",Q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5" s="16">
        <f>IF(OR(All_Questions_Q26_CT="(None)",R$23=""),"",IF(R$23="Other",COUNTIFS(Q26r2c2_data,"Selected",passes_workbook_filters_data,1,passes_workbook_custom_filters_data,1,All_Questions_passes_local_filters_data,1,All_Questions_Q26_F_passes_per_q_filter_data,1)-SUM(G25,H25,I25,J25,K25,L25,M25,N25,O25,P25,Q25)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5" s="16">
        <f>IF(All_Questions_Q26_CT="(None)","",COUNTIFS(Q26r2c2_data,"Selected",passes_workbook_filters_data,1,passes_workbook_custom_filters_data,1,All_Questions_passes_local_filters_data,1,All_Questions_Q26_F_passes_per_q_filter_data,1))</f>
        <v>0</v>
      </c>
    </row>
    <row r="26">
      <c r="F26" t="inlineStr">
        <is>
          <t>IT / Technical</t>
        </is>
      </c>
      <c r="G26" s="16">
        <f>IF(OR(All_Questions_Q26_CT="(None)",G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6" s="16">
        <f>IF(OR(All_Questions_Q26_CT="(None)",H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6" s="16">
        <f>IF(OR(All_Questions_Q26_CT="(None)",I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6" s="16">
        <f>IF(OR(All_Questions_Q26_CT="(None)",J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6" s="16">
        <f>IF(OR(All_Questions_Q26_CT="(None)",K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6" s="16">
        <f>IF(OR(All_Questions_Q26_CT="(None)",L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6" s="16">
        <f>IF(OR(All_Questions_Q26_CT="(None)",M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6" s="16">
        <f>IF(OR(All_Questions_Q26_CT="(None)",N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6" s="16">
        <f>IF(OR(All_Questions_Q26_CT="(None)",O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6" s="16">
        <f>IF(OR(All_Questions_Q26_CT="(None)",P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6" s="16">
        <f>IF(OR(All_Questions_Q26_CT="(None)",Q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6" s="16">
        <f>IF(OR(All_Questions_Q26_CT="(None)",R$23=""),"",IF(R$23="Other",COUNTIFS(Q26r1c2_data,"Selected",passes_workbook_filters_data,1,passes_workbook_custom_filters_data,1,All_Questions_passes_local_filters_data,1,All_Questions_Q26_F_passes_per_q_filter_data,1)-SUM(G26,H26,I26,J26,K26,L26,M26,N26,O26,P26,Q26)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6" s="16">
        <f>IF(All_Questions_Q26_CT="(None)","",COUNTIFS(Q26r1c2_data,"Selected",passes_workbook_filters_data,1,passes_workbook_custom_filters_data,1,All_Questions_passes_local_filters_data,1,All_Questions_Q26_F_passes_per_q_filter_data,1))</f>
        <v>0</v>
      </c>
    </row>
    <row r="27">
      <c r="F27" t="inlineStr">
        <is>
          <t>IT / Technical</t>
        </is>
      </c>
      <c r="G27" s="16">
        <f>IF(OR(All_Questions_Q26_CT="(None)",G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7" s="16">
        <f>IF(OR(All_Questions_Q26_CT="(None)",H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7" s="16">
        <f>IF(OR(All_Questions_Q26_CT="(None)",I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7" s="16">
        <f>IF(OR(All_Questions_Q26_CT="(None)",J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7" s="16">
        <f>IF(OR(All_Questions_Q26_CT="(None)",K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7" s="16">
        <f>IF(OR(All_Questions_Q26_CT="(None)",L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7" s="16">
        <f>IF(OR(All_Questions_Q26_CT="(None)",M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7" s="16">
        <f>IF(OR(All_Questions_Q26_CT="(None)",N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7" s="16">
        <f>IF(OR(All_Questions_Q26_CT="(None)",O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7" s="16">
        <f>IF(OR(All_Questions_Q26_CT="(None)",P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7" s="16">
        <f>IF(OR(All_Questions_Q26_CT="(None)",Q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7" s="16">
        <f>IF(OR(All_Questions_Q26_CT="(None)",R$23=""),"",IF(R$23="Other",COUNTIFS(Q26r1c3_data,"Selected",passes_workbook_filters_data,1,passes_workbook_custom_filters_data,1,All_Questions_passes_local_filters_data,1,All_Questions_Q26_F_passes_per_q_filter_data,1)-SUM(G27,H27,I27,J27,K27,L27,M27,N27,O27,P27,Q27)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7" s="16">
        <f>IF(All_Questions_Q26_CT="(None)","",COUNTIFS(Q26r1c3_data,"Selected",passes_workbook_filters_data,1,passes_workbook_custom_filters_data,1,All_Questions_passes_local_filters_data,1,All_Questions_Q26_F_passes_per_q_filter_data,1))</f>
        <v>0</v>
      </c>
    </row>
    <row r="28">
      <c r="F28" t="inlineStr">
        <is>
          <t>IT / Technical</t>
        </is>
      </c>
      <c r="G28" s="16">
        <f>IF(OR(All_Questions_Q26_CT="(None)",G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8" s="16">
        <f>IF(OR(All_Questions_Q26_CT="(None)",H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8" s="16">
        <f>IF(OR(All_Questions_Q26_CT="(None)",I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8" s="16">
        <f>IF(OR(All_Questions_Q26_CT="(None)",J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8" s="16">
        <f>IF(OR(All_Questions_Q26_CT="(None)",K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8" s="16">
        <f>IF(OR(All_Questions_Q26_CT="(None)",L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8" s="16">
        <f>IF(OR(All_Questions_Q26_CT="(None)",M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8" s="16">
        <f>IF(OR(All_Questions_Q26_CT="(None)",N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8" s="16">
        <f>IF(OR(All_Questions_Q26_CT="(None)",O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8" s="16">
        <f>IF(OR(All_Questions_Q26_CT="(None)",P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8" s="16">
        <f>IF(OR(All_Questions_Q26_CT="(None)",Q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8" s="16">
        <f>IF(OR(All_Questions_Q26_CT="(None)",R$23=""),"",IF(R$23="Other",COUNTIFS(Q26r1c1_data,"Selected",passes_workbook_filters_data,1,passes_workbook_custom_filters_data,1,All_Questions_passes_local_filters_data,1,All_Questions_Q26_F_passes_per_q_filter_data,1)-SUM(G28,H28,I28,J28,K28,L28,M28,N28,O28,P28,Q28)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8" s="16">
        <f>IF(All_Questions_Q26_CT="(None)","",COUNTIFS(Q26r1c1_data,"Selected",passes_workbook_filters_data,1,passes_workbook_custom_filters_data,1,All_Questions_passes_local_filters_data,1,All_Questions_Q26_F_passes_per_q_filter_data,1))</f>
        <v>0</v>
      </c>
    </row>
    <row r="29">
      <c r="F29" t="inlineStr">
        <is>
          <t>Finance</t>
        </is>
      </c>
      <c r="G29" s="16">
        <f>IF(OR(All_Questions_Q26_CT="(None)",G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9" s="16">
        <f>IF(OR(All_Questions_Q26_CT="(None)",H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9" s="16">
        <f>IF(OR(All_Questions_Q26_CT="(None)",I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9" s="16">
        <f>IF(OR(All_Questions_Q26_CT="(None)",J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9" s="16">
        <f>IF(OR(All_Questions_Q26_CT="(None)",K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9" s="16">
        <f>IF(OR(All_Questions_Q26_CT="(None)",L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9" s="16">
        <f>IF(OR(All_Questions_Q26_CT="(None)",M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9" s="16">
        <f>IF(OR(All_Questions_Q26_CT="(None)",N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9" s="16">
        <f>IF(OR(All_Questions_Q26_CT="(None)",O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9" s="16">
        <f>IF(OR(All_Questions_Q26_CT="(None)",P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9" s="16">
        <f>IF(OR(All_Questions_Q26_CT="(None)",Q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9" s="16">
        <f>IF(OR(All_Questions_Q26_CT="(None)",R$23=""),"",IF(R$23="Other",COUNTIFS(Q26r2c3_data,"Selected",passes_workbook_filters_data,1,passes_workbook_custom_filters_data,1,All_Questions_passes_local_filters_data,1,All_Questions_Q26_F_passes_per_q_filter_data,1)-SUM(G29,H29,I29,J29,K29,L29,M29,N29,O29,P29,Q29)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9" s="16">
        <f>IF(All_Questions_Q26_CT="(None)","",COUNTIFS(Q26r2c3_data,"Selected",passes_workbook_filters_data,1,passes_workbook_custom_filters_data,1,All_Questions_passes_local_filters_data,1,All_Questions_Q26_F_passes_per_q_filter_data,1))</f>
        <v>0</v>
      </c>
    </row>
    <row r="30">
      <c r="F30" t="inlineStr">
        <is>
          <t>Finance</t>
        </is>
      </c>
      <c r="G30" s="16">
        <f>IF(OR(All_Questions_Q26_CT="(None)",G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30" s="16">
        <f>IF(OR(All_Questions_Q26_CT="(None)",H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30" s="16">
        <f>IF(OR(All_Questions_Q26_CT="(None)",I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30" s="16">
        <f>IF(OR(All_Questions_Q26_CT="(None)",J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30" s="16">
        <f>IF(OR(All_Questions_Q26_CT="(None)",K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30" s="16">
        <f>IF(OR(All_Questions_Q26_CT="(None)",L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30" s="16">
        <f>IF(OR(All_Questions_Q26_CT="(None)",M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30" s="16">
        <f>IF(OR(All_Questions_Q26_CT="(None)",N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30" s="16">
        <f>IF(OR(All_Questions_Q26_CT="(None)",O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30" s="16">
        <f>IF(OR(All_Questions_Q26_CT="(None)",P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30" s="16">
        <f>IF(OR(All_Questions_Q26_CT="(None)",Q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30" s="16">
        <f>IF(OR(All_Questions_Q26_CT="(None)",R$23=""),"",IF(R$23="Other",COUNTIFS(Q26r2c1_data,"Selected",passes_workbook_filters_data,1,passes_workbook_custom_filters_data,1,All_Questions_passes_local_filters_data,1,All_Questions_Q26_F_passes_per_q_filter_data,1)-SUM(G30,H30,I30,J30,K30,L30,M30,N30,O30,P30,Q30)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30" s="16">
        <f>IF(All_Questions_Q26_CT="(None)","",COUNTIFS(Q26r2c1_data,"Selected",passes_workbook_filters_data,1,passes_workbook_custom_filters_data,1,All_Questions_passes_local_filters_data,1,All_Questions_Q26_F_passes_per_q_filter_data,1))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IF(All_Questions_Q26_CT="(None)","",COUNTIFS(respondent_id_data,"&lt;&gt;",passes_workbook_filters_data,1,passes_workbook_custom_filters_data,1,All_Questions_passes_local_filters_data,1,All_Questions_Q26_F_passes_per_q_filter_data,1))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3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3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3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3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3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3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2026-06-09T06:48:37Z</dcterms:created>
  <dcterms:modified xmlns:dcterms="http://purl.org/dc/terms/" xmlns:xsi="http://www.w3.org/2001/XMLSchema-instance" xsi:type="dcterms:W3CDTF">2026-06-09T06:48:38Z</dcterms:modified>
</cp:coreProperties>
</file>