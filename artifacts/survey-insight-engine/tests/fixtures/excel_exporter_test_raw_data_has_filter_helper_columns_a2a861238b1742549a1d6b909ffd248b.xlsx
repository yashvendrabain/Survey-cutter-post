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n"/>
      <c r="I17" s="2" t="str">
        <f>IF(Demographics_Q_SS_EXPORT_CT="(None)","",IFERROR(INDEX(INDIRECT(IFERROR(INDEX(All_Questions_Options_Names,MATCH(Demographics_Q_SS_EXPORT_CT,All_Questions,0)),"'_Options'!$E$2:$E$2")),3),""))</f>
        <v/>
      </c>
      <c r="J17" s="2" t="n"/>
      <c r="K17" s="2" t="str">
        <f>IF(Demographics_Q_SS_EXPORT_CT="(None)","",IFERROR(INDEX(INDIRECT(IFERROR(INDEX(All_Questions_Options_Names,MATCH(Demographics_Q_SS_EXPORT_CT,All_Questions,0)),"'_Options'!$E$2:$E$2")),4),""))</f>
        <v/>
      </c>
      <c r="L17" s="2" t="n"/>
      <c r="M17" s="2" t="str">
        <f>IF(Demographics_Q_SS_EXPORT_CT="(None)","",IFERROR(INDEX(INDIRECT(IFERROR(INDEX(All_Questions_Options_Names,MATCH(Demographics_Q_SS_EXPORT_CT,All_Questions,0)),"'_Options'!$E$2:$E$2")),5),""))</f>
        <v/>
      </c>
      <c r="N17" s="2" t="n"/>
      <c r="O17" s="2" t="str">
        <f>IF(Demographics_Q_SS_EXPORT_CT="(None)","",IFERROR(INDEX(INDIRECT(IFERROR(INDEX(All_Questions_Options_Names,MATCH(Demographics_Q_SS_EXPORT_CT,All_Questions,0)),"'_Options'!$E$2:$E$2")),6),""))</f>
        <v/>
      </c>
      <c r="P17" s="2" t="n"/>
      <c r="Q17" s="2" t="str">
        <f>IF(Demographics_Q_SS_EXPORT_CT="(None)","",IFERROR(INDEX(INDIRECT(IFERROR(INDEX(All_Questions_Options_Names,MATCH(Demographics_Q_SS_EXPORT_CT,All_Questions,0)),"'_Options'!$E$2:$E$2")),7),""))</f>
        <v/>
      </c>
      <c r="R17" s="2" t="n"/>
      <c r="S17" s="2" t="str">
        <f>IF(Demographics_Q_SS_EXPORT_CT="(None)","",IFERROR(INDEX(INDIRECT(IFERROR(INDEX(All_Questions_Options_Names,MATCH(Demographics_Q_SS_EXPORT_CT,All_Questions,0)),"'_Options'!$E$2:$E$2")),8),""))</f>
        <v/>
      </c>
      <c r="T17" s="2" t="n"/>
      <c r="U17" s="2" t="str">
        <f>IF(Demographics_Q_SS_EXPORT_CT="(None)","",IFERROR(INDEX(INDIRECT(IFERROR(INDEX(All_Questions_Options_Names,MATCH(Demographics_Q_SS_EXPORT_CT,All_Questions,0)),"'_Options'!$E$2:$E$2")),9),""))</f>
        <v/>
      </c>
      <c r="V17" s="2" t="n"/>
      <c r="W17" s="2" t="str">
        <f>IF(Demographics_Q_SS_EXPORT_CT="(None)","",IFERROR(INDEX(INDIRECT(IFERROR(INDEX(All_Questions_Options_Names,MATCH(Demographics_Q_SS_EXPORT_CT,All_Questions,0)),"'_Options'!$E$2:$E$2")),10),""))</f>
        <v/>
      </c>
      <c r="X17" s="2" t="n"/>
      <c r="Y17" s="2" t="str">
        <f>IF(Demographics_Q_SS_EXPORT_CT="(None)","",IFERROR(INDEX(INDIRECT(IFERROR(INDEX(All_Questions_Options_Names,MATCH(Demographics_Q_SS_EXPORT_CT,All_Questions,0)),"'_Options'!$E$2:$E$2")),11),""))</f>
        <v/>
      </c>
      <c r="Z17" s="2" t="n"/>
      <c r="AA17" s="2" t="str">
        <f>IF(Demographics_Q_SS_EXPORT_CT="(None)","",IFERROR(INDEX(INDIRECT(IFERROR(INDEX(All_Questions_Options_Names,MATCH(Demographics_Q_SS_EXPORT_CT,All_Questions,0)),"'_Options'!$E$2:$E$2")),12),""))</f>
        <v/>
      </c>
      <c r="AB17" s="2" t="n"/>
      <c r="AC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n"/>
      <c r="I17" s="2" t="str">
        <f>IF(All_Questions_Q_MS_EXPORT_CT="(None)","",IFERROR(INDEX(INDIRECT(IFERROR(INDEX(All_Questions_Options_Names,MATCH(All_Questions_Q_MS_EXPORT_CT,All_Questions,0)),"'_Options'!$E$2:$E$2")),3),""))</f>
        <v/>
      </c>
      <c r="J17" s="2" t="n"/>
      <c r="K17" s="2" t="str">
        <f>IF(All_Questions_Q_MS_EXPORT_CT="(None)","",IFERROR(INDEX(INDIRECT(IFERROR(INDEX(All_Questions_Options_Names,MATCH(All_Questions_Q_MS_EXPORT_CT,All_Questions,0)),"'_Options'!$E$2:$E$2")),4),""))</f>
        <v/>
      </c>
      <c r="L17" s="2" t="n"/>
      <c r="M17" s="2" t="str">
        <f>IF(All_Questions_Q_MS_EXPORT_CT="(None)","",IFERROR(INDEX(INDIRECT(IFERROR(INDEX(All_Questions_Options_Names,MATCH(All_Questions_Q_MS_EXPORT_CT,All_Questions,0)),"'_Options'!$E$2:$E$2")),5),""))</f>
        <v/>
      </c>
      <c r="N17" s="2" t="n"/>
      <c r="O17" s="2" t="str">
        <f>IF(All_Questions_Q_MS_EXPORT_CT="(None)","",IFERROR(INDEX(INDIRECT(IFERROR(INDEX(All_Questions_Options_Names,MATCH(All_Questions_Q_MS_EXPORT_CT,All_Questions,0)),"'_Options'!$E$2:$E$2")),6),""))</f>
        <v/>
      </c>
      <c r="P17" s="2" t="n"/>
      <c r="Q17" s="2" t="str">
        <f>IF(All_Questions_Q_MS_EXPORT_CT="(None)","",IFERROR(INDEX(INDIRECT(IFERROR(INDEX(All_Questions_Options_Names,MATCH(All_Questions_Q_MS_EXPORT_CT,All_Questions,0)),"'_Options'!$E$2:$E$2")),7),""))</f>
        <v/>
      </c>
      <c r="R17" s="2" t="n"/>
      <c r="S17" s="2" t="str">
        <f>IF(All_Questions_Q_MS_EXPORT_CT="(None)","",IFERROR(INDEX(INDIRECT(IFERROR(INDEX(All_Questions_Options_Names,MATCH(All_Questions_Q_MS_EXPORT_CT,All_Questions,0)),"'_Options'!$E$2:$E$2")),8),""))</f>
        <v/>
      </c>
      <c r="T17" s="2" t="n"/>
      <c r="U17" s="2" t="str">
        <f>IF(All_Questions_Q_MS_EXPORT_CT="(None)","",IFERROR(INDEX(INDIRECT(IFERROR(INDEX(All_Questions_Options_Names,MATCH(All_Questions_Q_MS_EXPORT_CT,All_Questions,0)),"'_Options'!$E$2:$E$2")),9),""))</f>
        <v/>
      </c>
      <c r="V17" s="2" t="n"/>
      <c r="W17" s="2" t="str">
        <f>IF(All_Questions_Q_MS_EXPORT_CT="(None)","",IFERROR(INDEX(INDIRECT(IFERROR(INDEX(All_Questions_Options_Names,MATCH(All_Questions_Q_MS_EXPORT_CT,All_Questions,0)),"'_Options'!$E$2:$E$2")),10),""))</f>
        <v/>
      </c>
      <c r="X17" s="2" t="n"/>
      <c r="Y17" s="2" t="str">
        <f>IF(All_Questions_Q_MS_EXPORT_CT="(None)","",IFERROR(INDEX(INDIRECT(IFERROR(INDEX(All_Questions_Options_Names,MATCH(All_Questions_Q_MS_EXPORT_CT,All_Questions,0)),"'_Options'!$E$2:$E$2")),11),""))</f>
        <v/>
      </c>
      <c r="Z17" s="2" t="n"/>
      <c r="AA17" s="2" t="str">
        <f>IF(All_Questions_Q_MS_EXPORT_CT="(None)","",IFERROR(INDEX(INDIRECT(IFERROR(INDEX(All_Questions_Options_Names,MATCH(All_Questions_Q_MS_EXPORT_CT,All_Questions,0)),"'_Options'!$E$2:$E$2")),12),""))</f>
        <v/>
      </c>
      <c r="AB17" s="2" t="n"/>
      <c r="AC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n"/>
      <c r="I39" s="2" t="str">
        <f>IF(All_Questions_Q_GRID_EXPORT_CT="(None)","",IFERROR(INDEX(INDIRECT(IFERROR(INDEX(All_Questions_Options_Names,MATCH(All_Questions_Q_GRID_EXPORT_CT,All_Questions,0)),"'_Options'!$E$2:$E$2")),3),""))</f>
        <v/>
      </c>
      <c r="J39" s="2" t="n"/>
      <c r="K39" s="2" t="str">
        <f>IF(All_Questions_Q_GRID_EXPORT_CT="(None)","",IFERROR(INDEX(INDIRECT(IFERROR(INDEX(All_Questions_Options_Names,MATCH(All_Questions_Q_GRID_EXPORT_CT,All_Questions,0)),"'_Options'!$E$2:$E$2")),4),""))</f>
        <v/>
      </c>
      <c r="L39" s="2" t="n"/>
      <c r="M39" s="2" t="str">
        <f>IF(All_Questions_Q_GRID_EXPORT_CT="(None)","",IFERROR(INDEX(INDIRECT(IFERROR(INDEX(All_Questions_Options_Names,MATCH(All_Questions_Q_GRID_EXPORT_CT,All_Questions,0)),"'_Options'!$E$2:$E$2")),5),""))</f>
        <v/>
      </c>
      <c r="N39" s="2" t="n"/>
      <c r="O39" s="2" t="str">
        <f>IF(All_Questions_Q_GRID_EXPORT_CT="(None)","",IFERROR(INDEX(INDIRECT(IFERROR(INDEX(All_Questions_Options_Names,MATCH(All_Questions_Q_GRID_EXPORT_CT,All_Questions,0)),"'_Options'!$E$2:$E$2")),6),""))</f>
        <v/>
      </c>
      <c r="P39" s="2" t="n"/>
      <c r="Q39" s="2" t="str">
        <f>IF(All_Questions_Q_GRID_EXPORT_CT="(None)","",IFERROR(INDEX(INDIRECT(IFERROR(INDEX(All_Questions_Options_Names,MATCH(All_Questions_Q_GRID_EXPORT_CT,All_Questions,0)),"'_Options'!$E$2:$E$2")),7),""))</f>
        <v/>
      </c>
      <c r="R39" s="2" t="n"/>
      <c r="S39" s="2" t="str">
        <f>IF(All_Questions_Q_GRID_EXPORT_CT="(None)","",IFERROR(INDEX(INDIRECT(IFERROR(INDEX(All_Questions_Options_Names,MATCH(All_Questions_Q_GRID_EXPORT_CT,All_Questions,0)),"'_Options'!$E$2:$E$2")),8),""))</f>
        <v/>
      </c>
      <c r="T39" s="2" t="n"/>
      <c r="U39" s="2" t="str">
        <f>IF(All_Questions_Q_GRID_EXPORT_CT="(None)","",IFERROR(INDEX(INDIRECT(IFERROR(INDEX(All_Questions_Options_Names,MATCH(All_Questions_Q_GRID_EXPORT_CT,All_Questions,0)),"'_Options'!$E$2:$E$2")),9),""))</f>
        <v/>
      </c>
      <c r="V39" s="2" t="n"/>
      <c r="W39" s="2" t="str">
        <f>IF(All_Questions_Q_GRID_EXPORT_CT="(None)","",IFERROR(INDEX(INDIRECT(IFERROR(INDEX(All_Questions_Options_Names,MATCH(All_Questions_Q_GRID_EXPORT_CT,All_Questions,0)),"'_Options'!$E$2:$E$2")),10),""))</f>
        <v/>
      </c>
      <c r="X39" s="2" t="n"/>
      <c r="Y39" s="2" t="str">
        <f>IF(All_Questions_Q_GRID_EXPORT_CT="(None)","",IFERROR(INDEX(INDIRECT(IFERROR(INDEX(All_Questions_Options_Names,MATCH(All_Questions_Q_GRID_EXPORT_CT,All_Questions,0)),"'_Options'!$E$2:$E$2")),11),""))</f>
        <v/>
      </c>
      <c r="Z39" s="2" t="n"/>
      <c r="AA39" s="2" t="str">
        <f>IF(All_Questions_Q_GRID_EXPORT_CT="(None)","",IFERROR(INDEX(INDIRECT(IFERROR(INDEX(All_Questions_Options_Names,MATCH(All_Questions_Q_GRID_EXPORT_CT,All_Questions,0)),"'_Options'!$E$2:$E$2")),12),""))</f>
        <v/>
      </c>
      <c r="AB39" s="2" t="n"/>
      <c r="AC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n"/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49" s="2" t="n"/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49" s="2" t="n"/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49" s="2" t="n"/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49" s="2" t="n"/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49" s="2" t="n"/>
      <c r="S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49" s="2" t="n"/>
      <c r="U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49" s="2" t="n"/>
      <c r="W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49" s="2" t="n"/>
      <c r="Y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49" s="2" t="n"/>
      <c r="AA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49" s="2" t="n"/>
      <c r="AC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2026-05-18T12:48:45Z</dcterms:created>
  <dcterms:modified xmlns:dcterms="http://purl.org/dc/terms/" xmlns:xsi="http://www.w3.org/2001/XMLSchema-instance" xsi:type="dcterms:W3CDTF">2026-05-18T12:48:45Z</dcterms:modified>
</cp:coreProperties>
</file>