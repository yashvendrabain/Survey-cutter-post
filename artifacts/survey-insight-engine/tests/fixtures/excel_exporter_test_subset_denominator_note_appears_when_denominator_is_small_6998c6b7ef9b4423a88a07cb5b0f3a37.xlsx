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B50" i="7"/>
  <c r="C50" i="7"/>
  <c r="D50" i="7"/>
  <c r="G50" i="7"/>
  <c r="H50" i="7"/>
  <c r="I50" i="7"/>
  <c r="J50" i="7"/>
  <c r="K50" i="7"/>
  <c r="L50" i="7"/>
  <c r="M50" i="7"/>
  <c r="N50" i="7"/>
  <c r="O50" i="7"/>
  <c r="B51" i="7"/>
  <c r="C51" i="7"/>
  <c r="D51" i="7"/>
  <c r="G51" i="7"/>
  <c r="H51" i="7"/>
  <c r="I51" i="7"/>
  <c r="J51" i="7"/>
  <c r="K51" i="7"/>
  <c r="L51" i="7"/>
  <c r="M51" i="7"/>
  <c r="N51" i="7"/>
  <c r="O51" i="7"/>
  <c r="F56" i="7"/>
  <c r="G56" i="7"/>
  <c r="G59" i="7"/>
  <c r="H59" i="7"/>
  <c r="I59" i="7"/>
  <c r="J59" i="7"/>
  <c r="K59" i="7"/>
  <c r="L59" i="7"/>
  <c r="M59" i="7"/>
  <c r="N59" i="7"/>
  <c r="B60" i="7"/>
  <c r="C60" i="7"/>
  <c r="D60" i="7"/>
  <c r="G60" i="7"/>
  <c r="H60" i="7"/>
  <c r="I60" i="7"/>
  <c r="J60" i="7"/>
  <c r="K60" i="7"/>
  <c r="L60" i="7"/>
  <c r="M60" i="7"/>
  <c r="N60" i="7"/>
  <c r="O60" i="7"/>
  <c r="B61" i="7"/>
  <c r="C61" i="7"/>
  <c r="D61" i="7"/>
  <c r="G61" i="7"/>
  <c r="H61" i="7"/>
  <c r="I61" i="7"/>
  <c r="J61" i="7"/>
  <c r="K61" i="7"/>
  <c r="L61" i="7"/>
  <c r="M61" i="7"/>
  <c r="N61" i="7"/>
  <c r="O6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3" authorId="0" shapeId="0">
      <text>
        <t>Multi select export question</t>
      </text>
    </comment>
    <comment ref="A33" authorId="0" shapeId="0">
      <text>
        <t>Numeric export question</t>
      </text>
    </comment>
    <comment ref="A45" authorId="0" shapeId="0">
      <text>
        <t>Grid export question</t>
      </text>
    </comment>
    <comment ref="A5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IFERROR(INDEX(INDIRECT(XLOOKUP(All_Questions_Q_SS_EXPORT_CT,All_Questions,All_Questions_Options_Names,"None_options")),2),"")</f>
        <v/>
      </c>
      <c r="H17" t="str">
        <f>IFERROR(INDEX(INDIRECT(XLOOKUP(All_Questions_Q_SS_EXPORT_CT,All_Questions,All_Questions_Options_Names,"None_options")),3),"")</f>
        <v/>
      </c>
      <c r="I17" t="str">
        <f>IFERROR(INDEX(INDIRECT(XLOOKUP(All_Questions_Q_SS_EXPORT_CT,All_Questions,All_Questions_Options_Names,"None_options")),4),"")</f>
        <v/>
      </c>
      <c r="J17" t="str">
        <f>IFERROR(INDEX(INDIRECT(XLOOKUP(All_Questions_Q_SS_EXPORT_CT,All_Questions,All_Questions_Options_Names,"None_options")),5),"")</f>
        <v/>
      </c>
      <c r="K17" t="str">
        <f>IFERROR(INDEX(INDIRECT(XLOOKUP(All_Questions_Q_SS_EXPORT_CT,All_Questions,All_Questions_Options_Names,"None_options")),6),"")</f>
        <v/>
      </c>
      <c r="L17" t="str">
        <f>IFERROR(INDEX(INDIRECT(XLOOKUP(All_Questions_Q_SS_EXPORT_CT,All_Questions,All_Questions_Options_Names,"None_options")),7),"")</f>
        <v/>
      </c>
      <c r="M17" t="str">
        <f>IFERROR(INDEX(INDIRECT(XLOOKUP(All_Questions_Q_SS_EXPORT_CT,All_Questions,All_Questions_Options_Names,"None_options")),8),"")</f>
        <v/>
      </c>
      <c r="N17" t="str">
        <f>IFERROR(INDEX(INDIRECT(XLOOKUP(All_Questions_Q_SS_EXPORT_CT,All_Questions,All_Questions_Options_Names,"None_options")),9),"")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t="inlineStr">
        <is>
          <t>Yes</t>
        </is>
      </c>
      <c r="G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No</t>
        </is>
      </c>
      <c r="G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9">
        <f>SUM(G19:N19)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IFERROR(INDEX(INDIRECT(XLOOKUP(All_Questions_Q_MS_EXPORT_CT,All_Questions,All_Questions_Options_Names,"None_options")),2),"")</f>
        <v/>
      </c>
      <c r="H27" t="str">
        <f>IFERROR(INDEX(INDIRECT(XLOOKUP(All_Questions_Q_MS_EXPORT_CT,All_Questions,All_Questions_Options_Names,"None_options")),3),"")</f>
        <v/>
      </c>
      <c r="I27" t="str">
        <f>IFERROR(INDEX(INDIRECT(XLOOKUP(All_Questions_Q_MS_EXPORT_CT,All_Questions,All_Questions_Options_Names,"None_options")),4),"")</f>
        <v/>
      </c>
      <c r="J27" t="str">
        <f>IFERROR(INDEX(INDIRECT(XLOOKUP(All_Questions_Q_MS_EXPORT_CT,All_Questions,All_Questions_Options_Names,"None_options")),5),"")</f>
        <v/>
      </c>
      <c r="K27" t="str">
        <f>IFERROR(INDEX(INDIRECT(XLOOKUP(All_Questions_Q_MS_EXPORT_CT,All_Questions,All_Questions_Options_Names,"None_options")),6),"")</f>
        <v/>
      </c>
      <c r="L27" t="str">
        <f>IFERROR(INDEX(INDIRECT(XLOOKUP(All_Questions_Q_MS_EXPORT_CT,All_Questions,All_Questions_Options_Names,"None_options")),7),"")</f>
        <v/>
      </c>
      <c r="M27" t="str">
        <f>IFERROR(INDEX(INDIRECT(XLOOKUP(All_Questions_Q_MS_EXPORT_CT,All_Questions,All_Questions_Options_Names,"None_options")),8),"")</f>
        <v/>
      </c>
      <c r="N27" t="str">
        <f>IFERROR(INDEX(INDIRECT(XLOOKUP(All_Questions_Q_MS_EXPORT_CT,All_Questions,All_Questions_Options_Names,"None_options")),9),"")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t="inlineStr">
        <is>
          <t>First</t>
        </is>
      </c>
      <c r="G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Second</t>
        </is>
      </c>
      <c r="G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9">
        <f>SUM(G29:N29)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IFERROR(INDEX(INDIRECT(XLOOKUP(All_Questions_Q_GRID_EXPORT_CT,All_Questions,All_Questions_Options_Names,"None_options")),2),"")</f>
        <v/>
      </c>
      <c r="H49" t="str">
        <f>IFERROR(INDEX(INDIRECT(XLOOKUP(All_Questions_Q_GRID_EXPORT_CT,All_Questions,All_Questions_Options_Names,"None_options")),3),"")</f>
        <v/>
      </c>
      <c r="I49" t="str">
        <f>IFERROR(INDEX(INDIRECT(XLOOKUP(All_Questions_Q_GRID_EXPORT_CT,All_Questions,All_Questions_Options_Names,"None_options")),4),"")</f>
        <v/>
      </c>
      <c r="J49" t="str">
        <f>IFERROR(INDEX(INDIRECT(XLOOKUP(All_Questions_Q_GRID_EXPORT_CT,All_Questions,All_Questions_Options_Names,"None_options")),5),"")</f>
        <v/>
      </c>
      <c r="K49" t="str">
        <f>IFERROR(INDEX(INDIRECT(XLOOKUP(All_Questions_Q_GRID_EXPORT_CT,All_Questions,All_Questions_Options_Names,"None_options")),6),"")</f>
        <v/>
      </c>
      <c r="L49" t="str">
        <f>IFERROR(INDEX(INDIRECT(XLOOKUP(All_Questions_Q_GRID_EXPORT_CT,All_Questions,All_Questions_Options_Names,"None_options")),7),"")</f>
        <v/>
      </c>
      <c r="M49" t="str">
        <f>IFERROR(INDEX(INDIRECT(XLOOKUP(All_Questions_Q_GRID_EXPORT_CT,All_Questions,All_Questions_Options_Names,"None_options")),8),"")</f>
        <v/>
      </c>
      <c r="N49" t="str">
        <f>IFERROR(INDEX(INDIRECT(XLOOKUP(All_Questions_Q_GRID_EXPORT_CT,All_Questions,All_Questions_Options_Names,"None_options")),9),"")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t="inlineStr">
        <is>
          <t>Grid first row</t>
        </is>
      </c>
      <c r="G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0">
        <f>SUM(G50:N50)</f>
        <v>0</v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second row</t>
        </is>
      </c>
      <c r="G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1">
        <f>SUM(G51:N51)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Q_VERY_LONG_SINGLE_SELECT_EXPORT_NAME - Long Sheet Name Export Question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5" t="inlineStr">
        <is>
          <t>Option \ Cross-tab</t>
        </is>
      </c>
      <c r="G59" t="str">
        <f>IFERROR(INDEX(INDIRECT(XLOOKUP(All_Questions_Q_VERY_LONG_SINGLE_SELECT_EXPORT_NAME_CT,All_Questions,All_Questions_Options_Names,"None_options")),2),"")</f>
        <v/>
      </c>
      <c r="H59" t="str">
        <f>IFERROR(INDEX(INDIRECT(XLOOKUP(All_Questions_Q_VERY_LONG_SINGLE_SELECT_EXPORT_NAME_CT,All_Questions,All_Questions_Options_Names,"None_options")),3),"")</f>
        <v/>
      </c>
      <c r="I59" t="str">
        <f>IFERROR(INDEX(INDIRECT(XLOOKUP(All_Questions_Q_VERY_LONG_SINGLE_SELECT_EXPORT_NAME_CT,All_Questions,All_Questions_Options_Names,"None_options")),4),"")</f>
        <v/>
      </c>
      <c r="J59" t="str">
        <f>IFERROR(INDEX(INDIRECT(XLOOKUP(All_Questions_Q_VERY_LONG_SINGLE_SELECT_EXPORT_NAME_CT,All_Questions,All_Questions_Options_Names,"None_options")),5),"")</f>
        <v/>
      </c>
      <c r="K59" t="str">
        <f>IFERROR(INDEX(INDIRECT(XLOOKUP(All_Questions_Q_VERY_LONG_SINGLE_SELECT_EXPORT_NAME_CT,All_Questions,All_Questions_Options_Names,"None_options")),6),"")</f>
        <v/>
      </c>
      <c r="L59" t="str">
        <f>IFERROR(INDEX(INDIRECT(XLOOKUP(All_Questions_Q_VERY_LONG_SINGLE_SELECT_EXPORT_NAME_CT,All_Questions,All_Questions_Options_Names,"None_options")),7),"")</f>
        <v/>
      </c>
      <c r="M59" t="str">
        <f>IFERROR(INDEX(INDIRECT(XLOOKUP(All_Questions_Q_VERY_LONG_SINGLE_SELECT_EXPORT_NAME_CT,All_Questions,All_Questions_Options_Names,"None_options")),8),"")</f>
        <v/>
      </c>
      <c r="N59" t="str">
        <f>IFERROR(INDEX(INDIRECT(XLOOKUP(All_Questions_Q_VERY_LONG_SINGLE_SELECT_EXPORT_NAME_CT,All_Questions,All_Questions_Options_Names,"None_options")),9),"")</f>
        <v/>
      </c>
      <c r="O59" s="5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t="inlineStr">
        <is>
          <t>A</t>
        </is>
      </c>
      <c r="G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0">
        <f>SUM(G60:N60)</f>
        <v>0</v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B</t>
        </is>
      </c>
      <c r="G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1">
        <f>SUM(G61:N61)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N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N6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2026-05-15T22:01:01Z</dcterms:created>
  <dcterms:modified xmlns:dcterms="http://purl.org/dc/terms/" xmlns:xsi="http://www.w3.org/2001/XMLSchema-instance" xsi:type="dcterms:W3CDTF">2026-05-15T22:01:01Z</dcterms:modified>
</cp:coreProperties>
</file>