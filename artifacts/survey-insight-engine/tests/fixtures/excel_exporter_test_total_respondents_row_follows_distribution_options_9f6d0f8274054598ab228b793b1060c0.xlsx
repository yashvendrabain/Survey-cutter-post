
<file path=[Content_Types].xml><?xml version="1.0" encoding="utf-8"?>
<ns0:Types xmlns:ns0="http://schemas.openxmlformats.org/package/2006/content-types">
  <ns0:Default Extension="rels" ContentType="application/vnd.openxmlformats-package.relationships+xml"/>
  <ns0:Default Extension="xml" ContentType="application/xml"/>
  <ns0:Override PartName="/xl/styles.xml" ContentType="application/vnd.openxmlformats-officedocument.spreadsheetml.styles+xml"/>
  <ns0:Override PartName="/xl/theme/theme1.xml" ContentType="application/vnd.openxmlformats-officedocument.theme+xml"/>
  <ns0:Override PartName="/docProps/core.xml" ContentType="application/vnd.openxmlformats-package.core-properties+xml"/>
  <ns0:Override PartName="/docProps/app.xml" ContentType="application/vnd.openxmlformats-officedocument.extended-properties+xml"/>
  <ns0:Override PartName="/xl/worksheets/sheet1.xml" ContentType="application/vnd.openxmlformats-officedocument.spreadsheetml.worksheet+xml"/>
  <ns0:Override PartName="/xl/worksheets/sheet2.xml" ContentType="application/vnd.openxmlformats-officedocument.spreadsheetml.worksheet+xml"/>
  <ns0:Override PartName="/xl/worksheets/sheet3.xml" ContentType="application/vnd.openxmlformats-officedocument.spreadsheetml.worksheet+xml"/>
  <ns0:Override PartName="/xl/worksheets/sheet4.xml" ContentType="application/vnd.openxmlformats-officedocument.spreadsheetml.worksheet+xml"/>
  <ns0:Override PartName="/xl/worksheets/sheet5.xml" ContentType="application/vnd.openxmlformats-officedocument.spreadsheetml.worksheet+xml"/>
  <ns0:Override PartName="/xl/worksheets/sheet6.xml" ContentType="application/vnd.openxmlformats-officedocument.spreadsheetml.worksheet+xml"/>
  <ns0:Override PartName="/xl/worksheets/sheet7.xml" ContentType="application/vnd.openxmlformats-officedocument.spreadsheetml.worksheet+xml"/>
  <ns0:Override PartName="/xl/tables/table1.xml" ContentType="application/vnd.openxmlformats-officedocument.spreadsheetml.table+xml"/>
  <ns0:Override PartName="/xl/tables/table2.xml" ContentType="application/vnd.openxmlformats-officedocument.spreadsheetml.table+xml"/>
  <ns0:Override PartName="/xl/tables/table3.xml" ContentType="application/vnd.openxmlformats-officedocument.spreadsheetml.table+xml"/>
  <ns0:Override PartName="/xl/tables/table4.xml" ContentType="application/vnd.openxmlformats-officedocument.spreadsheetml.table+xml"/>
  <ns0:Override PartName="/xl/tables/table5.xml" ContentType="application/vnd.openxmlformats-officedocument.spreadsheetml.table+xml"/>
  <ns0:Override PartName="/xl/worksheets/sheet8.xml" ContentType="application/vnd.openxmlformats-officedocument.spreadsheetml.worksheet+xml"/>
  <ns0:Override PartName="/xl/worksheets/sheet9.xml" ContentType="application/vnd.openxmlformats-officedocument.spreadsheetml.worksheet+xml"/>
  <ns0:Override PartName="/xl/worksheets/sheet10.xml" ContentType="application/vnd.openxmlformats-officedocument.spreadsheetml.worksheet+xml"/>
  <ns0:Override PartName="/xl/workbook.xml" ContentType="application/vnd.openxmlformats-officedocument.spreadsheetml.sheet.main+xml"/>
  <ns0:Override PartName="/xl/calcChain.xml" ContentType="application/vnd.openxmlformats-officedocument.spreadsheetml.calcChain+xml"/>
</ns0: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2" autoFilterDateGrouping="1"/>
  </bookViews>
  <sheets>
    <sheet xmlns:r="http://schemas.openxmlformats.org/officeDocument/2006/relationships" name="_RawData" sheetId="1" state="hidden" r:id="rId1"/>
    <sheet xmlns:r="http://schemas.openxmlformats.org/officeDocument/2006/relationships" name="_Options" sheetId="2" state="hidden" r:id="rId2"/>
    <sheet xmlns:r="http://schemas.openxmlformats.org/officeDocument/2006/relationships" name="Filters" sheetId="3" state="visible" r:id="rId3"/>
    <sheet xmlns:r="http://schemas.openxmlformats.org/officeDocument/2006/relationships" name="Run_Summary" sheetId="4" state="visible" r:id="rId4"/>
    <sheet xmlns:r="http://schemas.openxmlformats.org/officeDocument/2006/relationships" name="Question_Metadata" sheetId="5" state="visible" r:id="rId5"/>
    <sheet xmlns:r="http://schemas.openxmlformats.org/officeDocument/2006/relationships" name="Single_Cut_Index" sheetId="6" state="visible" r:id="rId6"/>
    <sheet xmlns:r="http://schemas.openxmlformats.org/officeDocument/2006/relationships" name="All Questions" sheetId="7" state="visible" r:id="rId7"/>
    <sheet xmlns:r="http://schemas.openxmlformats.org/officeDocument/2006/relationships" name="Calculation_Log" sheetId="8" state="visible" r:id="rId8"/>
    <sheet xmlns:r="http://schemas.openxmlformats.org/officeDocument/2006/relationships" name="Filter_Log" sheetId="9" state="visible" r:id="rId9"/>
    <sheet xmlns:r="http://schemas.openxmlformats.org/officeDocument/2006/relationships" name="Warnings" sheetId="10" state="visible" r:id="rId10"/>
  </sheets>
  <definedNames>
    <definedName name="respondent_id_data">'_RawData'!$A$2:$A$11</definedName>
    <definedName name="Q_SS_EXPORT_data">'_RawData'!$B$2:$B$11</definedName>
    <definedName name="Q_MS_EXPORTr1_data">'_RawData'!$C$2:$C$11</definedName>
    <definedName name="Q_MS_EXPORTr2_data">'_RawData'!$D$2:$D$11</definedName>
    <definedName name="Q_NUM_EXPORT_data">'_RawData'!$E$2:$E$11</definedName>
    <definedName name="Q_GRID_EXPORTr1_data">'_RawData'!$F$2:$F$11</definedName>
    <definedName name="Q_GRID_EXPORTr2_data">'_RawData'!$G$2:$G$11</definedName>
    <definedName name="Q_VERY_LONG_SINGLE_SELECT_EXPOR_data">'_RawData'!$H$2:$H$11</definedName>
    <definedName name="All_Questions">'_Options'!$A$2:$A$4</definedName>
    <definedName name="All_Questions_Local">'_Options'!$B$2:$B$5</definedName>
    <definedName name="None_options">'_Options'!$E$2:$E$2</definedName>
    <definedName name="Q_SS_EXPORT_options">'_Options'!$F$2:$F$4</definedName>
    <definedName name="Q_SS_EXPORT_local_options">'_Options'!$M$2:$M$5</definedName>
    <definedName name="Q_MS_EXPORTr1_options">'_Options'!$G$2:$G$3</definedName>
    <definedName name="Q_MS_EXPORTr1_local_options">'_Options'!$N$2:$N$4</definedName>
    <definedName name="Q_MS_EXPORTr2_options">'_Options'!$H$2:$H$3</definedName>
    <definedName name="Q_MS_EXPORTr2_local_options">'_Options'!$O$2:$O$4</definedName>
    <definedName name="Q_NUM_EXPORT_options">'_Options'!$I$2:$I$3</definedName>
    <definedName name="Q_NUM_EXPORT_local_options">'_Options'!$P$2:$P$4</definedName>
    <definedName name="Q_GRID_EXPORTr1_options">'_Options'!$J$2:$J$3</definedName>
    <definedName name="Q_GRID_EXPORTr1_local_options">'_Options'!$Q$2:$Q$4</definedName>
    <definedName name="Q_GRID_EXPORTr2_options">'_Options'!$K$2:$K$3</definedName>
    <definedName name="Q_GRID_EXPORTr2_local_options">'_Options'!$R$2:$R$4</definedName>
    <definedName name="Q_VERY_LONG_SINGLE_SELECT_EXPOR_options">'_Options'!$L$2:$L$4</definedName>
    <definedName name="Q_VERY_LONG_SINGLE_SELECT_EXPOR_local_options">'_Options'!$S$2:$S$5</definedName>
    <definedName name="All_Questions_Data_Names">'_Options'!$C$2:$C$4</definedName>
    <definedName name="All_Questions_Options_Names">'_Options'!$D$2:$D$4</definedName>
    <definedName name="F_Custom1_Q">'Filters'!$B$6</definedName>
    <definedName name="F_Custom1_V">'Filters'!$D$6</definedName>
    <definedName name="F_Custom1_resolved_column">'Filters'!$E$6</definedName>
    <definedName name="F_Custom1_wrapped">'Filters'!$F$6</definedName>
    <definedName name="F_Custom2_Q">'Filters'!$B$7</definedName>
    <definedName name="F_Custom2_V">'Filters'!$D$7</definedName>
    <definedName name="F_Custom2_resolved_column">'Filters'!$E$7</definedName>
    <definedName name="F_Custom2_wrapped">'Filters'!$F$7</definedName>
    <definedName name="passes_workbook_filters_data">'_RawData'!$I$2:$I$11</definedName>
    <definedName name="F_Custom1_match_data">'_RawData'!$J$2:$J$11</definedName>
    <definedName name="F_Custom2_match_data">'_RawData'!$K$2:$K$11</definedName>
    <definedName name="passes_workbook_custom_filters_data">'_RawData'!$L$2:$L$11</definedName>
    <definedName name="All_Questions_F_Custom1_Q">'All Questions'!$B$5</definedName>
    <definedName name="All_Questions_F_Custom1_Q_resolved">'All Questions'!$C$5</definedName>
    <definedName name="All_Questions_F_Custom1_V">'All Questions'!$B$6</definedName>
    <definedName name="All_Questions_F_Custom1_V_resolved">'All Questions'!$C$6</definedName>
    <definedName name="All_Questions_F_Custom1_wrapped">'All Questions'!$D$6</definedName>
    <definedName name="All_Questions_F_Custom1_resolved_column">'All Questions'!$F$6</definedName>
    <definedName name="All_Questions_F_Custom2_Q">'All Questions'!$B$7</definedName>
    <definedName name="All_Questions_F_Custom2_Q_resolved">'All Questions'!$C$7</definedName>
    <definedName name="All_Questions_F_Custom2_V">'All Questions'!$B$8</definedName>
    <definedName name="All_Questions_F_Custom2_V_resolved">'All Questions'!$C$8</definedName>
    <definedName name="All_Questions_F_Custom2_wrapped">'All Questions'!$D$8</definedName>
    <definedName name="All_Questions_F_Custom2_resolved_column">'All Questions'!$F$8</definedName>
    <definedName name="All_Questions_passes_local_filters_data">'_RawData'!$M$2:$M$11</definedName>
    <definedName name="All_Questions_Q_SS_EXPORT_F_Q">'All Questions'!$C$13</definedName>
    <definedName name="All_Questions_Q_SS_EXPORT_F_V">'All Questions'!$E$13</definedName>
    <definedName name="All_Questions_Q_SS_EXPORT_F_resolved_column">'All Questions'!$F$13</definedName>
    <definedName name="All_Questions_Q_SS_EXPORT_F_wrapped">'All Questions'!$G$13</definedName>
    <definedName name="All_Questions_Q_SS_EXPORT_F_passes_per_q_filter_data">'_RawData'!$N$2:$N$11</definedName>
    <definedName name="All_Questions_Q_SS_EXPORT_CT">'All Questions'!$C$14</definedName>
    <definedName name="All_Questions_Q_MS_EXPORT_F_Q">'All Questions'!$C$23</definedName>
    <definedName name="All_Questions_Q_MS_EXPORT_F_V">'All Questions'!$E$23</definedName>
    <definedName name="All_Questions_Q_MS_EXPORT_F_resolved_column">'All Questions'!$F$23</definedName>
    <definedName name="All_Questions_Q_MS_EXPORT_F_wrapped">'All Questions'!$G$23</definedName>
    <definedName name="All_Questions_Q_MS_EXPORT_F_passes_per_q_filter_data">'_RawData'!$O$2:$O$11</definedName>
    <definedName name="All_Questions_Q_MS_EXPORT_CT">'All Questions'!$C$24</definedName>
    <definedName name="All_Questions_Q_NUM_EXPORT_F_Q">'All Questions'!$C$34</definedName>
    <definedName name="All_Questions_Q_NUM_EXPORT_F_V">'All Questions'!$E$34</definedName>
    <definedName name="All_Questions_Q_NUM_EXPORT_F_resolved_column">'All Questions'!$F$34</definedName>
    <definedName name="All_Questions_Q_NUM_EXPORT_F_wrapped">'All Questions'!$G$34</definedName>
    <definedName name="All_Questions_Q_NUM_EXPORT_F_passes_per_q_filter_data">'_RawData'!$P$2:$P$11</definedName>
    <definedName name="All_Questions_Q_NUM_EXPORT_CT">'All Questions'!$C$35</definedName>
    <definedName name="All_Questions_Q_GRID_EXPORT_F_Q">'All Questions'!$C$46</definedName>
    <definedName name="All_Questions_Q_GRID_EXPORT_F_V">'All Questions'!$E$46</definedName>
    <definedName name="All_Questions_Q_GRID_EXPORT_F_resolved_column">'All Questions'!$F$46</definedName>
    <definedName name="All_Questions_Q_GRID_EXPORT_F_wrapped">'All Questions'!$G$46</definedName>
    <definedName name="All_Questions_Q_GRID_EXPORT_F_passes_per_q_filter_data">'_RawData'!$Q$2:$Q$11</definedName>
    <definedName name="All_Questions_Q_GRID_EXPORT_CT">'All Questions'!$C$47</definedName>
    <definedName name="All_Questions_Q_VERY_LONG_SINGLE_SELECT_EXPORT_NAME_F_Q">'All Questions'!$C$57</definedName>
    <definedName name="All_Questions_Q_VERY_LONG_SINGLE_SELECT_EXPORT_NAME_F_V">'All Questions'!$E$57</definedName>
    <definedName name="All_Questions_Q_VERY_LONG_SINGLE_SELECT_EXPORT_NAME_F_resolved_column">'All Questions'!$F$57</definedName>
    <definedName name="All_Questions_Q_VERY_LONG_SINGLE_SELECT_EXPORT_NAME_F_wrapped">'All Questions'!$G$57</definedName>
    <definedName name="All_Questions_Q_VERY_LONG_SINGLE_SELECT_EXPORT_NAME_F_passes_per_q_filter_data">'_RawData'!$R$2:$R$11</definedName>
    <definedName name="All_Questions_Q_VERY_LONG_SINGLE_SELECT_EXPORT_NAME_CT">'All Questions'!$C$58</definedName>
  </definedNames>
  <calcPr calcId="124519" fullCalcOnLoad="1"/>
</workbook>
</file>

<file path=xl/calcChain.xml><?xml version="1.0" encoding="utf-8"?>
<calcChain xmlns="http://schemas.openxmlformats.org/spreadsheetml/2006/main">
  <c r="I2" i="1"/>
  <c r="J2" i="1"/>
  <c r="K2" i="1"/>
  <c r="L2" i="1"/>
  <c r="M2" i="1"/>
  <c r="N2" i="1"/>
  <c r="O2" i="1"/>
  <c r="P2" i="1"/>
  <c r="Q2" i="1"/>
  <c r="R2" i="1"/>
  <c r="I3" i="1"/>
  <c r="J3" i="1"/>
  <c r="K3" i="1"/>
  <c r="L3" i="1"/>
  <c r="M3" i="1"/>
  <c r="N3" i="1"/>
  <c r="O3" i="1"/>
  <c r="P3" i="1"/>
  <c r="Q3" i="1"/>
  <c r="R3" i="1"/>
  <c r="I4" i="1"/>
  <c r="J4" i="1"/>
  <c r="K4" i="1"/>
  <c r="L4" i="1"/>
  <c r="M4" i="1"/>
  <c r="N4" i="1"/>
  <c r="O4" i="1"/>
  <c r="P4" i="1"/>
  <c r="Q4" i="1"/>
  <c r="R4" i="1"/>
  <c r="I5" i="1"/>
  <c r="J5" i="1"/>
  <c r="K5" i="1"/>
  <c r="L5" i="1"/>
  <c r="M5" i="1"/>
  <c r="N5" i="1"/>
  <c r="O5" i="1"/>
  <c r="P5" i="1"/>
  <c r="Q5" i="1"/>
  <c r="R5" i="1"/>
  <c r="I6" i="1"/>
  <c r="J6" i="1"/>
  <c r="K6" i="1"/>
  <c r="L6" i="1"/>
  <c r="M6" i="1"/>
  <c r="N6" i="1"/>
  <c r="O6" i="1"/>
  <c r="P6" i="1"/>
  <c r="Q6" i="1"/>
  <c r="R6" i="1"/>
  <c r="I7" i="1"/>
  <c r="J7" i="1"/>
  <c r="K7" i="1"/>
  <c r="L7" i="1"/>
  <c r="M7" i="1"/>
  <c r="N7" i="1"/>
  <c r="O7" i="1"/>
  <c r="P7" i="1"/>
  <c r="Q7" i="1"/>
  <c r="R7" i="1"/>
  <c r="I8" i="1"/>
  <c r="J8" i="1"/>
  <c r="K8" i="1"/>
  <c r="L8" i="1"/>
  <c r="M8" i="1"/>
  <c r="N8" i="1"/>
  <c r="O8" i="1"/>
  <c r="P8" i="1"/>
  <c r="Q8" i="1"/>
  <c r="R8" i="1"/>
  <c r="I9" i="1"/>
  <c r="J9" i="1"/>
  <c r="K9" i="1"/>
  <c r="L9" i="1"/>
  <c r="M9" i="1"/>
  <c r="N9" i="1"/>
  <c r="O9" i="1"/>
  <c r="P9" i="1"/>
  <c r="Q9" i="1"/>
  <c r="R9" i="1"/>
  <c r="I10" i="1"/>
  <c r="J10" i="1"/>
  <c r="K10" i="1"/>
  <c r="L10" i="1"/>
  <c r="M10" i="1"/>
  <c r="N10" i="1"/>
  <c r="O10" i="1"/>
  <c r="P10" i="1"/>
  <c r="Q10" i="1"/>
  <c r="R10" i="1"/>
  <c r="I11" i="1"/>
  <c r="J11" i="1"/>
  <c r="K11" i="1"/>
  <c r="L11" i="1"/>
  <c r="M11" i="1"/>
  <c r="N11" i="1"/>
  <c r="O11" i="1"/>
  <c r="P11" i="1"/>
  <c r="Q11" i="1"/>
  <c r="R11" i="1"/>
  <c r="E6" i="3"/>
  <c r="F6" i="3"/>
  <c r="E7" i="3"/>
  <c r="F7" i="3"/>
  <c r="C5" i="7"/>
  <c r="C6" i="7"/>
  <c r="D6" i="7"/>
  <c r="F6" i="7"/>
  <c r="C7" i="7"/>
  <c r="C8" i="7"/>
  <c r="D8" i="7"/>
  <c r="F8" i="7"/>
  <c r="F13" i="7"/>
  <c r="G13" i="7"/>
  <c r="G16" i="7"/>
  <c r="H16" i="7"/>
  <c r="I16" i="7"/>
  <c r="J16" i="7"/>
  <c r="K16" i="7"/>
  <c r="L16" i="7"/>
  <c r="M16" i="7"/>
  <c r="N16" i="7"/>
  <c r="O16" i="7"/>
  <c r="P16" i="7"/>
  <c r="Q16" i="7"/>
  <c r="R16" i="7"/>
  <c r="B17" i="7"/>
  <c r="C17" i="7"/>
  <c r="D17" i="7"/>
  <c r="B18" i="7"/>
  <c r="C18" i="7"/>
  <c r="D18" i="7"/>
  <c r="G18" i="7"/>
  <c r="H18" i="7"/>
  <c r="I18" i="7"/>
  <c r="J18" i="7"/>
  <c r="K18" i="7"/>
  <c r="L18" i="7"/>
  <c r="M18" i="7"/>
  <c r="N18" i="7"/>
  <c r="O18" i="7"/>
  <c r="P18" i="7"/>
  <c r="Q18" i="7"/>
  <c r="R18" i="7"/>
  <c r="S18" i="7"/>
  <c r="G19" i="7"/>
  <c r="H19" i="7"/>
  <c r="I19" i="7"/>
  <c r="J19" i="7"/>
  <c r="K19" i="7"/>
  <c r="L19" i="7"/>
  <c r="M19" i="7"/>
  <c r="N19" i="7"/>
  <c r="O19" i="7"/>
  <c r="P19" i="7"/>
  <c r="Q19" i="7"/>
  <c r="R19" i="7"/>
  <c r="S19" i="7"/>
  <c r="S20" i="7"/>
  <c r="F23" i="7"/>
  <c r="G23" i="7"/>
  <c r="G26" i="7"/>
  <c r="H26" i="7"/>
  <c r="I26" i="7"/>
  <c r="J26" i="7"/>
  <c r="K26" i="7"/>
  <c r="L26" i="7"/>
  <c r="M26" i="7"/>
  <c r="N26" i="7"/>
  <c r="O26" i="7"/>
  <c r="P26" i="7"/>
  <c r="Q26" i="7"/>
  <c r="R26" i="7"/>
  <c r="B27" i="7"/>
  <c r="C27" i="7"/>
  <c r="D27" i="7"/>
  <c r="B28" i="7"/>
  <c r="C28" i="7"/>
  <c r="D28" i="7"/>
  <c r="G28" i="7"/>
  <c r="H28" i="7"/>
  <c r="I28" i="7"/>
  <c r="J28" i="7"/>
  <c r="K28" i="7"/>
  <c r="L28" i="7"/>
  <c r="M28" i="7"/>
  <c r="N28" i="7"/>
  <c r="O28" i="7"/>
  <c r="P28" i="7"/>
  <c r="Q28" i="7"/>
  <c r="R28" i="7"/>
  <c r="S28" i="7"/>
  <c r="G29" i="7"/>
  <c r="H29" i="7"/>
  <c r="I29" i="7"/>
  <c r="J29" i="7"/>
  <c r="K29" i="7"/>
  <c r="L29" i="7"/>
  <c r="M29" i="7"/>
  <c r="N29" i="7"/>
  <c r="O29" i="7"/>
  <c r="P29" i="7"/>
  <c r="Q29" i="7"/>
  <c r="R29" i="7"/>
  <c r="S29" i="7"/>
  <c r="S30" i="7"/>
  <c r="F34" i="7"/>
  <c r="G34" i="7"/>
  <c r="B38" i="7"/>
  <c r="D38" i="7"/>
  <c r="B39" i="7"/>
  <c r="D39" i="7"/>
  <c r="B40" i="7"/>
  <c r="D40" i="7"/>
  <c r="D41" i="7"/>
  <c r="F46" i="7"/>
  <c r="G46" i="7"/>
  <c r="G49" i="7"/>
  <c r="H49" i="7"/>
  <c r="I49" i="7"/>
  <c r="J49" i="7"/>
  <c r="K49" i="7"/>
  <c r="L49" i="7"/>
  <c r="M49" i="7"/>
  <c r="N49" i="7"/>
  <c r="O49" i="7"/>
  <c r="P49" i="7"/>
  <c r="Q49" i="7"/>
  <c r="R49" i="7"/>
  <c r="B50" i="7"/>
  <c r="C50" i="7"/>
  <c r="D50" i="7"/>
  <c r="B51" i="7"/>
  <c r="C51" i="7"/>
  <c r="D51" i="7"/>
  <c r="G51" i="7"/>
  <c r="H51" i="7"/>
  <c r="I51" i="7"/>
  <c r="J51" i="7"/>
  <c r="K51" i="7"/>
  <c r="L51" i="7"/>
  <c r="M51" i="7"/>
  <c r="N51" i="7"/>
  <c r="O51" i="7"/>
  <c r="P51" i="7"/>
  <c r="Q51" i="7"/>
  <c r="R51" i="7"/>
  <c r="S51" i="7"/>
  <c r="G52" i="7"/>
  <c r="H52" i="7"/>
  <c r="I52" i="7"/>
  <c r="J52" i="7"/>
  <c r="K52" i="7"/>
  <c r="L52" i="7"/>
  <c r="M52" i="7"/>
  <c r="N52" i="7"/>
  <c r="O52" i="7"/>
  <c r="P52" i="7"/>
  <c r="Q52" i="7"/>
  <c r="R52" i="7"/>
  <c r="S52" i="7"/>
  <c r="S53" i="7"/>
  <c r="F57" i="7"/>
  <c r="G57" i="7"/>
  <c r="G60" i="7"/>
  <c r="H60" i="7"/>
  <c r="I60" i="7"/>
  <c r="J60" i="7"/>
  <c r="K60" i="7"/>
  <c r="L60" i="7"/>
  <c r="M60" i="7"/>
  <c r="N60" i="7"/>
  <c r="O60" i="7"/>
  <c r="P60" i="7"/>
  <c r="Q60" i="7"/>
  <c r="R60" i="7"/>
  <c r="B61" i="7"/>
  <c r="C61" i="7"/>
  <c r="D61" i="7"/>
  <c r="B62" i="7"/>
  <c r="C62" i="7"/>
  <c r="D62" i="7"/>
  <c r="G62" i="7"/>
  <c r="H62" i="7"/>
  <c r="I62" i="7"/>
  <c r="J62" i="7"/>
  <c r="K62" i="7"/>
  <c r="L62" i="7"/>
  <c r="M62" i="7"/>
  <c r="N62" i="7"/>
  <c r="O62" i="7"/>
  <c r="P62" i="7"/>
  <c r="Q62" i="7"/>
  <c r="R62" i="7"/>
  <c r="S62" i="7"/>
  <c r="G63" i="7"/>
  <c r="H63" i="7"/>
  <c r="I63" i="7"/>
  <c r="J63" i="7"/>
  <c r="K63" i="7"/>
  <c r="L63" i="7"/>
  <c r="M63" i="7"/>
  <c r="N63" i="7"/>
  <c r="O63" i="7"/>
  <c r="P63" i="7"/>
  <c r="Q63" i="7"/>
  <c r="R63" i="7"/>
  <c r="S63" i="7"/>
  <c r="S64" i="7"/>
</calcChain>
</file>

<file path=xl/styles.xml><?xml version="1.0" encoding="utf-8"?>
<styleSheet xmlns="http://schemas.openxmlformats.org/spreadsheetml/2006/main">
  <numFmts count="1">
    <numFmt numFmtId="164" formatCode="0.0%"/>
  </numFmts>
  <fonts count="9">
    <font>
      <name val="Calibri"/>
      <family val="2"/>
      <color theme="1"/>
      <sz val="11"/>
      <scheme val="minor"/>
    </font>
    <font>
      <name val="Arial"/>
      <b val="1"/>
      <sz val="10"/>
    </font>
    <font>
      <name val="Arial"/>
      <b val="1"/>
      <color rgb="00FFFFFF"/>
      <sz val="10"/>
    </font>
    <font>
      <name val="Arial"/>
      <i val="1"/>
      <color rgb="00666666"/>
      <sz val="10"/>
    </font>
    <font>
      <name val="Calibri"/>
      <family val="2"/>
      <color theme="10"/>
      <sz val="12"/>
      <scheme val="minor"/>
    </font>
    <font>
      <name val="Arial"/>
      <b val="1"/>
      <color rgb="00FFFFFF"/>
      <sz val="12"/>
    </font>
    <font>
      <name val="Arial"/>
      <i val="1"/>
      <color rgb="00666666"/>
      <sz val="9"/>
    </font>
    <font>
      <name val="Arial"/>
      <b val="1"/>
      <color rgb="FFFFFFFF"/>
      <sz val="11"/>
    </font>
    <font>
      <name val="Arial"/>
      <b val="1"/>
      <sz val="9"/>
    </font>
  </fonts>
  <fills count="5">
    <fill>
      <patternFill/>
    </fill>
    <fill>
      <patternFill patternType="gray125"/>
    </fill>
    <fill>
      <patternFill patternType="solid">
        <fgColor rgb="00F2F2F2"/>
        <bgColor rgb="00F2F2F2"/>
      </patternFill>
    </fill>
    <fill>
      <patternFill patternType="solid">
        <fgColor rgb="00CC0000"/>
        <bgColor rgb="00CC0000"/>
      </patternFill>
    </fill>
    <fill>
      <patternFill patternType="solid">
        <fgColor rgb="FFCC0000"/>
        <bgColor rgb="FFCC0000"/>
      </patternFill>
    </fill>
  </fills>
  <borders count="3">
    <border>
      <left/>
      <right/>
      <top/>
      <bottom/>
      <diagonal/>
    </border>
    <border>
      <bottom style="thin">
        <color rgb="00BFBFBF"/>
      </bottom>
    </border>
    <border>
      <top style="thin">
        <color rgb="00BFBFBF"/>
      </top>
    </border>
  </borders>
  <cellStyleXfs count="2">
    <xf numFmtId="0" fontId="0" fillId="0" borderId="0"/>
    <xf numFmtId="0" fontId="4" fillId="0" borderId="0"/>
  </cellStyleXfs>
  <cellXfs count="16">
    <xf numFmtId="0" fontId="0" fillId="0" borderId="0" pivotButton="0" quotePrefix="0" xfId="0"/>
    <xf numFmtId="0" fontId="2" fillId="3" borderId="0" pivotButton="0" quotePrefix="0" xfId="0"/>
    <xf numFmtId="0" fontId="0" fillId="2" borderId="0" pivotButton="0" quotePrefix="0" xfId="0"/>
    <xf numFmtId="0" fontId="3" fillId="0" borderId="0" pivotButton="0" quotePrefix="0" xfId="0"/>
    <xf numFmtId="0" fontId="1" fillId="2" borderId="0" pivotButton="0" quotePrefix="0" xfId="0"/>
    <xf numFmtId="0" fontId="1" fillId="0" borderId="0" pivotButton="0" quotePrefix="0" xfId="0"/>
    <xf numFmtId="0" fontId="4" fillId="0" borderId="0" pivotButton="0" quotePrefix="0" xfId="1"/>
    <xf numFmtId="164" fontId="0" fillId="0" borderId="0" pivotButton="0" quotePrefix="0" xfId="0"/>
    <xf numFmtId="0" fontId="5" fillId="3" borderId="0" applyAlignment="1" pivotButton="0" quotePrefix="0" xfId="0">
      <alignment vertical="center"/>
    </xf>
    <xf numFmtId="0" fontId="0" fillId="3" borderId="0" pivotButton="0" quotePrefix="0" xfId="0"/>
    <xf numFmtId="0" fontId="6" fillId="0" borderId="0" pivotButton="0" quotePrefix="0" xfId="0"/>
    <xf numFmtId="0" fontId="0" fillId="0" borderId="1" pivotButton="0" quotePrefix="0" xfId="0"/>
    <xf numFmtId="0" fontId="7" fillId="4" borderId="0" pivotButton="0" quotePrefix="0" xfId="0"/>
    <xf numFmtId="0" fontId="8" fillId="0" borderId="0" pivotButton="0" quotePrefix="0" xfId="0"/>
    <xf numFmtId="3" fontId="0" fillId="0" borderId="0" pivotButton="0" quotePrefix="0" xfId="0"/>
    <xf numFmtId="0" fontId="1" fillId="2" borderId="2" pivotButton="0" quotePrefix="0" xfId="0"/>
  </cellXfs>
  <cellStyles count="2">
    <cellStyle name="Normal" xfId="0" builtinId="0" hidden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'1.0' encoding='utf-8'?>
<ns0:Relationships xmlns:ns0="http://schemas.openxmlformats.org/package/2006/relationships"><ns0:Relationship Type="http://schemas.openxmlformats.org/officeDocument/2006/relationships/worksheet" Target="/xl/worksheets/sheet1.xml" Id="rId1" /><ns0:Relationship Type="http://schemas.openxmlformats.org/officeDocument/2006/relationships/worksheet" Target="/xl/worksheets/sheet2.xml" Id="rId2" /><ns0:Relationship Type="http://schemas.openxmlformats.org/officeDocument/2006/relationships/worksheet" Target="/xl/worksheets/sheet3.xml" Id="rId3" /><ns0:Relationship Type="http://schemas.openxmlformats.org/officeDocument/2006/relationships/worksheet" Target="/xl/worksheets/sheet4.xml" Id="rId4" /><ns0:Relationship Type="http://schemas.openxmlformats.org/officeDocument/2006/relationships/worksheet" Target="/xl/worksheets/sheet5.xml" Id="rId5" /><ns0:Relationship Type="http://schemas.openxmlformats.org/officeDocument/2006/relationships/worksheet" Target="/xl/worksheets/sheet6.xml" Id="rId6" /><ns0:Relationship Type="http://schemas.openxmlformats.org/officeDocument/2006/relationships/worksheet" Target="/xl/worksheets/sheet7.xml" Id="rId7" /><ns0:Relationship Type="http://schemas.openxmlformats.org/officeDocument/2006/relationships/worksheet" Target="/xl/worksheets/sheet8.xml" Id="rId8" /><ns0:Relationship Type="http://schemas.openxmlformats.org/officeDocument/2006/relationships/worksheet" Target="/xl/worksheets/sheet9.xml" Id="rId9" /><ns0:Relationship Type="http://schemas.openxmlformats.org/officeDocument/2006/relationships/worksheet" Target="/xl/worksheets/sheet10.xml" Id="rId10" /><ns0:Relationship Type="http://schemas.openxmlformats.org/officeDocument/2006/relationships/styles" Target="styles.xml" Id="rId11" /><ns0:Relationship Type="http://schemas.openxmlformats.org/officeDocument/2006/relationships/theme" Target="theme/theme1.xml" Id="rId12" /><ns0:Relationship Id="rId13" Type="http://schemas.openxmlformats.org/officeDocument/2006/relationships/calcChain" Target="calcChain.xml" /></ns0:Relationships>
</file>

<file path=xl/tables/table1.xml><?xml version="1.0" encoding="utf-8"?>
<table xmlns="http://schemas.openxmlformats.org/spreadsheetml/2006/main" id="1" name="T_All_Questions_16_1" displayName="T_All_Questions_16_1" ref="A16:D19" headerRowCount="1">
  <autoFilter ref="A16:D19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2.xml><?xml version="1.0" encoding="utf-8"?>
<table xmlns="http://schemas.openxmlformats.org/spreadsheetml/2006/main" id="2" name="T_All_Questions_26_1" displayName="T_All_Questions_26_1" ref="A26:D30" headerRowCount="1">
  <autoFilter ref="A26:D30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3.xml><?xml version="1.0" encoding="utf-8"?>
<table xmlns="http://schemas.openxmlformats.org/spreadsheetml/2006/main" id="3" name="T_All_Questions_37_1" displayName="T_All_Questions_37_1" ref="A37:D41" headerRowCount="1">
  <autoFilter ref="A37:D41"/>
  <tableColumns count="4">
    <tableColumn id="1" name="Metric"/>
    <tableColumn id="2" name="Value"/>
    <tableColumn id="3" name="Note"/>
    <tableColumn id="4" name="Denominator"/>
  </tableColumns>
  <tableStyleInfo name="TableStyleLight9" showFirstColumn="0" showLastColumn="0" showRowStripes="1" showColumnStripes="0"/>
</table>
</file>

<file path=xl/tables/table4.xml><?xml version="1.0" encoding="utf-8"?>
<table xmlns="http://schemas.openxmlformats.org/spreadsheetml/2006/main" id="4" name="T_All_Questions_49_1" displayName="T_All_Questions_49_1" ref="A49:D53" headerRowCount="1">
  <autoFilter ref="A49:D53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5.xml><?xml version="1.0" encoding="utf-8"?>
<table xmlns="http://schemas.openxmlformats.org/spreadsheetml/2006/main" id="5" name="T_All_Questions_60_1" displayName="T_All_Questions_60_1" ref="A60:D63" headerRowCount="1">
  <autoFilter ref="A60:D63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6.xml.rels><Relationships xmlns="http://schemas.openxmlformats.org/package/2006/relationships"><Relationship Type="http://schemas.openxmlformats.org/officeDocument/2006/relationships/hyperlink" Target="#'All Questions'!A1" TargetMode="External" Id="rId1"/><Relationship Type="http://schemas.openxmlformats.org/officeDocument/2006/relationships/hyperlink" Target="#'All Questions'!A1" TargetMode="External" Id="rId2"/><Relationship Type="http://schemas.openxmlformats.org/officeDocument/2006/relationships/hyperlink" Target="#'All Questions'!A1" TargetMode="External" Id="rId3"/><Relationship Type="http://schemas.openxmlformats.org/officeDocument/2006/relationships/hyperlink" Target="#'All Questions'!A1" TargetMode="External" Id="rId4"/><Relationship Type="http://schemas.openxmlformats.org/officeDocument/2006/relationships/hyperlink" Target="#'All Questions'!A1" TargetMode="External" Id="rId5"/></Relationships>
</file>

<file path=xl/worksheets/_rels/sheet7.xml.rels><Relationships xmlns="http://schemas.openxmlformats.org/package/2006/relationships"><Relationship Type="http://schemas.openxmlformats.org/officeDocument/2006/relationships/table" Target="/xl/tables/table1.xml" Id="rId1"/><Relationship Type="http://schemas.openxmlformats.org/officeDocument/2006/relationships/table" Target="/xl/tables/table2.xml" Id="rId2"/><Relationship Type="http://schemas.openxmlformats.org/officeDocument/2006/relationships/table" Target="/xl/tables/table3.xml" Id="rId3"/><Relationship Type="http://schemas.openxmlformats.org/officeDocument/2006/relationships/table" Target="/xl/tables/table4.xml" Id="rId4"/><Relationship Type="http://schemas.openxmlformats.org/officeDocument/2006/relationships/table" Target="/xl/tables/table5.xml" Id="rId5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respondent_id</t>
        </is>
      </c>
      <c r="B1" t="inlineStr">
        <is>
          <t>Q_SS_EXPORT</t>
        </is>
      </c>
      <c r="C1" t="inlineStr">
        <is>
          <t>Q_MS_EXPORTr1</t>
        </is>
      </c>
      <c r="D1" t="inlineStr">
        <is>
          <t>Q_MS_EXPORTr2</t>
        </is>
      </c>
      <c r="E1" t="inlineStr">
        <is>
          <t>Q_NUM_EXPORT</t>
        </is>
      </c>
      <c r="F1" t="inlineStr">
        <is>
          <t>Q_GRID_EXPORTr1</t>
        </is>
      </c>
      <c r="G1" t="inlineStr">
        <is>
          <t>Q_GRID_EXPORTr2</t>
        </is>
      </c>
      <c r="H1" t="inlineStr">
        <is>
          <t>Q_VERY_LONG_SINGLE_SELECT_EXPOR</t>
        </is>
      </c>
      <c r="I1" t="inlineStr">
        <is>
          <t>passes_workbook_filters</t>
        </is>
      </c>
      <c r="J1" t="inlineStr">
        <is>
          <t>F_Custom1_match</t>
        </is>
      </c>
      <c r="K1" t="inlineStr">
        <is>
          <t>F_Custom2_match</t>
        </is>
      </c>
      <c r="L1" t="inlineStr">
        <is>
          <t>passes_workbook_custom_filters</t>
        </is>
      </c>
      <c r="M1" t="inlineStr">
        <is>
          <t>All_Questions_passes_local_filters</t>
        </is>
      </c>
      <c r="N1" t="inlineStr">
        <is>
          <t>All_Questions_Q_SS_EXPORT_F_passes_per_q_filter</t>
        </is>
      </c>
      <c r="O1" t="inlineStr">
        <is>
          <t>All_Questions_Q_MS_EXPORT_F_passes_per_q_filter</t>
        </is>
      </c>
      <c r="P1" t="inlineStr">
        <is>
          <t>All_Questions_Q_NUM_EXPORT_F_passes_per_q_filter</t>
        </is>
      </c>
      <c r="Q1" t="inlineStr">
        <is>
          <t>All_Questions_Q_GRID_EXPORT_F_passes_per_q_filter</t>
        </is>
      </c>
      <c r="R1" t="inlineStr">
        <is>
          <t>All_Questions_Q_VERY_LONG_SINGLE_SELECT_EXPORT_NAME_F_passes_per_q_filter</t>
        </is>
      </c>
    </row>
    <row r="2">
      <c r="A2" t="n">
        <v>1</v>
      </c>
      <c r="B2" t="inlineStr">
        <is>
          <t>Yes</t>
        </is>
      </c>
      <c r="C2" t="inlineStr">
        <is>
          <t>Selected</t>
        </is>
      </c>
      <c r="D2" t="inlineStr">
        <is>
          <t>Selected</t>
        </is>
      </c>
      <c r="E2" t="n">
        <v>5.5</v>
      </c>
      <c r="F2" t="inlineStr">
        <is>
          <t>Selected</t>
        </is>
      </c>
      <c r="G2" t="inlineStr">
        <is>
          <t>Selected</t>
        </is>
      </c>
      <c r="H2" t="inlineStr">
        <is>
          <t>A</t>
        </is>
      </c>
      <c r="I2">
        <f>1</f>
        <v>1</v>
      </c>
      <c r="J2">
        <f>IF(OR(F_Custom1_Q="(None)",F_Custom1_Q="",ISBLANK(F_Custom1_Q),F_Custom1_V="(All)",F_Custom1_V="",ISBLANK(F_Custom1_V)),1,IFERROR(IF(ISNUMBER(SEARCH("|"&amp;INDEX(INDIRECT(F_Custom1_resolved_column),1)&amp;"|",F_Custom1_wrapped)),1,0),0))</f>
        <v>1</v>
      </c>
      <c r="K2">
        <f>IF(OR(F_Custom2_Q="(None)",F_Custom2_Q="",ISBLANK(F_Custom2_Q),F_Custom2_V="(All)",F_Custom2_V="",ISBLANK(F_Custom2_V)),1,IFERROR(IF(ISNUMBER(SEARCH("|"&amp;INDEX(INDIRECT(F_Custom2_resolved_column),1)&amp;"|",F_Custom2_wrapped)),1,0),0))</f>
        <v>1</v>
      </c>
      <c r="L2">
        <f>J2*K2*1</f>
        <v>1</v>
      </c>
      <c r="M2">
        <f>1</f>
        <v>1</v>
      </c>
      <c r="N2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1)&amp;"|",All_Questions_Q_SS_EXPORT_F_wrapped)),1,0),0))</f>
        <v>1</v>
      </c>
      <c r="O2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1)&amp;"|",All_Questions_Q_MS_EXPORT_F_wrapped)),1,0),0))</f>
        <v>1</v>
      </c>
      <c r="P2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1)&amp;"|",All_Questions_Q_NUM_EXPORT_F_wrapped)),1,0),0))</f>
        <v>1</v>
      </c>
      <c r="Q2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1)&amp;"|",All_Questions_Q_GRID_EXPORT_F_wrapped)),1,0),0))</f>
        <v>1</v>
      </c>
      <c r="R2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1)&amp;"|",All_Questions_Q_VERY_LONG_SINGLE_SELECT_EXPORT_NAME_F_wrapped)),1,0),0))</f>
        <v>1</v>
      </c>
    </row>
    <row r="3">
      <c r="A3" t="n">
        <v>2</v>
      </c>
      <c r="B3" t="inlineStr">
        <is>
          <t>Yes</t>
        </is>
      </c>
      <c r="C3" t="inlineStr">
        <is>
          <t>Selected</t>
        </is>
      </c>
      <c r="D3" t="inlineStr">
        <is>
          <t>Selected</t>
        </is>
      </c>
      <c r="E3" t="n">
        <v>5.5</v>
      </c>
      <c r="F3" t="inlineStr">
        <is>
          <t>Selected</t>
        </is>
      </c>
      <c r="G3" t="inlineStr">
        <is>
          <t>Selected</t>
        </is>
      </c>
      <c r="H3" t="inlineStr">
        <is>
          <t>A</t>
        </is>
      </c>
      <c r="I3">
        <f>1</f>
        <v>1</v>
      </c>
      <c r="J3">
        <f>IF(OR(F_Custom1_Q="(None)",F_Custom1_Q="",ISBLANK(F_Custom1_Q),F_Custom1_V="(All)",F_Custom1_V="",ISBLANK(F_Custom1_V)),1,IFERROR(IF(ISNUMBER(SEARCH("|"&amp;INDEX(INDIRECT(F_Custom1_resolved_column),2)&amp;"|",F_Custom1_wrapped)),1,0),0))</f>
        <v>1</v>
      </c>
      <c r="K3">
        <f>IF(OR(F_Custom2_Q="(None)",F_Custom2_Q="",ISBLANK(F_Custom2_Q),F_Custom2_V="(All)",F_Custom2_V="",ISBLANK(F_Custom2_V)),1,IFERROR(IF(ISNUMBER(SEARCH("|"&amp;INDEX(INDIRECT(F_Custom2_resolved_column),2)&amp;"|",F_Custom2_wrapped)),1,0),0))</f>
        <v>1</v>
      </c>
      <c r="L3">
        <f>J3*K3*1</f>
        <v>1</v>
      </c>
      <c r="M3">
        <f>1</f>
        <v>1</v>
      </c>
      <c r="N3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2)&amp;"|",All_Questions_Q_SS_EXPORT_F_wrapped)),1,0),0))</f>
        <v>1</v>
      </c>
      <c r="O3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2)&amp;"|",All_Questions_Q_MS_EXPORT_F_wrapped)),1,0),0))</f>
        <v>1</v>
      </c>
      <c r="P3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2)&amp;"|",All_Questions_Q_NUM_EXPORT_F_wrapped)),1,0),0))</f>
        <v>1</v>
      </c>
      <c r="Q3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2)&amp;"|",All_Questions_Q_GRID_EXPORT_F_wrapped)),1,0),0))</f>
        <v>1</v>
      </c>
      <c r="R3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2)&amp;"|",All_Questions_Q_VERY_LONG_SINGLE_SELECT_EXPORT_NAME_F_wrapped)),1,0),0))</f>
        <v>1</v>
      </c>
    </row>
    <row r="4">
      <c r="A4" t="n">
        <v>3</v>
      </c>
      <c r="B4" t="inlineStr">
        <is>
          <t>Yes</t>
        </is>
      </c>
      <c r="C4" t="inlineStr">
        <is>
          <t>Selected</t>
        </is>
      </c>
      <c r="E4" t="n">
        <v>5.5</v>
      </c>
      <c r="F4" t="inlineStr">
        <is>
          <t>Selected</t>
        </is>
      </c>
      <c r="G4" t="inlineStr">
        <is>
          <t>Selected</t>
        </is>
      </c>
      <c r="H4" t="inlineStr">
        <is>
          <t>A</t>
        </is>
      </c>
      <c r="I4">
        <f>1</f>
        <v>1</v>
      </c>
      <c r="J4">
        <f>IF(OR(F_Custom1_Q="(None)",F_Custom1_Q="",ISBLANK(F_Custom1_Q),F_Custom1_V="(All)",F_Custom1_V="",ISBLANK(F_Custom1_V)),1,IFERROR(IF(ISNUMBER(SEARCH("|"&amp;INDEX(INDIRECT(F_Custom1_resolved_column),3)&amp;"|",F_Custom1_wrapped)),1,0),0))</f>
        <v>1</v>
      </c>
      <c r="K4">
        <f>IF(OR(F_Custom2_Q="(None)",F_Custom2_Q="",ISBLANK(F_Custom2_Q),F_Custom2_V="(All)",F_Custom2_V="",ISBLANK(F_Custom2_V)),1,IFERROR(IF(ISNUMBER(SEARCH("|"&amp;INDEX(INDIRECT(F_Custom2_resolved_column),3)&amp;"|",F_Custom2_wrapped)),1,0),0))</f>
        <v>1</v>
      </c>
      <c r="L4">
        <f>J4*K4*1</f>
        <v>1</v>
      </c>
      <c r="M4">
        <f>1</f>
        <v>1</v>
      </c>
      <c r="N4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3)&amp;"|",All_Questions_Q_SS_EXPORT_F_wrapped)),1,0),0))</f>
        <v>1</v>
      </c>
      <c r="O4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3)&amp;"|",All_Questions_Q_MS_EXPORT_F_wrapped)),1,0),0))</f>
        <v>1</v>
      </c>
      <c r="P4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3)&amp;"|",All_Questions_Q_NUM_EXPORT_F_wrapped)),1,0),0))</f>
        <v>1</v>
      </c>
      <c r="Q4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3)&amp;"|",All_Questions_Q_GRID_EXPORT_F_wrapped)),1,0),0))</f>
        <v>1</v>
      </c>
      <c r="R4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3)&amp;"|",All_Questions_Q_VERY_LONG_SINGLE_SELECT_EXPORT_NAME_F_wrapped)),1,0),0))</f>
        <v>1</v>
      </c>
    </row>
    <row r="5">
      <c r="A5" t="n">
        <v>4</v>
      </c>
      <c r="B5" t="inlineStr">
        <is>
          <t>Yes</t>
        </is>
      </c>
      <c r="C5" t="inlineStr">
        <is>
          <t>Selected</t>
        </is>
      </c>
      <c r="E5" t="n">
        <v>5.5</v>
      </c>
      <c r="F5" t="inlineStr">
        <is>
          <t>Selected</t>
        </is>
      </c>
      <c r="G5" t="inlineStr">
        <is>
          <t>Selected</t>
        </is>
      </c>
      <c r="H5" t="inlineStr">
        <is>
          <t>A</t>
        </is>
      </c>
      <c r="I5">
        <f>1</f>
        <v>1</v>
      </c>
      <c r="J5">
        <f>IF(OR(F_Custom1_Q="(None)",F_Custom1_Q="",ISBLANK(F_Custom1_Q),F_Custom1_V="(All)",F_Custom1_V="",ISBLANK(F_Custom1_V)),1,IFERROR(IF(ISNUMBER(SEARCH("|"&amp;INDEX(INDIRECT(F_Custom1_resolved_column),4)&amp;"|",F_Custom1_wrapped)),1,0),0))</f>
        <v>1</v>
      </c>
      <c r="K5">
        <f>IF(OR(F_Custom2_Q="(None)",F_Custom2_Q="",ISBLANK(F_Custom2_Q),F_Custom2_V="(All)",F_Custom2_V="",ISBLANK(F_Custom2_V)),1,IFERROR(IF(ISNUMBER(SEARCH("|"&amp;INDEX(INDIRECT(F_Custom2_resolved_column),4)&amp;"|",F_Custom2_wrapped)),1,0),0))</f>
        <v>1</v>
      </c>
      <c r="L5">
        <f>J5*K5*1</f>
        <v>1</v>
      </c>
      <c r="M5">
        <f>1</f>
        <v>1</v>
      </c>
      <c r="N5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4)&amp;"|",All_Questions_Q_SS_EXPORT_F_wrapped)),1,0),0))</f>
        <v>1</v>
      </c>
      <c r="O5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4)&amp;"|",All_Questions_Q_MS_EXPORT_F_wrapped)),1,0),0))</f>
        <v>1</v>
      </c>
      <c r="P5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4)&amp;"|",All_Questions_Q_NUM_EXPORT_F_wrapped)),1,0),0))</f>
        <v>1</v>
      </c>
      <c r="Q5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4)&amp;"|",All_Questions_Q_GRID_EXPORT_F_wrapped)),1,0),0))</f>
        <v>1</v>
      </c>
      <c r="R5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4)&amp;"|",All_Questions_Q_VERY_LONG_SINGLE_SELECT_EXPORT_NAME_F_wrapped)),1,0),0))</f>
        <v>1</v>
      </c>
    </row>
    <row r="6">
      <c r="A6" t="n">
        <v>5</v>
      </c>
      <c r="B6" t="inlineStr">
        <is>
          <t>Yes</t>
        </is>
      </c>
      <c r="C6" t="inlineStr">
        <is>
          <t>Selected</t>
        </is>
      </c>
      <c r="E6" t="n">
        <v>5.5</v>
      </c>
      <c r="F6" t="inlineStr">
        <is>
          <t>Selected</t>
        </is>
      </c>
      <c r="G6" t="inlineStr">
        <is>
          <t>Selected</t>
        </is>
      </c>
      <c r="H6" t="inlineStr">
        <is>
          <t>A</t>
        </is>
      </c>
      <c r="I6">
        <f>1</f>
        <v>1</v>
      </c>
      <c r="J6">
        <f>IF(OR(F_Custom1_Q="(None)",F_Custom1_Q="",ISBLANK(F_Custom1_Q),F_Custom1_V="(All)",F_Custom1_V="",ISBLANK(F_Custom1_V)),1,IFERROR(IF(ISNUMBER(SEARCH("|"&amp;INDEX(INDIRECT(F_Custom1_resolved_column),5)&amp;"|",F_Custom1_wrapped)),1,0),0))</f>
        <v>1</v>
      </c>
      <c r="K6">
        <f>IF(OR(F_Custom2_Q="(None)",F_Custom2_Q="",ISBLANK(F_Custom2_Q),F_Custom2_V="(All)",F_Custom2_V="",ISBLANK(F_Custom2_V)),1,IFERROR(IF(ISNUMBER(SEARCH("|"&amp;INDEX(INDIRECT(F_Custom2_resolved_column),5)&amp;"|",F_Custom2_wrapped)),1,0),0))</f>
        <v>1</v>
      </c>
      <c r="L6">
        <f>J6*K6*1</f>
        <v>1</v>
      </c>
      <c r="M6">
        <f>1</f>
        <v>1</v>
      </c>
      <c r="N6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5)&amp;"|",All_Questions_Q_SS_EXPORT_F_wrapped)),1,0),0))</f>
        <v>1</v>
      </c>
      <c r="O6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5)&amp;"|",All_Questions_Q_MS_EXPORT_F_wrapped)),1,0),0))</f>
        <v>1</v>
      </c>
      <c r="P6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5)&amp;"|",All_Questions_Q_NUM_EXPORT_F_wrapped)),1,0),0))</f>
        <v>1</v>
      </c>
      <c r="Q6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5)&amp;"|",All_Questions_Q_GRID_EXPORT_F_wrapped)),1,0),0))</f>
        <v>1</v>
      </c>
      <c r="R6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5)&amp;"|",All_Questions_Q_VERY_LONG_SINGLE_SELECT_EXPORT_NAME_F_wrapped)),1,0),0))</f>
        <v>1</v>
      </c>
    </row>
    <row r="7">
      <c r="A7" t="n">
        <v>6</v>
      </c>
      <c r="B7" t="inlineStr">
        <is>
          <t>Yes</t>
        </is>
      </c>
      <c r="E7" t="n">
        <v>5.5</v>
      </c>
      <c r="F7" t="inlineStr">
        <is>
          <t>Selected</t>
        </is>
      </c>
      <c r="G7" t="inlineStr">
        <is>
          <t>Selected</t>
        </is>
      </c>
      <c r="H7" t="inlineStr">
        <is>
          <t>A</t>
        </is>
      </c>
      <c r="I7">
        <f>1</f>
        <v>1</v>
      </c>
      <c r="J7">
        <f>IF(OR(F_Custom1_Q="(None)",F_Custom1_Q="",ISBLANK(F_Custom1_Q),F_Custom1_V="(All)",F_Custom1_V="",ISBLANK(F_Custom1_V)),1,IFERROR(IF(ISNUMBER(SEARCH("|"&amp;INDEX(INDIRECT(F_Custom1_resolved_column),6)&amp;"|",F_Custom1_wrapped)),1,0),0))</f>
        <v>1</v>
      </c>
      <c r="K7">
        <f>IF(OR(F_Custom2_Q="(None)",F_Custom2_Q="",ISBLANK(F_Custom2_Q),F_Custom2_V="(All)",F_Custom2_V="",ISBLANK(F_Custom2_V)),1,IFERROR(IF(ISNUMBER(SEARCH("|"&amp;INDEX(INDIRECT(F_Custom2_resolved_column),6)&amp;"|",F_Custom2_wrapped)),1,0),0))</f>
        <v>1</v>
      </c>
      <c r="L7">
        <f>J7*K7*1</f>
        <v>1</v>
      </c>
      <c r="M7">
        <f>1</f>
        <v>1</v>
      </c>
      <c r="N7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6)&amp;"|",All_Questions_Q_SS_EXPORT_F_wrapped)),1,0),0))</f>
        <v>1</v>
      </c>
      <c r="O7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6)&amp;"|",All_Questions_Q_MS_EXPORT_F_wrapped)),1,0),0))</f>
        <v>1</v>
      </c>
      <c r="P7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6)&amp;"|",All_Questions_Q_NUM_EXPORT_F_wrapped)),1,0),0))</f>
        <v>1</v>
      </c>
      <c r="Q7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6)&amp;"|",All_Questions_Q_GRID_EXPORT_F_wrapped)),1,0),0))</f>
        <v>1</v>
      </c>
      <c r="R7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6)&amp;"|",All_Questions_Q_VERY_LONG_SINGLE_SELECT_EXPORT_NAME_F_wrapped)),1,0),0))</f>
        <v>1</v>
      </c>
    </row>
    <row r="8">
      <c r="A8" t="n">
        <v>7</v>
      </c>
      <c r="B8" t="inlineStr">
        <is>
          <t>No</t>
        </is>
      </c>
      <c r="E8" t="n">
        <v>5.5</v>
      </c>
      <c r="F8" t="inlineStr">
        <is>
          <t>Selected</t>
        </is>
      </c>
      <c r="G8" t="inlineStr">
        <is>
          <t>Selected</t>
        </is>
      </c>
      <c r="H8" t="inlineStr">
        <is>
          <t>A</t>
        </is>
      </c>
      <c r="I8">
        <f>1</f>
        <v>1</v>
      </c>
      <c r="J8">
        <f>IF(OR(F_Custom1_Q="(None)",F_Custom1_Q="",ISBLANK(F_Custom1_Q),F_Custom1_V="(All)",F_Custom1_V="",ISBLANK(F_Custom1_V)),1,IFERROR(IF(ISNUMBER(SEARCH("|"&amp;INDEX(INDIRECT(F_Custom1_resolved_column),7)&amp;"|",F_Custom1_wrapped)),1,0),0))</f>
        <v>1</v>
      </c>
      <c r="K8">
        <f>IF(OR(F_Custom2_Q="(None)",F_Custom2_Q="",ISBLANK(F_Custom2_Q),F_Custom2_V="(All)",F_Custom2_V="",ISBLANK(F_Custom2_V)),1,IFERROR(IF(ISNUMBER(SEARCH("|"&amp;INDEX(INDIRECT(F_Custom2_resolved_column),7)&amp;"|",F_Custom2_wrapped)),1,0),0))</f>
        <v>1</v>
      </c>
      <c r="L8">
        <f>J8*K8*1</f>
        <v>1</v>
      </c>
      <c r="M8">
        <f>1</f>
        <v>1</v>
      </c>
      <c r="N8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7)&amp;"|",All_Questions_Q_SS_EXPORT_F_wrapped)),1,0),0))</f>
        <v>1</v>
      </c>
      <c r="O8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7)&amp;"|",All_Questions_Q_MS_EXPORT_F_wrapped)),1,0),0))</f>
        <v>1</v>
      </c>
      <c r="P8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7)&amp;"|",All_Questions_Q_NUM_EXPORT_F_wrapped)),1,0),0))</f>
        <v>1</v>
      </c>
      <c r="Q8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7)&amp;"|",All_Questions_Q_GRID_EXPORT_F_wrapped)),1,0),0))</f>
        <v>1</v>
      </c>
      <c r="R8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7)&amp;"|",All_Questions_Q_VERY_LONG_SINGLE_SELECT_EXPORT_NAME_F_wrapped)),1,0),0))</f>
        <v>1</v>
      </c>
    </row>
    <row r="9">
      <c r="A9" t="n">
        <v>8</v>
      </c>
      <c r="B9" t="inlineStr">
        <is>
          <t>No</t>
        </is>
      </c>
      <c r="E9" t="n">
        <v>5.5</v>
      </c>
      <c r="F9" t="inlineStr">
        <is>
          <t>Selected</t>
        </is>
      </c>
      <c r="G9" t="inlineStr">
        <is>
          <t>Selected</t>
        </is>
      </c>
      <c r="H9" t="inlineStr">
        <is>
          <t>B</t>
        </is>
      </c>
      <c r="I9">
        <f>1</f>
        <v>1</v>
      </c>
      <c r="J9">
        <f>IF(OR(F_Custom1_Q="(None)",F_Custom1_Q="",ISBLANK(F_Custom1_Q),F_Custom1_V="(All)",F_Custom1_V="",ISBLANK(F_Custom1_V)),1,IFERROR(IF(ISNUMBER(SEARCH("|"&amp;INDEX(INDIRECT(F_Custom1_resolved_column),8)&amp;"|",F_Custom1_wrapped)),1,0),0))</f>
        <v>1</v>
      </c>
      <c r="K9">
        <f>IF(OR(F_Custom2_Q="(None)",F_Custom2_Q="",ISBLANK(F_Custom2_Q),F_Custom2_V="(All)",F_Custom2_V="",ISBLANK(F_Custom2_V)),1,IFERROR(IF(ISNUMBER(SEARCH("|"&amp;INDEX(INDIRECT(F_Custom2_resolved_column),8)&amp;"|",F_Custom2_wrapped)),1,0),0))</f>
        <v>1</v>
      </c>
      <c r="L9">
        <f>J9*K9*1</f>
        <v>1</v>
      </c>
      <c r="M9">
        <f>1</f>
        <v>1</v>
      </c>
      <c r="N9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8)&amp;"|",All_Questions_Q_SS_EXPORT_F_wrapped)),1,0),0))</f>
        <v>1</v>
      </c>
      <c r="O9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8)&amp;"|",All_Questions_Q_MS_EXPORT_F_wrapped)),1,0),0))</f>
        <v>1</v>
      </c>
      <c r="P9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8)&amp;"|",All_Questions_Q_NUM_EXPORT_F_wrapped)),1,0),0))</f>
        <v>1</v>
      </c>
      <c r="Q9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8)&amp;"|",All_Questions_Q_GRID_EXPORT_F_wrapped)),1,0),0))</f>
        <v>1</v>
      </c>
      <c r="R9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8)&amp;"|",All_Questions_Q_VERY_LONG_SINGLE_SELECT_EXPORT_NAME_F_wrapped)),1,0),0))</f>
        <v>1</v>
      </c>
    </row>
    <row r="10">
      <c r="A10" t="n">
        <v>9</v>
      </c>
      <c r="B10" t="inlineStr">
        <is>
          <t>No</t>
        </is>
      </c>
      <c r="E10" t="n">
        <v>5.5</v>
      </c>
      <c r="F10" t="inlineStr">
        <is>
          <t>Selected</t>
        </is>
      </c>
      <c r="G10" t="inlineStr">
        <is>
          <t>Selected</t>
        </is>
      </c>
      <c r="H10" t="inlineStr">
        <is>
          <t>B</t>
        </is>
      </c>
      <c r="I10">
        <f>1</f>
        <v>1</v>
      </c>
      <c r="J10">
        <f>IF(OR(F_Custom1_Q="(None)",F_Custom1_Q="",ISBLANK(F_Custom1_Q),F_Custom1_V="(All)",F_Custom1_V="",ISBLANK(F_Custom1_V)),1,IFERROR(IF(ISNUMBER(SEARCH("|"&amp;INDEX(INDIRECT(F_Custom1_resolved_column),9)&amp;"|",F_Custom1_wrapped)),1,0),0))</f>
        <v>1</v>
      </c>
      <c r="K10">
        <f>IF(OR(F_Custom2_Q="(None)",F_Custom2_Q="",ISBLANK(F_Custom2_Q),F_Custom2_V="(All)",F_Custom2_V="",ISBLANK(F_Custom2_V)),1,IFERROR(IF(ISNUMBER(SEARCH("|"&amp;INDEX(INDIRECT(F_Custom2_resolved_column),9)&amp;"|",F_Custom2_wrapped)),1,0),0))</f>
        <v>1</v>
      </c>
      <c r="L10">
        <f>J10*K10*1</f>
        <v>1</v>
      </c>
      <c r="M10">
        <f>1</f>
        <v>1</v>
      </c>
      <c r="N10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9)&amp;"|",All_Questions_Q_SS_EXPORT_F_wrapped)),1,0),0))</f>
        <v>1</v>
      </c>
      <c r="O10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9)&amp;"|",All_Questions_Q_MS_EXPORT_F_wrapped)),1,0),0))</f>
        <v>1</v>
      </c>
      <c r="P10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9)&amp;"|",All_Questions_Q_NUM_EXPORT_F_wrapped)),1,0),0))</f>
        <v>1</v>
      </c>
      <c r="Q10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9)&amp;"|",All_Questions_Q_GRID_EXPORT_F_wrapped)),1,0),0))</f>
        <v>1</v>
      </c>
      <c r="R10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9)&amp;"|",All_Questions_Q_VERY_LONG_SINGLE_SELECT_EXPORT_NAME_F_wrapped)),1,0),0))</f>
        <v>1</v>
      </c>
    </row>
    <row r="11">
      <c r="A11" t="n">
        <v>10</v>
      </c>
      <c r="B11" t="inlineStr">
        <is>
          <t>No</t>
        </is>
      </c>
      <c r="E11" t="n">
        <v>5.5</v>
      </c>
      <c r="F11" t="inlineStr">
        <is>
          <t>Selected</t>
        </is>
      </c>
      <c r="G11" t="inlineStr">
        <is>
          <t>Selected</t>
        </is>
      </c>
      <c r="H11" t="inlineStr">
        <is>
          <t>B</t>
        </is>
      </c>
      <c r="I11">
        <f>1</f>
        <v>1</v>
      </c>
      <c r="J11">
        <f>IF(OR(F_Custom1_Q="(None)",F_Custom1_Q="",ISBLANK(F_Custom1_Q),F_Custom1_V="(All)",F_Custom1_V="",ISBLANK(F_Custom1_V)),1,IFERROR(IF(ISNUMBER(SEARCH("|"&amp;INDEX(INDIRECT(F_Custom1_resolved_column),10)&amp;"|",F_Custom1_wrapped)),1,0),0))</f>
        <v>1</v>
      </c>
      <c r="K11">
        <f>IF(OR(F_Custom2_Q="(None)",F_Custom2_Q="",ISBLANK(F_Custom2_Q),F_Custom2_V="(All)",F_Custom2_V="",ISBLANK(F_Custom2_V)),1,IFERROR(IF(ISNUMBER(SEARCH("|"&amp;INDEX(INDIRECT(F_Custom2_resolved_column),10)&amp;"|",F_Custom2_wrapped)),1,0),0))</f>
        <v>1</v>
      </c>
      <c r="L11">
        <f>J11*K11*1</f>
        <v>1</v>
      </c>
      <c r="M11">
        <f>1</f>
        <v>1</v>
      </c>
      <c r="N11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10)&amp;"|",All_Questions_Q_SS_EXPORT_F_wrapped)),1,0),0))</f>
        <v>1</v>
      </c>
      <c r="O11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10)&amp;"|",All_Questions_Q_MS_EXPORT_F_wrapped)),1,0),0))</f>
        <v>1</v>
      </c>
      <c r="P11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10)&amp;"|",All_Questions_Q_NUM_EXPORT_F_wrapped)),1,0),0))</f>
        <v>1</v>
      </c>
      <c r="Q11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10)&amp;"|",All_Questions_Q_GRID_EXPORT_F_wrapped)),1,0),0))</f>
        <v>1</v>
      </c>
      <c r="R11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10)&amp;"|",All_Questions_Q_VERY_LONG_SINGLE_SELECT_EXPORT_NAME_F_wrapped)),1,0),0))</f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S5"/>
  <sheetViews>
    <sheetView workbookViewId="0">
      <selection activeCell="A1" sqref="A1"/>
    </sheetView>
  </sheetViews>
  <sheetFormatPr baseColWidth="8" defaultRowHeight="15"/>
  <sheetData>
    <row r="1">
      <c r="A1" t="inlineStr">
        <is>
          <t>All_Questions</t>
        </is>
      </c>
      <c r="B1" t="inlineStr">
        <is>
          <t>All_Questions_Local</t>
        </is>
      </c>
      <c r="C1" t="inlineStr">
        <is>
          <t>All_Questions_Data_Names</t>
        </is>
      </c>
      <c r="D1" t="inlineStr">
        <is>
          <t>All_Questions_Options_Names</t>
        </is>
      </c>
      <c r="E1" t="inlineStr">
        <is>
          <t>None_options</t>
        </is>
      </c>
      <c r="F1" t="inlineStr">
        <is>
          <t>Q_SS_EXPORT_options</t>
        </is>
      </c>
      <c r="G1" t="inlineStr">
        <is>
          <t>Q_MS_EXPORTr1_options</t>
        </is>
      </c>
      <c r="H1" t="inlineStr">
        <is>
          <t>Q_MS_EXPORTr2_options</t>
        </is>
      </c>
      <c r="I1" t="inlineStr">
        <is>
          <t>Q_NUM_EXPORT_options</t>
        </is>
      </c>
      <c r="J1" t="inlineStr">
        <is>
          <t>Q_GRID_EXPORTr1_options</t>
        </is>
      </c>
      <c r="K1" t="inlineStr">
        <is>
          <t>Q_GRID_EXPORTr2_options</t>
        </is>
      </c>
      <c r="L1" t="inlineStr">
        <is>
          <t>Q_VERY_LONG_SINGLE_SELECT_EXPOR_options</t>
        </is>
      </c>
      <c r="M1" t="inlineStr">
        <is>
          <t>Q_SS_EXPORT_local_options</t>
        </is>
      </c>
      <c r="N1" t="inlineStr">
        <is>
          <t>Q_MS_EXPORTr1_local_options</t>
        </is>
      </c>
      <c r="O1" t="inlineStr">
        <is>
          <t>Q_MS_EXPORTr2_local_options</t>
        </is>
      </c>
      <c r="P1" t="inlineStr">
        <is>
          <t>Q_NUM_EXPORT_local_options</t>
        </is>
      </c>
      <c r="Q1" t="inlineStr">
        <is>
          <t>Q_GRID_EXPORTr1_local_options</t>
        </is>
      </c>
      <c r="R1" t="inlineStr">
        <is>
          <t>Q_GRID_EXPORTr2_local_options</t>
        </is>
      </c>
      <c r="S1" t="inlineStr">
        <is>
          <t>Q_VERY_LONG_SINGLE_SELECT_EXPOR_local_options</t>
        </is>
      </c>
    </row>
    <row r="2">
      <c r="A2" t="inlineStr">
        <is>
          <t>(None)</t>
        </is>
      </c>
      <c r="B2" t="inlineStr">
        <is>
          <t>(Inherit)</t>
        </is>
      </c>
      <c r="C2" t="inlineStr">
        <is>
          <t>'_RawData'!$A$2:$A$11</t>
        </is>
      </c>
      <c r="D2" t="inlineStr">
        <is>
          <t>'_Options'!$E$2:$E$2</t>
        </is>
      </c>
      <c r="E2" t="inlineStr">
        <is>
          <t>(All)</t>
        </is>
      </c>
      <c r="F2" t="inlineStr">
        <is>
          <t>(All)</t>
        </is>
      </c>
      <c r="G2" t="inlineStr">
        <is>
          <t>(All)</t>
        </is>
      </c>
      <c r="H2" t="inlineStr">
        <is>
          <t>(All)</t>
        </is>
      </c>
      <c r="I2" t="inlineStr">
        <is>
          <t>(All)</t>
        </is>
      </c>
      <c r="J2" t="inlineStr">
        <is>
          <t>(All)</t>
        </is>
      </c>
      <c r="K2" t="inlineStr">
        <is>
          <t>(All)</t>
        </is>
      </c>
      <c r="L2" t="inlineStr">
        <is>
          <t>(All)</t>
        </is>
      </c>
      <c r="M2" t="inlineStr">
        <is>
          <t>(Inherit)</t>
        </is>
      </c>
      <c r="N2" t="inlineStr">
        <is>
          <t>(Inherit)</t>
        </is>
      </c>
      <c r="O2" t="inlineStr">
        <is>
          <t>(Inherit)</t>
        </is>
      </c>
      <c r="P2" t="inlineStr">
        <is>
          <t>(Inherit)</t>
        </is>
      </c>
      <c r="Q2" t="inlineStr">
        <is>
          <t>(Inherit)</t>
        </is>
      </c>
      <c r="R2" t="inlineStr">
        <is>
          <t>(Inherit)</t>
        </is>
      </c>
      <c r="S2" t="inlineStr">
        <is>
          <t>(Inherit)</t>
        </is>
      </c>
    </row>
    <row r="3">
      <c r="A3" t="inlineStr">
        <is>
          <t>Q_SS_EXPORT - Single Select Export Question</t>
        </is>
      </c>
      <c r="B3" t="inlineStr">
        <is>
          <t>(None)</t>
        </is>
      </c>
      <c r="C3" t="inlineStr">
        <is>
          <t>'_RawData'!$B$2:$B$11</t>
        </is>
      </c>
      <c r="D3" t="inlineStr">
        <is>
          <t>'_Options'!$F$2:$F$4</t>
        </is>
      </c>
      <c r="F3" t="inlineStr">
        <is>
          <t>Yes</t>
        </is>
      </c>
      <c r="G3" t="inlineStr">
        <is>
          <t>Selected</t>
        </is>
      </c>
      <c r="H3" t="inlineStr">
        <is>
          <t>Selected</t>
        </is>
      </c>
      <c r="I3" t="inlineStr">
        <is>
          <t>5.5</t>
        </is>
      </c>
      <c r="J3" t="inlineStr">
        <is>
          <t>Selected</t>
        </is>
      </c>
      <c r="K3" t="inlineStr">
        <is>
          <t>Selected</t>
        </is>
      </c>
      <c r="L3" t="inlineStr">
        <is>
          <t>A</t>
        </is>
      </c>
      <c r="M3" t="inlineStr">
        <is>
          <t>(All)</t>
        </is>
      </c>
      <c r="N3" t="inlineStr">
        <is>
          <t>(All)</t>
        </is>
      </c>
      <c r="O3" t="inlineStr">
        <is>
          <t>(All)</t>
        </is>
      </c>
      <c r="P3" t="inlineStr">
        <is>
          <t>(All)</t>
        </is>
      </c>
      <c r="Q3" t="inlineStr">
        <is>
          <t>(All)</t>
        </is>
      </c>
      <c r="R3" t="inlineStr">
        <is>
          <t>(All)</t>
        </is>
      </c>
      <c r="S3" t="inlineStr">
        <is>
          <t>(All)</t>
        </is>
      </c>
    </row>
    <row r="4">
      <c r="A4" t="inlineStr">
        <is>
          <t>Q_VERY_LONG_SINGLE_SELECT_EXPORT_NAME - Long Sheet Name Export Question</t>
        </is>
      </c>
      <c r="B4" t="inlineStr">
        <is>
          <t>Q_SS_EXPORT - Single Select Export Question</t>
        </is>
      </c>
      <c r="C4" t="inlineStr">
        <is>
          <t>'_RawData'!$H$2:$H$11</t>
        </is>
      </c>
      <c r="D4" t="inlineStr">
        <is>
          <t>'_Options'!$L$2:$L$4</t>
        </is>
      </c>
      <c r="F4" t="inlineStr">
        <is>
          <t>No</t>
        </is>
      </c>
      <c r="L4" t="inlineStr">
        <is>
          <t>B</t>
        </is>
      </c>
      <c r="M4" t="inlineStr">
        <is>
          <t>Yes</t>
        </is>
      </c>
      <c r="N4" t="inlineStr">
        <is>
          <t>Selected</t>
        </is>
      </c>
      <c r="O4" t="inlineStr">
        <is>
          <t>Selected</t>
        </is>
      </c>
      <c r="P4" t="inlineStr">
        <is>
          <t>5.5</t>
        </is>
      </c>
      <c r="Q4" t="inlineStr">
        <is>
          <t>Selected</t>
        </is>
      </c>
      <c r="R4" t="inlineStr">
        <is>
          <t>Selected</t>
        </is>
      </c>
      <c r="S4" t="inlineStr">
        <is>
          <t>A</t>
        </is>
      </c>
    </row>
    <row r="5">
      <c r="B5" t="inlineStr">
        <is>
          <t>Q_VERY_LONG_SINGLE_SELECT_EXPORT_NAME - Long Sheet Name Export Question</t>
        </is>
      </c>
      <c r="M5" t="inlineStr">
        <is>
          <t>No</t>
        </is>
      </c>
      <c r="S5" t="inlineStr">
        <is>
          <t>B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2" customWidth="1" min="1" max="1"/>
    <col width="28" customWidth="1" min="2" max="2"/>
    <col width="28" customWidth="1" min="3" max="3"/>
    <col width="28" customWidth="1" min="4" max="4"/>
    <col width="34" customWidth="1" min="5" max="5"/>
    <col width="28" customWidth="1" min="6" max="6"/>
    <col width="28" customWidth="1" min="7" max="7"/>
  </cols>
  <sheetData>
    <row r="1">
      <c r="A1" s="1" t="inlineStr">
        <is>
          <t>DEMOGRAPHIC FILTERS</t>
        </is>
      </c>
      <c r="B1" s="2" t="n"/>
      <c r="C1" s="2" t="n"/>
      <c r="D1" s="2" t="n"/>
      <c r="E1" s="2" t="n"/>
      <c r="F1" s="2" t="n"/>
    </row>
    <row r="2">
      <c r="A2" s="3" t="inlineStr">
        <is>
          <t>To filter by multiple values, separate with ", " (comma + space). Example: India, USA, UK</t>
        </is>
      </c>
    </row>
    <row r="3">
      <c r="A3" s="4" t="inlineStr">
        <is>
          <t>Filter</t>
        </is>
      </c>
      <c r="B3" s="4" t="inlineStr">
        <is>
          <t>Value</t>
        </is>
      </c>
      <c r="C3" s="4" t="inlineStr">
        <is>
          <t>Wrapped</t>
        </is>
      </c>
      <c r="D3" s="4" t="inlineStr">
        <is>
          <t>Available values</t>
        </is>
      </c>
    </row>
    <row r="5">
      <c r="A5" s="4" t="inlineStr">
        <is>
          <t>CUSTOM FILTERS</t>
        </is>
      </c>
      <c r="B5" s="2" t="n"/>
      <c r="C5" s="2" t="n"/>
      <c r="D5" s="2" t="n"/>
      <c r="E5" s="2" t="n"/>
      <c r="F5" s="2" t="n"/>
    </row>
    <row r="6">
      <c r="A6" t="inlineStr">
        <is>
          <t>Filter 1 question</t>
        </is>
      </c>
      <c r="B6" t="inlineStr">
        <is>
          <t>(None)</t>
        </is>
      </c>
      <c r="C6" t="inlineStr">
        <is>
          <t>Filter value</t>
        </is>
      </c>
      <c r="D6" t="inlineStr">
        <is>
          <t>(All)</t>
        </is>
      </c>
      <c r="E6" t="str">
        <f>IFERROR(INDEX(All_Questions_Data_Names,MATCH(F_Custom1_Q,All_Questions,0)),"'_RawData'!$A:$A")</f>
        <v>respondent_id_data</v>
      </c>
      <c r="F6" t="str">
        <f>"|" &amp; SUBSTITUTE(F_Custom1_V, ", ", "|") &amp; "|"</f>
        <v>|(All)|</v>
      </c>
    </row>
    <row r="7">
      <c r="A7" t="inlineStr">
        <is>
          <t>Filter 2 question</t>
        </is>
      </c>
      <c r="B7" t="inlineStr">
        <is>
          <t>(None)</t>
        </is>
      </c>
      <c r="C7" t="inlineStr">
        <is>
          <t>Filter value</t>
        </is>
      </c>
      <c r="D7" t="inlineStr">
        <is>
          <t>(All)</t>
        </is>
      </c>
      <c r="E7" t="str">
        <f>IFERROR(INDEX(All_Questions_Data_Names,MATCH(F_Custom2_Q,All_Questions,0)),"'_RawData'!$A:$A")</f>
        <v>respondent_id_data</v>
      </c>
      <c r="F7" t="str">
        <f>"|" &amp; SUBSTITUTE(F_Custom2_V, ", ", "|") &amp; "|"</f>
        <v>|(All)|</v>
      </c>
    </row>
  </sheetData>
  <dataValidations count="4">
    <dataValidation sqref="B6" showDropDown="0" showInputMessage="0" showErrorMessage="0" allowBlank="1" type="list">
      <formula1>=All_Questions</formula1>
    </dataValidation>
    <dataValidation sqref="D6" showDropDown="0" showInputMessage="0" showErrorMessage="0" allowBlank="1" type="list">
      <formula1>=INDIRECT(IFERROR(INDEX(All_Questions_Options_Names,MATCH(F_Custom1_Q,All_Questions,0)),"'_Options'!$E$2:$E$2"))</formula1>
    </dataValidation>
    <dataValidation sqref="B7" showDropDown="0" showInputMessage="0" showErrorMessage="0" allowBlank="1" type="list">
      <formula1>=All_Questions</formula1>
    </dataValidation>
    <dataValidation sqref="D7" showDropDown="0" showInputMessage="0" showErrorMessage="0" allowBlank="1" type="list">
      <formula1>=INDIRECT(IFERROR(INDEX(All_Questions_Options_Names,MATCH(F_Custom2_Q,All_Questions,0)),"'_Options'!$E$2:$E$2"))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cols>
    <col width="22" customWidth="1" min="1" max="1"/>
    <col width="27" customWidth="1" min="2" max="2"/>
  </cols>
  <sheetData>
    <row r="1">
      <c r="A1" s="5" t="inlineStr">
        <is>
          <t>Source datamap:</t>
        </is>
      </c>
      <c r="B1" t="inlineStr">
        <is>
          <t>datamap.xlsx</t>
        </is>
      </c>
    </row>
    <row r="2">
      <c r="A2" s="5" t="inlineStr">
        <is>
          <t>Source raw data:</t>
        </is>
      </c>
      <c r="B2" t="inlineStr">
        <is>
          <t>raw.csv</t>
        </is>
      </c>
    </row>
    <row r="3">
      <c r="A3" s="5" t="inlineStr">
        <is>
          <t>Run timestamp:</t>
        </is>
      </c>
      <c r="B3" t="inlineStr">
        <is>
          <t>2026-05-04T12:00:00+00:00</t>
        </is>
      </c>
    </row>
    <row r="4">
      <c r="A4" s="5" t="inlineStr">
        <is>
          <t>Total respondents:</t>
        </is>
      </c>
      <c r="B4" t="n">
        <v>10</v>
      </c>
    </row>
    <row r="5">
      <c r="A5" s="5" t="inlineStr">
        <is>
          <t>Total questions:</t>
        </is>
      </c>
      <c r="B5" t="n">
        <v>6</v>
      </c>
    </row>
    <row r="6">
      <c r="A6" s="5" t="inlineStr">
        <is>
          <t>Results produced:</t>
        </is>
      </c>
      <c r="B6" t="n">
        <v>5</v>
      </c>
    </row>
    <row r="7">
      <c r="A7" s="5" t="inlineStr">
        <is>
          <t>Questions skipped:</t>
        </is>
      </c>
      <c r="B7" t="n">
        <v>2</v>
      </c>
    </row>
    <row r="8">
      <c r="A8" s="5" t="inlineStr">
        <is>
          <t>Cross cuts produced:</t>
        </is>
      </c>
      <c r="B8" t="n">
        <v>0</v>
      </c>
    </row>
    <row r="9">
      <c r="A9" s="5" t="inlineStr">
        <is>
          <t>Cross cut skips:</t>
        </is>
      </c>
      <c r="B9" t="n">
        <v>0</v>
      </c>
    </row>
    <row r="10">
      <c r="A10" s="5" t="inlineStr">
        <is>
          <t>Audit log records:</t>
        </is>
      </c>
      <c r="B10" t="n">
        <v>7</v>
      </c>
    </row>
    <row r="11">
      <c r="A11" s="5" t="inlineStr">
        <is>
          <t>Quality warnings:</t>
        </is>
      </c>
      <c r="B11" t="n">
        <v>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1" customWidth="1" min="1" max="1"/>
    <col width="39" customWidth="1" min="2" max="2"/>
    <col width="33" customWidth="1" min="3" max="3"/>
    <col width="21" customWidth="1" min="4" max="4"/>
    <col width="39" customWidth="1" min="5" max="5"/>
    <col width="15" customWidth="1" min="6" max="6"/>
    <col width="19" customWidth="1" min="7" max="7"/>
    <col width="13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Question Text</t>
        </is>
      </c>
      <c r="D1" s="4" t="inlineStr">
        <is>
          <t>Type</t>
        </is>
      </c>
      <c r="E1" s="4" t="inlineStr">
        <is>
          <t>Raw Columns</t>
        </is>
      </c>
      <c r="F1" s="4" t="inlineStr">
        <is>
          <t>Options Count</t>
        </is>
      </c>
      <c r="G1" s="4" t="inlineStr">
        <is>
          <t>Analysis Eligible</t>
        </is>
      </c>
      <c r="H1" s="4" t="inlineStr">
        <is>
          <t>Demographic</t>
        </is>
      </c>
      <c r="I1" s="4" t="inlineStr">
        <is>
          <t>Parent Question</t>
        </is>
      </c>
    </row>
    <row r="2">
      <c r="A2" t="inlineStr">
        <is>
          <t>[Q_SS_EXPORT]</t>
        </is>
      </c>
      <c r="B2" t="inlineStr">
        <is>
          <t>Q_SS_EXPORT</t>
        </is>
      </c>
      <c r="C2" t="inlineStr">
        <is>
          <t>Single select export question</t>
        </is>
      </c>
      <c r="D2" t="inlineStr">
        <is>
          <t>SINGLE_SELECT</t>
        </is>
      </c>
      <c r="E2" t="inlineStr">
        <is>
          <t>Q_SS_EXPORT</t>
        </is>
      </c>
      <c r="F2" t="n">
        <v>2</v>
      </c>
      <c r="G2" t="inlineStr">
        <is>
          <t>Yes</t>
        </is>
      </c>
      <c r="H2" t="inlineStr">
        <is>
          <t>No</t>
        </is>
      </c>
      <c r="I2" t="inlineStr"/>
    </row>
    <row r="3">
      <c r="A3" t="inlineStr">
        <is>
          <t>[Q_MS_EXPORT]</t>
        </is>
      </c>
      <c r="B3" t="inlineStr">
        <is>
          <t>Q_MS_EXPORT</t>
        </is>
      </c>
      <c r="C3" t="inlineStr">
        <is>
          <t>Multi select export question</t>
        </is>
      </c>
      <c r="D3" t="inlineStr">
        <is>
          <t>MULTI_SELECT_BINARY</t>
        </is>
      </c>
      <c r="E3" t="inlineStr">
        <is>
          <t>Q_MS_EXPORTr1, Q_MS_EXPORTr2</t>
        </is>
      </c>
      <c r="F3" t="n">
        <v>2</v>
      </c>
      <c r="G3" t="inlineStr">
        <is>
          <t>Yes</t>
        </is>
      </c>
      <c r="H3" t="inlineStr">
        <is>
          <t>No</t>
        </is>
      </c>
      <c r="I3" t="inlineStr"/>
    </row>
    <row r="4">
      <c r="A4" t="inlineStr">
        <is>
          <t>[Q_NUM_EXPORT]</t>
        </is>
      </c>
      <c r="B4" t="inlineStr">
        <is>
          <t>Q_NUM_EXPORT</t>
        </is>
      </c>
      <c r="C4" t="inlineStr">
        <is>
          <t>Numeric export question</t>
        </is>
      </c>
      <c r="D4" t="inlineStr">
        <is>
          <t>DIRECT_NUMERIC</t>
        </is>
      </c>
      <c r="E4" t="inlineStr">
        <is>
          <t>Q_NUM_EXPORT</t>
        </is>
      </c>
      <c r="F4" t="n">
        <v>0</v>
      </c>
      <c r="G4" t="inlineStr">
        <is>
          <t>Yes</t>
        </is>
      </c>
      <c r="H4" t="inlineStr">
        <is>
          <t>No</t>
        </is>
      </c>
      <c r="I4" t="inlineStr"/>
    </row>
    <row r="5">
      <c r="A5" t="inlineStr">
        <is>
          <t>[Q_GRID_EXPORT]</t>
        </is>
      </c>
      <c r="B5" t="inlineStr">
        <is>
          <t>Q_GRID_EXPORT</t>
        </is>
      </c>
      <c r="C5" t="inlineStr">
        <is>
          <t>Grid export question</t>
        </is>
      </c>
      <c r="D5" t="inlineStr">
        <is>
          <t>GRID_SINGLE_SELECT</t>
        </is>
      </c>
      <c r="E5" t="inlineStr">
        <is>
          <t>Q_GRID_EXPORTr1, Q_GRID_EXPORTr2</t>
        </is>
      </c>
      <c r="F5" t="n">
        <v>2</v>
      </c>
      <c r="G5" t="inlineStr">
        <is>
          <t>Yes</t>
        </is>
      </c>
      <c r="H5" t="inlineStr">
        <is>
          <t>No</t>
        </is>
      </c>
      <c r="I5" t="inlineStr"/>
    </row>
    <row r="6">
      <c r="A6" t="inlineStr">
        <is>
          <t>[Q_VERY_LONG_SINGLE_SELECT_EXPORT_NAME]</t>
        </is>
      </c>
      <c r="B6" t="inlineStr">
        <is>
          <t>Q_VERY_LONG_SINGLE_SELECT_EXPORT_NAME</t>
        </is>
      </c>
      <c r="C6" t="inlineStr">
        <is>
          <t>Long sheet name export question</t>
        </is>
      </c>
      <c r="D6" t="inlineStr">
        <is>
          <t>SINGLE_SELECT</t>
        </is>
      </c>
      <c r="E6" t="inlineStr">
        <is>
          <t>Q_VERY_LONG_SINGLE_SELECT_EXPORT_NAME</t>
        </is>
      </c>
      <c r="F6" t="n">
        <v>2</v>
      </c>
      <c r="G6" t="inlineStr">
        <is>
          <t>Yes</t>
        </is>
      </c>
      <c r="H6" t="inlineStr">
        <is>
          <t>No</t>
        </is>
      </c>
      <c r="I6" t="inlineStr"/>
    </row>
    <row r="7">
      <c r="A7" t="inlineStr">
        <is>
          <t>[Q_TEXT_EXPORT]</t>
        </is>
      </c>
      <c r="B7" t="inlineStr">
        <is>
          <t>Q_TEXT_EXPORT</t>
        </is>
      </c>
      <c r="C7" t="inlineStr">
        <is>
          <t>Open text export question</t>
        </is>
      </c>
      <c r="D7" t="inlineStr">
        <is>
          <t>OPEN_TEXT</t>
        </is>
      </c>
      <c r="E7" t="inlineStr">
        <is>
          <t>Q_TEXT_EXPORT</t>
        </is>
      </c>
      <c r="F7" t="n">
        <v>0</v>
      </c>
      <c r="G7" t="inlineStr">
        <is>
          <t>Yes</t>
        </is>
      </c>
      <c r="H7" t="inlineStr">
        <is>
          <t>No</t>
        </is>
      </c>
      <c r="I7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9" customWidth="1" min="1" max="1"/>
    <col width="39" customWidth="1" min="2" max="2"/>
    <col width="21" customWidth="1" min="3" max="3"/>
    <col width="15" customWidth="1" min="4" max="4"/>
    <col width="15" customWidth="1" min="5" max="5"/>
    <col width="9" customWidth="1" min="6" max="6"/>
    <col width="11" customWidth="1" min="7" max="7"/>
    <col width="11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Type</t>
        </is>
      </c>
      <c r="D1" s="4" t="inlineStr">
        <is>
          <t>Theme</t>
        </is>
      </c>
      <c r="E1" s="4" t="inlineStr">
        <is>
          <t>Sheet Name</t>
        </is>
      </c>
      <c r="F1" s="4" t="inlineStr">
        <is>
          <t>Valid N</t>
        </is>
      </c>
      <c r="G1" s="4" t="inlineStr">
        <is>
          <t>Missing N</t>
        </is>
      </c>
      <c r="H1" s="4" t="inlineStr">
        <is>
          <t>Missing %</t>
        </is>
      </c>
      <c r="I1" s="4" t="inlineStr">
        <is>
          <t>Warnings</t>
        </is>
      </c>
    </row>
    <row r="2">
      <c r="A2" t="inlineStr">
        <is>
          <t>Q_SS_EXPORT</t>
        </is>
      </c>
      <c r="B2" t="inlineStr">
        <is>
          <t>Q_SS_EXPORT</t>
        </is>
      </c>
      <c r="C2" t="inlineStr">
        <is>
          <t>SINGLE_SELECT</t>
        </is>
      </c>
      <c r="D2" t="inlineStr">
        <is>
          <t>All Questions</t>
        </is>
      </c>
      <c r="E2" s="6" t="inlineStr">
        <is>
          <t>All Questions</t>
        </is>
      </c>
      <c r="F2" t="n">
        <v>10</v>
      </c>
      <c r="G2" t="n">
        <v>0</v>
      </c>
      <c r="H2" s="7" t="n">
        <v>0</v>
      </c>
      <c r="I2" t="inlineStr"/>
    </row>
    <row r="3">
      <c r="A3" t="inlineStr">
        <is>
          <t>Q_MS_EXPORT</t>
        </is>
      </c>
      <c r="B3" t="inlineStr">
        <is>
          <t>Q_MS_EXPORT</t>
        </is>
      </c>
      <c r="C3" t="inlineStr">
        <is>
          <t>MULTI_SELECT_BINARY</t>
        </is>
      </c>
      <c r="D3" t="inlineStr">
        <is>
          <t>All Questions</t>
        </is>
      </c>
      <c r="E3" s="6" t="inlineStr">
        <is>
          <t>All Questions</t>
        </is>
      </c>
      <c r="F3" t="n">
        <v>10</v>
      </c>
      <c r="G3" t="n">
        <v>0</v>
      </c>
      <c r="H3" s="7" t="n">
        <v>0</v>
      </c>
      <c r="I3" t="inlineStr"/>
    </row>
    <row r="4">
      <c r="A4" t="inlineStr">
        <is>
          <t>Q_NUM_EXPORT</t>
        </is>
      </c>
      <c r="B4" t="inlineStr">
        <is>
          <t>Q_NUM_EXPORT</t>
        </is>
      </c>
      <c r="C4" t="inlineStr">
        <is>
          <t>DIRECT_NUMERIC</t>
        </is>
      </c>
      <c r="D4" t="inlineStr">
        <is>
          <t>All Questions</t>
        </is>
      </c>
      <c r="E4" s="6" t="inlineStr">
        <is>
          <t>All Questions</t>
        </is>
      </c>
      <c r="F4" t="n">
        <v>10</v>
      </c>
      <c r="G4" t="n">
        <v>0</v>
      </c>
      <c r="H4" s="7" t="n">
        <v>0</v>
      </c>
      <c r="I4" t="inlineStr"/>
    </row>
    <row r="5">
      <c r="A5" t="inlineStr">
        <is>
          <t>Q_GRID_EXPORT</t>
        </is>
      </c>
      <c r="B5" t="inlineStr">
        <is>
          <t>Q_GRID_EXPORT</t>
        </is>
      </c>
      <c r="C5" t="inlineStr">
        <is>
          <t>GRID_SINGLE_SELECT</t>
        </is>
      </c>
      <c r="D5" t="inlineStr">
        <is>
          <t>All Questions</t>
        </is>
      </c>
      <c r="E5" s="6" t="inlineStr">
        <is>
          <t>All Questions</t>
        </is>
      </c>
      <c r="F5" t="n">
        <v>10</v>
      </c>
      <c r="G5" t="n">
        <v>0</v>
      </c>
      <c r="H5" s="7" t="n">
        <v>0</v>
      </c>
      <c r="I5" t="inlineStr"/>
    </row>
    <row r="6">
      <c r="A6" t="inlineStr">
        <is>
          <t>Q_VERY_LONG_SINGLE_SELECT_EXPORT_NAME</t>
        </is>
      </c>
      <c r="B6" t="inlineStr">
        <is>
          <t>Q_VERY_LONG_SINGLE_SELECT_EXPORT_NAME</t>
        </is>
      </c>
      <c r="C6" t="inlineStr">
        <is>
          <t>SINGLE_SELECT</t>
        </is>
      </c>
      <c r="D6" t="inlineStr">
        <is>
          <t>All Questions</t>
        </is>
      </c>
      <c r="E6" s="6" t="inlineStr">
        <is>
          <t>All Questions</t>
        </is>
      </c>
      <c r="F6" t="n">
        <v>10</v>
      </c>
      <c r="G6" t="n">
        <v>0</v>
      </c>
      <c r="H6" s="7" t="n">
        <v>0</v>
      </c>
      <c r="I6" t="inlineStr">
        <is>
          <t>long id warning</t>
        </is>
      </c>
    </row>
  </sheetData>
  <hyperlinks>
    <hyperlink xmlns:r="http://schemas.openxmlformats.org/officeDocument/2006/relationships" ref="E2" r:id="rId1"/>
    <hyperlink xmlns:r="http://schemas.openxmlformats.org/officeDocument/2006/relationships" ref="E3" r:id="rId2"/>
    <hyperlink xmlns:r="http://schemas.openxmlformats.org/officeDocument/2006/relationships" ref="E4" r:id="rId3"/>
    <hyperlink xmlns:r="http://schemas.openxmlformats.org/officeDocument/2006/relationships" ref="E5" r:id="rId4"/>
    <hyperlink xmlns:r="http://schemas.openxmlformats.org/officeDocument/2006/relationships" ref="E6" r:id="rId5"/>
  </hyperlink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S64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8" customWidth="1" min="1" max="1"/>
    <col width="18" customWidth="1" min="2" max="2"/>
    <col width="12" customWidth="1" min="3" max="3"/>
    <col width="14" customWidth="1" min="4" max="4"/>
    <col width="4" customWidth="1" min="5" max="5"/>
    <col width="22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</cols>
  <sheetData>
    <row r="1">
      <c r="A1" s="8" t="inlineStr">
        <is>
          <t>THEME: All Questions</t>
        </is>
      </c>
      <c r="B1" s="9" t="n"/>
      <c r="C1" s="9" t="n"/>
      <c r="D1" s="9" t="n"/>
      <c r="E1" s="9" t="n"/>
      <c r="F1" s="9" t="n"/>
      <c r="G1" s="9" t="n"/>
      <c r="H1" s="9" t="n"/>
      <c r="I1" s="9" t="n"/>
      <c r="J1" s="9" t="n"/>
    </row>
    <row r="2">
      <c r="A2" s="10" t="inlineStr">
        <is>
          <t>Tip: Use the Filters sheet for workbook-wide values, or override below.</t>
        </is>
      </c>
    </row>
    <row r="3">
      <c r="A3" s="4" t="inlineStr">
        <is>
          <t>LOCAL FILTERS (override workbook defaults)</t>
        </is>
      </c>
      <c r="B3" s="2" t="n"/>
      <c r="C3" s="2" t="n"/>
      <c r="D3" s="2" t="n"/>
      <c r="E3" s="2" t="n"/>
      <c r="F3" s="2" t="n"/>
      <c r="G3" s="2" t="n"/>
      <c r="H3" s="2" t="n"/>
    </row>
    <row r="4">
      <c r="A4" s="4" t="inlineStr">
        <is>
          <t>Filter</t>
        </is>
      </c>
      <c r="B4" s="4" t="inlineStr">
        <is>
          <t>Value</t>
        </is>
      </c>
      <c r="C4" s="4" t="inlineStr">
        <is>
          <t>Resolved</t>
        </is>
      </c>
      <c r="D4" s="4" t="inlineStr">
        <is>
          <t>Wrapped</t>
        </is>
      </c>
      <c r="E4" s="4" t="inlineStr">
        <is>
          <t>Available values</t>
        </is>
      </c>
    </row>
    <row r="5">
      <c r="A5" t="inlineStr">
        <is>
          <t>Custom 1 question</t>
        </is>
      </c>
      <c r="B5" t="inlineStr">
        <is>
          <t>(Inherit)</t>
        </is>
      </c>
      <c r="C5" t="str">
        <f>IF(All_Questions_F_Custom1_Q="(Inherit)",F_Custom1_Q,All_Questions_F_Custom1_Q)</f>
        <v>(None)</v>
      </c>
      <c r="E5" t="inlineStr">
        <is>
          <t>Workbook question or local override</t>
        </is>
      </c>
    </row>
    <row r="6">
      <c r="A6" t="inlineStr">
        <is>
          <t>Custom 1 value</t>
        </is>
      </c>
      <c r="B6" t="inlineStr">
        <is>
          <t>(Inherit)</t>
        </is>
      </c>
      <c r="C6" t="str">
        <f>IF(All_Questions_F_Custom1_V="(Inherit)",F_Custom1_V,All_Questions_F_Custom1_V)</f>
        <v>(All)</v>
      </c>
      <c r="D6" t="str">
        <f>"|" &amp; SUBSTITUTE(All_Questions_F_Custom1_V_resolved, ", ", "|") &amp; "|"</f>
        <v>|(All)|</v>
      </c>
      <c r="E6" t="inlineStr">
        <is>
          <t>Choose one value or type comma-separated values</t>
        </is>
      </c>
      <c r="F6" t="str">
        <f>IFERROR(INDEX(All_Questions_Data_Names,MATCH(All_Questions_F_Custom1_Q_resolved,All_Questions,0)),"'_RawData'!$A:$A")</f>
        <v>respondent_id_data</v>
      </c>
    </row>
    <row r="7">
      <c r="A7" t="inlineStr">
        <is>
          <t>Custom 2 question</t>
        </is>
      </c>
      <c r="B7" t="inlineStr">
        <is>
          <t>(Inherit)</t>
        </is>
      </c>
      <c r="C7" t="str">
        <f>IF(All_Questions_F_Custom2_Q="(Inherit)",F_Custom2_Q,All_Questions_F_Custom2_Q)</f>
        <v>(None)</v>
      </c>
      <c r="E7" t="inlineStr">
        <is>
          <t>Workbook question or local override</t>
        </is>
      </c>
    </row>
    <row r="8">
      <c r="A8" t="inlineStr">
        <is>
          <t>Custom 2 value</t>
        </is>
      </c>
      <c r="B8" t="inlineStr">
        <is>
          <t>(Inherit)</t>
        </is>
      </c>
      <c r="C8" t="str">
        <f>IF(All_Questions_F_Custom2_V="(Inherit)",F_Custom2_V,All_Questions_F_Custom2_V)</f>
        <v>(All)</v>
      </c>
      <c r="D8" t="str">
        <f>"|" &amp; SUBSTITUTE(All_Questions_F_Custom2_V_resolved, ", ", "|") &amp; "|"</f>
        <v>|(All)|</v>
      </c>
      <c r="E8" t="inlineStr">
        <is>
          <t>Choose one value or type comma-separated values</t>
        </is>
      </c>
      <c r="F8" t="str">
        <f>IFERROR(INDEX(All_Questions_Data_Names,MATCH(All_Questions_F_Custom2_Q_resolved,All_Questions,0)),"'_RawData'!$A:$A")</f>
        <v>respondent_id_data</v>
      </c>
    </row>
    <row r="11">
      <c r="A11" s="11" t="n"/>
      <c r="B11" s="11" t="n"/>
      <c r="C11" s="11" t="n"/>
      <c r="D11" s="11" t="n"/>
      <c r="E11" s="11" t="n"/>
      <c r="F11" s="11" t="n"/>
      <c r="G11" s="11" t="n"/>
      <c r="H11" s="11" t="n"/>
      <c r="I11" s="11" t="n"/>
      <c r="J11" s="11" t="n"/>
    </row>
    <row r="12">
      <c r="A12" s="12" t="inlineStr">
        <is>
          <t>Q_SS_EXPORT - Single select export question</t>
        </is>
      </c>
      <c r="B12" s="12" t="n"/>
      <c r="C12" s="12" t="n"/>
      <c r="D12" s="12" t="n"/>
      <c r="E12" s="12" t="n"/>
      <c r="F12" s="12" t="n"/>
      <c r="G12" s="12" t="n"/>
      <c r="H12" s="12" t="n"/>
      <c r="I12" s="12" t="n"/>
      <c r="J12" s="12" t="n"/>
      <c r="K12" s="12" t="n"/>
      <c r="L12" s="12" t="n"/>
      <c r="M12" s="12" t="n"/>
      <c r="N12" s="12" t="n"/>
    </row>
    <row r="13">
      <c r="A13" s="13" t="inlineStr">
        <is>
          <t>Per-question filter</t>
        </is>
      </c>
      <c r="B13" t="inlineStr">
        <is>
          <t>Filter Q</t>
        </is>
      </c>
      <c r="C13" t="inlineStr">
        <is>
          <t>(None)</t>
        </is>
      </c>
      <c r="D13" t="inlineStr">
        <is>
          <t>Value</t>
        </is>
      </c>
      <c r="E13" t="inlineStr">
        <is>
          <t>(All)</t>
        </is>
      </c>
      <c r="F13" t="str">
        <f>IFERROR(INDEX(All_Questions_Data_Names,MATCH(All_Questions_Q_SS_EXPORT_F_Q,All_Questions,0)),"'_RawData'!$A:$A")</f>
        <v>respondent_id_data</v>
      </c>
      <c r="G13" t="str">
        <f>"|" &amp; SUBSTITUTE(All_Questions_Q_SS_EXPORT_F_V, ", ", "|") &amp; "|"</f>
        <v>|(All)|</v>
      </c>
    </row>
    <row r="14">
      <c r="A14" s="13" t="inlineStr">
        <is>
          <t>Cross-tab by</t>
        </is>
      </c>
      <c r="C14" t="inlineStr">
        <is>
          <t>(None)</t>
        </is>
      </c>
    </row>
    <row r="16">
      <c r="A16" s="4" t="inlineStr">
        <is>
          <t>Option</t>
        </is>
      </c>
      <c r="B16" s="4" t="inlineStr">
        <is>
          <t>Count</t>
        </is>
      </c>
      <c r="C16" s="4" t="inlineStr">
        <is>
          <t>%</t>
        </is>
      </c>
      <c r="D16" s="4" t="inlineStr">
        <is>
          <t>Denominator</t>
        </is>
      </c>
      <c r="F16" s="4" t="inlineStr">
        <is>
          <t>Option</t>
        </is>
      </c>
      <c r="G16" s="2" t="str">
        <f>IF(All_Questions_Q_SS_EXPORT_CT="(None)","",IFERROR(INDEX(INDIRECT(IFERROR(INDEX(All_Questions_Options_Names,MATCH(All_Questions_Q_SS_EXPORT_CT,All_Questions,0)),"'_Options'!$E$2:$E$2")),2),""))</f>
        <v/>
      </c>
      <c r="H16" s="2" t="str">
        <f>IF(All_Questions_Q_SS_EXPORT_CT="(None)","",IFERROR(INDEX(INDIRECT(IFERROR(INDEX(All_Questions_Options_Names,MATCH(All_Questions_Q_SS_EXPORT_CT,All_Questions,0)),"'_Options'!$E$2:$E$2")),3),""))</f>
        <v/>
      </c>
      <c r="I16" s="2" t="str">
        <f>IF(All_Questions_Q_SS_EXPORT_CT="(None)","",IFERROR(INDEX(INDIRECT(IFERROR(INDEX(All_Questions_Options_Names,MATCH(All_Questions_Q_SS_EXPORT_CT,All_Questions,0)),"'_Options'!$E$2:$E$2")),4),""))</f>
        <v/>
      </c>
      <c r="J16" s="2" t="str">
        <f>IF(All_Questions_Q_SS_EXPORT_CT="(None)","",IFERROR(INDEX(INDIRECT(IFERROR(INDEX(All_Questions_Options_Names,MATCH(All_Questions_Q_SS_EXPORT_CT,All_Questions,0)),"'_Options'!$E$2:$E$2")),5),""))</f>
        <v/>
      </c>
      <c r="K16" s="2" t="str">
        <f>IF(All_Questions_Q_SS_EXPORT_CT="(None)","",IFERROR(INDEX(INDIRECT(IFERROR(INDEX(All_Questions_Options_Names,MATCH(All_Questions_Q_SS_EXPORT_CT,All_Questions,0)),"'_Options'!$E$2:$E$2")),6),""))</f>
        <v/>
      </c>
      <c r="L16" s="2" t="str">
        <f>IF(All_Questions_Q_SS_EXPORT_CT="(None)","",IFERROR(INDEX(INDIRECT(IFERROR(INDEX(All_Questions_Options_Names,MATCH(All_Questions_Q_SS_EXPORT_CT,All_Questions,0)),"'_Options'!$E$2:$E$2")),7),""))</f>
        <v/>
      </c>
      <c r="M16" s="2" t="str">
        <f>IF(All_Questions_Q_SS_EXPORT_CT="(None)","",IFERROR(INDEX(INDIRECT(IFERROR(INDEX(All_Questions_Options_Names,MATCH(All_Questions_Q_SS_EXPORT_CT,All_Questions,0)),"'_Options'!$E$2:$E$2")),8),""))</f>
        <v/>
      </c>
      <c r="N16" s="2" t="str">
        <f>IF(All_Questions_Q_SS_EXPORT_CT="(None)","",IFERROR(INDEX(INDIRECT(IFERROR(INDEX(All_Questions_Options_Names,MATCH(All_Questions_Q_SS_EXPORT_CT,All_Questions,0)),"'_Options'!$E$2:$E$2")),9),""))</f>
        <v/>
      </c>
      <c r="O16" s="2" t="str">
        <f>IF(All_Questions_Q_SS_EXPORT_CT="(None)","",IFERROR(INDEX(INDIRECT(IFERROR(INDEX(All_Questions_Options_Names,MATCH(All_Questions_Q_SS_EXPORT_CT,All_Questions,0)),"'_Options'!$E$2:$E$2")),10),""))</f>
        <v/>
      </c>
      <c r="P16" s="2" t="str">
        <f>IF(All_Questions_Q_SS_EXPORT_CT="(None)","",IFERROR(INDEX(INDIRECT(IFERROR(INDEX(All_Questions_Options_Names,MATCH(All_Questions_Q_SS_EXPORT_CT,All_Questions,0)),"'_Options'!$E$2:$E$2")),11),""))</f>
        <v/>
      </c>
      <c r="Q16" s="2" t="str">
        <f>IF(All_Questions_Q_SS_EXPORT_CT="(None)","",IFERROR(INDEX(INDIRECT(IFERROR(INDEX(All_Questions_Options_Names,MATCH(All_Questions_Q_SS_EXPORT_CT,All_Questions,0)),"'_Options'!$E$2:$E$2")),12),""))</f>
        <v/>
      </c>
      <c r="R16" s="2" t="str">
        <f>IF(All_Questions_Q_SS_EXPORT_CT="(None)","",IF(COUNTA(INDIRECT(IFERROR(INDEX(All_Questions_Options_Names,MATCH(All_Questions_Q_SS_EXPORT_CT,All_Questions,0)),"'_Options'!$E$2:$E$2")))-1&gt;11,"Other",IFERROR(INDEX(INDIRECT(IFERROR(INDEX(All_Questions_Options_Names,MATCH(All_Questions_Q_SS_EXPORT_CT,All_Questions,0)),"'_Options'!$E$2:$E$2")),13),"")))</f>
        <v/>
      </c>
      <c r="S16" s="4" t="inlineStr">
        <is>
          <t>Total</t>
        </is>
      </c>
    </row>
    <row r="17">
      <c r="A17" t="inlineStr">
        <is>
          <t>Yes</t>
        </is>
      </c>
      <c r="B17">
        <f>COUNTIFS(Q_SS_EXPORT_data,"Yes",passes_workbook_filters_data,1,passes_workbook_custom_filters_data,1,All_Questions_passes_local_filters_data,1,All_Questions_Q_SS_EXPORT_F_passes_per_q_filter_data,1)</f>
        <v>6</v>
      </c>
      <c r="C17" s="7">
        <f>IFERROR(B17/SUBTOTAL(9,B17:B18),0)</f>
        <v>0.6</v>
      </c>
      <c r="D17" s="14">
        <f>SUBTOTAL(9,B17:B18)</f>
        <v>10</v>
      </c>
      <c r="F17" s="4" t="inlineStr"/>
      <c r="G17" s="4" t="inlineStr">
        <is>
          <t># of resp</t>
        </is>
      </c>
      <c r="H17" s="4" t="inlineStr">
        <is>
          <t># of resp</t>
        </is>
      </c>
      <c r="I17" s="4" t="inlineStr">
        <is>
          <t># of resp</t>
        </is>
      </c>
      <c r="J17" s="4" t="inlineStr">
        <is>
          <t># of resp</t>
        </is>
      </c>
      <c r="K17" s="4" t="inlineStr">
        <is>
          <t># of resp</t>
        </is>
      </c>
      <c r="L17" s="4" t="inlineStr">
        <is>
          <t># of resp</t>
        </is>
      </c>
      <c r="M17" s="4" t="inlineStr">
        <is>
          <t># of resp</t>
        </is>
      </c>
      <c r="N17" s="4" t="inlineStr">
        <is>
          <t># of resp</t>
        </is>
      </c>
      <c r="O17" s="4" t="inlineStr">
        <is>
          <t># of resp</t>
        </is>
      </c>
      <c r="P17" s="4" t="inlineStr">
        <is>
          <t># of resp</t>
        </is>
      </c>
      <c r="Q17" s="4" t="inlineStr">
        <is>
          <t># of resp</t>
        </is>
      </c>
      <c r="R17" s="4" t="inlineStr">
        <is>
          <t># of resp</t>
        </is>
      </c>
      <c r="S17" s="4" t="inlineStr">
        <is>
          <t># of resp</t>
        </is>
      </c>
    </row>
    <row r="18">
      <c r="A18" t="inlineStr">
        <is>
          <t>No</t>
        </is>
      </c>
      <c r="B18">
        <f>COUNTIFS(Q_SS_EXPORT_data,"No",passes_workbook_filters_data,1,passes_workbook_custom_filters_data,1,All_Questions_passes_local_filters_data,1,All_Questions_Q_SS_EXPORT_F_passes_per_q_filter_data,1)</f>
        <v>4</v>
      </c>
      <c r="C18" s="7">
        <f>IFERROR(B18/SUBTOTAL(9,B17:B18),0)</f>
        <v>0.4</v>
      </c>
      <c r="D18" s="14">
        <f>SUBTOTAL(9,B17:B18)</f>
        <v>10</v>
      </c>
      <c r="F18" t="inlineStr">
        <is>
          <t>Yes</t>
        </is>
      </c>
      <c r="G18">
        <f>IF(OR(All_Questions_Q_SS_EXPORT_CT="(None)",G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G$16))</f>
        <v>0</v>
      </c>
      <c r="H18">
        <f>IF(OR(All_Questions_Q_SS_EXPORT_CT="(None)",H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H$16))</f>
        <v>0</v>
      </c>
      <c r="I18">
        <f>IF(OR(All_Questions_Q_SS_EXPORT_CT="(None)",I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I$16))</f>
        <v>0</v>
      </c>
      <c r="J18">
        <f>IF(OR(All_Questions_Q_SS_EXPORT_CT="(None)",J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J$16))</f>
        <v>0</v>
      </c>
      <c r="K18">
        <f>IF(OR(All_Questions_Q_SS_EXPORT_CT="(None)",K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K$16))</f>
        <v>0</v>
      </c>
      <c r="L18">
        <f>IF(OR(All_Questions_Q_SS_EXPORT_CT="(None)",L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L$16))</f>
        <v>0</v>
      </c>
      <c r="M18">
        <f>IF(OR(All_Questions_Q_SS_EXPORT_CT="(None)",M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M$16))</f>
        <v>0</v>
      </c>
      <c r="N18">
        <f>IF(OR(All_Questions_Q_SS_EXPORT_CT="(None)",N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N$16))</f>
        <v>0</v>
      </c>
      <c r="O18">
        <f>IF(OR(All_Questions_Q_SS_EXPORT_CT="(None)",O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O$16))</f>
        <v>0</v>
      </c>
      <c r="P18">
        <f>IF(OR(All_Questions_Q_SS_EXPORT_CT="(None)",P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P$16))</f>
        <v>0</v>
      </c>
      <c r="Q18">
        <f>IF(OR(All_Questions_Q_SS_EXPORT_CT="(None)",Q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Q$16))</f>
        <v>0</v>
      </c>
      <c r="R18">
        <f>IF(OR(All_Questions_Q_SS_EXPORT_CT="(None)",R$16=""),"",IF(R$16="Other",COUNTIFS(Q_SS_EXPORT_data,"Yes",passes_workbook_filters_data,1,passes_workbook_custom_filters_data,1,All_Questions_passes_local_filters_data,1,All_Questions_Q_SS_EXPORT_F_passes_per_q_filter_data,1)-SUM(G18,H18,I18,J18,K18,L18,M18,N18,O18,P18,Q18)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R$16)))</f>
        <v>0</v>
      </c>
      <c r="S18">
        <f>IF(All_Questions_Q_SS_EXPORT_CT="(None)","",COUNTIFS(Q_SS_EXPORT_data,"Yes",passes_workbook_filters_data,1,passes_workbook_custom_filters_data,1,All_Questions_passes_local_filters_data,1,All_Questions_Q_SS_EXPORT_F_passes_per_q_filter_data,1))</f>
        <v>0</v>
      </c>
    </row>
    <row r="19">
      <c r="A19" s="15" t="inlineStr">
        <is>
          <t>Total respondents</t>
        </is>
      </c>
      <c r="B19" s="15" t="n">
        <v>10</v>
      </c>
      <c r="C19" s="15" t="n"/>
      <c r="D19" s="15" t="n"/>
      <c r="F19" t="inlineStr">
        <is>
          <t>No</t>
        </is>
      </c>
      <c r="G19">
        <f>IF(OR(All_Questions_Q_SS_EXPORT_CT="(None)",G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G$16))</f>
        <v>0</v>
      </c>
      <c r="H19">
        <f>IF(OR(All_Questions_Q_SS_EXPORT_CT="(None)",H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H$16))</f>
        <v>0</v>
      </c>
      <c r="I19">
        <f>IF(OR(All_Questions_Q_SS_EXPORT_CT="(None)",I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I$16))</f>
        <v>0</v>
      </c>
      <c r="J19">
        <f>IF(OR(All_Questions_Q_SS_EXPORT_CT="(None)",J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J$16))</f>
        <v>0</v>
      </c>
      <c r="K19">
        <f>IF(OR(All_Questions_Q_SS_EXPORT_CT="(None)",K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K$16))</f>
        <v>0</v>
      </c>
      <c r="L19">
        <f>IF(OR(All_Questions_Q_SS_EXPORT_CT="(None)",L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L$16))</f>
        <v>0</v>
      </c>
      <c r="M19">
        <f>IF(OR(All_Questions_Q_SS_EXPORT_CT="(None)",M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M$16))</f>
        <v>0</v>
      </c>
      <c r="N19">
        <f>IF(OR(All_Questions_Q_SS_EXPORT_CT="(None)",N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N$16))</f>
        <v>0</v>
      </c>
      <c r="O19">
        <f>IF(OR(All_Questions_Q_SS_EXPORT_CT="(None)",O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O$16))</f>
        <v>0</v>
      </c>
      <c r="P19">
        <f>IF(OR(All_Questions_Q_SS_EXPORT_CT="(None)",P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P$16))</f>
        <v>0</v>
      </c>
      <c r="Q19">
        <f>IF(OR(All_Questions_Q_SS_EXPORT_CT="(None)",Q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Q$16))</f>
        <v>0</v>
      </c>
      <c r="R19">
        <f>IF(OR(All_Questions_Q_SS_EXPORT_CT="(None)",R$16=""),"",IF(R$16="Other",COUNTIFS(Q_SS_EXPORT_data,"No",passes_workbook_filters_data,1,passes_workbook_custom_filters_data,1,All_Questions_passes_local_filters_data,1,All_Questions_Q_SS_EXPORT_F_passes_per_q_filter_data,1)-SUM(G19,H19,I19,J19,K19,L19,M19,N19,O19,P19,Q19)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R$16)))</f>
        <v>0</v>
      </c>
      <c r="S19">
        <f>IF(All_Questions_Q_SS_EXPORT_CT="(None)","",COUNTIFS(Q_SS_EXPORT_data,"No",passes_workbook_filters_data,1,passes_workbook_custom_filters_data,1,All_Questions_passes_local_filters_data,1,All_Questions_Q_SS_EXPORT_F_passes_per_q_filter_data,1))</f>
        <v>0</v>
      </c>
    </row>
    <row r="20">
      <c r="F20" s="4" t="inlineStr">
        <is>
          <t>Total respondents</t>
        </is>
      </c>
      <c r="G20" s="2" t="n"/>
      <c r="H20" s="2" t="n"/>
      <c r="I20" s="2" t="n"/>
      <c r="J20" s="2" t="n"/>
      <c r="K20" s="2" t="n"/>
      <c r="L20" s="2" t="n"/>
      <c r="M20" s="2" t="n"/>
      <c r="N20" s="2" t="n"/>
      <c r="O20" s="2" t="n"/>
      <c r="P20" s="2" t="n"/>
      <c r="Q20" s="2" t="n"/>
      <c r="R20" s="2" t="n"/>
      <c r="S20" s="2">
        <f>IF(All_Questions_Q_SS_EXPORT_CT="(None)","",COUNTIFS(respondent_id_data,"&lt;&gt;",passes_workbook_filters_data,1,passes_workbook_custom_filters_data,1,All_Questions_passes_local_filters_data,1,All_Questions_Q_SS_EXPORT_F_passes_per_q_filter_data,1))</f>
        <v>0</v>
      </c>
    </row>
    <row r="21">
      <c r="A21" s="11" t="n"/>
      <c r="B21" s="11" t="n"/>
      <c r="C21" s="11" t="n"/>
      <c r="D21" s="11" t="n"/>
      <c r="E21" s="11" t="n"/>
      <c r="F21" s="11" t="n"/>
      <c r="G21" s="11" t="n"/>
      <c r="H21" s="11" t="n"/>
      <c r="I21" s="11" t="n"/>
      <c r="J21" s="11" t="n"/>
    </row>
    <row r="22">
      <c r="A22" s="12" t="inlineStr">
        <is>
          <t>Q_MS_EXPORT - Multi select export question</t>
        </is>
      </c>
      <c r="B22" s="12" t="n"/>
      <c r="C22" s="12" t="n"/>
      <c r="D22" s="12" t="n"/>
      <c r="E22" s="12" t="n"/>
      <c r="F22" s="12" t="n"/>
      <c r="G22" s="12" t="n"/>
      <c r="H22" s="12" t="n"/>
      <c r="I22" s="12" t="n"/>
      <c r="J22" s="12" t="n"/>
      <c r="K22" s="12" t="n"/>
      <c r="L22" s="12" t="n"/>
      <c r="M22" s="12" t="n"/>
      <c r="N22" s="12" t="n"/>
    </row>
    <row r="23">
      <c r="A23" s="13" t="inlineStr">
        <is>
          <t>Per-question filter</t>
        </is>
      </c>
      <c r="B23" t="inlineStr">
        <is>
          <t>Filter Q</t>
        </is>
      </c>
      <c r="C23" t="inlineStr">
        <is>
          <t>(None)</t>
        </is>
      </c>
      <c r="D23" t="inlineStr">
        <is>
          <t>Value</t>
        </is>
      </c>
      <c r="E23" t="inlineStr">
        <is>
          <t>(All)</t>
        </is>
      </c>
      <c r="F23" t="str">
        <f>IFERROR(INDEX(All_Questions_Data_Names,MATCH(All_Questions_Q_MS_EXPORT_F_Q,All_Questions,0)),"'_RawData'!$A:$A")</f>
        <v>respondent_id_data</v>
      </c>
      <c r="G23" t="str">
        <f>"|" &amp; SUBSTITUTE(All_Questions_Q_MS_EXPORT_F_V, ", ", "|") &amp; "|"</f>
        <v>|(All)|</v>
      </c>
    </row>
    <row r="24">
      <c r="A24" s="13" t="inlineStr">
        <is>
          <t>Cross-tab by</t>
        </is>
      </c>
      <c r="C24" t="inlineStr">
        <is>
          <t>(None)</t>
        </is>
      </c>
    </row>
    <row r="26">
      <c r="A26" s="4" t="inlineStr">
        <is>
          <t>Option</t>
        </is>
      </c>
      <c r="B26" s="4" t="inlineStr">
        <is>
          <t>Count</t>
        </is>
      </c>
      <c r="C26" s="4" t="inlineStr">
        <is>
          <t>%</t>
        </is>
      </c>
      <c r="D26" s="4" t="inlineStr">
        <is>
          <t>Denominator</t>
        </is>
      </c>
      <c r="F26" s="4" t="inlineStr">
        <is>
          <t>Option</t>
        </is>
      </c>
      <c r="G26" s="2" t="str">
        <f>IF(All_Questions_Q_MS_EXPORT_CT="(None)","",IFERROR(INDEX(INDIRECT(IFERROR(INDEX(All_Questions_Options_Names,MATCH(All_Questions_Q_MS_EXPORT_CT,All_Questions,0)),"'_Options'!$E$2:$E$2")),2),""))</f>
        <v/>
      </c>
      <c r="H26" s="2" t="str">
        <f>IF(All_Questions_Q_MS_EXPORT_CT="(None)","",IFERROR(INDEX(INDIRECT(IFERROR(INDEX(All_Questions_Options_Names,MATCH(All_Questions_Q_MS_EXPORT_CT,All_Questions,0)),"'_Options'!$E$2:$E$2")),3),""))</f>
        <v/>
      </c>
      <c r="I26" s="2" t="str">
        <f>IF(All_Questions_Q_MS_EXPORT_CT="(None)","",IFERROR(INDEX(INDIRECT(IFERROR(INDEX(All_Questions_Options_Names,MATCH(All_Questions_Q_MS_EXPORT_CT,All_Questions,0)),"'_Options'!$E$2:$E$2")),4),""))</f>
        <v/>
      </c>
      <c r="J26" s="2" t="str">
        <f>IF(All_Questions_Q_MS_EXPORT_CT="(None)","",IFERROR(INDEX(INDIRECT(IFERROR(INDEX(All_Questions_Options_Names,MATCH(All_Questions_Q_MS_EXPORT_CT,All_Questions,0)),"'_Options'!$E$2:$E$2")),5),""))</f>
        <v/>
      </c>
      <c r="K26" s="2" t="str">
        <f>IF(All_Questions_Q_MS_EXPORT_CT="(None)","",IFERROR(INDEX(INDIRECT(IFERROR(INDEX(All_Questions_Options_Names,MATCH(All_Questions_Q_MS_EXPORT_CT,All_Questions,0)),"'_Options'!$E$2:$E$2")),6),""))</f>
        <v/>
      </c>
      <c r="L26" s="2" t="str">
        <f>IF(All_Questions_Q_MS_EXPORT_CT="(None)","",IFERROR(INDEX(INDIRECT(IFERROR(INDEX(All_Questions_Options_Names,MATCH(All_Questions_Q_MS_EXPORT_CT,All_Questions,0)),"'_Options'!$E$2:$E$2")),7),""))</f>
        <v/>
      </c>
      <c r="M26" s="2" t="str">
        <f>IF(All_Questions_Q_MS_EXPORT_CT="(None)","",IFERROR(INDEX(INDIRECT(IFERROR(INDEX(All_Questions_Options_Names,MATCH(All_Questions_Q_MS_EXPORT_CT,All_Questions,0)),"'_Options'!$E$2:$E$2")),8),""))</f>
        <v/>
      </c>
      <c r="N26" s="2" t="str">
        <f>IF(All_Questions_Q_MS_EXPORT_CT="(None)","",IFERROR(INDEX(INDIRECT(IFERROR(INDEX(All_Questions_Options_Names,MATCH(All_Questions_Q_MS_EXPORT_CT,All_Questions,0)),"'_Options'!$E$2:$E$2")),9),""))</f>
        <v/>
      </c>
      <c r="O26" s="2" t="str">
        <f>IF(All_Questions_Q_MS_EXPORT_CT="(None)","",IFERROR(INDEX(INDIRECT(IFERROR(INDEX(All_Questions_Options_Names,MATCH(All_Questions_Q_MS_EXPORT_CT,All_Questions,0)),"'_Options'!$E$2:$E$2")),10),""))</f>
        <v/>
      </c>
      <c r="P26" s="2" t="str">
        <f>IF(All_Questions_Q_MS_EXPORT_CT="(None)","",IFERROR(INDEX(INDIRECT(IFERROR(INDEX(All_Questions_Options_Names,MATCH(All_Questions_Q_MS_EXPORT_CT,All_Questions,0)),"'_Options'!$E$2:$E$2")),11),""))</f>
        <v/>
      </c>
      <c r="Q26" s="2" t="str">
        <f>IF(All_Questions_Q_MS_EXPORT_CT="(None)","",IFERROR(INDEX(INDIRECT(IFERROR(INDEX(All_Questions_Options_Names,MATCH(All_Questions_Q_MS_EXPORT_CT,All_Questions,0)),"'_Options'!$E$2:$E$2")),12),""))</f>
        <v/>
      </c>
      <c r="R26" s="2" t="str">
        <f>IF(All_Questions_Q_MS_EXPORT_CT="(None)","",IF(COUNTA(INDIRECT(IFERROR(INDEX(All_Questions_Options_Names,MATCH(All_Questions_Q_MS_EXPORT_CT,All_Questions,0)),"'_Options'!$E$2:$E$2")))-1&gt;11,"Other",IFERROR(INDEX(INDIRECT(IFERROR(INDEX(All_Questions_Options_Names,MATCH(All_Questions_Q_MS_EXPORT_CT,All_Questions,0)),"'_Options'!$E$2:$E$2")),13),"")))</f>
        <v/>
      </c>
      <c r="S26" s="4" t="inlineStr">
        <is>
          <t>Total</t>
        </is>
      </c>
    </row>
    <row r="27">
      <c r="A27" t="inlineStr">
        <is>
          <t>First</t>
        </is>
      </c>
      <c r="B27">
        <f>COUNTIFS(Q_MS_EXPORTr1_data,"Selected",passes_workbook_filters_data,1,passes_workbook_custom_filters_data,1,All_Questions_passes_local_filters_data,1,All_Questions_Q_MS_EXPORT_F_passes_per_q_filter_data,1)</f>
        <v>5</v>
      </c>
      <c r="C27" s="7">
        <f>IFERROR(B27/SUBTOTAL(9,B27:B28),0)</f>
        <v>0.7142857142857143</v>
      </c>
      <c r="D27" s="14">
        <f>SUBTOTAL(9,B27:B28)</f>
        <v>7</v>
      </c>
      <c r="F27" s="4" t="inlineStr"/>
      <c r="G27" s="4" t="inlineStr">
        <is>
          <t># of resp</t>
        </is>
      </c>
      <c r="H27" s="4" t="inlineStr">
        <is>
          <t># of resp</t>
        </is>
      </c>
      <c r="I27" s="4" t="inlineStr">
        <is>
          <t># of resp</t>
        </is>
      </c>
      <c r="J27" s="4" t="inlineStr">
        <is>
          <t># of resp</t>
        </is>
      </c>
      <c r="K27" s="4" t="inlineStr">
        <is>
          <t># of resp</t>
        </is>
      </c>
      <c r="L27" s="4" t="inlineStr">
        <is>
          <t># of resp</t>
        </is>
      </c>
      <c r="M27" s="4" t="inlineStr">
        <is>
          <t># of resp</t>
        </is>
      </c>
      <c r="N27" s="4" t="inlineStr">
        <is>
          <t># of resp</t>
        </is>
      </c>
      <c r="O27" s="4" t="inlineStr">
        <is>
          <t># of resp</t>
        </is>
      </c>
      <c r="P27" s="4" t="inlineStr">
        <is>
          <t># of resp</t>
        </is>
      </c>
      <c r="Q27" s="4" t="inlineStr">
        <is>
          <t># of resp</t>
        </is>
      </c>
      <c r="R27" s="4" t="inlineStr">
        <is>
          <t># of resp</t>
        </is>
      </c>
      <c r="S27" s="4" t="inlineStr">
        <is>
          <t># of resp</t>
        </is>
      </c>
    </row>
    <row r="28">
      <c r="A28" t="inlineStr">
        <is>
          <t>Second</t>
        </is>
      </c>
      <c r="B28">
        <f>COUNTIFS(Q_MS_EXPORTr2_data,"Selected",passes_workbook_filters_data,1,passes_workbook_custom_filters_data,1,All_Questions_passes_local_filters_data,1,All_Questions_Q_MS_EXPORT_F_passes_per_q_filter_data,1)</f>
        <v>2</v>
      </c>
      <c r="C28" s="7">
        <f>IFERROR(B28/SUBTOTAL(9,B27:B28),0)</f>
        <v>0.2857142857142857</v>
      </c>
      <c r="D28" s="14">
        <f>SUBTOTAL(9,B27:B28)</f>
        <v>7</v>
      </c>
      <c r="F28" t="inlineStr">
        <is>
          <t>First</t>
        </is>
      </c>
      <c r="G28">
        <f>IF(OR(All_Questions_Q_MS_EXPORT_CT="(None)",G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G$26))</f>
        <v>0</v>
      </c>
      <c r="H28">
        <f>IF(OR(All_Questions_Q_MS_EXPORT_CT="(None)",H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H$26))</f>
        <v>0</v>
      </c>
      <c r="I28">
        <f>IF(OR(All_Questions_Q_MS_EXPORT_CT="(None)",I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I$26))</f>
        <v>0</v>
      </c>
      <c r="J28">
        <f>IF(OR(All_Questions_Q_MS_EXPORT_CT="(None)",J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J$26))</f>
        <v>0</v>
      </c>
      <c r="K28">
        <f>IF(OR(All_Questions_Q_MS_EXPORT_CT="(None)",K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K$26))</f>
        <v>0</v>
      </c>
      <c r="L28">
        <f>IF(OR(All_Questions_Q_MS_EXPORT_CT="(None)",L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L$26))</f>
        <v>0</v>
      </c>
      <c r="M28">
        <f>IF(OR(All_Questions_Q_MS_EXPORT_CT="(None)",M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M$26))</f>
        <v>0</v>
      </c>
      <c r="N28">
        <f>IF(OR(All_Questions_Q_MS_EXPORT_CT="(None)",N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N$26))</f>
        <v>0</v>
      </c>
      <c r="O28">
        <f>IF(OR(All_Questions_Q_MS_EXPORT_CT="(None)",O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O$26))</f>
        <v>0</v>
      </c>
      <c r="P28">
        <f>IF(OR(All_Questions_Q_MS_EXPORT_CT="(None)",P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P$26))</f>
        <v>0</v>
      </c>
      <c r="Q28">
        <f>IF(OR(All_Questions_Q_MS_EXPORT_CT="(None)",Q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Q$26))</f>
        <v>0</v>
      </c>
      <c r="R28">
        <f>IF(OR(All_Questions_Q_MS_EXPORT_CT="(None)",R$26=""),"",IF(R$26="Other",COUNTIFS(Q_MS_EXPORTr1_data,"Selected",passes_workbook_filters_data,1,passes_workbook_custom_filters_data,1,All_Questions_passes_local_filters_data,1,All_Questions_Q_MS_EXPORT_F_passes_per_q_filter_data,1)-SUM(G28,H28,I28,J28,K28,L28,M28,N28,O28,P28,Q28)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R$26)))</f>
        <v>0</v>
      </c>
      <c r="S28">
        <f>IF(All_Questions_Q_MS_EXPORT_CT="(None)","",COUNTIFS(Q_MS_EXPORTr1_data,"Selected",passes_workbook_filters_data,1,passes_workbook_custom_filters_data,1,All_Questions_passes_local_filters_data,1,All_Questions_Q_MS_EXPORT_F_passes_per_q_filter_data,1))</f>
        <v>0</v>
      </c>
    </row>
    <row r="29">
      <c r="A29" s="15" t="inlineStr">
        <is>
          <t>Total respondents</t>
        </is>
      </c>
      <c r="B29" s="15" t="n">
        <v>10</v>
      </c>
      <c r="C29" s="15" t="n"/>
      <c r="D29" s="15" t="n"/>
      <c r="F29" t="inlineStr">
        <is>
          <t>Second</t>
        </is>
      </c>
      <c r="G29">
        <f>IF(OR(All_Questions_Q_MS_EXPORT_CT="(None)",G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G$26))</f>
        <v>0</v>
      </c>
      <c r="H29">
        <f>IF(OR(All_Questions_Q_MS_EXPORT_CT="(None)",H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H$26))</f>
        <v>0</v>
      </c>
      <c r="I29">
        <f>IF(OR(All_Questions_Q_MS_EXPORT_CT="(None)",I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I$26))</f>
        <v>0</v>
      </c>
      <c r="J29">
        <f>IF(OR(All_Questions_Q_MS_EXPORT_CT="(None)",J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J$26))</f>
        <v>0</v>
      </c>
      <c r="K29">
        <f>IF(OR(All_Questions_Q_MS_EXPORT_CT="(None)",K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K$26))</f>
        <v>0</v>
      </c>
      <c r="L29">
        <f>IF(OR(All_Questions_Q_MS_EXPORT_CT="(None)",L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L$26))</f>
        <v>0</v>
      </c>
      <c r="M29">
        <f>IF(OR(All_Questions_Q_MS_EXPORT_CT="(None)",M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M$26))</f>
        <v>0</v>
      </c>
      <c r="N29">
        <f>IF(OR(All_Questions_Q_MS_EXPORT_CT="(None)",N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N$26))</f>
        <v>0</v>
      </c>
      <c r="O29">
        <f>IF(OR(All_Questions_Q_MS_EXPORT_CT="(None)",O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O$26))</f>
        <v>0</v>
      </c>
      <c r="P29">
        <f>IF(OR(All_Questions_Q_MS_EXPORT_CT="(None)",P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P$26))</f>
        <v>0</v>
      </c>
      <c r="Q29">
        <f>IF(OR(All_Questions_Q_MS_EXPORT_CT="(None)",Q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Q$26))</f>
        <v>0</v>
      </c>
      <c r="R29">
        <f>IF(OR(All_Questions_Q_MS_EXPORT_CT="(None)",R$26=""),"",IF(R$26="Other",COUNTIFS(Q_MS_EXPORTr2_data,"Selected",passes_workbook_filters_data,1,passes_workbook_custom_filters_data,1,All_Questions_passes_local_filters_data,1,All_Questions_Q_MS_EXPORT_F_passes_per_q_filter_data,1)-SUM(G29,H29,I29,J29,K29,L29,M29,N29,O29,P29,Q29)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R$26)))</f>
        <v>0</v>
      </c>
      <c r="S29">
        <f>IF(All_Questions_Q_MS_EXPORT_CT="(None)","",COUNTIFS(Q_MS_EXPORTr2_data,"Selected",passes_workbook_filters_data,1,passes_workbook_custom_filters_data,1,All_Questions_passes_local_filters_data,1,All_Questions_Q_MS_EXPORT_F_passes_per_q_filter_data,1))</f>
        <v>0</v>
      </c>
    </row>
    <row r="30">
      <c r="A30" s="4" t="inlineStr">
        <is>
          <t>Total responses</t>
        </is>
      </c>
      <c r="B30" s="4" t="n">
        <v>7</v>
      </c>
      <c r="C30" s="4" t="n"/>
      <c r="D30" s="4" t="n"/>
      <c r="F30" s="4" t="inlineStr">
        <is>
          <t>Total respondents</t>
        </is>
      </c>
      <c r="G30" s="2" t="n"/>
      <c r="H30" s="2" t="n"/>
      <c r="I30" s="2" t="n"/>
      <c r="J30" s="2" t="n"/>
      <c r="K30" s="2" t="n"/>
      <c r="L30" s="2" t="n"/>
      <c r="M30" s="2" t="n"/>
      <c r="N30" s="2" t="n"/>
      <c r="O30" s="2" t="n"/>
      <c r="P30" s="2" t="n"/>
      <c r="Q30" s="2" t="n"/>
      <c r="R30" s="2" t="n"/>
      <c r="S30" s="2">
        <f>IF(All_Questions_Q_MS_EXPORT_CT="(None)","",COUNTIFS(respondent_id_data,"&lt;&gt;",passes_workbook_filters_data,1,passes_workbook_custom_filters_data,1,All_Questions_passes_local_filters_data,1,All_Questions_Q_MS_EXPORT_F_passes_per_q_filter_data,1))</f>
        <v>0</v>
      </c>
    </row>
    <row r="32">
      <c r="A32" s="11" t="n"/>
      <c r="B32" s="11" t="n"/>
      <c r="C32" s="11" t="n"/>
      <c r="D32" s="11" t="n"/>
      <c r="E32" s="11" t="n"/>
      <c r="F32" s="11" t="n"/>
      <c r="G32" s="11" t="n"/>
      <c r="H32" s="11" t="n"/>
      <c r="I32" s="11" t="n"/>
      <c r="J32" s="11" t="n"/>
    </row>
    <row r="33">
      <c r="A33" s="12" t="inlineStr">
        <is>
          <t>Q_NUM_EXPORT - Numeric export question</t>
        </is>
      </c>
      <c r="B33" s="12" t="n"/>
      <c r="C33" s="12" t="n"/>
      <c r="D33" s="12" t="n"/>
      <c r="E33" s="12" t="n"/>
      <c r="F33" s="12" t="n"/>
      <c r="G33" s="12" t="n"/>
      <c r="H33" s="12" t="n"/>
      <c r="I33" s="12" t="n"/>
      <c r="J33" s="12" t="n"/>
      <c r="K33" s="12" t="n"/>
      <c r="L33" s="12" t="n"/>
      <c r="M33" s="12" t="n"/>
      <c r="N33" s="12" t="n"/>
    </row>
    <row r="34">
      <c r="A34" s="13" t="inlineStr">
        <is>
          <t>Per-question filter</t>
        </is>
      </c>
      <c r="B34" t="inlineStr">
        <is>
          <t>Filter Q</t>
        </is>
      </c>
      <c r="C34" t="inlineStr">
        <is>
          <t>(None)</t>
        </is>
      </c>
      <c r="D34" t="inlineStr">
        <is>
          <t>Value</t>
        </is>
      </c>
      <c r="E34" t="inlineStr">
        <is>
          <t>(All)</t>
        </is>
      </c>
      <c r="F34" t="str">
        <f>IFERROR(INDEX(All_Questions_Data_Names,MATCH(All_Questions_Q_NUM_EXPORT_F_Q,All_Questions,0)),"'_RawData'!$A:$A")</f>
        <v>respondent_id_data</v>
      </c>
      <c r="G34" t="str">
        <f>"|" &amp; SUBSTITUTE(All_Questions_Q_NUM_EXPORT_F_V, ", ", "|") &amp; "|"</f>
        <v>|(All)|</v>
      </c>
    </row>
    <row r="35">
      <c r="A35" s="13" t="inlineStr">
        <is>
          <t>Cross-tab by</t>
        </is>
      </c>
      <c r="C35" t="inlineStr">
        <is>
          <t>(None)</t>
        </is>
      </c>
    </row>
    <row r="37">
      <c r="A37" s="4" t="inlineStr">
        <is>
          <t>Metric</t>
        </is>
      </c>
      <c r="B37" s="4" t="inlineStr">
        <is>
          <t>Value</t>
        </is>
      </c>
      <c r="C37" s="4" t="inlineStr">
        <is>
          <t>Note</t>
        </is>
      </c>
      <c r="D37" s="4" t="inlineStr">
        <is>
          <t>Denominator</t>
        </is>
      </c>
    </row>
    <row r="38">
      <c r="A38" t="inlineStr">
        <is>
          <t>Mean</t>
        </is>
      </c>
      <c r="B38">
        <f>IFERROR(AVERAGEIFS(Q_NUM_EXPORT_data,passes_workbook_filters_data,1,passes_workbook_custom_filters_data,1,All_Questions_passes_local_filters_data,1,All_Questions_Q_NUM_EXPORT_F_passes_per_q_filter_data,1),0)</f>
        <v>5.5</v>
      </c>
      <c r="D38">
        <f>COUNTIFS(Q_NUM_EXPORT_data,"&lt;&gt;",passes_workbook_filters_data,1,passes_workbook_custom_filters_data,1,All_Questions_passes_local_filters_data,1,All_Questions_Q_NUM_EXPORT_F_passes_per_q_filter_data,1)</f>
        <v>10</v>
      </c>
    </row>
    <row r="39">
      <c r="A39" t="inlineStr">
        <is>
          <t>Min</t>
        </is>
      </c>
      <c r="B39">
        <f>IFERROR(MINIFS(Q_NUM_EXPORT_data,passes_workbook_filters_data,1,passes_workbook_custom_filters_data,1,All_Questions_passes_local_filters_data,1,All_Questions_Q_NUM_EXPORT_F_passes_per_q_filter_data,1),0)</f>
        <v>1.0</v>
      </c>
      <c r="D39">
        <f>COUNTIFS(Q_NUM_EXPORT_data,"&lt;&gt;",passes_workbook_filters_data,1,passes_workbook_custom_filters_data,1,All_Questions_passes_local_filters_data,1,All_Questions_Q_NUM_EXPORT_F_passes_per_q_filter_data,1)</f>
        <v>10</v>
      </c>
    </row>
    <row r="40">
      <c r="A40" t="inlineStr">
        <is>
          <t>Max</t>
        </is>
      </c>
      <c r="B40">
        <f>IFERROR(MAXIFS(Q_NUM_EXPORT_data,passes_workbook_filters_data,1,passes_workbook_custom_filters_data,1,All_Questions_passes_local_filters_data,1,All_Questions_Q_NUM_EXPORT_F_passes_per_q_filter_data,1),0)</f>
        <v>10.0</v>
      </c>
      <c r="D40">
        <f>COUNTIFS(Q_NUM_EXPORT_data,"&lt;&gt;",passes_workbook_filters_data,1,passes_workbook_custom_filters_data,1,All_Questions_passes_local_filters_data,1,All_Questions_Q_NUM_EXPORT_F_passes_per_q_filter_data,1)</f>
        <v>10</v>
      </c>
    </row>
    <row r="41">
      <c r="A41" t="inlineStr">
        <is>
          <t>Std</t>
        </is>
      </c>
      <c r="B41" t="n">
        <v>2.9</v>
      </c>
      <c r="C41" t="inlineStr">
        <is>
          <t>static baseline</t>
        </is>
      </c>
      <c r="D41">
        <f>COUNTIFS(Q_NUM_EXPORT_data,"&lt;&gt;",passes_workbook_filters_data,1,passes_workbook_custom_filters_data,1,All_Questions_passes_local_filters_data,1,All_Questions_Q_NUM_EXPORT_F_passes_per_q_filter_data,1)</f>
        <v>10</v>
      </c>
    </row>
    <row r="42">
      <c r="A42" s="10" t="inlineStr">
        <is>
          <t>Median not available in filtered view - see static baseline in audit log.</t>
        </is>
      </c>
    </row>
    <row r="44">
      <c r="A44" s="11" t="n"/>
      <c r="B44" s="11" t="n"/>
      <c r="C44" s="11" t="n"/>
      <c r="D44" s="11" t="n"/>
      <c r="E44" s="11" t="n"/>
      <c r="F44" s="11" t="n"/>
      <c r="G44" s="11" t="n"/>
      <c r="H44" s="11" t="n"/>
      <c r="I44" s="11" t="n"/>
      <c r="J44" s="11" t="n"/>
    </row>
    <row r="45">
      <c r="A45" s="12" t="inlineStr">
        <is>
          <t>Q_GRID_EXPORT - Grid export question</t>
        </is>
      </c>
      <c r="B45" s="12" t="n"/>
      <c r="C45" s="12" t="n"/>
      <c r="D45" s="12" t="n"/>
      <c r="E45" s="12" t="n"/>
      <c r="F45" s="12" t="n"/>
      <c r="G45" s="12" t="n"/>
      <c r="H45" s="12" t="n"/>
      <c r="I45" s="12" t="n"/>
      <c r="J45" s="12" t="n"/>
      <c r="K45" s="12" t="n"/>
      <c r="L45" s="12" t="n"/>
      <c r="M45" s="12" t="n"/>
      <c r="N45" s="12" t="n"/>
    </row>
    <row r="46">
      <c r="A46" s="13" t="inlineStr">
        <is>
          <t>Per-question filter</t>
        </is>
      </c>
      <c r="B46" t="inlineStr">
        <is>
          <t>Filter Q</t>
        </is>
      </c>
      <c r="C46" t="inlineStr">
        <is>
          <t>(None)</t>
        </is>
      </c>
      <c r="D46" t="inlineStr">
        <is>
          <t>Value</t>
        </is>
      </c>
      <c r="E46" t="inlineStr">
        <is>
          <t>(All)</t>
        </is>
      </c>
      <c r="F46" t="str">
        <f>IFERROR(INDEX(All_Questions_Data_Names,MATCH(All_Questions_Q_GRID_EXPORT_F_Q,All_Questions,0)),"'_RawData'!$A:$A")</f>
        <v>respondent_id_data</v>
      </c>
      <c r="G46" t="str">
        <f>"|" &amp; SUBSTITUTE(All_Questions_Q_GRID_EXPORT_F_V, ", ", "|") &amp; "|"</f>
        <v>|(All)|</v>
      </c>
    </row>
    <row r="47">
      <c r="A47" s="13" t="inlineStr">
        <is>
          <t>Cross-tab by</t>
        </is>
      </c>
      <c r="C47" t="inlineStr">
        <is>
          <t>(None)</t>
        </is>
      </c>
    </row>
    <row r="49">
      <c r="A49" s="4" t="inlineStr">
        <is>
          <t>Option</t>
        </is>
      </c>
      <c r="B49" s="4" t="inlineStr">
        <is>
          <t>Count</t>
        </is>
      </c>
      <c r="C49" s="4" t="inlineStr">
        <is>
          <t>%</t>
        </is>
      </c>
      <c r="D49" s="4" t="inlineStr">
        <is>
          <t>Denominator</t>
        </is>
      </c>
      <c r="F49" s="4" t="inlineStr">
        <is>
          <t>Option</t>
        </is>
      </c>
      <c r="G49" s="2" t="str">
        <f>IF(All_Questions_Q_GRID_EXPORT_CT="(None)","",IFERROR(INDEX(INDIRECT(IFERROR(INDEX(All_Questions_Options_Names,MATCH(All_Questions_Q_GRID_EXPORT_CT,All_Questions,0)),"'_Options'!$E$2:$E$2")),2),""))</f>
        <v/>
      </c>
      <c r="H49" s="2" t="str">
        <f>IF(All_Questions_Q_GRID_EXPORT_CT="(None)","",IFERROR(INDEX(INDIRECT(IFERROR(INDEX(All_Questions_Options_Names,MATCH(All_Questions_Q_GRID_EXPORT_CT,All_Questions,0)),"'_Options'!$E$2:$E$2")),3),""))</f>
        <v/>
      </c>
      <c r="I49" s="2" t="str">
        <f>IF(All_Questions_Q_GRID_EXPORT_CT="(None)","",IFERROR(INDEX(INDIRECT(IFERROR(INDEX(All_Questions_Options_Names,MATCH(All_Questions_Q_GRID_EXPORT_CT,All_Questions,0)),"'_Options'!$E$2:$E$2")),4),""))</f>
        <v/>
      </c>
      <c r="J49" s="2" t="str">
        <f>IF(All_Questions_Q_GRID_EXPORT_CT="(None)","",IFERROR(INDEX(INDIRECT(IFERROR(INDEX(All_Questions_Options_Names,MATCH(All_Questions_Q_GRID_EXPORT_CT,All_Questions,0)),"'_Options'!$E$2:$E$2")),5),""))</f>
        <v/>
      </c>
      <c r="K49" s="2" t="str">
        <f>IF(All_Questions_Q_GRID_EXPORT_CT="(None)","",IFERROR(INDEX(INDIRECT(IFERROR(INDEX(All_Questions_Options_Names,MATCH(All_Questions_Q_GRID_EXPORT_CT,All_Questions,0)),"'_Options'!$E$2:$E$2")),6),""))</f>
        <v/>
      </c>
      <c r="L49" s="2" t="str">
        <f>IF(All_Questions_Q_GRID_EXPORT_CT="(None)","",IFERROR(INDEX(INDIRECT(IFERROR(INDEX(All_Questions_Options_Names,MATCH(All_Questions_Q_GRID_EXPORT_CT,All_Questions,0)),"'_Options'!$E$2:$E$2")),7),""))</f>
        <v/>
      </c>
      <c r="M49" s="2" t="str">
        <f>IF(All_Questions_Q_GRID_EXPORT_CT="(None)","",IFERROR(INDEX(INDIRECT(IFERROR(INDEX(All_Questions_Options_Names,MATCH(All_Questions_Q_GRID_EXPORT_CT,All_Questions,0)),"'_Options'!$E$2:$E$2")),8),""))</f>
        <v/>
      </c>
      <c r="N49" s="2" t="str">
        <f>IF(All_Questions_Q_GRID_EXPORT_CT="(None)","",IFERROR(INDEX(INDIRECT(IFERROR(INDEX(All_Questions_Options_Names,MATCH(All_Questions_Q_GRID_EXPORT_CT,All_Questions,0)),"'_Options'!$E$2:$E$2")),9),""))</f>
        <v/>
      </c>
      <c r="O49" s="2" t="str">
        <f>IF(All_Questions_Q_GRID_EXPORT_CT="(None)","",IFERROR(INDEX(INDIRECT(IFERROR(INDEX(All_Questions_Options_Names,MATCH(All_Questions_Q_GRID_EXPORT_CT,All_Questions,0)),"'_Options'!$E$2:$E$2")),10),""))</f>
        <v/>
      </c>
      <c r="P49" s="2" t="str">
        <f>IF(All_Questions_Q_GRID_EXPORT_CT="(None)","",IFERROR(INDEX(INDIRECT(IFERROR(INDEX(All_Questions_Options_Names,MATCH(All_Questions_Q_GRID_EXPORT_CT,All_Questions,0)),"'_Options'!$E$2:$E$2")),11),""))</f>
        <v/>
      </c>
      <c r="Q49" s="2" t="str">
        <f>IF(All_Questions_Q_GRID_EXPORT_CT="(None)","",IFERROR(INDEX(INDIRECT(IFERROR(INDEX(All_Questions_Options_Names,MATCH(All_Questions_Q_GRID_EXPORT_CT,All_Questions,0)),"'_Options'!$E$2:$E$2")),12),""))</f>
        <v/>
      </c>
      <c r="R49" s="2" t="str">
        <f>IF(All_Questions_Q_GRID_EXPORT_CT="(None)","",IF(COUNTA(INDIRECT(IFERROR(INDEX(All_Questions_Options_Names,MATCH(All_Questions_Q_GRID_EXPORT_CT,All_Questions,0)),"'_Options'!$E$2:$E$2")))-1&gt;11,"Other",IFERROR(INDEX(INDIRECT(IFERROR(INDEX(All_Questions_Options_Names,MATCH(All_Questions_Q_GRID_EXPORT_CT,All_Questions,0)),"'_Options'!$E$2:$E$2")),13),"")))</f>
        <v/>
      </c>
      <c r="S49" s="4" t="inlineStr">
        <is>
          <t>Total</t>
        </is>
      </c>
    </row>
    <row r="50">
      <c r="A50" t="inlineStr">
        <is>
          <t>Grid first row</t>
        </is>
      </c>
      <c r="B50">
        <f>COUNTIFS(Q_GRID_EXPORTr1_data,"Selected",passes_workbook_filters_data,1,passes_workbook_custom_filters_data,1,All_Questions_passes_local_filters_data,1,All_Questions_Q_GRID_EXPORT_F_passes_per_q_filter_data,1)</f>
        <v>10</v>
      </c>
      <c r="C50" s="7">
        <f>IFERROR(B50/SUBTOTAL(9,B50:B51),0)</f>
        <v>0.5</v>
      </c>
      <c r="D50" s="14">
        <f>SUBTOTAL(9,B50:B51)</f>
        <v>20</v>
      </c>
      <c r="F50" s="4" t="inlineStr"/>
      <c r="G50" s="4" t="inlineStr">
        <is>
          <t># of resp</t>
        </is>
      </c>
      <c r="H50" s="4" t="inlineStr">
        <is>
          <t># of resp</t>
        </is>
      </c>
      <c r="I50" s="4" t="inlineStr">
        <is>
          <t># of resp</t>
        </is>
      </c>
      <c r="J50" s="4" t="inlineStr">
        <is>
          <t># of resp</t>
        </is>
      </c>
      <c r="K50" s="4" t="inlineStr">
        <is>
          <t># of resp</t>
        </is>
      </c>
      <c r="L50" s="4" t="inlineStr">
        <is>
          <t># of resp</t>
        </is>
      </c>
      <c r="M50" s="4" t="inlineStr">
        <is>
          <t># of resp</t>
        </is>
      </c>
      <c r="N50" s="4" t="inlineStr">
        <is>
          <t># of resp</t>
        </is>
      </c>
      <c r="O50" s="4" t="inlineStr">
        <is>
          <t># of resp</t>
        </is>
      </c>
      <c r="P50" s="4" t="inlineStr">
        <is>
          <t># of resp</t>
        </is>
      </c>
      <c r="Q50" s="4" t="inlineStr">
        <is>
          <t># of resp</t>
        </is>
      </c>
      <c r="R50" s="4" t="inlineStr">
        <is>
          <t># of resp</t>
        </is>
      </c>
      <c r="S50" s="4" t="inlineStr">
        <is>
          <t># of resp</t>
        </is>
      </c>
    </row>
    <row r="51">
      <c r="A51" t="inlineStr">
        <is>
          <t>Grid second row</t>
        </is>
      </c>
      <c r="B51">
        <f>COUNTIFS(Q_GRID_EXPORTr2_data,"Selected",passes_workbook_filters_data,1,passes_workbook_custom_filters_data,1,All_Questions_passes_local_filters_data,1,All_Questions_Q_GRID_EXPORT_F_passes_per_q_filter_data,1)</f>
        <v>10</v>
      </c>
      <c r="C51" s="7">
        <f>IFERROR(B51/SUBTOTAL(9,B50:B51),0)</f>
        <v>0.5</v>
      </c>
      <c r="D51" s="14">
        <f>SUBTOTAL(9,B50:B51)</f>
        <v>20</v>
      </c>
      <c r="F51" t="inlineStr">
        <is>
          <t>Grid first row</t>
        </is>
      </c>
      <c r="G51">
        <f>IF(OR(All_Questions_Q_GRID_EXPORT_CT="(None)",G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G$49))</f>
        <v>0</v>
      </c>
      <c r="H51">
        <f>IF(OR(All_Questions_Q_GRID_EXPORT_CT="(None)",H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H$49))</f>
        <v>0</v>
      </c>
      <c r="I51">
        <f>IF(OR(All_Questions_Q_GRID_EXPORT_CT="(None)",I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I$49))</f>
        <v>0</v>
      </c>
      <c r="J51">
        <f>IF(OR(All_Questions_Q_GRID_EXPORT_CT="(None)",J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J$49))</f>
        <v>0</v>
      </c>
      <c r="K51">
        <f>IF(OR(All_Questions_Q_GRID_EXPORT_CT="(None)",K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K$49))</f>
        <v>0</v>
      </c>
      <c r="L51">
        <f>IF(OR(All_Questions_Q_GRID_EXPORT_CT="(None)",L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L$49))</f>
        <v>0</v>
      </c>
      <c r="M51">
        <f>IF(OR(All_Questions_Q_GRID_EXPORT_CT="(None)",M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M$49))</f>
        <v>0</v>
      </c>
      <c r="N51">
        <f>IF(OR(All_Questions_Q_GRID_EXPORT_CT="(None)",N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N$49))</f>
        <v>0</v>
      </c>
      <c r="O51">
        <f>IF(OR(All_Questions_Q_GRID_EXPORT_CT="(None)",O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O$49))</f>
        <v>0</v>
      </c>
      <c r="P51">
        <f>IF(OR(All_Questions_Q_GRID_EXPORT_CT="(None)",P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P$49))</f>
        <v>0</v>
      </c>
      <c r="Q51">
        <f>IF(OR(All_Questions_Q_GRID_EXPORT_CT="(None)",Q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Q$49))</f>
        <v>0</v>
      </c>
      <c r="R51">
        <f>IF(OR(All_Questions_Q_GRID_EXPORT_CT="(None)",R$49=""),"",IF(R$49="Other",COUNTIFS(Q_GRID_EXPORTr1_data,"Selected",passes_workbook_filters_data,1,passes_workbook_custom_filters_data,1,All_Questions_passes_local_filters_data,1,All_Questions_Q_GRID_EXPORT_F_passes_per_q_filter_data,1)-SUM(G51,H51,I51,J51,K51,L51,M51,N51,O51,P51,Q51)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R$49)))</f>
        <v>0</v>
      </c>
      <c r="S51">
        <f>IF(All_Questions_Q_GRID_EXPORT_CT="(None)","",COUNTIFS(Q_GRID_EXPORTr1_data,"Selected",passes_workbook_filters_data,1,passes_workbook_custom_filters_data,1,All_Questions_passes_local_filters_data,1,All_Questions_Q_GRID_EXPORT_F_passes_per_q_filter_data,1))</f>
        <v>0</v>
      </c>
    </row>
    <row r="52">
      <c r="A52" s="15" t="inlineStr">
        <is>
          <t>Total respondents</t>
        </is>
      </c>
      <c r="B52" s="15" t="n">
        <v>10</v>
      </c>
      <c r="C52" s="15" t="n"/>
      <c r="D52" s="15" t="n"/>
      <c r="F52" t="inlineStr">
        <is>
          <t>Grid second row</t>
        </is>
      </c>
      <c r="G52">
        <f>IF(OR(All_Questions_Q_GRID_EXPORT_CT="(None)",G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G$49))</f>
        <v>0</v>
      </c>
      <c r="H52">
        <f>IF(OR(All_Questions_Q_GRID_EXPORT_CT="(None)",H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H$49))</f>
        <v>0</v>
      </c>
      <c r="I52">
        <f>IF(OR(All_Questions_Q_GRID_EXPORT_CT="(None)",I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I$49))</f>
        <v>0</v>
      </c>
      <c r="J52">
        <f>IF(OR(All_Questions_Q_GRID_EXPORT_CT="(None)",J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J$49))</f>
        <v>0</v>
      </c>
      <c r="K52">
        <f>IF(OR(All_Questions_Q_GRID_EXPORT_CT="(None)",K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K$49))</f>
        <v>0</v>
      </c>
      <c r="L52">
        <f>IF(OR(All_Questions_Q_GRID_EXPORT_CT="(None)",L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L$49))</f>
        <v>0</v>
      </c>
      <c r="M52">
        <f>IF(OR(All_Questions_Q_GRID_EXPORT_CT="(None)",M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M$49))</f>
        <v>0</v>
      </c>
      <c r="N52">
        <f>IF(OR(All_Questions_Q_GRID_EXPORT_CT="(None)",N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N$49))</f>
        <v>0</v>
      </c>
      <c r="O52">
        <f>IF(OR(All_Questions_Q_GRID_EXPORT_CT="(None)",O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O$49))</f>
        <v>0</v>
      </c>
      <c r="P52">
        <f>IF(OR(All_Questions_Q_GRID_EXPORT_CT="(None)",P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P$49))</f>
        <v>0</v>
      </c>
      <c r="Q52">
        <f>IF(OR(All_Questions_Q_GRID_EXPORT_CT="(None)",Q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Q$49))</f>
        <v>0</v>
      </c>
      <c r="R52">
        <f>IF(OR(All_Questions_Q_GRID_EXPORT_CT="(None)",R$49=""),"",IF(R$49="Other",COUNTIFS(Q_GRID_EXPORTr2_data,"Selected",passes_workbook_filters_data,1,passes_workbook_custom_filters_data,1,All_Questions_passes_local_filters_data,1,All_Questions_Q_GRID_EXPORT_F_passes_per_q_filter_data,1)-SUM(G52,H52,I52,J52,K52,L52,M52,N52,O52,P52,Q52)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R$49)))</f>
        <v>0</v>
      </c>
      <c r="S52">
        <f>IF(All_Questions_Q_GRID_EXPORT_CT="(None)","",COUNTIFS(Q_GRID_EXPORTr2_data,"Selected",passes_workbook_filters_data,1,passes_workbook_custom_filters_data,1,All_Questions_passes_local_filters_data,1,All_Questions_Q_GRID_EXPORT_F_passes_per_q_filter_data,1))</f>
        <v>0</v>
      </c>
    </row>
    <row r="53">
      <c r="A53" s="4" t="inlineStr">
        <is>
          <t>Total responses</t>
        </is>
      </c>
      <c r="B53" s="4" t="n">
        <v>20</v>
      </c>
      <c r="C53" s="4" t="n"/>
      <c r="D53" s="4" t="n"/>
      <c r="F53" s="4" t="inlineStr">
        <is>
          <t>Total respondents</t>
        </is>
      </c>
      <c r="G53" s="2" t="n"/>
      <c r="H53" s="2" t="n"/>
      <c r="I53" s="2" t="n"/>
      <c r="J53" s="2" t="n"/>
      <c r="K53" s="2" t="n"/>
      <c r="L53" s="2" t="n"/>
      <c r="M53" s="2" t="n"/>
      <c r="N53" s="2" t="n"/>
      <c r="O53" s="2" t="n"/>
      <c r="P53" s="2" t="n"/>
      <c r="Q53" s="2" t="n"/>
      <c r="R53" s="2" t="n"/>
      <c r="S53" s="2">
        <f>IF(All_Questions_Q_GRID_EXPORT_CT="(None)","",COUNTIFS(respondent_id_data,"&lt;&gt;",passes_workbook_filters_data,1,passes_workbook_custom_filters_data,1,All_Questions_passes_local_filters_data,1,All_Questions_Q_GRID_EXPORT_F_passes_per_q_filter_data,1))</f>
        <v>0</v>
      </c>
    </row>
    <row r="55">
      <c r="A55" s="11" t="n"/>
      <c r="B55" s="11" t="n"/>
      <c r="C55" s="11" t="n"/>
      <c r="D55" s="11" t="n"/>
      <c r="E55" s="11" t="n"/>
      <c r="F55" s="11" t="n"/>
      <c r="G55" s="11" t="n"/>
      <c r="H55" s="11" t="n"/>
      <c r="I55" s="11" t="n"/>
      <c r="J55" s="11" t="n"/>
    </row>
    <row r="56">
      <c r="A56" s="12" t="inlineStr">
        <is>
          <t>Q_VERY_LONG_SINGLE_SELECT_EXPORT_NAME - Long sheet name export question</t>
        </is>
      </c>
      <c r="B56" s="12" t="n"/>
      <c r="C56" s="12" t="n"/>
      <c r="D56" s="12" t="n"/>
      <c r="E56" s="12" t="n"/>
      <c r="F56" s="12" t="n"/>
      <c r="G56" s="12" t="n"/>
      <c r="H56" s="12" t="n"/>
      <c r="I56" s="12" t="n"/>
      <c r="J56" s="12" t="n"/>
      <c r="K56" s="12" t="n"/>
      <c r="L56" s="12" t="n"/>
      <c r="M56" s="12" t="n"/>
      <c r="N56" s="12" t="n"/>
    </row>
    <row r="57">
      <c r="A57" s="13" t="inlineStr">
        <is>
          <t>Per-question filter</t>
        </is>
      </c>
      <c r="B57" t="inlineStr">
        <is>
          <t>Filter Q</t>
        </is>
      </c>
      <c r="C57" t="inlineStr">
        <is>
          <t>(None)</t>
        </is>
      </c>
      <c r="D57" t="inlineStr">
        <is>
          <t>Value</t>
        </is>
      </c>
      <c r="E57" t="inlineStr">
        <is>
          <t>(All)</t>
        </is>
      </c>
      <c r="F57" t="str">
        <f>IFERROR(INDEX(All_Questions_Data_Names,MATCH(All_Questions_Q_VERY_LONG_SINGLE_SELECT_EXPORT_NAME_F_Q,All_Questions,0)),"'_RawData'!$A:$A")</f>
        <v>respondent_id_data</v>
      </c>
      <c r="G57" t="str">
        <f>"|" &amp; SUBSTITUTE(All_Questions_Q_VERY_LONG_SINGLE_SELECT_EXPORT_NAME_F_V, ", ", "|") &amp; "|"</f>
        <v>|(All)|</v>
      </c>
    </row>
    <row r="58">
      <c r="A58" s="13" t="inlineStr">
        <is>
          <t>Cross-tab by</t>
        </is>
      </c>
      <c r="C58" t="inlineStr">
        <is>
          <t>(None)</t>
        </is>
      </c>
    </row>
    <row r="60">
      <c r="A60" s="4" t="inlineStr">
        <is>
          <t>Option</t>
        </is>
      </c>
      <c r="B60" s="4" t="inlineStr">
        <is>
          <t>Count</t>
        </is>
      </c>
      <c r="C60" s="4" t="inlineStr">
        <is>
          <t>%</t>
        </is>
      </c>
      <c r="D60" s="4" t="inlineStr">
        <is>
          <t>Denominator</t>
        </is>
      </c>
      <c r="F60" s="4" t="inlineStr">
        <is>
          <t>Option</t>
        </is>
      </c>
      <c r="G60" s="2" t="str">
        <f>IF(All_Questions_Q_VERY_LONG_SINGLE_SELECT_EXPORT_NAME_CT="(None)","",IFERROR(INDEX(INDIRECT(IFERROR(INDEX(All_Questions_Options_Names,MATCH(All_Questions_Q_VERY_LONG_SINGLE_SELECT_EXPORT_NAME_CT,All_Questions,0)),"'_Options'!$E$2:$E$2")),2),""))</f>
        <v/>
      </c>
      <c r="H60" s="2" t="str">
        <f>IF(All_Questions_Q_VERY_LONG_SINGLE_SELECT_EXPORT_NAME_CT="(None)","",IFERROR(INDEX(INDIRECT(IFERROR(INDEX(All_Questions_Options_Names,MATCH(All_Questions_Q_VERY_LONG_SINGLE_SELECT_EXPORT_NAME_CT,All_Questions,0)),"'_Options'!$E$2:$E$2")),3),""))</f>
        <v/>
      </c>
      <c r="I60" s="2" t="str">
        <f>IF(All_Questions_Q_VERY_LONG_SINGLE_SELECT_EXPORT_NAME_CT="(None)","",IFERROR(INDEX(INDIRECT(IFERROR(INDEX(All_Questions_Options_Names,MATCH(All_Questions_Q_VERY_LONG_SINGLE_SELECT_EXPORT_NAME_CT,All_Questions,0)),"'_Options'!$E$2:$E$2")),4),""))</f>
        <v/>
      </c>
      <c r="J60" s="2" t="str">
        <f>IF(All_Questions_Q_VERY_LONG_SINGLE_SELECT_EXPORT_NAME_CT="(None)","",IFERROR(INDEX(INDIRECT(IFERROR(INDEX(All_Questions_Options_Names,MATCH(All_Questions_Q_VERY_LONG_SINGLE_SELECT_EXPORT_NAME_CT,All_Questions,0)),"'_Options'!$E$2:$E$2")),5),""))</f>
        <v/>
      </c>
      <c r="K60" s="2" t="str">
        <f>IF(All_Questions_Q_VERY_LONG_SINGLE_SELECT_EXPORT_NAME_CT="(None)","",IFERROR(INDEX(INDIRECT(IFERROR(INDEX(All_Questions_Options_Names,MATCH(All_Questions_Q_VERY_LONG_SINGLE_SELECT_EXPORT_NAME_CT,All_Questions,0)),"'_Options'!$E$2:$E$2")),6),""))</f>
        <v/>
      </c>
      <c r="L60" s="2" t="str">
        <f>IF(All_Questions_Q_VERY_LONG_SINGLE_SELECT_EXPORT_NAME_CT="(None)","",IFERROR(INDEX(INDIRECT(IFERROR(INDEX(All_Questions_Options_Names,MATCH(All_Questions_Q_VERY_LONG_SINGLE_SELECT_EXPORT_NAME_CT,All_Questions,0)),"'_Options'!$E$2:$E$2")),7),""))</f>
        <v/>
      </c>
      <c r="M60" s="2" t="str">
        <f>IF(All_Questions_Q_VERY_LONG_SINGLE_SELECT_EXPORT_NAME_CT="(None)","",IFERROR(INDEX(INDIRECT(IFERROR(INDEX(All_Questions_Options_Names,MATCH(All_Questions_Q_VERY_LONG_SINGLE_SELECT_EXPORT_NAME_CT,All_Questions,0)),"'_Options'!$E$2:$E$2")),8),""))</f>
        <v/>
      </c>
      <c r="N60" s="2" t="str">
        <f>IF(All_Questions_Q_VERY_LONG_SINGLE_SELECT_EXPORT_NAME_CT="(None)","",IFERROR(INDEX(INDIRECT(IFERROR(INDEX(All_Questions_Options_Names,MATCH(All_Questions_Q_VERY_LONG_SINGLE_SELECT_EXPORT_NAME_CT,All_Questions,0)),"'_Options'!$E$2:$E$2")),9),""))</f>
        <v/>
      </c>
      <c r="O60" s="2" t="str">
        <f>IF(All_Questions_Q_VERY_LONG_SINGLE_SELECT_EXPORT_NAME_CT="(None)","",IFERROR(INDEX(INDIRECT(IFERROR(INDEX(All_Questions_Options_Names,MATCH(All_Questions_Q_VERY_LONG_SINGLE_SELECT_EXPORT_NAME_CT,All_Questions,0)),"'_Options'!$E$2:$E$2")),10),""))</f>
        <v/>
      </c>
      <c r="P60" s="2" t="str">
        <f>IF(All_Questions_Q_VERY_LONG_SINGLE_SELECT_EXPORT_NAME_CT="(None)","",IFERROR(INDEX(INDIRECT(IFERROR(INDEX(All_Questions_Options_Names,MATCH(All_Questions_Q_VERY_LONG_SINGLE_SELECT_EXPORT_NAME_CT,All_Questions,0)),"'_Options'!$E$2:$E$2")),11),""))</f>
        <v/>
      </c>
      <c r="Q60" s="2" t="str">
        <f>IF(All_Questions_Q_VERY_LONG_SINGLE_SELECT_EXPORT_NAME_CT="(None)","",IFERROR(INDEX(INDIRECT(IFERROR(INDEX(All_Questions_Options_Names,MATCH(All_Questions_Q_VERY_LONG_SINGLE_SELECT_EXPORT_NAME_CT,All_Questions,0)),"'_Options'!$E$2:$E$2")),12),""))</f>
        <v/>
      </c>
      <c r="R60" s="2" t="str">
        <f>IF(All_Questions_Q_VERY_LONG_SINGLE_SELECT_EXPORT_NAME_CT="(None)","",IF(COUNTA(INDIRECT(IFERROR(INDEX(All_Questions_Options_Names,MATCH(All_Questions_Q_VERY_LONG_SINGLE_SELECT_EXPORT_NAME_CT,All_Questions,0)),"'_Options'!$E$2:$E$2")))-1&gt;11,"Other",IFERROR(INDEX(INDIRECT(IFERROR(INDEX(All_Questions_Options_Names,MATCH(All_Questions_Q_VERY_LONG_SINGLE_SELECT_EXPORT_NAME_CT,All_Questions,0)),"'_Options'!$E$2:$E$2")),13),"")))</f>
        <v/>
      </c>
      <c r="S60" s="4" t="inlineStr">
        <is>
          <t>Total</t>
        </is>
      </c>
    </row>
    <row r="61">
      <c r="A61" t="inlineStr">
        <is>
          <t>A</t>
        </is>
      </c>
      <c r="B61">
        <f>COUNTIFS(Q_VERY_LONG_SINGLE_SELECT_EXPOR_data,"A",passes_workbook_filters_data,1,passes_workbook_custom_filters_data,1,All_Questions_passes_local_filters_data,1,All_Questions_Q_VERY_LONG_SINGLE_SELECT_EXPORT_NAME_F_passes_per_q_filter_data,1)</f>
        <v>7</v>
      </c>
      <c r="C61" s="7">
        <f>IFERROR(B61/SUBTOTAL(9,B61:B62),0)</f>
        <v>0.7</v>
      </c>
      <c r="D61" s="14">
        <f>SUBTOTAL(9,B61:B62)</f>
        <v>10</v>
      </c>
      <c r="F61" s="4" t="inlineStr"/>
      <c r="G61" s="4" t="inlineStr">
        <is>
          <t># of resp</t>
        </is>
      </c>
      <c r="H61" s="4" t="inlineStr">
        <is>
          <t># of resp</t>
        </is>
      </c>
      <c r="I61" s="4" t="inlineStr">
        <is>
          <t># of resp</t>
        </is>
      </c>
      <c r="J61" s="4" t="inlineStr">
        <is>
          <t># of resp</t>
        </is>
      </c>
      <c r="K61" s="4" t="inlineStr">
        <is>
          <t># of resp</t>
        </is>
      </c>
      <c r="L61" s="4" t="inlineStr">
        <is>
          <t># of resp</t>
        </is>
      </c>
      <c r="M61" s="4" t="inlineStr">
        <is>
          <t># of resp</t>
        </is>
      </c>
      <c r="N61" s="4" t="inlineStr">
        <is>
          <t># of resp</t>
        </is>
      </c>
      <c r="O61" s="4" t="inlineStr">
        <is>
          <t># of resp</t>
        </is>
      </c>
      <c r="P61" s="4" t="inlineStr">
        <is>
          <t># of resp</t>
        </is>
      </c>
      <c r="Q61" s="4" t="inlineStr">
        <is>
          <t># of resp</t>
        </is>
      </c>
      <c r="R61" s="4" t="inlineStr">
        <is>
          <t># of resp</t>
        </is>
      </c>
      <c r="S61" s="4" t="inlineStr">
        <is>
          <t># of resp</t>
        </is>
      </c>
    </row>
    <row r="62">
      <c r="A62" t="inlineStr">
        <is>
          <t>B</t>
        </is>
      </c>
      <c r="B62">
        <f>COUNTIFS(Q_VERY_LONG_SINGLE_SELECT_EXPOR_data,"B",passes_workbook_filters_data,1,passes_workbook_custom_filters_data,1,All_Questions_passes_local_filters_data,1,All_Questions_Q_VERY_LONG_SINGLE_SELECT_EXPORT_NAME_F_passes_per_q_filter_data,1)</f>
        <v>3</v>
      </c>
      <c r="C62" s="7">
        <f>IFERROR(B62/SUBTOTAL(9,B61:B62),0)</f>
        <v>0.3</v>
      </c>
      <c r="D62" s="14">
        <f>SUBTOTAL(9,B61:B62)</f>
        <v>10</v>
      </c>
      <c r="F62" t="inlineStr">
        <is>
          <t>A</t>
        </is>
      </c>
      <c r="G62">
        <f>IF(OR(All_Questions_Q_VERY_LONG_SINGLE_SELECT_EXPORT_NAME_CT="(None)",G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G$60))</f>
        <v>0</v>
      </c>
      <c r="H62">
        <f>IF(OR(All_Questions_Q_VERY_LONG_SINGLE_SELECT_EXPORT_NAME_CT="(None)",H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H$60))</f>
        <v>0</v>
      </c>
      <c r="I62">
        <f>IF(OR(All_Questions_Q_VERY_LONG_SINGLE_SELECT_EXPORT_NAME_CT="(None)",I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I$60))</f>
        <v>0</v>
      </c>
      <c r="J62">
        <f>IF(OR(All_Questions_Q_VERY_LONG_SINGLE_SELECT_EXPORT_NAME_CT="(None)",J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J$60))</f>
        <v>0</v>
      </c>
      <c r="K62">
        <f>IF(OR(All_Questions_Q_VERY_LONG_SINGLE_SELECT_EXPORT_NAME_CT="(None)",K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K$60))</f>
        <v>0</v>
      </c>
      <c r="L62">
        <f>IF(OR(All_Questions_Q_VERY_LONG_SINGLE_SELECT_EXPORT_NAME_CT="(None)",L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L$60))</f>
        <v>0</v>
      </c>
      <c r="M62">
        <f>IF(OR(All_Questions_Q_VERY_LONG_SINGLE_SELECT_EXPORT_NAME_CT="(None)",M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M$60))</f>
        <v>0</v>
      </c>
      <c r="N62">
        <f>IF(OR(All_Questions_Q_VERY_LONG_SINGLE_SELECT_EXPORT_NAME_CT="(None)",N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N$60))</f>
        <v>0</v>
      </c>
      <c r="O62">
        <f>IF(OR(All_Questions_Q_VERY_LONG_SINGLE_SELECT_EXPORT_NAME_CT="(None)",O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O$60))</f>
        <v>0</v>
      </c>
      <c r="P62">
        <f>IF(OR(All_Questions_Q_VERY_LONG_SINGLE_SELECT_EXPORT_NAME_CT="(None)",P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P$60))</f>
        <v>0</v>
      </c>
      <c r="Q62">
        <f>IF(OR(All_Questions_Q_VERY_LONG_SINGLE_SELECT_EXPORT_NAME_CT="(None)",Q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Q$60))</f>
        <v>0</v>
      </c>
      <c r="R62">
        <f>IF(OR(All_Questions_Q_VERY_LONG_SINGLE_SELECT_EXPORT_NAME_CT="(None)",R$60=""),"",IF(R$60="Other",COUNTIFS(Q_VERY_LONG_SINGLE_SELECT_EXPOR_data,"A",passes_workbook_filters_data,1,passes_workbook_custom_filters_data,1,All_Questions_passes_local_filters_data,1,All_Questions_Q_VERY_LONG_SINGLE_SELECT_EXPORT_NAME_F_passes_per_q_filter_data,1)-SUM(G62,H62,I62,J62,K62,L62,M62,N62,O62,P62,Q62)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R$60)))</f>
        <v>0</v>
      </c>
      <c r="S62">
        <f>IF(All_Questions_Q_VERY_LONG_SINGLE_SELECT_EXPORT_NAME_CT="(None)","",COUNTIFS(Q_VERY_LONG_SINGLE_SELECT_EXPOR_data,"A",passes_workbook_filters_data,1,passes_workbook_custom_filters_data,1,All_Questions_passes_local_filters_data,1,All_Questions_Q_VERY_LONG_SINGLE_SELECT_EXPORT_NAME_F_passes_per_q_filter_data,1))</f>
        <v>0</v>
      </c>
    </row>
    <row r="63">
      <c r="A63" s="15" t="inlineStr">
        <is>
          <t>Total respondents</t>
        </is>
      </c>
      <c r="B63" s="15" t="n">
        <v>10</v>
      </c>
      <c r="C63" s="15" t="n"/>
      <c r="D63" s="15" t="n"/>
      <c r="F63" t="inlineStr">
        <is>
          <t>B</t>
        </is>
      </c>
      <c r="G63">
        <f>IF(OR(All_Questions_Q_VERY_LONG_SINGLE_SELECT_EXPORT_NAME_CT="(None)",G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G$60))</f>
        <v>0</v>
      </c>
      <c r="H63">
        <f>IF(OR(All_Questions_Q_VERY_LONG_SINGLE_SELECT_EXPORT_NAME_CT="(None)",H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H$60))</f>
        <v>0</v>
      </c>
      <c r="I63">
        <f>IF(OR(All_Questions_Q_VERY_LONG_SINGLE_SELECT_EXPORT_NAME_CT="(None)",I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I$60))</f>
        <v>0</v>
      </c>
      <c r="J63">
        <f>IF(OR(All_Questions_Q_VERY_LONG_SINGLE_SELECT_EXPORT_NAME_CT="(None)",J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J$60))</f>
        <v>0</v>
      </c>
      <c r="K63">
        <f>IF(OR(All_Questions_Q_VERY_LONG_SINGLE_SELECT_EXPORT_NAME_CT="(None)",K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K$60))</f>
        <v>0</v>
      </c>
      <c r="L63">
        <f>IF(OR(All_Questions_Q_VERY_LONG_SINGLE_SELECT_EXPORT_NAME_CT="(None)",L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L$60))</f>
        <v>0</v>
      </c>
      <c r="M63">
        <f>IF(OR(All_Questions_Q_VERY_LONG_SINGLE_SELECT_EXPORT_NAME_CT="(None)",M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M$60))</f>
        <v>0</v>
      </c>
      <c r="N63">
        <f>IF(OR(All_Questions_Q_VERY_LONG_SINGLE_SELECT_EXPORT_NAME_CT="(None)",N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N$60))</f>
        <v>0</v>
      </c>
      <c r="O63">
        <f>IF(OR(All_Questions_Q_VERY_LONG_SINGLE_SELECT_EXPORT_NAME_CT="(None)",O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O$60))</f>
        <v>0</v>
      </c>
      <c r="P63">
        <f>IF(OR(All_Questions_Q_VERY_LONG_SINGLE_SELECT_EXPORT_NAME_CT="(None)",P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P$60))</f>
        <v>0</v>
      </c>
      <c r="Q63">
        <f>IF(OR(All_Questions_Q_VERY_LONG_SINGLE_SELECT_EXPORT_NAME_CT="(None)",Q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Q$60))</f>
        <v>0</v>
      </c>
      <c r="R63">
        <f>IF(OR(All_Questions_Q_VERY_LONG_SINGLE_SELECT_EXPORT_NAME_CT="(None)",R$60=""),"",IF(R$60="Other",COUNTIFS(Q_VERY_LONG_SINGLE_SELECT_EXPOR_data,"B",passes_workbook_filters_data,1,passes_workbook_custom_filters_data,1,All_Questions_passes_local_filters_data,1,All_Questions_Q_VERY_LONG_SINGLE_SELECT_EXPORT_NAME_F_passes_per_q_filter_data,1)-SUM(G63,H63,I63,J63,K63,L63,M63,N63,O63,P63,Q63)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R$60)))</f>
        <v>0</v>
      </c>
      <c r="S63">
        <f>IF(All_Questions_Q_VERY_LONG_SINGLE_SELECT_EXPORT_NAME_CT="(None)","",COUNTIFS(Q_VERY_LONG_SINGLE_SELECT_EXPOR_data,"B",passes_workbook_filters_data,1,passes_workbook_custom_filters_data,1,All_Questions_passes_local_filters_data,1,All_Questions_Q_VERY_LONG_SINGLE_SELECT_EXPORT_NAME_F_passes_per_q_filter_data,1))</f>
        <v>0</v>
      </c>
    </row>
    <row r="64">
      <c r="F64" s="4" t="inlineStr">
        <is>
          <t>Total respondents</t>
        </is>
      </c>
      <c r="G64" s="2" t="n"/>
      <c r="H64" s="2" t="n"/>
      <c r="I64" s="2" t="n"/>
      <c r="J64" s="2" t="n"/>
      <c r="K64" s="2" t="n"/>
      <c r="L64" s="2" t="n"/>
      <c r="M64" s="2" t="n"/>
      <c r="N64" s="2" t="n"/>
      <c r="O64" s="2" t="n"/>
      <c r="P64" s="2" t="n"/>
      <c r="Q64" s="2" t="n"/>
      <c r="R64" s="2" t="n"/>
      <c r="S64" s="2">
        <f>IF(All_Questions_Q_VERY_LONG_SINGLE_SELECT_EXPORT_NAME_CT="(None)","",COUNTIFS(respondent_id_data,"&lt;&gt;",passes_workbook_filters_data,1,passes_workbook_custom_filters_data,1,All_Questions_passes_local_filters_data,1,All_Questions_Q_VERY_LONG_SINGLE_SELECT_EXPORT_NAME_F_passes_per_q_filter_data,1))</f>
        <v>0</v>
      </c>
    </row>
  </sheetData>
  <mergeCells count="1">
    <mergeCell ref="A1:J1"/>
  </mergeCells>
  <conditionalFormatting sqref="B17:B18">
    <cfRule type="colorScale" priority="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17:C18">
    <cfRule type="colorScale" priority="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18:G19">
    <cfRule type="colorScale" priority="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18:H19">
    <cfRule type="colorScale" priority="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18:I19">
    <cfRule type="colorScale" priority="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18:J19">
    <cfRule type="colorScale" priority="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18:K19">
    <cfRule type="colorScale" priority="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18:L19">
    <cfRule type="colorScale" priority="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18:M19">
    <cfRule type="colorScale" priority="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18:N19">
    <cfRule type="colorScale" priority="1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18:O19">
    <cfRule type="colorScale" priority="1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18:P19">
    <cfRule type="colorScale" priority="1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18:Q19">
    <cfRule type="colorScale" priority="1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18:R19">
    <cfRule type="colorScale" priority="1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27:B28">
    <cfRule type="colorScale" priority="1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27:C28">
    <cfRule type="colorScale" priority="1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28:G29">
    <cfRule type="colorScale" priority="1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28:H29">
    <cfRule type="colorScale" priority="1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28:I29">
    <cfRule type="colorScale" priority="1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28:J29">
    <cfRule type="colorScale" priority="2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28:K29">
    <cfRule type="colorScale" priority="2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28:L29">
    <cfRule type="colorScale" priority="2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28:M29">
    <cfRule type="colorScale" priority="2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28:N29">
    <cfRule type="colorScale" priority="2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28:O29">
    <cfRule type="colorScale" priority="2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28:P29">
    <cfRule type="colorScale" priority="2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28:Q29">
    <cfRule type="colorScale" priority="2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28:R29">
    <cfRule type="colorScale" priority="2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50:B51">
    <cfRule type="colorScale" priority="2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50:C51">
    <cfRule type="colorScale" priority="3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51:G52">
    <cfRule type="colorScale" priority="3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51:H52">
    <cfRule type="colorScale" priority="3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51:I52">
    <cfRule type="colorScale" priority="3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51:J52">
    <cfRule type="colorScale" priority="3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51:K52">
    <cfRule type="colorScale" priority="3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51:L52">
    <cfRule type="colorScale" priority="3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51:M52">
    <cfRule type="colorScale" priority="3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51:N52">
    <cfRule type="colorScale" priority="3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51:O52">
    <cfRule type="colorScale" priority="3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51:P52">
    <cfRule type="colorScale" priority="4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51:Q52">
    <cfRule type="colorScale" priority="4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51:R52">
    <cfRule type="colorScale" priority="4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61:B62">
    <cfRule type="colorScale" priority="4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61:C62">
    <cfRule type="colorScale" priority="4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62:G63">
    <cfRule type="colorScale" priority="4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62:H63">
    <cfRule type="colorScale" priority="4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62:I63">
    <cfRule type="colorScale" priority="4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62:J63">
    <cfRule type="colorScale" priority="4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62:K63">
    <cfRule type="colorScale" priority="4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62:L63">
    <cfRule type="colorScale" priority="5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62:M63">
    <cfRule type="colorScale" priority="5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62:N63">
    <cfRule type="colorScale" priority="5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62:O63">
    <cfRule type="colorScale" priority="5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62:P63">
    <cfRule type="colorScale" priority="5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62:Q63">
    <cfRule type="colorScale" priority="5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62:R63">
    <cfRule type="colorScale" priority="5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dataValidations count="19">
    <dataValidation sqref="B5" showDropDown="0" showInputMessage="0" showErrorMessage="0" allowBlank="1" type="list">
      <formula1>=All_Questions_Local</formula1>
    </dataValidation>
    <dataValidation sqref="B6" showDropDown="0" showInputMessage="0" showErrorMessage="0" allowBlank="1" type="list">
      <formula1>=INDIRECT(IFERROR(INDEX(All_Questions_Options_Names,MATCH(All_Questions_F_Custom1_Q_resolved,All_Questions,0)),"'_Options'!$E$2:$E$2"))</formula1>
    </dataValidation>
    <dataValidation sqref="B7" showDropDown="0" showInputMessage="0" showErrorMessage="0" allowBlank="1" type="list">
      <formula1>=All_Questions_Local</formula1>
    </dataValidation>
    <dataValidation sqref="B8" showDropDown="0" showInputMessage="0" showErrorMessage="0" allowBlank="1" type="list">
      <formula1>=INDIRECT(IFERROR(INDEX(All_Questions_Options_Names,MATCH(All_Questions_F_Custom2_Q_resolved,All_Questions,0)),"'_Options'!$E$2:$E$2"))</formula1>
    </dataValidation>
    <dataValidation sqref="C13" showDropDown="0" showInputMessage="0" showErrorMessage="0" allowBlank="1" type="list">
      <formula1>=All_Questions</formula1>
    </dataValidation>
    <dataValidation sqref="E13" showDropDown="0" showInputMessage="0" showErrorMessage="0" allowBlank="1" type="list">
      <formula1>=INDIRECT(IFERROR(INDEX(All_Questions_Options_Names,MATCH(All_Questions_Q_SS_EXPORT_F_Q,All_Questions,0)),"'_Options'!$E$2:$E$2"))</formula1>
    </dataValidation>
    <dataValidation sqref="C14" showDropDown="0" showInputMessage="0" showErrorMessage="0" allowBlank="1" type="list">
      <formula1>=All_Questions</formula1>
    </dataValidation>
    <dataValidation sqref="C23" showDropDown="0" showInputMessage="0" showErrorMessage="0" allowBlank="1" type="list">
      <formula1>=All_Questions</formula1>
    </dataValidation>
    <dataValidation sqref="E23" showDropDown="0" showInputMessage="0" showErrorMessage="0" allowBlank="1" type="list">
      <formula1>=INDIRECT(IFERROR(INDEX(All_Questions_Options_Names,MATCH(All_Questions_Q_MS_EXPORT_F_Q,All_Questions,0)),"'_Options'!$E$2:$E$2"))</formula1>
    </dataValidation>
    <dataValidation sqref="C24" showDropDown="0" showInputMessage="0" showErrorMessage="0" allowBlank="1" type="list">
      <formula1>=All_Questions</formula1>
    </dataValidation>
    <dataValidation sqref="C34" showDropDown="0" showInputMessage="0" showErrorMessage="0" allowBlank="1" type="list">
      <formula1>=All_Questions</formula1>
    </dataValidation>
    <dataValidation sqref="E34" showDropDown="0" showInputMessage="0" showErrorMessage="0" allowBlank="1" type="list">
      <formula1>=INDIRECT(IFERROR(INDEX(All_Questions_Options_Names,MATCH(All_Questions_Q_NUM_EXPORT_F_Q,All_Questions,0)),"'_Options'!$E$2:$E$2"))</formula1>
    </dataValidation>
    <dataValidation sqref="C35" showDropDown="0" showInputMessage="0" showErrorMessage="0" allowBlank="1" type="list">
      <formula1>=All_Questions</formula1>
    </dataValidation>
    <dataValidation sqref="C46" showDropDown="0" showInputMessage="0" showErrorMessage="0" allowBlank="1" type="list">
      <formula1>=All_Questions</formula1>
    </dataValidation>
    <dataValidation sqref="E46" showDropDown="0" showInputMessage="0" showErrorMessage="0" allowBlank="1" type="list">
      <formula1>=INDIRECT(IFERROR(INDEX(All_Questions_Options_Names,MATCH(All_Questions_Q_GRID_EXPORT_F_Q,All_Questions,0)),"'_Options'!$E$2:$E$2"))</formula1>
    </dataValidation>
    <dataValidation sqref="C47" showDropDown="0" showInputMessage="0" showErrorMessage="0" allowBlank="1" type="list">
      <formula1>=All_Questions</formula1>
    </dataValidation>
    <dataValidation sqref="C57" showDropDown="0" showInputMessage="0" showErrorMessage="0" allowBlank="1" type="list">
      <formula1>=All_Questions</formula1>
    </dataValidation>
    <dataValidation sqref="E57" showDropDown="0" showInputMessage="0" showErrorMessage="0" allowBlank="1" type="list">
      <formula1>=INDIRECT(IFERROR(INDEX(All_Questions_Options_Names,MATCH(All_Questions_Q_VERY_LONG_SINGLE_SELECT_EXPORT_NAME_F_Q,All_Questions,0)),"'_Options'!$E$2:$E$2"))</formula1>
    </dataValidation>
    <dataValidation sqref="C58" showDropDown="0" showInputMessage="0" showErrorMessage="0" allowBlank="1" type="list">
      <formula1>=All_Questions</formula1>
    </dataValidation>
  </dataValidations>
  <pageMargins left="0.75" right="0.75" top="1" bottom="1" header="0.5" footer="0.5"/>
  <tableParts count="5">
    <tablePart xmlns:r="http://schemas.openxmlformats.org/officeDocument/2006/relationships" r:id="rId1"/>
    <tablePart xmlns:r="http://schemas.openxmlformats.org/officeDocument/2006/relationships" r:id="rId2"/>
    <tablePart xmlns:r="http://schemas.openxmlformats.org/officeDocument/2006/relationships" r:id="rId3"/>
    <tablePart xmlns:r="http://schemas.openxmlformats.org/officeDocument/2006/relationships" r:id="rId4"/>
    <tablePart xmlns:r="http://schemas.openxmlformats.org/officeDocument/2006/relationships" r:id="rId5"/>
  </tableParts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L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2" customWidth="1" min="1" max="1"/>
    <col width="17" customWidth="1" min="2" max="2"/>
    <col width="39" customWidth="1" min="3" max="3"/>
    <col width="39" customWidth="1" min="4" max="4"/>
    <col width="8" customWidth="1" min="5" max="5"/>
    <col width="11" customWidth="1" min="6" max="6"/>
    <col width="13" customWidth="1" min="7" max="7"/>
    <col width="25" customWidth="1" min="8" max="8"/>
    <col width="11" customWidth="1" min="9" max="9"/>
    <col width="9" customWidth="1" min="10" max="10"/>
    <col width="11" customWidth="1" min="11" max="11"/>
    <col width="27" customWidth="1" min="12" max="12"/>
  </cols>
  <sheetData>
    <row r="1">
      <c r="A1" s="4" t="inlineStr">
        <is>
          <t>Output Sheet</t>
        </is>
      </c>
      <c r="B1" s="4" t="inlineStr">
        <is>
          <t>Metric Name</t>
        </is>
      </c>
      <c r="C1" s="4" t="inlineStr">
        <is>
          <t>Source Question</t>
        </is>
      </c>
      <c r="D1" s="4" t="inlineStr">
        <is>
          <t>Source Columns</t>
        </is>
      </c>
      <c r="E1" s="4" t="inlineStr">
        <is>
          <t>Filter</t>
        </is>
      </c>
      <c r="F1" s="4" t="inlineStr">
        <is>
          <t>Numerator</t>
        </is>
      </c>
      <c r="G1" s="4" t="inlineStr">
        <is>
          <t>Denominator</t>
        </is>
      </c>
      <c r="H1" s="4" t="inlineStr">
        <is>
          <t>Formula</t>
        </is>
      </c>
      <c r="I1" s="4" t="inlineStr">
        <is>
          <t>Value Raw</t>
        </is>
      </c>
      <c r="J1" s="4" t="inlineStr">
        <is>
          <t>Valid N</t>
        </is>
      </c>
      <c r="K1" s="4" t="inlineStr">
        <is>
          <t>Missing N</t>
        </is>
      </c>
      <c r="L1" s="4" t="inlineStr">
        <is>
          <t>Timestamp</t>
        </is>
      </c>
    </row>
    <row r="2">
      <c r="A2" t="inlineStr">
        <is>
          <t>SC_Q_SS_EXPORT</t>
        </is>
      </c>
      <c r="B2" t="inlineStr">
        <is>
          <t>rate_per_value</t>
        </is>
      </c>
      <c r="C2" t="inlineStr">
        <is>
          <t>Q_SS_EXPORT</t>
        </is>
      </c>
      <c r="D2" t="inlineStr">
        <is>
          <t>Q_SS_EXPORT</t>
        </is>
      </c>
      <c r="E2" t="inlineStr"/>
      <c r="G2" t="n">
        <v>10</v>
      </c>
      <c r="H2" t="inlineStr">
        <is>
          <t>rate_per_value formula</t>
        </is>
      </c>
      <c r="I2" t="n">
        <v>10</v>
      </c>
      <c r="J2" t="n">
        <v>10</v>
      </c>
      <c r="K2" t="n">
        <v>0</v>
      </c>
      <c r="L2" t="inlineStr">
        <is>
          <t>2026-05-04T12:00:00+00:00</t>
        </is>
      </c>
    </row>
    <row r="3">
      <c r="A3" t="inlineStr">
        <is>
          <t>SC_Q_MS_EXPORT</t>
        </is>
      </c>
      <c r="B3" t="inlineStr">
        <is>
          <t>selection_rate</t>
        </is>
      </c>
      <c r="C3" t="inlineStr">
        <is>
          <t>Q_MS_EXPORT</t>
        </is>
      </c>
      <c r="D3" t="inlineStr">
        <is>
          <t>Q_MS_EXPORTr1, Q_MS_EXPORTr2</t>
        </is>
      </c>
      <c r="E3" t="inlineStr"/>
      <c r="G3" t="n">
        <v>10</v>
      </c>
      <c r="H3" t="inlineStr">
        <is>
          <t>selection_rate formula</t>
        </is>
      </c>
      <c r="I3" t="n">
        <v>10</v>
      </c>
      <c r="J3" t="n">
        <v>10</v>
      </c>
      <c r="K3" t="n">
        <v>0</v>
      </c>
      <c r="L3" t="inlineStr">
        <is>
          <t>2026-05-04T12:00:00+00:00</t>
        </is>
      </c>
    </row>
    <row r="4">
      <c r="A4" t="inlineStr">
        <is>
          <t>SC_Q_NUM_EXPORT</t>
        </is>
      </c>
      <c r="B4" t="inlineStr">
        <is>
          <t>numeric_summary</t>
        </is>
      </c>
      <c r="C4" t="inlineStr">
        <is>
          <t>Q_NUM_EXPORT</t>
        </is>
      </c>
      <c r="D4" t="inlineStr">
        <is>
          <t>Q_NUM_EXPORT</t>
        </is>
      </c>
      <c r="E4" t="inlineStr"/>
      <c r="G4" t="n">
        <v>10</v>
      </c>
      <c r="H4" t="inlineStr">
        <is>
          <t>numeric_summary formula</t>
        </is>
      </c>
      <c r="I4" t="n">
        <v>5.5</v>
      </c>
      <c r="J4" t="n">
        <v>10</v>
      </c>
      <c r="K4" t="n">
        <v>0</v>
      </c>
      <c r="L4" t="inlineStr">
        <is>
          <t>2026-05-04T12:00:00+00:00</t>
        </is>
      </c>
    </row>
    <row r="5">
      <c r="A5" t="inlineStr">
        <is>
          <t>SC_Q_GRID_EXPORTr1</t>
        </is>
      </c>
      <c r="B5" t="inlineStr">
        <is>
          <t>rate_per_value</t>
        </is>
      </c>
      <c r="C5" t="inlineStr">
        <is>
          <t>Q_GRID_EXPORTr1</t>
        </is>
      </c>
      <c r="D5" t="inlineStr">
        <is>
          <t>Q_GRID_EXPORTr1</t>
        </is>
      </c>
      <c r="E5" t="inlineStr"/>
      <c r="G5" t="n">
        <v>10</v>
      </c>
      <c r="H5" t="inlineStr">
        <is>
          <t>rate_per_value formula</t>
        </is>
      </c>
      <c r="I5" t="n">
        <v>10</v>
      </c>
      <c r="J5" t="n">
        <v>10</v>
      </c>
      <c r="K5" t="n">
        <v>0</v>
      </c>
      <c r="L5" t="inlineStr">
        <is>
          <t>2026-05-04T12:00:00+00:00</t>
        </is>
      </c>
    </row>
    <row r="6">
      <c r="A6" t="inlineStr">
        <is>
          <t>SC_Q_GRID_EXPORTr2</t>
        </is>
      </c>
      <c r="B6" t="inlineStr">
        <is>
          <t>rate_per_value</t>
        </is>
      </c>
      <c r="C6" t="inlineStr">
        <is>
          <t>Q_GRID_EXPORTr2</t>
        </is>
      </c>
      <c r="D6" t="inlineStr">
        <is>
          <t>Q_GRID_EXPORTr2</t>
        </is>
      </c>
      <c r="E6" t="inlineStr"/>
      <c r="G6" t="n">
        <v>10</v>
      </c>
      <c r="H6" t="inlineStr">
        <is>
          <t>rate_per_value formula</t>
        </is>
      </c>
      <c r="I6" t="n">
        <v>10</v>
      </c>
      <c r="J6" t="n">
        <v>10</v>
      </c>
      <c r="K6" t="n">
        <v>0</v>
      </c>
      <c r="L6" t="inlineStr">
        <is>
          <t>2026-05-04T12:00:00+00:00</t>
        </is>
      </c>
    </row>
    <row r="7">
      <c r="A7" t="inlineStr">
        <is>
          <t>SC_Q_GRID_EXPORT</t>
        </is>
      </c>
      <c r="B7" t="inlineStr">
        <is>
          <t>grid_overall</t>
        </is>
      </c>
      <c r="C7" t="inlineStr">
        <is>
          <t>Q_GRID_EXPORT</t>
        </is>
      </c>
      <c r="D7" t="inlineStr">
        <is>
          <t>Q_GRID_EXPORTr1, Q_GRID_EXPORTr2</t>
        </is>
      </c>
      <c r="E7" t="inlineStr"/>
      <c r="G7" t="n">
        <v>10</v>
      </c>
      <c r="H7" t="inlineStr">
        <is>
          <t>grid_overall formula</t>
        </is>
      </c>
      <c r="I7" t="n">
        <v>10</v>
      </c>
      <c r="J7" t="n">
        <v>10</v>
      </c>
      <c r="K7" t="n">
        <v>0</v>
      </c>
      <c r="L7" t="inlineStr">
        <is>
          <t>2026-05-04T12:00:00+00:00</t>
        </is>
      </c>
    </row>
    <row r="8">
      <c r="A8" t="inlineStr">
        <is>
          <t>SC_Q_VERY_LONG_SINGLE_SELECT_EXPORT_NAME</t>
        </is>
      </c>
      <c r="B8" t="inlineStr">
        <is>
          <t>rate_per_value</t>
        </is>
      </c>
      <c r="C8" t="inlineStr">
        <is>
          <t>Q_VERY_LONG_SINGLE_SELECT_EXPORT_NAME</t>
        </is>
      </c>
      <c r="D8" t="inlineStr">
        <is>
          <t>Q_VERY_LONG_SINGLE_SELECT_EXPORT_NAME</t>
        </is>
      </c>
      <c r="E8" t="inlineStr"/>
      <c r="G8" t="n">
        <v>10</v>
      </c>
      <c r="H8" t="inlineStr">
        <is>
          <t>rate_per_value formula</t>
        </is>
      </c>
      <c r="I8" t="n">
        <v>10</v>
      </c>
      <c r="J8" t="n">
        <v>10</v>
      </c>
      <c r="K8" t="n">
        <v>0</v>
      </c>
      <c r="L8" t="inlineStr">
        <is>
          <t>2026-05-04T12:00:00+00:00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7" customWidth="1" min="2" max="2"/>
    <col width="19" customWidth="1" min="3" max="3"/>
    <col width="13" customWidth="1" min="4" max="4"/>
  </cols>
  <sheetData>
    <row r="1">
      <c r="A1" s="4" t="inlineStr">
        <is>
          <t>Cross Cut ID</t>
        </is>
      </c>
      <c r="B1" s="4" t="inlineStr">
        <is>
          <t>Title</t>
        </is>
      </c>
      <c r="C1" s="4" t="inlineStr">
        <is>
          <t>Filter Expression</t>
        </is>
      </c>
      <c r="D1" s="4" t="inlineStr">
        <is>
          <t>Description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46" customWidth="1" min="1" max="1"/>
    <col width="43" customWidth="1" min="2" max="2"/>
  </cols>
  <sheetData>
    <row r="1">
      <c r="A1" s="4" t="inlineStr">
        <is>
          <t>Source</t>
        </is>
      </c>
      <c r="B1" s="4" t="inlineStr">
        <is>
          <t>Warning</t>
        </is>
      </c>
    </row>
    <row r="2">
      <c r="A2" t="inlineStr">
        <is>
          <t>quality</t>
        </is>
      </c>
      <c r="B2" t="inlineStr">
        <is>
          <t>column extra_col has 50.0% missing values</t>
        </is>
      </c>
    </row>
    <row r="3">
      <c r="A3" t="inlineStr">
        <is>
          <t>result:Q_VERY_LONG_SINGLE_SELECT_EXPORT_NAME</t>
        </is>
      </c>
      <c r="B3" t="inlineStr">
        <is>
          <t>long id warning</t>
        </is>
      </c>
    </row>
    <row r="4">
      <c r="A4" t="inlineStr">
        <is>
          <t>skip:[Q_FAIL_EXPORT]</t>
        </is>
      </c>
      <c r="B4" t="inlineStr">
        <is>
          <t>ValueError: raw column not found in data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2026-05-19T09:13:32Z</dcterms:created>
  <dcterms:modified xmlns:dcterms="http://purl.org/dc/terms/" xmlns:xsi="http://www.w3.org/2001/XMLSchema-instance" xsi:type="dcterms:W3CDTF">2026-05-19T09:13:32Z</dcterms:modified>
</cp:coreProperties>
</file>