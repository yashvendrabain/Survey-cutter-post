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'_Options'!$A$2:$A$2</definedName>
    <definedName name="All_Questions_Local">'_Options'!$B$2:$B$3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passes_per_q_filter_data">'_RawData'!$J$2:$J$11</definedName>
    <definedName name="All_Questions_Q_CATGRI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All_Questions_Q_CATGRID_F_wrapped)),1,0),0))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All_Questions_Q_CATGRID_F_wrapped)),1,0),0))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All_Questions_Q_CATGRID_F_wrapped)),1,0),0))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All_Questions_Q_CATGRID_F_wrapped)),1,0),0))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All_Questions_Q_CATGRID_F_wrapped)),1,0),0))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All_Questions_Q_CATGRID_F_wrapped)),1,0),0))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All_Questions_Q_CATGRID_F_wrapped)),1,0),0))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All_Questions_Q_CATGRID_F_wrapped)),1,0),0))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All_Questions_Q_CATGRID_F_wrapped)),1,0),0))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All_Questions_Q_CATGRID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</row>
    <row r="5"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</row>
    <row r="6"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IFERROR(INDEX(All_Questions_Data_Names,MATCH(All_Questions_Q_CATGRID_F_Q,All_Questions,0)),"'_RawData'!$A:$A")</f>
        <v>respondent_id_data</v>
      </c>
      <c r="G13" t="str">
        <f>"|" &amp; SUBSTITUTE(All_Questions_Q_CATGRID_F_V,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Not involved</t>
        </is>
      </c>
      <c r="D16" s="2" t="n"/>
      <c r="E16" s="4" t="inlineStr">
        <is>
          <t>Influencer</t>
        </is>
      </c>
      <c r="F16" s="2" t="n"/>
      <c r="G16" s="4" t="inlineStr">
        <is>
          <t>Decision maker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Q_CATGRIDr1</t>
        </is>
      </c>
      <c r="B18" t="inlineStr">
        <is>
          <t>IT / Technical</t>
        </is>
      </c>
      <c r="C18">
        <f>COUNTIFS(Q_CATGRIDr1_data,"Not involved",passes_workbook_filters_data,1,passes_workbook_custom_filters_data,1,All_Questions_passes_local_filters_data,1,All_Questions_Q_CATGRID_F_passes_per_q_filter_data,1)</f>
        <v>3</v>
      </c>
      <c r="D18" s="7">
        <f>IFERROR(C18/10,0)</f>
        <v>0.3</v>
      </c>
      <c r="E18">
        <f>COUNTIFS(Q_CATGRIDr1_data,"Influencer",passes_workbook_filters_data,1,passes_workbook_custom_filters_data,1,All_Questions_passes_local_filters_data,1,All_Questions_Q_CATGRID_F_passes_per_q_filter_data,1)</f>
        <v>4</v>
      </c>
      <c r="F18" s="7">
        <f>IFERROR(E18/10,0)</f>
        <v>0.4</v>
      </c>
      <c r="G18">
        <f>COUNTIFS(Q_CATGRIDr1_data,"Decision maker",passes_workbook_filters_data,1,passes_workbook_custom_filters_data,1,All_Questions_passes_local_filters_data,1,All_Questions_Q_CATGRID_F_passes_per_q_filter_data,1)</f>
        <v>3</v>
      </c>
      <c r="H18" s="7">
        <f>IFERROR(G18/10,0)</f>
        <v>0.3</v>
      </c>
    </row>
    <row r="19">
      <c r="A19" s="14" t="inlineStr">
        <is>
          <t>Q_CATGRIDr2</t>
        </is>
      </c>
      <c r="B19" t="inlineStr">
        <is>
          <t>Security</t>
        </is>
      </c>
      <c r="C19">
        <f>COUNTIFS(Q_CATGRIDr2_data,"Not involved",passes_workbook_filters_data,1,passes_workbook_custom_filters_data,1,All_Questions_passes_local_filters_data,1,All_Questions_Q_CATGRID_F_passes_per_q_filter_data,1)</f>
        <v>4</v>
      </c>
      <c r="D19" s="7">
        <f>IFERROR(C19/10,0)</f>
        <v>0.4</v>
      </c>
      <c r="E19">
        <f>COUNTIFS(Q_CATGRIDr2_data,"Influencer",passes_workbook_filters_data,1,passes_workbook_custom_filters_data,1,All_Questions_passes_local_filters_data,1,All_Questions_Q_CATGRID_F_passes_per_q_filter_data,1)</f>
        <v>5</v>
      </c>
      <c r="F19" s="7">
        <f>IFERROR(E19/10,0)</f>
        <v>0.5</v>
      </c>
      <c r="G19">
        <f>COUNTIFS(Q_CATGRIDr2_data,"Decision maker",passes_workbook_filters_data,1,passes_workbook_custom_filters_data,1,All_Questions_passes_local_filters_data,1,All_Questions_Q_CATGRID_F_passes_per_q_filter_data,1)</f>
        <v>1</v>
      </c>
      <c r="H19" s="7">
        <f>IFERROR(G19/10,0)</f>
        <v>0.1</v>
      </c>
    </row>
    <row r="20">
      <c r="A20" s="14" t="inlineStr">
        <is>
          <t>Q_CATGRIDr3</t>
        </is>
      </c>
      <c r="B20" t="inlineStr">
        <is>
          <t>Human Resources</t>
        </is>
      </c>
      <c r="C20">
        <f>COUNTIFS(Q_CATGRIDr3_data,"Not involved",passes_workbook_filters_data,1,passes_workbook_custom_filters_data,1,All_Questions_passes_local_filters_data,1,All_Questions_Q_CATGRID_F_passes_per_q_filter_data,1)</f>
        <v>6</v>
      </c>
      <c r="D20" s="7">
        <f>IFERROR(C20/10,0)</f>
        <v>0.6</v>
      </c>
      <c r="E20">
        <f>COUNTIFS(Q_CATGRIDr3_data,"Influencer",passes_workbook_filters_data,1,passes_workbook_custom_filters_data,1,All_Questions_passes_local_filters_data,1,All_Questions_Q_CATGRID_F_passes_per_q_filter_data,1)</f>
        <v>2</v>
      </c>
      <c r="F20" s="7">
        <f>IFERROR(E20/10,0)</f>
        <v>0.2</v>
      </c>
      <c r="G20">
        <f>COUNTIFS(Q_CATGRIDr3_data,"Decision maker",passes_workbook_filters_data,1,passes_workbook_custom_filters_data,1,All_Questions_passes_local_filters_data,1,All_Questions_Q_CATGRID_F_passes_per_q_filter_data,1)</f>
        <v>2</v>
      </c>
      <c r="H20" s="7">
        <f>IFERROR(G20/10,0)</f>
        <v>0.2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E21" s="15" t="n"/>
      <c r="F21" s="15" t="n"/>
      <c r="G21" s="15" t="n"/>
      <c r="H21" s="15" t="n"/>
    </row>
    <row r="22">
      <c r="A22" s="4" t="inlineStr">
        <is>
          <t>Total responses</t>
        </is>
      </c>
      <c r="B22" s="4" t="n">
        <v>30</v>
      </c>
      <c r="C22" s="4" t="n"/>
      <c r="D22" s="4" t="n"/>
      <c r="E22" s="4" t="n"/>
      <c r="F22" s="4" t="n"/>
      <c r="G22" s="4" t="n"/>
      <c r="H22" s="4" t="n"/>
    </row>
  </sheetData>
  <mergeCells count="4">
    <mergeCell ref="G16:H16"/>
    <mergeCell ref="A1:J1"/>
    <mergeCell ref="E16:F16"/>
    <mergeCell ref="C16:D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2026-05-21T07:12:34Z</dcterms:created>
  <dcterms:modified xmlns:dcterms="http://purl.org/dc/terms/" xmlns:xsi="http://www.w3.org/2001/XMLSchema-instance" xsi:type="dcterms:W3CDTF">2026-05-21T07:12:36Z</dcterms:modified>
</cp:coreProperties>
</file>