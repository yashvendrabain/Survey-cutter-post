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1_resolved_criteria">'Filters'!$G$7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ustom2_resolved_criteria">'Filters'!$G$8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1_resolved_criteria">'Demographics'!$G$7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ustom2_resolved_criteria">'Demographics'!$G$9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resolved_criteria">'Demographics'!$H$14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1_resolved_criteria">'All Questions'!$G$7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ustom2_resolved_criteria">'All Questions'!$G$9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resolved_criteria">'All Questions'!$H$14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resolved_criteria">'All Questions'!$H$31</definedName>
    <definedName name="All_Questions_Q_NUM_EXPORT_F_passes_per_q_filter_data">'_RawData'!$T$2:$T$4</definedName>
    <definedName name="All_Questions_Q_NUM_EXPORT_CT">'All Questions'!$C$32</definedName>
    <definedName name="All_Questions_Q_GRID_EXPORT_F_Q">'All Questions'!$C$48</definedName>
    <definedName name="All_Questions_Q_GRID_EXPORT_F_V">'All Questions'!$E$48</definedName>
    <definedName name="All_Questions_Q_GRID_EXPORT_F_resolved_column">'All Questions'!$F$48</definedName>
    <definedName name="All_Questions_Q_GRID_EXPORT_F_wrapped">'All Questions'!$G$48</definedName>
    <definedName name="All_Questions_Q_GRID_EXPORT_F_resolved_criteria">'All Questions'!$H$48</definedName>
    <definedName name="All_Questions_Q_GRID_EXPORT_F_passes_per_q_filter_data">'_RawData'!$U$2:$U$4</definedName>
    <definedName name="All_Questions_Q_VERY_LONG_SINGLE_SELECT_EXPORT_NAME_F_Q">'All Questions'!$C$59</definedName>
    <definedName name="All_Questions_Q_VERY_LONG_SINGLE_SELECT_EXPORT_NAME_F_V">'All Questions'!$E$59</definedName>
    <definedName name="All_Questions_Q_VERY_LONG_SINGLE_SELECT_EXPORT_NAME_F_resolved_column">'All Questions'!$F$59</definedName>
    <definedName name="All_Questions_Q_VERY_LONG_SINGLE_SELECT_EXPORT_NAME_F_wrapped">'All Questions'!$G$59</definedName>
    <definedName name="All_Questions_Q_VERY_LONG_SINGLE_SELECT_EXPORT_NAME_F_resolved_criteria">'All Questions'!$H$59</definedName>
    <definedName name="All_Questions_Q_VERY_LONG_SINGLE_SELECT_EXPORT_NAME_F_passes_per_q_filter_data">'_RawData'!$V$2:$V$4</definedName>
    <definedName name="All_Questions_Q_VERY_LONG_SINGLE_SELECT_EXPORT_NAME_CT">'All Questions'!$C$60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G7" i="3"/>
  <c r="E8" i="3"/>
  <c r="F8" i="3"/>
  <c r="G8" i="3"/>
  <c r="C5" i="7"/>
  <c r="D5" i="7"/>
  <c r="C6" i="7"/>
  <c r="C7" i="7"/>
  <c r="D7" i="7"/>
  <c r="F7" i="7"/>
  <c r="G7" i="7"/>
  <c r="C8" i="7"/>
  <c r="C9" i="7"/>
  <c r="D9" i="7"/>
  <c r="F9" i="7"/>
  <c r="G9" i="7"/>
  <c r="F14" i="7"/>
  <c r="G14" i="7"/>
  <c r="H14" i="7"/>
  <c r="B18" i="7"/>
  <c r="C18" i="7"/>
  <c r="D18" i="7"/>
  <c r="B19" i="7"/>
  <c r="C19" i="7"/>
  <c r="D19" i="7"/>
  <c r="B22" i="7"/>
  <c r="C22" i="7"/>
  <c r="D22" i="7"/>
  <c r="E22" i="7"/>
  <c r="F22" i="7"/>
  <c r="G22" i="7"/>
  <c r="H22" i="7"/>
  <c r="I22" i="7"/>
  <c r="J22" i="7"/>
  <c r="K22" i="7"/>
  <c r="L22" i="7"/>
  <c r="M22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N26" i="7"/>
  <c r="C5" i="8"/>
  <c r="D5" i="8"/>
  <c r="C6" i="8"/>
  <c r="C7" i="8"/>
  <c r="D7" i="8"/>
  <c r="F7" i="8"/>
  <c r="G7" i="8"/>
  <c r="C8" i="8"/>
  <c r="C9" i="8"/>
  <c r="D9" i="8"/>
  <c r="F9" i="8"/>
  <c r="G9" i="8"/>
  <c r="F14" i="8"/>
  <c r="G14" i="8"/>
  <c r="H14" i="8"/>
  <c r="B18" i="8"/>
  <c r="C18" i="8"/>
  <c r="D18" i="8"/>
  <c r="B19" i="8"/>
  <c r="C19" i="8"/>
  <c r="D19" i="8"/>
  <c r="B23" i="8"/>
  <c r="C23" i="8"/>
  <c r="D23" i="8"/>
  <c r="E23" i="8"/>
  <c r="F23" i="8"/>
  <c r="G23" i="8"/>
  <c r="H23" i="8"/>
  <c r="I23" i="8"/>
  <c r="J23" i="8"/>
  <c r="K23" i="8"/>
  <c r="L23" i="8"/>
  <c r="M23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N27" i="8"/>
  <c r="F31" i="8"/>
  <c r="G31" i="8"/>
  <c r="H31" i="8"/>
  <c r="B35" i="8"/>
  <c r="D35" i="8"/>
  <c r="B36" i="8"/>
  <c r="D36" i="8"/>
  <c r="B37" i="8"/>
  <c r="D37" i="8"/>
  <c r="D38" i="8"/>
  <c r="B41" i="8"/>
  <c r="C41" i="8"/>
  <c r="D41" i="8"/>
  <c r="E41" i="8"/>
  <c r="F41" i="8"/>
  <c r="G41" i="8"/>
  <c r="H41" i="8"/>
  <c r="I41" i="8"/>
  <c r="J41" i="8"/>
  <c r="K41" i="8"/>
  <c r="L41" i="8"/>
  <c r="M41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N44" i="8"/>
  <c r="F48" i="8"/>
  <c r="G48" i="8"/>
  <c r="H48" i="8"/>
  <c r="C52" i="8"/>
  <c r="D52" i="8"/>
  <c r="E52" i="8"/>
  <c r="F52" i="8"/>
  <c r="C53" i="8"/>
  <c r="D53" i="8"/>
  <c r="E53" i="8"/>
  <c r="F53" i="8"/>
  <c r="F59" i="8"/>
  <c r="G59" i="8"/>
  <c r="H59" i="8"/>
  <c r="B63" i="8"/>
  <c r="C63" i="8"/>
  <c r="D63" i="8"/>
  <c r="B64" i="8"/>
  <c r="C64" i="8"/>
  <c r="D64" i="8"/>
  <c r="B67" i="8"/>
  <c r="C67" i="8"/>
  <c r="D67" i="8"/>
  <c r="E67" i="8"/>
  <c r="F67" i="8"/>
  <c r="G67" i="8"/>
  <c r="H67" i="8"/>
  <c r="I67" i="8"/>
  <c r="J67" i="8"/>
  <c r="K67" i="8"/>
  <c r="L67" i="8"/>
  <c r="M67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N71" i="8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2_1" displayName="T_All_Questions_62_1" ref="A62:D65" headerRowCount="1">
  <autoFilter ref="A62:D6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("|" &amp; SUBSTITUTE(Demographics_Q_SS_EXPORT_F_resolved_criteria, ", ", "|") &amp; "|"))),1,0),0))*1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("|" &amp; SUBSTITUTE(Demographics_Q_SS_EXPORT_F_resolved_criteria, ", ", "|") &amp; "|"))),1,0),0))*1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("|" &amp; SUBSTITUTE(Demographics_Q_SS_EXPORT_F_resolved_criteria, ", ", "|") &amp; "|"))),1,0),0))*1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'_RawData'!$A$2:$A$4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'_RawData'!$C$2:$C$4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'_RawData'!$B$2:$B$4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'_RawData'!$D$2:$D$4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'_Options'!$Y$2:$Y$4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'_RawData'!$H$2:$H$4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'_RawData'!$F$2:$F$4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'_RawData'!$F$2:$F$4</t>
        </is>
      </c>
      <c r="D5" t="inlineStr">
        <is>
          <t>'_Options'!$AA$2:$AA$6</t>
        </is>
      </c>
      <c r="M5" t="inlineStr">
        <is>
          <t>No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'_RawData'!$F$2:$F$4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'_RawData'!$H$2:$H$4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'_RawData'!$G$2:$G$4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'_RawData'!$G$2:$G$4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7" t="str">
        <f>"|" &amp; SUBSTITUTE(F_Custom1_V, ", ", "|") &amp; "|"</f>
        <v>|(All)|</v>
      </c>
      <c r="G7" t="str">
        <f>IFERROR(INDEX(All_Questions_Value_Criteria,MATCH(F_Custom1_Q&amp;"|"&amp;F_Custom1_V,All_Questions_Value_Keys,0)),F_Custom1_V)</f>
        <v>(All)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8" t="str">
        <f>"|" &amp; SUBSTITUTE(F_Custom2_V, ", ", "|") &amp; "|"</f>
        <v>|(All)|</v>
      </c>
      <c r="G8" t="str">
        <f>IFERROR(INDEX(All_Questions_Value_Criteria,MATCH(F_Custom2_Q&amp;"|"&amp;F_Custom2_V,All_Questions_Value_Keys,0)),F_Custom2_V)</f>
        <v>(All)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IFERROR(INDEX(All_Questions_Value_Data_Names,MATCH(Demographics_F_Custom1_Q_resolved&amp;"|"&amp;Demographics_F_Custom1_V_resolved,All_Questions_Value_Keys,0)),IFERROR(INDEX(All_Questions_Data_Names,MATCH(Demographics_F_Custom1_Q_resolved,All_Questions,0)),"'_RawData'!$A:$A"))</f>
        <v>respondent_id_data</v>
      </c>
      <c r="G7" t="str">
        <f>IFERROR(INDEX(All_Questions_Value_Criteria,MATCH(Demographics_F_Custom1_Q_resolved&amp;"|"&amp;Demographics_F_Custom1_V_resolved,All_Questions_Value_Keys,0)),Demographics_F_Custom1_V_resolved)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IFERROR(INDEX(All_Questions_Value_Data_Names,MATCH(Demographics_F_Custom2_Q_resolved&amp;"|"&amp;Demographics_F_Custom2_V_resolved,All_Questions_Value_Keys,0)),IFERROR(INDEX(All_Questions_Data_Names,MATCH(Demographics_F_Custom2_Q_resolved,All_Questions,0)),"'_RawData'!$A:$A"))</f>
        <v>respondent_id_data</v>
      </c>
      <c r="G9" t="str">
        <f>IFERROR(INDEX(All_Questions_Value_Criteria,MATCH(Demographics_F_Custom2_Q_resolved&amp;"|"&amp;Demographics_F_Custom2_V_resolved,All_Questions_Value_Keys,0)),Demographics_F_Custom2_V_resolved)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IFERROR(INDEX(All_Questions_Value_Data_Names,MATCH(Demographics_Q_SS_EXPORT_F_Q&amp;"|"&amp;Demographics_Q_SS_EXPORT_F_V,All_Questions_Value_Keys,0)),IFERROR(INDEX(All_Questions_Data_Names,MATCH(Demographics_Q_SS_EXPORT_F_Q,All_Questions,0)),"'_RawData'!$A:$A"))</f>
        <v>respondent_id_data</v>
      </c>
      <c r="G14" t="str">
        <f>"|" &amp; SUBSTITUTE(Demographics_Q_SS_EXPORT_F_V, ", ", "|") &amp; "|"</f>
        <v>|(All)|</v>
      </c>
      <c r="H14" t="str">
        <f>IFERROR(INDEX(All_Questions_Value_Criteria,MATCH(Demographics_Q_SS_EXPORT_F_Q&amp;"|"&amp;Demographics_Q_SS_EXPORT_F_V,All_Questions_Value_Keys,0)),Demographics_Q_SS_EXPORT_F_V)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/>
    <row r="22">
      <c r="A22" s="4" t="inlineStr">
        <is>
          <t>Option</t>
        </is>
      </c>
      <c r="B22" s="2" t="str">
        <f>IF(Demographics_Q_SS_EXPORT_CT="(None)","",IFERROR(INDEX(INDIRECT(IFERROR(INDEX(Cross_Tab_Questions_Options_Names,MATCH(Demographics_Q_SS_EXPORT_CT,Cross_Tab_Questions,0)),"'_Options'!$E$2:$E$2")),2),""))</f>
        <v/>
      </c>
      <c r="C22" s="2" t="str">
        <f>IF(Demographics_Q_SS_EXPORT_CT="(None)","",IFERROR(INDEX(INDIRECT(IFERROR(INDEX(Cross_Tab_Questions_Options_Names,MATCH(Demographics_Q_SS_EXPORT_CT,Cross_Tab_Questions,0)),"'_Options'!$E$2:$E$2")),3),""))</f>
        <v/>
      </c>
      <c r="D22" s="2" t="str">
        <f>IF(Demographics_Q_SS_EXPORT_CT="(None)","",IFERROR(INDEX(INDIRECT(IFERROR(INDEX(Cross_Tab_Questions_Options_Names,MATCH(Demographics_Q_SS_EXPORT_CT,Cross_Tab_Questions,0)),"'_Options'!$E$2:$E$2")),4),""))</f>
        <v/>
      </c>
      <c r="E22" s="2" t="str">
        <f>IF(Demographics_Q_SS_EXPORT_CT="(None)","",IFERROR(INDEX(INDIRECT(IFERROR(INDEX(Cross_Tab_Questions_Options_Names,MATCH(Demographics_Q_SS_EXPORT_CT,Cross_Tab_Questions,0)),"'_Options'!$E$2:$E$2")),5),""))</f>
        <v/>
      </c>
      <c r="F22" s="2" t="str">
        <f>IF(Demographics_Q_SS_EXPORT_CT="(None)","",IFERROR(INDEX(INDIRECT(IFERROR(INDEX(Cross_Tab_Questions_Options_Names,MATCH(Demographics_Q_SS_EXPORT_CT,Cross_Tab_Questions,0)),"'_Options'!$E$2:$E$2")),6),""))</f>
        <v/>
      </c>
      <c r="G22" s="2" t="str">
        <f>IF(Demographics_Q_SS_EXPORT_CT="(None)","",IFERROR(INDEX(INDIRECT(IFERROR(INDEX(Cross_Tab_Questions_Options_Names,MATCH(Demographics_Q_SS_EXPORT_CT,Cross_Tab_Questions,0)),"'_Options'!$E$2:$E$2")),7),""))</f>
        <v/>
      </c>
      <c r="H22" s="2" t="str">
        <f>IF(Demographics_Q_SS_EXPORT_CT="(None)","",IFERROR(INDEX(INDIRECT(IFERROR(INDEX(Cross_Tab_Questions_Options_Names,MATCH(Demographics_Q_SS_EXPORT_CT,Cross_Tab_Questions,0)),"'_Options'!$E$2:$E$2")),8),""))</f>
        <v/>
      </c>
      <c r="I22" s="2" t="str">
        <f>IF(Demographics_Q_SS_EXPORT_CT="(None)","",IFERROR(INDEX(INDIRECT(IFERROR(INDEX(Cross_Tab_Questions_Options_Names,MATCH(Demographics_Q_SS_EXPORT_CT,Cross_Tab_Questions,0)),"'_Options'!$E$2:$E$2")),9),""))</f>
        <v/>
      </c>
      <c r="J22" s="2" t="str">
        <f>IF(Demographics_Q_SS_EXPORT_CT="(None)","",IFERROR(INDEX(INDIRECT(IFERROR(INDEX(Cross_Tab_Questions_Options_Names,MATCH(Demographics_Q_SS_EXPORT_CT,Cross_Tab_Questions,0)),"'_Options'!$E$2:$E$2")),10),""))</f>
        <v/>
      </c>
      <c r="K22" s="2" t="str">
        <f>IF(Demographics_Q_SS_EXPORT_CT="(None)","",IFERROR(INDEX(INDIRECT(IFERROR(INDEX(Cross_Tab_Questions_Options_Names,MATCH(Demographics_Q_SS_EXPORT_CT,Cross_Tab_Questions,0)),"'_Options'!$E$2:$E$2")),11),""))</f>
        <v/>
      </c>
      <c r="L22" s="2" t="str">
        <f>IF(Demographics_Q_SS_EXPORT_CT="(None)","",IFERROR(INDEX(INDIRECT(IFERROR(INDEX(Cross_Tab_Questions_Options_Names,MATCH(Demographics_Q_SS_EXPORT_CT,Cross_Tab_Questions,0)),"'_Options'!$E$2:$E$2")),12),""))</f>
        <v/>
      </c>
      <c r="M22" s="2" t="str">
        <f>IF(Demographics_Q_SS_EXPORT_CT="(None)","",IF(COUNTA(INDIRECT(IFERROR(INDEX(Cross_Tab_Questions_Options_Names,MATCH(Demographics_Q_SS_EXPORT_CT,Cross_Tab_Questions,0)),"'_Options'!$E$2:$E$2")))-1&gt;11,"Other",IFERROR(INDEX(INDIRECT(IFERROR(INDEX(Cross_Tab_Questions_Options_Names,MATCH(Demographics_Q_SS_EXPORT_CT,Cross_Tab_Questions,0)),"'_Options'!$E$2:$E$2")),13),"")))</f>
        <v/>
      </c>
      <c r="N22" s="4" t="inlineStr">
        <is>
          <t>Total</t>
        </is>
      </c>
    </row>
    <row r="23">
      <c r="A23" s="4" t="inlineStr"/>
      <c r="B23" s="4" t="inlineStr">
        <is>
          <t># of resp</t>
        </is>
      </c>
      <c r="C23" s="4" t="inlineStr">
        <is>
          <t># of resp</t>
        </is>
      </c>
      <c r="D23" s="4" t="inlineStr">
        <is>
          <t># of resp</t>
        </is>
      </c>
      <c r="E23" s="4" t="inlineStr">
        <is>
          <t># of resp</t>
        </is>
      </c>
      <c r="F23" s="4" t="inlineStr">
        <is>
          <t># of resp</t>
        </is>
      </c>
      <c r="G23" s="4" t="inlineStr">
        <is>
          <t># of resp</t>
        </is>
      </c>
      <c r="H23" s="4" t="inlineStr">
        <is>
          <t># of resp</t>
        </is>
      </c>
      <c r="I23" s="4" t="inlineStr">
        <is>
          <t># of resp</t>
        </is>
      </c>
      <c r="J23" s="4" t="inlineStr">
        <is>
          <t># of resp</t>
        </is>
      </c>
      <c r="K23" s="4" t="inlineStr">
        <is>
          <t># of resp</t>
        </is>
      </c>
      <c r="L23" s="4" t="inlineStr">
        <is>
          <t># of resp</t>
        </is>
      </c>
      <c r="M23" s="4" t="inlineStr">
        <is>
          <t># of resp</t>
        </is>
      </c>
      <c r="N23" s="4" t="inlineStr">
        <is>
          <t># of resp</t>
        </is>
      </c>
    </row>
    <row r="24">
      <c r="A24" t="inlineStr">
        <is>
          <t>Yes</t>
        </is>
      </c>
      <c r="B24" s="14">
        <f>IF(OR(Demographics_Q_SS_EXPORT_CT="(None)",B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4" s="14">
        <f>IF(OR(Demographics_Q_SS_EXPORT_CT="(None)",C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4" s="14">
        <f>IF(OR(Demographics_Q_SS_EXPORT_CT="(None)",D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4" s="14">
        <f>IF(OR(Demographics_Q_SS_EXPORT_CT="(None)",E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4" s="14">
        <f>IF(OR(Demographics_Q_SS_EXPORT_CT="(None)",F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4" s="14">
        <f>IF(OR(Demographics_Q_SS_EXPORT_CT="(None)",G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4" s="14">
        <f>IF(OR(Demographics_Q_SS_EXPORT_CT="(None)",H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4" s="14">
        <f>IF(OR(Demographics_Q_SS_EXPORT_CT="(None)",I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4" s="14">
        <f>IF(OR(Demographics_Q_SS_EXPORT_CT="(None)",J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4" s="14">
        <f>IF(OR(Demographics_Q_SS_EXPORT_CT="(None)",K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4" s="14">
        <f>IF(OR(Demographics_Q_SS_EXPORT_CT="(None)",L$22=""),""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4" s="14">
        <f>IF(OR(Demographics_Q_SS_EXPORT_CT="(None)",M$22=""),"",IF(M$22="Other",COUNTIFS(Q_SS_EXPORT_data,"Yes",passes_workbook_filters_data,1,passes_workbook_custom_filters_data,1,Demographics_passes_local_filters_data,1,Demographics_Q_SS_EXPORT_F_passes_per_q_filter_data,1)-SUM(B24,C24,D24,E24,F24,G24,H24,I24,J24,K24,L24),COUNTIFS(Q_SS_EXPORT_data,"Yes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4" s="14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5">
      <c r="A25" t="inlineStr">
        <is>
          <t>No</t>
        </is>
      </c>
      <c r="B25" s="14">
        <f>IF(OR(Demographics_Q_SS_EXPORT_CT="(None)",B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B$22))</f>
        <v>0</v>
      </c>
      <c r="C25" s="14">
        <f>IF(OR(Demographics_Q_SS_EXPORT_CT="(None)",C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C$22))</f>
        <v>0</v>
      </c>
      <c r="D25" s="14">
        <f>IF(OR(Demographics_Q_SS_EXPORT_CT="(None)",D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D$22))</f>
        <v>0</v>
      </c>
      <c r="E25" s="14">
        <f>IF(OR(Demographics_Q_SS_EXPORT_CT="(None)",E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E$22))</f>
        <v>0</v>
      </c>
      <c r="F25" s="14">
        <f>IF(OR(Demographics_Q_SS_EXPORT_CT="(None)",F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F$22))</f>
        <v>0</v>
      </c>
      <c r="G25" s="14">
        <f>IF(OR(Demographics_Q_SS_EXPORT_CT="(None)",G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G$22))</f>
        <v>0</v>
      </c>
      <c r="H25" s="14">
        <f>IF(OR(Demographics_Q_SS_EXPORT_CT="(None)",H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H$22))</f>
        <v>0</v>
      </c>
      <c r="I25" s="14">
        <f>IF(OR(Demographics_Q_SS_EXPORT_CT="(None)",I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I$22))</f>
        <v>0</v>
      </c>
      <c r="J25" s="14">
        <f>IF(OR(Demographics_Q_SS_EXPORT_CT="(None)",J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J$22))</f>
        <v>0</v>
      </c>
      <c r="K25" s="14">
        <f>IF(OR(Demographics_Q_SS_EXPORT_CT="(None)",K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K$22))</f>
        <v>0</v>
      </c>
      <c r="L25" s="14">
        <f>IF(OR(Demographics_Q_SS_EXPORT_CT="(None)",L$22=""),""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L$22))</f>
        <v>0</v>
      </c>
      <c r="M25" s="14">
        <f>IF(OR(Demographics_Q_SS_EXPORT_CT="(None)",M$22=""),"",IF(M$22="Other",COUNTIFS(Q_SS_EXPORT_data,"No",passes_workbook_filters_data,1,passes_workbook_custom_filters_data,1,Demographics_passes_local_filters_data,1,Demographics_Q_SS_EXPORT_F_passes_per_q_filter_data,1)-SUM(B25,C25,D25,E25,F25,G25,H25,I25,J25,K25,L25),COUNTIFS(Q_SS_EXPORT_data,"No",passes_workbook_filters_data,1,passes_workbook_custom_filters_data,1,Demographics_passes_local_filters_data,1,Demographics_Q_SS_EXPORT_F_passes_per_q_filter_data,1,INDIRECT(IFERROR(INDEX(Cross_Tab_Questions_Data_Names,MATCH(Demographics_Q_SS_EXPORT_CT,Cross_Tab_Questions,0)),"'_RawData'!$A:$A")),M$22)))</f>
        <v>0</v>
      </c>
      <c r="N25" s="14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6">
      <c r="A26" s="4" t="inlineStr">
        <is>
          <t>Total respondents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4:B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4:C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4:D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4:E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4:F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4:G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4:H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4:I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4:J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4:K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4:L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4:M2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7" t="str">
        <f>IFERROR(INDEX(All_Questions_Value_Criteria,MATCH(All_Questions_F_Custom1_Q_resolved&amp;"|"&amp;All_Questions_F_Custom1_V_resolved,All_Questions_Value_Keys,0)),All_Questions_F_Custom1_V_resolved)</f>
        <v>(All)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9" t="str">
        <f>IFERROR(INDEX(All_Questions_Value_Criteria,MATCH(All_Questions_F_Custom2_Q_resolved&amp;"|"&amp;All_Questions_F_Custom2_V_resolved,All_Questions_Value_Keys,0)),All_Questions_F_Custom2_V_resolved)</f>
        <v>(All)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14" t="str">
        <f>"|" &amp; SUBSTITUTE(All_Questions_Q_MS_EXPORT_F_V, ", ", "|") &amp; "|"</f>
        <v>|(All)|</v>
      </c>
      <c r="H14" t="str">
        <f>IFERROR(INDEX(All_Questions_Value_Criteria,MATCH(All_Questions_Q_MS_EXPORT_F_Q&amp;"|"&amp;All_Questions_Q_MS_EXPORT_F_V,All_Questions_Value_Keys,0)),All_Questions_Q_MS_EXPORT_F_V)</f>
        <v>(All)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  <row r="21">
      <c r="A21" s="4" t="inlineStr">
        <is>
          <t>Total responses</t>
        </is>
      </c>
      <c r="B21" s="4" t="n">
        <v>7</v>
      </c>
      <c r="C21" s="4" t="n"/>
      <c r="D21" s="4" t="n"/>
    </row>
    <row r="22"/>
    <row r="23">
      <c r="A23" s="4" t="inlineStr">
        <is>
          <t>Option</t>
        </is>
      </c>
      <c r="B23" s="2" t="str">
        <f>IF(All_Questions_Q_MS_EXPORT_CT="(None)","",IFERROR(INDEX(INDIRECT(IFERROR(INDEX(Cross_Tab_Questions_Options_Names,MATCH(All_Questions_Q_MS_EXPORT_CT,Cross_Tab_Questions,0)),"'_Options'!$E$2:$E$2")),2),""))</f>
        <v/>
      </c>
      <c r="C23" s="2" t="str">
        <f>IF(All_Questions_Q_MS_EXPORT_CT="(None)","",IFERROR(INDEX(INDIRECT(IFERROR(INDEX(Cross_Tab_Questions_Options_Names,MATCH(All_Questions_Q_MS_EXPORT_CT,Cross_Tab_Questions,0)),"'_Options'!$E$2:$E$2")),3),""))</f>
        <v/>
      </c>
      <c r="D23" s="2" t="str">
        <f>IF(All_Questions_Q_MS_EXPORT_CT="(None)","",IFERROR(INDEX(INDIRECT(IFERROR(INDEX(Cross_Tab_Questions_Options_Names,MATCH(All_Questions_Q_MS_EXPORT_CT,Cross_Tab_Questions,0)),"'_Options'!$E$2:$E$2")),4),""))</f>
        <v/>
      </c>
      <c r="E23" s="2" t="str">
        <f>IF(All_Questions_Q_MS_EXPORT_CT="(None)","",IFERROR(INDEX(INDIRECT(IFERROR(INDEX(Cross_Tab_Questions_Options_Names,MATCH(All_Questions_Q_MS_EXPORT_CT,Cross_Tab_Questions,0)),"'_Options'!$E$2:$E$2")),5),""))</f>
        <v/>
      </c>
      <c r="F23" s="2" t="str">
        <f>IF(All_Questions_Q_MS_EXPORT_CT="(None)","",IFERROR(INDEX(INDIRECT(IFERROR(INDEX(Cross_Tab_Questions_Options_Names,MATCH(All_Questions_Q_MS_EXPORT_CT,Cross_Tab_Questions,0)),"'_Options'!$E$2:$E$2")),6),""))</f>
        <v/>
      </c>
      <c r="G23" s="2" t="str">
        <f>IF(All_Questions_Q_MS_EXPORT_CT="(None)","",IFERROR(INDEX(INDIRECT(IFERROR(INDEX(Cross_Tab_Questions_Options_Names,MATCH(All_Questions_Q_MS_EXPORT_CT,Cross_Tab_Questions,0)),"'_Options'!$E$2:$E$2")),7),""))</f>
        <v/>
      </c>
      <c r="H23" s="2" t="str">
        <f>IF(All_Questions_Q_MS_EXPORT_CT="(None)","",IFERROR(INDEX(INDIRECT(IFERROR(INDEX(Cross_Tab_Questions_Options_Names,MATCH(All_Questions_Q_MS_EXPORT_CT,Cross_Tab_Questions,0)),"'_Options'!$E$2:$E$2")),8),""))</f>
        <v/>
      </c>
      <c r="I23" s="2" t="str">
        <f>IF(All_Questions_Q_MS_EXPORT_CT="(None)","",IFERROR(INDEX(INDIRECT(IFERROR(INDEX(Cross_Tab_Questions_Options_Names,MATCH(All_Questions_Q_MS_EXPORT_CT,Cross_Tab_Questions,0)),"'_Options'!$E$2:$E$2")),9),""))</f>
        <v/>
      </c>
      <c r="J23" s="2" t="str">
        <f>IF(All_Questions_Q_MS_EXPORT_CT="(None)","",IFERROR(INDEX(INDIRECT(IFERROR(INDEX(Cross_Tab_Questions_Options_Names,MATCH(All_Questions_Q_MS_EXPORT_CT,Cross_Tab_Questions,0)),"'_Options'!$E$2:$E$2")),10),""))</f>
        <v/>
      </c>
      <c r="K23" s="2" t="str">
        <f>IF(All_Questions_Q_MS_EXPORT_CT="(None)","",IFERROR(INDEX(INDIRECT(IFERROR(INDEX(Cross_Tab_Questions_Options_Names,MATCH(All_Questions_Q_MS_EXPORT_CT,Cross_Tab_Questions,0)),"'_Options'!$E$2:$E$2")),11),""))</f>
        <v/>
      </c>
      <c r="L23" s="2" t="str">
        <f>IF(All_Questions_Q_MS_EXPORT_CT="(None)","",IFERROR(INDEX(INDIRECT(IFERROR(INDEX(Cross_Tab_Questions_Options_Names,MATCH(All_Questions_Q_MS_EXPORT_CT,Cross_Tab_Questions,0)),"'_Options'!$E$2:$E$2")),12),""))</f>
        <v/>
      </c>
      <c r="M23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23" s="4" t="inlineStr">
        <is>
          <t>Total</t>
        </is>
      </c>
    </row>
    <row r="24">
      <c r="A24" s="4" t="inlineStr"/>
      <c r="B24" s="4" t="inlineStr">
        <is>
          <t>% selected</t>
        </is>
      </c>
      <c r="C24" s="4" t="inlineStr">
        <is>
          <t>% selected</t>
        </is>
      </c>
      <c r="D24" s="4" t="inlineStr">
        <is>
          <t>% selected</t>
        </is>
      </c>
      <c r="E24" s="4" t="inlineStr">
        <is>
          <t>% selected</t>
        </is>
      </c>
      <c r="F24" s="4" t="inlineStr">
        <is>
          <t>% selected</t>
        </is>
      </c>
      <c r="G24" s="4" t="inlineStr">
        <is>
          <t>% selected</t>
        </is>
      </c>
      <c r="H24" s="4" t="inlineStr">
        <is>
          <t>% selected</t>
        </is>
      </c>
      <c r="I24" s="4" t="inlineStr">
        <is>
          <t>% selected</t>
        </is>
      </c>
      <c r="J24" s="4" t="inlineStr">
        <is>
          <t>% selected</t>
        </is>
      </c>
      <c r="K24" s="4" t="inlineStr">
        <is>
          <t>% selected</t>
        </is>
      </c>
      <c r="L24" s="4" t="inlineStr">
        <is>
          <t>% selected</t>
        </is>
      </c>
      <c r="M24" s="4" t="inlineStr">
        <is>
          <t>% selected</t>
        </is>
      </c>
      <c r="N24" s="4" t="inlineStr">
        <is>
          <t>% selected</t>
        </is>
      </c>
    </row>
    <row r="25">
      <c r="A25" t="inlineStr">
        <is>
          <t>First</t>
        </is>
      </c>
      <c r="B25" s="7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0.5</v>
      </c>
      <c r="C25" s="7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0.5</v>
      </c>
      <c r="D25" s="7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0.5</v>
      </c>
      <c r="E25" s="7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0.5</v>
      </c>
      <c r="F25" s="7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0.5</v>
      </c>
      <c r="G25" s="7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0.5</v>
      </c>
      <c r="H25" s="7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0.5</v>
      </c>
      <c r="I25" s="7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0.5</v>
      </c>
      <c r="J25" s="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0.5</v>
      </c>
      <c r="K25" s="7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0.5</v>
      </c>
      <c r="L25" s="7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0.5</v>
      </c>
      <c r="M25" s="7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0.5</v>
      </c>
      <c r="N25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26">
      <c r="A26" t="inlineStr">
        <is>
          <t>Second</t>
        </is>
      </c>
      <c r="B26" s="7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0.2</v>
      </c>
      <c r="C26" s="7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0.2</v>
      </c>
      <c r="D26" s="7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0.2</v>
      </c>
      <c r="E26" s="7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0.2</v>
      </c>
      <c r="F26" s="7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0.2</v>
      </c>
      <c r="G26" s="7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0.2</v>
      </c>
      <c r="H26" s="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0.2</v>
      </c>
      <c r="I26" s="7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0.2</v>
      </c>
      <c r="J26" s="7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0.2</v>
      </c>
      <c r="K26" s="7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0.2</v>
      </c>
      <c r="L26" s="7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0.2</v>
      </c>
      <c r="M26" s="7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0.2</v>
      </c>
      <c r="N26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27">
      <c r="A27" s="4" t="inlineStr">
        <is>
          <t>Total respondents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8"/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1" t="str">
        <f>"|" &amp; SUBSTITUTE(All_Questions_Q_NUM_EXPORT_F_V, ", ", "|") &amp; "|"</f>
        <v>|(All)|</v>
      </c>
      <c r="H31" t="str">
        <f>IFERROR(INDEX(All_Questions_Value_Criteria,MATCH(All_Questions_Q_NUM_EXPORT_F_Q&amp;"|"&amp;All_Questions_Q_NUM_EXPORT_F_V,All_Questions_Value_Keys,0)),All_Questions_Q_NUM_EXPORT_F_V)</f>
        <v>(All)</v>
      </c>
    </row>
    <row r="32">
      <c r="A32" s="13" t="inlineStr">
        <is>
          <t>Cross-tab by</t>
        </is>
      </c>
      <c r="C32" t="inlineStr">
        <is>
          <t>(None)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 s="1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 s="16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s="16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Median</t>
        </is>
      </c>
      <c r="B39" s="16" t="n">
        <v>5.5</v>
      </c>
      <c r="C39" t="inlineStr">
        <is>
          <t>static baseline</t>
        </is>
      </c>
      <c r="D39" s="14" t="n">
        <v>10</v>
      </c>
    </row>
    <row r="40"/>
    <row r="41">
      <c r="A41" s="4" t="inlineStr">
        <is>
          <t>Option</t>
        </is>
      </c>
      <c r="B41" s="2" t="str">
        <f>IF(All_Questions_Q_NUM_EXPORT_CT="(None)","",IFERROR(INDEX(INDIRECT(IFERROR(INDEX(Cross_Tab_Questions_Options_Names,MATCH(All_Questions_Q_NUM_EXPORT_CT,Cross_Tab_Questions,0)),"'_Options'!$E$2:$E$2")),2),""))</f>
        <v/>
      </c>
      <c r="C41" s="2" t="str">
        <f>IF(All_Questions_Q_NUM_EXPORT_CT="(None)","",IFERROR(INDEX(INDIRECT(IFERROR(INDEX(Cross_Tab_Questions_Options_Names,MATCH(All_Questions_Q_NUM_EXPORT_CT,Cross_Tab_Questions,0)),"'_Options'!$E$2:$E$2")),3),""))</f>
        <v/>
      </c>
      <c r="D41" s="2" t="str">
        <f>IF(All_Questions_Q_NUM_EXPORT_CT="(None)","",IFERROR(INDEX(INDIRECT(IFERROR(INDEX(Cross_Tab_Questions_Options_Names,MATCH(All_Questions_Q_NUM_EXPORT_CT,Cross_Tab_Questions,0)),"'_Options'!$E$2:$E$2")),4),""))</f>
        <v/>
      </c>
      <c r="E41" s="2" t="str">
        <f>IF(All_Questions_Q_NUM_EXPORT_CT="(None)","",IFERROR(INDEX(INDIRECT(IFERROR(INDEX(Cross_Tab_Questions_Options_Names,MATCH(All_Questions_Q_NUM_EXPORT_CT,Cross_Tab_Questions,0)),"'_Options'!$E$2:$E$2")),5),""))</f>
        <v/>
      </c>
      <c r="F41" s="2" t="str">
        <f>IF(All_Questions_Q_NUM_EXPORT_CT="(None)","",IFERROR(INDEX(INDIRECT(IFERROR(INDEX(Cross_Tab_Questions_Options_Names,MATCH(All_Questions_Q_NUM_EXPORT_CT,Cross_Tab_Questions,0)),"'_Options'!$E$2:$E$2")),6),""))</f>
        <v/>
      </c>
      <c r="G41" s="2" t="str">
        <f>IF(All_Questions_Q_NUM_EXPORT_CT="(None)","",IFERROR(INDEX(INDIRECT(IFERROR(INDEX(Cross_Tab_Questions_Options_Names,MATCH(All_Questions_Q_NUM_EXPORT_CT,Cross_Tab_Questions,0)),"'_Options'!$E$2:$E$2")),7),""))</f>
        <v/>
      </c>
      <c r="H41" s="2" t="str">
        <f>IF(All_Questions_Q_NUM_EXPORT_CT="(None)","",IFERROR(INDEX(INDIRECT(IFERROR(INDEX(Cross_Tab_Questions_Options_Names,MATCH(All_Questions_Q_NUM_EXPORT_CT,Cross_Tab_Questions,0)),"'_Options'!$E$2:$E$2")),8),""))</f>
        <v/>
      </c>
      <c r="I41" s="2" t="str">
        <f>IF(All_Questions_Q_NUM_EXPORT_CT="(None)","",IFERROR(INDEX(INDIRECT(IFERROR(INDEX(Cross_Tab_Questions_Options_Names,MATCH(All_Questions_Q_NUM_EXPORT_CT,Cross_Tab_Questions,0)),"'_Options'!$E$2:$E$2")),9),""))</f>
        <v/>
      </c>
      <c r="J41" s="2" t="str">
        <f>IF(All_Questions_Q_NUM_EXPORT_CT="(None)","",IFERROR(INDEX(INDIRECT(IFERROR(INDEX(Cross_Tab_Questions_Options_Names,MATCH(All_Questions_Q_NUM_EXPORT_CT,Cross_Tab_Questions,0)),"'_Options'!$E$2:$E$2")),10),""))</f>
        <v/>
      </c>
      <c r="K41" s="2" t="str">
        <f>IF(All_Questions_Q_NUM_EXPORT_CT="(None)","",IFERROR(INDEX(INDIRECT(IFERROR(INDEX(Cross_Tab_Questions_Options_Names,MATCH(All_Questions_Q_NUM_EXPORT_CT,Cross_Tab_Questions,0)),"'_Options'!$E$2:$E$2")),11),""))</f>
        <v/>
      </c>
      <c r="L41" s="2" t="str">
        <f>IF(All_Questions_Q_NUM_EXPORT_CT="(None)","",IFERROR(INDEX(INDIRECT(IFERROR(INDEX(Cross_Tab_Questions_Options_Names,MATCH(All_Questions_Q_NUM_EXPORT_CT,Cross_Tab_Questions,0)),"'_Options'!$E$2:$E$2")),12),""))</f>
        <v/>
      </c>
      <c r="M41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41" s="4" t="inlineStr">
        <is>
          <t>Total</t>
        </is>
      </c>
    </row>
    <row r="42">
      <c r="A42" s="4" t="inlineStr"/>
      <c r="B42" s="4" t="inlineStr">
        <is>
          <t>Mean</t>
        </is>
      </c>
      <c r="C42" s="4" t="inlineStr">
        <is>
          <t>Mean</t>
        </is>
      </c>
      <c r="D42" s="4" t="inlineStr">
        <is>
          <t>Mean</t>
        </is>
      </c>
      <c r="E42" s="4" t="inlineStr">
        <is>
          <t>Mean</t>
        </is>
      </c>
      <c r="F42" s="4" t="inlineStr">
        <is>
          <t>Mean</t>
        </is>
      </c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</row>
    <row r="43">
      <c r="A43" t="inlineStr">
        <is>
          <t>Numeric export question</t>
        </is>
      </c>
      <c r="B43" s="16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5.5</v>
      </c>
      <c r="C43" s="16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5.5</v>
      </c>
      <c r="D43" s="16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5.5</v>
      </c>
      <c r="E43" s="1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5.5</v>
      </c>
      <c r="F43" s="16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5.5</v>
      </c>
      <c r="G43" s="16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5.5</v>
      </c>
      <c r="H43" s="16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5.5</v>
      </c>
      <c r="I43" s="16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5.5</v>
      </c>
      <c r="J43" s="16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5.5</v>
      </c>
      <c r="K43" s="16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5.5</v>
      </c>
      <c r="L43" s="16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5.5</v>
      </c>
      <c r="M43" s="16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5.5</v>
      </c>
      <c r="N43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4">
      <c r="A44" s="4" t="inlineStr">
        <is>
          <t>Total respondents</t>
        </is>
      </c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Q_GRID_EXPORT - Grid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48" t="str">
        <f>"|" &amp; SUBSTITUTE(All_Questions_Q_GRID_EXPORT_F_V, ", ", "|") &amp; "|"</f>
        <v>|(All)|</v>
      </c>
      <c r="H48" t="str">
        <f>IFERROR(INDEX(All_Questions_Value_Criteria,MATCH(All_Questions_Q_GRID_EXPORT_F_Q&amp;"|"&amp;All_Questions_Q_GRID_EXPORT_F_V,All_Questions_Value_Keys,0)),All_Questions_Q_GRID_EXPORT_F_V)</f>
        <v>(All)</v>
      </c>
    </row>
    <row r="49"/>
    <row r="50">
      <c r="A50" s="4" t="inlineStr">
        <is>
          <t>Sub-question ID</t>
        </is>
      </c>
      <c r="B50" s="4" t="inlineStr">
        <is>
          <t>Sub-question</t>
        </is>
      </c>
      <c r="C50" s="4" t="inlineStr">
        <is>
          <t>High</t>
        </is>
      </c>
      <c r="D50" s="2" t="n"/>
      <c r="E50" s="4" t="inlineStr">
        <is>
          <t>Low</t>
        </is>
      </c>
      <c r="F50" s="2" t="n"/>
    </row>
    <row r="51">
      <c r="A51" s="2" t="inlineStr"/>
      <c r="B51" s="2" t="inlineStr"/>
      <c r="C51" s="4" t="inlineStr">
        <is>
          <t>Count</t>
        </is>
      </c>
      <c r="D51" s="4" t="inlineStr">
        <is>
          <t>%</t>
        </is>
      </c>
      <c r="E51" s="4" t="inlineStr">
        <is>
          <t>Count</t>
        </is>
      </c>
      <c r="F51" s="4" t="inlineStr">
        <is>
          <t>%</t>
        </is>
      </c>
    </row>
    <row r="52">
      <c r="A52" s="17" t="inlineStr">
        <is>
          <t>Q_GRID_EXPORTr1</t>
        </is>
      </c>
      <c r="B52" t="inlineStr">
        <is>
          <t>Grid first row</t>
        </is>
      </c>
      <c r="C52">
        <f>COUNTIFS(Q_GRID_EXPORTr1_data,"High",passes_workbook_filters_data,1,passes_workbook_custom_filters_data,1,All_Questions_passes_local_filters_data,1,All_Questions_Q_GRID_EXPORT_F_passes_per_q_filter_data,1)</f>
        <v>6</v>
      </c>
      <c r="D52" s="7">
        <f>IFERROR(C52/10,0)</f>
        <v>0.6</v>
      </c>
      <c r="E52">
        <f>COUNTIFS(Q_GRID_EXPORTr1_data,"Low",passes_workbook_filters_data,1,passes_workbook_custom_filters_data,1,All_Questions_passes_local_filters_data,1,All_Questions_Q_GRID_EXPORT_F_passes_per_q_filter_data,1)</f>
        <v>4</v>
      </c>
      <c r="F52" s="7">
        <f>IFERROR(E52/10,0)</f>
        <v>0.4</v>
      </c>
    </row>
    <row r="53">
      <c r="A53" s="17" t="inlineStr">
        <is>
          <t>Q_GRID_EXPORTr2</t>
        </is>
      </c>
      <c r="B53" t="inlineStr">
        <is>
          <t>Grid second row</t>
        </is>
      </c>
      <c r="C53">
        <f>COUNTIFS(Q_GRID_EXPORTr2_data,"High",passes_workbook_filters_data,1,passes_workbook_custom_filters_data,1,All_Questions_passes_local_filters_data,1,All_Questions_Q_GRID_EXPORT_F_passes_per_q_filter_data,1)</f>
        <v>5</v>
      </c>
      <c r="D53" s="7">
        <f>IFERROR(C53/10,0)</f>
        <v>0.5</v>
      </c>
      <c r="E53">
        <f>COUNTIFS(Q_GRID_EXPORTr2_data,"Low",passes_workbook_filters_data,1,passes_workbook_custom_filters_data,1,All_Questions_passes_local_filters_data,1,All_Questions_Q_GRID_EXPORT_F_passes_per_q_filter_data,1)</f>
        <v>5</v>
      </c>
      <c r="F53" s="7">
        <f>IFERROR(E53/10,0)</f>
        <v>0.5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E54" s="15" t="n"/>
      <c r="F54" s="15" t="n"/>
    </row>
    <row r="55">
      <c r="A55" s="4" t="inlineStr">
        <is>
          <t>Total responses</t>
        </is>
      </c>
      <c r="B55" s="4" t="n">
        <v>20</v>
      </c>
      <c r="C55" s="4" t="n"/>
      <c r="D55" s="4" t="n"/>
      <c r="E55" s="4" t="n"/>
      <c r="F55" s="4" t="n"/>
    </row>
    <row r="56"/>
    <row r="57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A58" s="12" t="inlineStr">
        <is>
          <t>Q_VERY_LONG_SINGLE_SELECT_EXPORT_NAME - Long sheet name export question</t>
        </is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</row>
    <row r="59">
      <c r="A59" s="13" t="inlineStr">
        <is>
          <t>Per-question filter</t>
        </is>
      </c>
      <c r="B59" t="inlineStr">
        <is>
          <t>Filter Q</t>
        </is>
      </c>
      <c r="C59" t="inlineStr">
        <is>
          <t>(None)</t>
        </is>
      </c>
      <c r="D59" t="inlineStr">
        <is>
          <t>Value</t>
        </is>
      </c>
      <c r="E59" t="inlineStr">
        <is>
          <t>(All)</t>
        </is>
      </c>
      <c r="F59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59" t="str">
        <f>"|" &amp; SUBSTITUTE(All_Questions_Q_VERY_LONG_SINGLE_SELECT_EXPORT_NAME_F_V, ", ", "|") &amp; "|"</f>
        <v>|(All)|</v>
      </c>
      <c r="H59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60">
      <c r="A60" s="13" t="inlineStr">
        <is>
          <t>Cross-tab by</t>
        </is>
      </c>
      <c r="C60" t="inlineStr">
        <is>
          <t>(None)</t>
        </is>
      </c>
    </row>
    <row r="61"/>
    <row r="62">
      <c r="A62" s="4" t="inlineStr">
        <is>
          <t>Option</t>
        </is>
      </c>
      <c r="B62" s="4" t="inlineStr">
        <is>
          <t>Count</t>
        </is>
      </c>
      <c r="C62" s="4" t="inlineStr">
        <is>
          <t>%</t>
        </is>
      </c>
      <c r="D62" s="4" t="inlineStr">
        <is>
          <t>Denominator</t>
        </is>
      </c>
    </row>
    <row r="63">
      <c r="A63" t="inlineStr">
        <is>
          <t>A</t>
        </is>
      </c>
      <c r="B6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3" s="7">
        <f>IFERROR(B63/SUBTOTAL(9,B63:B64),0)</f>
        <v>0.7</v>
      </c>
      <c r="D63" s="14">
        <f>SUBTOTAL(9,B63:B64)</f>
        <v>10</v>
      </c>
    </row>
    <row r="64">
      <c r="A64" t="inlineStr">
        <is>
          <t>B</t>
        </is>
      </c>
      <c r="B6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4" s="7">
        <f>IFERROR(B64/SUBTOTAL(9,B63:B64),0)</f>
        <v>0.3</v>
      </c>
      <c r="D64" s="14">
        <f>SUBTOTAL(9,B63:B64)</f>
        <v>10</v>
      </c>
    </row>
    <row r="65">
      <c r="A65" s="15" t="inlineStr">
        <is>
          <t>Total respondents</t>
        </is>
      </c>
      <c r="B65" s="15" t="n">
        <v>10</v>
      </c>
      <c r="C65" s="15" t="n"/>
      <c r="D65" s="15" t="n"/>
    </row>
    <row r="66"/>
    <row r="67">
      <c r="A67" s="4" t="inlineStr">
        <is>
          <t>Option</t>
        </is>
      </c>
      <c r="B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67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67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67" s="4" t="inlineStr">
        <is>
          <t>Total</t>
        </is>
      </c>
    </row>
    <row r="68">
      <c r="A68" s="4" t="inlineStr"/>
      <c r="B68" s="4" t="inlineStr">
        <is>
          <t># of resp</t>
        </is>
      </c>
      <c r="C68" s="4" t="inlineStr">
        <is>
          <t># of resp</t>
        </is>
      </c>
      <c r="D68" s="4" t="inlineStr">
        <is>
          <t># of resp</t>
        </is>
      </c>
      <c r="E68" s="4" t="inlineStr">
        <is>
          <t># of resp</t>
        </is>
      </c>
      <c r="F68" s="4" t="inlineStr">
        <is>
          <t># of resp</t>
        </is>
      </c>
      <c r="G68" s="4" t="inlineStr">
        <is>
          <t># of resp</t>
        </is>
      </c>
      <c r="H68" s="4" t="inlineStr">
        <is>
          <t># of resp</t>
        </is>
      </c>
      <c r="I68" s="4" t="inlineStr">
        <is>
          <t># of resp</t>
        </is>
      </c>
      <c r="J68" s="4" t="inlineStr">
        <is>
          <t># of resp</t>
        </is>
      </c>
      <c r="K68" s="4" t="inlineStr">
        <is>
          <t># of resp</t>
        </is>
      </c>
      <c r="L68" s="4" t="inlineStr">
        <is>
          <t># of resp</t>
        </is>
      </c>
      <c r="M68" s="4" t="inlineStr">
        <is>
          <t># of resp</t>
        </is>
      </c>
      <c r="N68" s="4" t="inlineStr">
        <is>
          <t># of resp</t>
        </is>
      </c>
    </row>
    <row r="69">
      <c r="A69" t="inlineStr">
        <is>
          <t>A</t>
        </is>
      </c>
      <c r="B69" s="14">
        <f>IF(OR(All_Questions_Q_VERY_LONG_SINGLE_SELECT_EXPORT_NAME_CT="(None)",B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69" s="14">
        <f>IF(OR(All_Questions_Q_VERY_LONG_SINGLE_SELECT_EXPORT_NAME_CT="(None)",C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69" s="14">
        <f>IF(OR(All_Questions_Q_VERY_LONG_SINGLE_SELECT_EXPORT_NAME_CT="(None)",D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69" s="14">
        <f>IF(OR(All_Questions_Q_VERY_LONG_SINGLE_SELECT_EXPORT_NAME_CT="(None)",E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69" s="14">
        <f>IF(OR(All_Questions_Q_VERY_LONG_SINGLE_SELECT_EXPORT_NAME_CT="(None)",F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69" s="14">
        <f>IF(OR(All_Questions_Q_VERY_LONG_SINGLE_SELECT_EXPORT_NAME_CT="(None)",G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69" s="14">
        <f>IF(OR(All_Questions_Q_VERY_LONG_SINGLE_SELECT_EXPORT_NAME_CT="(None)",H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69" s="14">
        <f>IF(OR(All_Questions_Q_VERY_LONG_SINGLE_SELECT_EXPORT_NAME_CT="(None)",I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69" s="14">
        <f>IF(OR(All_Questions_Q_VERY_LONG_SINGLE_SELECT_EXPORT_NAME_CT="(None)",J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69" s="14">
        <f>IF(OR(All_Questions_Q_VERY_LONG_SINGLE_SELECT_EXPORT_NAME_CT="(None)",K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69" s="14">
        <f>IF(OR(All_Questions_Q_VERY_LONG_SINGLE_SELECT_EXPORT_NAME_CT="(None)",L$67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69" s="14">
        <f>IF(OR(All_Questions_Q_VERY_LONG_SINGLE_SELECT_EXPORT_NAME_CT="(None)",M$67=""),"",IF(M$67="Other",COUNTIFS(Q_VERY_LONG_SINGLE_SELECT_EXPOR_data,"A",passes_workbook_filters_data,1,passes_workbook_custom_filters_data,1,All_Questions_passes_local_filters_data,1,All_Questions_Q_VERY_LONG_SINGLE_SELECT_EXPORT_NAME_F_passes_per_q_filter_data,1)-SUM(B69,C69,D69,E69,F69,G69,H69,I69,J69,K69,L69)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69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0">
      <c r="A70" t="inlineStr">
        <is>
          <t>B</t>
        </is>
      </c>
      <c r="B70" s="14">
        <f>IF(OR(All_Questions_Q_VERY_LONG_SINGLE_SELECT_EXPORT_NAME_CT="(None)",B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$67))</f>
        <v>0</v>
      </c>
      <c r="C70" s="14">
        <f>IF(OR(All_Questions_Q_VERY_LONG_SINGLE_SELECT_EXPORT_NAME_CT="(None)",C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$67))</f>
        <v>0</v>
      </c>
      <c r="D70" s="14">
        <f>IF(OR(All_Questions_Q_VERY_LONG_SINGLE_SELECT_EXPORT_NAME_CT="(None)",D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$67))</f>
        <v>0</v>
      </c>
      <c r="E70" s="14">
        <f>IF(OR(All_Questions_Q_VERY_LONG_SINGLE_SELECT_EXPORT_NAME_CT="(None)",E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$67))</f>
        <v>0</v>
      </c>
      <c r="F70" s="14">
        <f>IF(OR(All_Questions_Q_VERY_LONG_SINGLE_SELECT_EXPORT_NAME_CT="(None)",F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$67))</f>
        <v>0</v>
      </c>
      <c r="G70" s="14">
        <f>IF(OR(All_Questions_Q_VERY_LONG_SINGLE_SELECT_EXPORT_NAME_CT="(None)",G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$67))</f>
        <v>0</v>
      </c>
      <c r="H70" s="14">
        <f>IF(OR(All_Questions_Q_VERY_LONG_SINGLE_SELECT_EXPORT_NAME_CT="(None)",H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$67))</f>
        <v>0</v>
      </c>
      <c r="I70" s="14">
        <f>IF(OR(All_Questions_Q_VERY_LONG_SINGLE_SELECT_EXPORT_NAME_CT="(None)",I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$67))</f>
        <v>0</v>
      </c>
      <c r="J70" s="14">
        <f>IF(OR(All_Questions_Q_VERY_LONG_SINGLE_SELECT_EXPORT_NAME_CT="(None)",J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$67))</f>
        <v>0</v>
      </c>
      <c r="K70" s="14">
        <f>IF(OR(All_Questions_Q_VERY_LONG_SINGLE_SELECT_EXPORT_NAME_CT="(None)",K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$67))</f>
        <v>0</v>
      </c>
      <c r="L70" s="14">
        <f>IF(OR(All_Questions_Q_VERY_LONG_SINGLE_SELECT_EXPORT_NAME_CT="(None)",L$67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$67))</f>
        <v>0</v>
      </c>
      <c r="M70" s="14">
        <f>IF(OR(All_Questions_Q_VERY_LONG_SINGLE_SELECT_EXPORT_NAME_CT="(None)",M$67=""),"",IF(M$67="Other",COUNTIFS(Q_VERY_LONG_SINGLE_SELECT_EXPOR_data,"B",passes_workbook_filters_data,1,passes_workbook_custom_filters_data,1,All_Questions_passes_local_filters_data,1,All_Questions_Q_VERY_LONG_SINGLE_SELECT_EXPORT_NAME_F_passes_per_q_filter_data,1)-SUM(B70,C70,D70,E70,F70,G70,H70,I70,J70,K70,L70)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$67)))</f>
        <v>0</v>
      </c>
      <c r="N70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1">
      <c r="A71" s="4" t="inlineStr">
        <is>
          <t>Total respondents</t>
        </is>
      </c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0:D50"/>
    <mergeCell ref="A1:J1"/>
    <mergeCell ref="E50:F5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5:B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5:C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5:D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5:E26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5:F26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6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6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6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6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6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6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6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2:D5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2:F5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3:B64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3:C64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9:B70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9:C70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9:D70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69:E70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9:F70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9:G70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9:H70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9:I70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9:J70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9:K70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9:L70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9:M70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6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=Cross_Tab_Questions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2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9" showDropDown="0" showInputMessage="0" showErrorMessage="0" allowBlank="1" type="list">
      <formula1>=All_Questions</formula1>
    </dataValidation>
    <dataValidation sqref="E5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60" showDropDown="0" showInputMessage="0" showErrorMessage="0" allowBlank="1" type="list">
      <formula1>=Cross_Tab_Questions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B$23</t>
        </is>
      </c>
      <c r="H9">
        <f>IF(OR(All_Questions_Q_MS_EXPORT_CT="(None)",B$23=""),"",IF(B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9" t="n">
        <v>0.5</v>
      </c>
      <c r="J9" t="n">
        <v>0</v>
      </c>
      <c r="K9" t="n">
        <v>0</v>
      </c>
      <c r="L9" t="inlineStr">
        <is>
          <t>2026-06-09T11:30:19.228108+00:00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C$23</t>
        </is>
      </c>
      <c r="H10">
        <f>IF(OR(All_Questions_Q_MS_EXPORT_CT="(None)",C$23=""),"",IF(C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10" t="n">
        <v>0.5</v>
      </c>
      <c r="J10" t="n">
        <v>0</v>
      </c>
      <c r="K10" t="n">
        <v>0</v>
      </c>
      <c r="L10" t="inlineStr">
        <is>
          <t>2026-06-09T11:30:19.228167+00:00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D$23</t>
        </is>
      </c>
      <c r="H11">
        <f>IF(OR(All_Questions_Q_MS_EXPORT_CT="(None)",D$23=""),"",IF(D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11" t="n">
        <v>0.5</v>
      </c>
      <c r="J11" t="n">
        <v>0</v>
      </c>
      <c r="K11" t="n">
        <v>0</v>
      </c>
      <c r="L11" t="inlineStr">
        <is>
          <t>2026-06-09T11:30:19.228210+00:00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E$23</t>
        </is>
      </c>
      <c r="H12">
        <f>IF(OR(All_Questions_Q_MS_EXPORT_CT="(None)",E$23=""),"",IF(E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12" t="n">
        <v>0.5</v>
      </c>
      <c r="J12" t="n">
        <v>0</v>
      </c>
      <c r="K12" t="n">
        <v>0</v>
      </c>
      <c r="L12" t="inlineStr">
        <is>
          <t>2026-06-09T11:30:19.228251+00:00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F$23</t>
        </is>
      </c>
      <c r="H13">
        <f>IF(OR(All_Questions_Q_MS_EXPORT_CT="(None)",F$23=""),"",IF(F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13" t="n">
        <v>0.5</v>
      </c>
      <c r="J13" t="n">
        <v>0</v>
      </c>
      <c r="K13" t="n">
        <v>0</v>
      </c>
      <c r="L13" t="inlineStr">
        <is>
          <t>2026-06-09T11:30:19.228290+00:00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G$23</t>
        </is>
      </c>
      <c r="H14">
        <f>IF(OR(All_Questions_Q_MS_EXPORT_CT="(None)",G$23=""),"",IF(G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14" t="n">
        <v>0.5</v>
      </c>
      <c r="J14" t="n">
        <v>0</v>
      </c>
      <c r="K14" t="n">
        <v>0</v>
      </c>
      <c r="L14" t="inlineStr">
        <is>
          <t>2026-06-09T11:30:19.228328+00:00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H$23</t>
        </is>
      </c>
      <c r="H15">
        <f>IF(OR(All_Questions_Q_MS_EXPORT_CT="(None)",H$23=""),"",IF(H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15" t="n">
        <v>0.5</v>
      </c>
      <c r="J15" t="n">
        <v>0</v>
      </c>
      <c r="K15" t="n">
        <v>0</v>
      </c>
      <c r="L15" t="inlineStr">
        <is>
          <t>2026-06-09T11:30:19.228366+00:00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I$23</t>
        </is>
      </c>
      <c r="H16">
        <f>IF(OR(All_Questions_Q_MS_EXPORT_CT="(None)",I$23=""),"",IF(I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16" t="n">
        <v>0.5</v>
      </c>
      <c r="J16" t="n">
        <v>0</v>
      </c>
      <c r="K16" t="n">
        <v>0</v>
      </c>
      <c r="L16" t="inlineStr">
        <is>
          <t>2026-06-09T11:30:19.228404+00:00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J$23</t>
        </is>
      </c>
      <c r="H17">
        <f>IF(OR(All_Questions_Q_MS_EXPORT_CT="(None)",J$23=""),"",IF(J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17" t="n">
        <v>0.5</v>
      </c>
      <c r="J17" t="n">
        <v>0</v>
      </c>
      <c r="K17" t="n">
        <v>0</v>
      </c>
      <c r="L17" t="inlineStr">
        <is>
          <t>2026-06-09T11:30:19.228441+00:00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K$23</t>
        </is>
      </c>
      <c r="H18">
        <f>IF(OR(All_Questions_Q_MS_EXPORT_CT="(None)",K$23=""),"",IF(K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18" t="n">
        <v>0.5</v>
      </c>
      <c r="J18" t="n">
        <v>0</v>
      </c>
      <c r="K18" t="n">
        <v>0</v>
      </c>
      <c r="L18" t="inlineStr">
        <is>
          <t>2026-06-09T11:30:19.228479+00:00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L$23</t>
        </is>
      </c>
      <c r="H19">
        <f>IF(OR(All_Questions_Q_MS_EXPORT_CT="(None)",L$23=""),"",IF(L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19" t="n">
        <v>0.5</v>
      </c>
      <c r="J19" t="n">
        <v>0</v>
      </c>
      <c r="K19" t="n">
        <v>0</v>
      </c>
      <c r="L19" t="inlineStr">
        <is>
          <t>2026-06-09T11:30:19.228516+00:00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M$23</t>
        </is>
      </c>
      <c r="H20">
        <f>IF(OR(All_Questions_Q_MS_EXPORT_CT="(None)",M$23=""),"",IF(M$23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20" t="n">
        <v>0.5</v>
      </c>
      <c r="J20" t="n">
        <v>0</v>
      </c>
      <c r="K20" t="n">
        <v>0</v>
      </c>
      <c r="L20" t="inlineStr">
        <is>
          <t>2026-06-09T11:30:19.228564+00:00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B$23</t>
        </is>
      </c>
      <c r="H21">
        <f>IF(OR(All_Questions_Q_MS_EXPORT_CT="(None)",B$23=""),"",IF(B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$23)),"")))</f>
        <v>0</v>
      </c>
      <c r="I21" t="n">
        <v>0.2</v>
      </c>
      <c r="J21" t="n">
        <v>0</v>
      </c>
      <c r="K21" t="n">
        <v>0</v>
      </c>
      <c r="L21" t="inlineStr">
        <is>
          <t>2026-06-09T11:30:19.228639+00:00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C$23</t>
        </is>
      </c>
      <c r="H22">
        <f>IF(OR(All_Questions_Q_MS_EXPORT_CT="(None)",C$23=""),"",IF(C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$23)),"")))</f>
        <v>0</v>
      </c>
      <c r="I22" t="n">
        <v>0.2</v>
      </c>
      <c r="J22" t="n">
        <v>0</v>
      </c>
      <c r="K22" t="n">
        <v>0</v>
      </c>
      <c r="L22" t="inlineStr">
        <is>
          <t>2026-06-09T11:30:19.228678+00:00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D$23</t>
        </is>
      </c>
      <c r="H23">
        <f>IF(OR(All_Questions_Q_MS_EXPORT_CT="(None)",D$23=""),"",IF(D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$23)),"")))</f>
        <v>0</v>
      </c>
      <c r="I23" t="n">
        <v>0.2</v>
      </c>
      <c r="J23" t="n">
        <v>0</v>
      </c>
      <c r="K23" t="n">
        <v>0</v>
      </c>
      <c r="L23" t="inlineStr">
        <is>
          <t>2026-06-09T11:30:19.228716+00:00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E$23</t>
        </is>
      </c>
      <c r="H24">
        <f>IF(OR(All_Questions_Q_MS_EXPORT_CT="(None)",E$23=""),"",IF(E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$23)),"")))</f>
        <v>0</v>
      </c>
      <c r="I24" t="n">
        <v>0.2</v>
      </c>
      <c r="J24" t="n">
        <v>0</v>
      </c>
      <c r="K24" t="n">
        <v>0</v>
      </c>
      <c r="L24" t="inlineStr">
        <is>
          <t>2026-06-09T11:30:19.228755+00:00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F$23</t>
        </is>
      </c>
      <c r="H25">
        <f>IF(OR(All_Questions_Q_MS_EXPORT_CT="(None)",F$23=""),"",IF(F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$23)),"")))</f>
        <v>0</v>
      </c>
      <c r="I25" t="n">
        <v>0.2</v>
      </c>
      <c r="J25" t="n">
        <v>0</v>
      </c>
      <c r="K25" t="n">
        <v>0</v>
      </c>
      <c r="L25" t="inlineStr">
        <is>
          <t>2026-06-09T11:30:19.228794+00:00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G$23</t>
        </is>
      </c>
      <c r="H26">
        <f>IF(OR(All_Questions_Q_MS_EXPORT_CT="(None)",G$23=""),"",IF(G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$23)),"")))</f>
        <v>0</v>
      </c>
      <c r="I26" t="n">
        <v>0.2</v>
      </c>
      <c r="J26" t="n">
        <v>0</v>
      </c>
      <c r="K26" t="n">
        <v>0</v>
      </c>
      <c r="L26" t="inlineStr">
        <is>
          <t>2026-06-09T11:30:19.228833+00:00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H$23</t>
        </is>
      </c>
      <c r="H27">
        <f>IF(OR(All_Questions_Q_MS_EXPORT_CT="(None)",H$23=""),"",IF(H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$23)),"")))</f>
        <v>0</v>
      </c>
      <c r="I27" t="n">
        <v>0.2</v>
      </c>
      <c r="J27" t="n">
        <v>0</v>
      </c>
      <c r="K27" t="n">
        <v>0</v>
      </c>
      <c r="L27" t="inlineStr">
        <is>
          <t>2026-06-09T11:30:19.228871+00:00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I$23</t>
        </is>
      </c>
      <c r="H28">
        <f>IF(OR(All_Questions_Q_MS_EXPORT_CT="(None)",I$23=""),"",IF(I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$23)),"")))</f>
        <v>0</v>
      </c>
      <c r="I28" t="n">
        <v>0.2</v>
      </c>
      <c r="J28" t="n">
        <v>0</v>
      </c>
      <c r="K28" t="n">
        <v>0</v>
      </c>
      <c r="L28" t="inlineStr">
        <is>
          <t>2026-06-09T11:30:19.228907+00:00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J$23</t>
        </is>
      </c>
      <c r="H29">
        <f>IF(OR(All_Questions_Q_MS_EXPORT_CT="(None)",J$23=""),"",IF(J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$23)),"")))</f>
        <v>0</v>
      </c>
      <c r="I29" t="n">
        <v>0.2</v>
      </c>
      <c r="J29" t="n">
        <v>0</v>
      </c>
      <c r="K29" t="n">
        <v>0</v>
      </c>
      <c r="L29" t="inlineStr">
        <is>
          <t>2026-06-09T11:30:19.228998+00:00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K$23</t>
        </is>
      </c>
      <c r="H30">
        <f>IF(OR(All_Questions_Q_MS_EXPORT_CT="(None)",K$23=""),"",IF(K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$23)),"")))</f>
        <v>0</v>
      </c>
      <c r="I30" t="n">
        <v>0.2</v>
      </c>
      <c r="J30" t="n">
        <v>0</v>
      </c>
      <c r="K30" t="n">
        <v>0</v>
      </c>
      <c r="L30" t="inlineStr">
        <is>
          <t>2026-06-09T11:30:19.229044+00:00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L$23</t>
        </is>
      </c>
      <c r="H31">
        <f>IF(OR(All_Questions_Q_MS_EXPORT_CT="(None)",L$23=""),"",IF(L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$23)),"")))</f>
        <v>0</v>
      </c>
      <c r="I31" t="n">
        <v>0.2</v>
      </c>
      <c r="J31" t="n">
        <v>0</v>
      </c>
      <c r="K31" t="n">
        <v>0</v>
      </c>
      <c r="L31" t="inlineStr">
        <is>
          <t>2026-06-09T11:30:19.229086+00:00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M$23</t>
        </is>
      </c>
      <c r="H32">
        <f>IF(OR(All_Questions_Q_MS_EXPORT_CT="(None)",M$23=""),"",IF(M$23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$23)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$23)),"")))</f>
        <v>0</v>
      </c>
      <c r="I32" t="n">
        <v>0.2</v>
      </c>
      <c r="J32" t="n">
        <v>0</v>
      </c>
      <c r="K32" t="n">
        <v>0</v>
      </c>
      <c r="L32" t="inlineStr">
        <is>
          <t>2026-06-09T11:30:19.229136+00:00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B$41</t>
        </is>
      </c>
      <c r="H33">
        <f>IF(OR(All_Questions_Q_NUM_EXPORT_CT="(None)",B$41=""),"",IF(B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$41),"")))</f>
        <v>0</v>
      </c>
      <c r="I33" t="n">
        <v>5.5</v>
      </c>
      <c r="J33" t="n">
        <v>0</v>
      </c>
      <c r="K33" t="n">
        <v>0</v>
      </c>
      <c r="L33" t="inlineStr">
        <is>
          <t>2026-06-09T11:30:19.233698+00:00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C$41</t>
        </is>
      </c>
      <c r="H34">
        <f>IF(OR(All_Questions_Q_NUM_EXPORT_CT="(None)",C$41=""),"",IF(C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$41),"")))</f>
        <v>0</v>
      </c>
      <c r="I34" t="n">
        <v>5.5</v>
      </c>
      <c r="J34" t="n">
        <v>0</v>
      </c>
      <c r="K34" t="n">
        <v>0</v>
      </c>
      <c r="L34" t="inlineStr">
        <is>
          <t>2026-06-09T11:30:19.233737+00:00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D$41</t>
        </is>
      </c>
      <c r="H35">
        <f>IF(OR(All_Questions_Q_NUM_EXPORT_CT="(None)",D$41=""),"",IF(D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$41),"")))</f>
        <v>0</v>
      </c>
      <c r="I35" t="n">
        <v>5.5</v>
      </c>
      <c r="J35" t="n">
        <v>0</v>
      </c>
      <c r="K35" t="n">
        <v>0</v>
      </c>
      <c r="L35" t="inlineStr">
        <is>
          <t>2026-06-09T11:30:19.233766+00:00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E$41</t>
        </is>
      </c>
      <c r="H36">
        <f>IF(OR(All_Questions_Q_NUM_EXPORT_CT="(None)",E$41=""),"",IF(E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$41),"")))</f>
        <v>0</v>
      </c>
      <c r="I36" t="n">
        <v>5.5</v>
      </c>
      <c r="J36" t="n">
        <v>0</v>
      </c>
      <c r="K36" t="n">
        <v>0</v>
      </c>
      <c r="L36" t="inlineStr">
        <is>
          <t>2026-06-09T11:30:19.233794+00:00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F$41</t>
        </is>
      </c>
      <c r="H37">
        <f>IF(OR(All_Questions_Q_NUM_EXPORT_CT="(None)",F$41=""),"",IF(F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$41),"")))</f>
        <v>0</v>
      </c>
      <c r="I37" t="n">
        <v>5.5</v>
      </c>
      <c r="J37" t="n">
        <v>0</v>
      </c>
      <c r="K37" t="n">
        <v>0</v>
      </c>
      <c r="L37" t="inlineStr">
        <is>
          <t>2026-06-09T11:30:19.233819+00:00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G$41</t>
        </is>
      </c>
      <c r="H38">
        <f>IF(OR(All_Questions_Q_NUM_EXPORT_CT="(None)",G$41=""),"",IF(G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$41),"")))</f>
        <v>0</v>
      </c>
      <c r="I38" t="n">
        <v>5.5</v>
      </c>
      <c r="J38" t="n">
        <v>0</v>
      </c>
      <c r="K38" t="n">
        <v>0</v>
      </c>
      <c r="L38" t="inlineStr">
        <is>
          <t>2026-06-09T11:30:19.233845+00:00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H$41</t>
        </is>
      </c>
      <c r="H39">
        <f>IF(OR(All_Questions_Q_NUM_EXPORT_CT="(None)",H$41=""),"",IF(H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$41),"")))</f>
        <v>0</v>
      </c>
      <c r="I39" t="n">
        <v>5.5</v>
      </c>
      <c r="J39" t="n">
        <v>0</v>
      </c>
      <c r="K39" t="n">
        <v>0</v>
      </c>
      <c r="L39" t="inlineStr">
        <is>
          <t>2026-06-09T11:30:19.233870+00:00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I$41</t>
        </is>
      </c>
      <c r="H40">
        <f>IF(OR(All_Questions_Q_NUM_EXPORT_CT="(None)",I$41=""),"",IF(I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$41),"")))</f>
        <v>0</v>
      </c>
      <c r="I40" t="n">
        <v>5.5</v>
      </c>
      <c r="J40" t="n">
        <v>0</v>
      </c>
      <c r="K40" t="n">
        <v>0</v>
      </c>
      <c r="L40" t="inlineStr">
        <is>
          <t>2026-06-09T11:30:19.233895+00:00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J$41</t>
        </is>
      </c>
      <c r="H41">
        <f>IF(OR(All_Questions_Q_NUM_EXPORT_CT="(None)",J$41=""),"",IF(J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$41),"")))</f>
        <v>0</v>
      </c>
      <c r="I41" t="n">
        <v>5.5</v>
      </c>
      <c r="J41" t="n">
        <v>0</v>
      </c>
      <c r="K41" t="n">
        <v>0</v>
      </c>
      <c r="L41" t="inlineStr">
        <is>
          <t>2026-06-09T11:30:19.233919+00:00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K$41</t>
        </is>
      </c>
      <c r="H42">
        <f>IF(OR(All_Questions_Q_NUM_EXPORT_CT="(None)",K$41=""),"",IF(K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$41),"")))</f>
        <v>0</v>
      </c>
      <c r="I42" t="n">
        <v>5.5</v>
      </c>
      <c r="J42" t="n">
        <v>0</v>
      </c>
      <c r="K42" t="n">
        <v>0</v>
      </c>
      <c r="L42" t="inlineStr">
        <is>
          <t>2026-06-09T11:30:19.234022+00:00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L$41</t>
        </is>
      </c>
      <c r="H43">
        <f>IF(OR(All_Questions_Q_NUM_EXPORT_CT="(None)",L$41=""),"",IF(L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$41),"")))</f>
        <v>0</v>
      </c>
      <c r="I43" t="n">
        <v>5.5</v>
      </c>
      <c r="J43" t="n">
        <v>0</v>
      </c>
      <c r="K43" t="n">
        <v>0</v>
      </c>
      <c r="L43" t="inlineStr">
        <is>
          <t>2026-06-09T11:30:19.234054+00:00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M$41</t>
        </is>
      </c>
      <c r="H44">
        <f>IF(OR(All_Questions_Q_NUM_EXPORT_CT="(None)",M$41=""),"",IF(M$41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$41),"")))</f>
        <v>0</v>
      </c>
      <c r="I44" t="n">
        <v>5.5</v>
      </c>
      <c r="J44" t="n">
        <v>0</v>
      </c>
      <c r="K44" t="n">
        <v>0</v>
      </c>
      <c r="L44" t="inlineStr">
        <is>
          <t>2026-06-09T11:30:19.234091+00:00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2026-06-09T11:30:19Z</dcterms:created>
  <dcterms:modified xmlns:dcterms="http://purl.org/dc/terms/" xmlns:xsi="http://www.w3.org/2001/XMLSchema-instance" xsi:type="dcterms:W3CDTF">2026-06-09T11:30:19Z</dcterms:modified>
</cp:coreProperties>
</file>