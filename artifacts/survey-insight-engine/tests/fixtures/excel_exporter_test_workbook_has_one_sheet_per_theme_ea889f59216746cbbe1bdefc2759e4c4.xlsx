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resolved_criteria">'Theme One'!$H$24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resolved_criteria">'All Questions'!$H$31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H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4" t="str">
        <f>"|" &amp; SUBSTITUTE(Theme_One_Q_MS_EXPORT_F_V, ", ", "|") &amp; "|"</f>
        <v>|(All)|</v>
      </c>
      <c r="H24" t="str">
        <f>IFERROR(INDEX(All_Questions_Value_Criteria,MATCH(Theme_One_Q_MS_EXPORT_F_Q&amp;"|"&amp;Theme_One_Q_MS_EXPORT_F_V,All_Questions_Value_Keys,0)),Theme_One_Q_MS_EXPORT_F_V)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IF(Theme_One_Q_MS_EXPORT_CT="(None)","",IFERROR(INDEX(INDIRECT(IFERROR(INDEX(Cross_Tab_Questions_Options_Names,MATCH(Theme_One_Q_MS_EXPORT_CT,Cross_Tab_Questions,0)),"'_Options'!$E$2:$E$2")),2),""))</f>
        <v/>
      </c>
      <c r="H27" s="2" t="str">
        <f>IF(Theme_One_Q_MS_EXPORT_CT="(None)","",IFERROR(INDEX(INDIRECT(IFERROR(INDEX(Cross_Tab_Questions_Options_Names,MATCH(Theme_One_Q_MS_EXPORT_CT,Cross_Tab_Questions,0)),"'_Options'!$E$2:$E$2")),3),""))</f>
        <v/>
      </c>
      <c r="I27" s="2" t="str">
        <f>IF(Theme_One_Q_MS_EXPORT_CT="(None)","",IFERROR(INDEX(INDIRECT(IFERROR(INDEX(Cross_Tab_Questions_Options_Names,MATCH(Theme_One_Q_MS_EXPORT_CT,Cross_Tab_Questions,0)),"'_Options'!$E$2:$E$2")),4),""))</f>
        <v/>
      </c>
      <c r="J27" s="2" t="str">
        <f>IF(Theme_One_Q_MS_EXPORT_CT="(None)","",IFERROR(INDEX(INDIRECT(IFERROR(INDEX(Cross_Tab_Questions_Options_Names,MATCH(Theme_One_Q_MS_EXPORT_CT,Cross_Tab_Questions,0)),"'_Options'!$E$2:$E$2")),5),""))</f>
        <v/>
      </c>
      <c r="K27" s="2" t="str">
        <f>IF(Theme_One_Q_MS_EXPORT_CT="(None)","",IFERROR(INDEX(INDIRECT(IFERROR(INDEX(Cross_Tab_Questions_Options_Names,MATCH(Theme_One_Q_MS_EXPORT_CT,Cross_Tab_Questions,0)),"'_Options'!$E$2:$E$2")),6),""))</f>
        <v/>
      </c>
      <c r="L27" s="2" t="str">
        <f>IF(Theme_One_Q_MS_EXPORT_CT="(None)","",IFERROR(INDEX(INDIRECT(IFERROR(INDEX(Cross_Tab_Questions_Options_Names,MATCH(Theme_One_Q_MS_EXPORT_CT,Cross_Tab_Questions,0)),"'_Options'!$E$2:$E$2")),7),""))</f>
        <v/>
      </c>
      <c r="M27" s="2" t="str">
        <f>IF(Theme_One_Q_MS_EXPORT_CT="(None)","",IFERROR(INDEX(INDIRECT(IFERROR(INDEX(Cross_Tab_Questions_Options_Names,MATCH(Theme_One_Q_MS_EXPORT_CT,Cross_Tab_Questions,0)),"'_Options'!$E$2:$E$2")),8),""))</f>
        <v/>
      </c>
      <c r="N27" s="2" t="str">
        <f>IF(Theme_One_Q_MS_EXPORT_CT="(None)","",IFERROR(INDEX(INDIRECT(IFERROR(INDEX(Cross_Tab_Questions_Options_Names,MATCH(Theme_One_Q_MS_EXPORT_CT,Cross_Tab_Questions,0)),"'_Options'!$E$2:$E$2")),9),""))</f>
        <v/>
      </c>
      <c r="O27" s="2" t="str">
        <f>IF(Theme_One_Q_MS_EXPORT_CT="(None)","",IFERROR(INDEX(INDIRECT(IFERROR(INDEX(Cross_Tab_Questions_Options_Names,MATCH(Theme_One_Q_MS_EXPORT_CT,Cross_Tab_Questions,0)),"'_Options'!$E$2:$E$2")),10),""))</f>
        <v/>
      </c>
      <c r="P27" s="2" t="str">
        <f>IF(Theme_One_Q_MS_EXPORT_CT="(None)","",IFERROR(INDEX(INDIRECT(IFERROR(INDEX(Cross_Tab_Questions_Options_Names,MATCH(Theme_One_Q_MS_EXPORT_CT,Cross_Tab_Questions,0)),"'_Options'!$E$2:$E$2")),11),""))</f>
        <v/>
      </c>
      <c r="Q27" s="2" t="str">
        <f>IF(Theme_One_Q_MS_EXPORT_CT="(None)","",IFERROR(INDEX(INDIRECT(IFERROR(INDEX(Cross_Tab_Questions_Options_Names,MATCH(Theme_One_Q_MS_EXPORT_CT,Cross_Tab_Questions,0)),"'_Options'!$E$2:$E$2")),12),""))</f>
        <v/>
      </c>
      <c r="R27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2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2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2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2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2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2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2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2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2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2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2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31" t="str">
        <f>"|" &amp; SUBSTITUTE(All_Questions_Q_VERY_LONG_SINGLE_SELECT_EXPORT_NAME_F_V, ", ", "|") &amp; "|"</f>
        <v>|(All)|</v>
      </c>
      <c r="H3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3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2026-06-09T06:57:01.588506+00:00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2026-06-09T06:57:01.588803+00:00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2026-06-09T06:57:01.589131+00:00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2026-06-09T06:57:01.589404+00:00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2026-06-09T06:57:01.589673+00:00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2026-06-09T06:57:01.589983+00:00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2026-06-09T06:57:01.590267+00:00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2026-06-09T06:57:01.590535+00:00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2026-06-09T06:57:01.590800+00:00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2026-06-09T06:57:01.591121+00:00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2026-06-09T06:57:01.591391+00:00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2026-06-09T06:57:01.591742+00:00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2026-06-09T06:57:01.592276+00:00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2026-06-09T06:57:01.592546+00:00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2026-06-09T06:57:01.592814+00:00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2026-06-09T06:57:01.593138+00:00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2026-06-09T06:57:01.593409+00:00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2026-06-09T06:57:01.593677+00:00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2026-06-09T06:57:01.593991+00:00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2026-06-09T06:57:01.594273+00:00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2026-06-09T06:57:01.594542+00:00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2026-06-09T06:57:01.594809+00:00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2026-06-09T06:57:01.595136+00:00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2026-06-09T06:57:01.595486+00:00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2026-06-09T06:57:01.632616+00:00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2026-06-09T06:57:01.632827+00:00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2026-06-09T06:57:01.633080+00:00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2026-06-09T06:57:01.633275+00:00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2026-06-09T06:57:01.633463+00:00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2026-06-09T06:57:01.633648+00:00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2026-06-09T06:57:01.633832+00:00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2026-06-09T06:57:01.634070+00:00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2026-06-09T06:57:01.634261+00:00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2026-06-09T06:57:01.634448+00:00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2026-06-09T06:57:01.634637+00:00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2026-06-09T06:57:01.634921+00:00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2026-06-09T06:57:01Z</dcterms:created>
  <dcterms:modified xmlns:dcterms="http://purl.org/dc/terms/" xmlns:xsi="http://www.w3.org/2001/XMLSchema-instance" xsi:type="dcterms:W3CDTF">2026-06-09T06:57:01Z</dcterms:modified>
</cp:coreProperties>
</file>