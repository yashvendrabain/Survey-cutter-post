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All_Questions">'_Options'!$A$2:$A$4</definedName>
    <definedName name="All_Questions_Local">'_Options'!$B$2:$B$5</definedName>
    <definedName name="None_options">'_Options'!$E$2:$E$2</definedName>
    <definedName name="Q_SS_EXPORT_options">'_Options'!$F$2:$F$4</definedName>
    <definedName name="Q_SS_EXPORT_local_options">'_Options'!$M$2:$M$5</definedName>
    <definedName name="Q_MS_EXPORTr1_options">'_Options'!$G$2:$G$3</definedName>
    <definedName name="Q_MS_EXPORTr1_local_options">'_Options'!$N$2:$N$4</definedName>
    <definedName name="Q_MS_EXPORTr2_options">'_Options'!$H$2:$H$3</definedName>
    <definedName name="Q_MS_EXPORTr2_local_options">'_Options'!$O$2:$O$4</definedName>
    <definedName name="Q_NUM_EXPORT_options">'_Options'!$I$2:$I$3</definedName>
    <definedName name="Q_NUM_EXPORT_local_options">'_Options'!$P$2:$P$4</definedName>
    <definedName name="Q_GRID_EXPORTr1_options">'_Options'!$J$2:$J$3</definedName>
    <definedName name="Q_GRID_EXPORTr1_local_options">'_Options'!$Q$2:$Q$4</definedName>
    <definedName name="Q_GRID_EXPORTr2_options">'_Options'!$K$2:$K$3</definedName>
    <definedName name="Q_GRID_EXPORTr2_local_options">'_Options'!$R$2:$R$4</definedName>
    <definedName name="Q_VERY_LONG_SINGLE_SELECT_EXPOR_options">'_Options'!$L$2:$L$4</definedName>
    <definedName name="Q_VERY_LONG_SINGLE_SELECT_EXPOR_local_options">'_Options'!$S$2:$S$5</definedName>
    <definedName name="All_Questions_Data_Names">'_Options'!$C$2:$C$4</definedName>
    <definedName name="All_Questions_Options_Names">'_Options'!$D$2:$D$4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'_RawData'!$I$2:$I$11</definedName>
    <definedName name="F_Custom1_match_data">'_RawData'!$J$2:$J$11</definedName>
    <definedName name="F_Custom2_match_data">'_RawData'!$K$2:$K$11</definedName>
    <definedName name="passes_workbook_custom_filters_data">'_RawData'!$L$2:$L$11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'_RawData'!$M$2:$M$11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'_RawData'!$N$2:$N$11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'_RawData'!$O$2:$O$11</definedName>
    <definedName name="All_Questions_Q_MS_EXPORT_CT">'All Questions'!$C$24</definedName>
    <definedName name="All_Questions_Q_NUM_EXPORT_F_Q">'All Questions'!$C$34</definedName>
    <definedName name="All_Questions_Q_NUM_EXPORT_F_V">'All Questions'!$E$34</definedName>
    <definedName name="All_Questions_Q_NUM_EXPORT_F_resolved_column">'All Questions'!$F$34</definedName>
    <definedName name="All_Questions_Q_NUM_EXPORT_F_wrapped">'All Questions'!$G$34</definedName>
    <definedName name="All_Questions_Q_NUM_EXPORT_F_passes_per_q_filter_data">'_RawData'!$P$2:$P$11</definedName>
    <definedName name="All_Questions_Q_NUM_EXPORT_CT">'All Questions'!$C$35</definedName>
    <definedName name="All_Questions_Q_GRID_EXPORT_F_Q">'All Questions'!$C$46</definedName>
    <definedName name="All_Questions_Q_GRID_EXPORT_F_V">'All Questions'!$E$46</definedName>
    <definedName name="All_Questions_Q_GRID_EXPORT_F_resolved_column">'All Questions'!$F$46</definedName>
    <definedName name="All_Questions_Q_GRID_EXPORT_F_wrapped">'All Questions'!$G$46</definedName>
    <definedName name="All_Questions_Q_GRID_EXPORT_F_passes_per_q_filter_data">'_RawData'!$Q$2:$Q$11</definedName>
    <definedName name="All_Questions_Q_GRID_EXPORT_CT">'All Questions'!$C$47</definedName>
    <definedName name="All_Questions_Q_VERY_LONG_SINGLE_SELECT_EXPORT_NAME_F_Q">'All Questions'!$C$57</definedName>
    <definedName name="All_Questions_Q_VERY_LONG_SINGLE_SELECT_EXPORT_NAME_F_V">'All Questions'!$E$57</definedName>
    <definedName name="All_Questions_Q_VERY_LONG_SINGLE_SELECT_EXPORT_NAME_F_resolved_column">'All Questions'!$F$57</definedName>
    <definedName name="All_Questions_Q_VERY_LONG_SINGLE_SELECT_EXPORT_NAME_F_wrapped">'All Questions'!$G$57</definedName>
    <definedName name="All_Questions_Q_VERY_LONG_SINGLE_SELECT_EXPORT_NAME_F_passes_per_q_filter_data">'_RawData'!$R$2:$R$11</definedName>
    <definedName name="All_Questions_Q_VERY_LONG_SINGLE_SELECT_EXPORT_NAME_CT">'All Questions'!$C$58</definedName>
  </definedNames>
  <calcPr calcId="124519" fullCalcOnLoad="1"/>
</workbook>
</file>

<file path=xl/calcChain.xml><?xml version="1.0" encoding="utf-8"?>
<calcChain xmlns="http://schemas.openxmlformats.org/spreadsheetml/2006/main">
  <c r="I2" i="1"/>
  <c r="J2" i="1"/>
  <c r="K2" i="1"/>
  <c r="L2" i="1"/>
  <c r="M2" i="1"/>
  <c r="N2" i="1"/>
  <c r="O2" i="1"/>
  <c r="P2" i="1"/>
  <c r="Q2" i="1"/>
  <c r="R2" i="1"/>
  <c r="I3" i="1"/>
  <c r="J3" i="1"/>
  <c r="K3" i="1"/>
  <c r="L3" i="1"/>
  <c r="M3" i="1"/>
  <c r="N3" i="1"/>
  <c r="O3" i="1"/>
  <c r="P3" i="1"/>
  <c r="Q3" i="1"/>
  <c r="R3" i="1"/>
  <c r="I4" i="1"/>
  <c r="J4" i="1"/>
  <c r="K4" i="1"/>
  <c r="L4" i="1"/>
  <c r="M4" i="1"/>
  <c r="N4" i="1"/>
  <c r="O4" i="1"/>
  <c r="P4" i="1"/>
  <c r="Q4" i="1"/>
  <c r="R4" i="1"/>
  <c r="I5" i="1"/>
  <c r="J5" i="1"/>
  <c r="K5" i="1"/>
  <c r="L5" i="1"/>
  <c r="M5" i="1"/>
  <c r="N5" i="1"/>
  <c r="O5" i="1"/>
  <c r="P5" i="1"/>
  <c r="Q5" i="1"/>
  <c r="R5" i="1"/>
  <c r="I6" i="1"/>
  <c r="J6" i="1"/>
  <c r="K6" i="1"/>
  <c r="L6" i="1"/>
  <c r="M6" i="1"/>
  <c r="N6" i="1"/>
  <c r="O6" i="1"/>
  <c r="P6" i="1"/>
  <c r="Q6" i="1"/>
  <c r="R6" i="1"/>
  <c r="I7" i="1"/>
  <c r="J7" i="1"/>
  <c r="K7" i="1"/>
  <c r="L7" i="1"/>
  <c r="M7" i="1"/>
  <c r="N7" i="1"/>
  <c r="O7" i="1"/>
  <c r="P7" i="1"/>
  <c r="Q7" i="1"/>
  <c r="R7" i="1"/>
  <c r="I8" i="1"/>
  <c r="J8" i="1"/>
  <c r="K8" i="1"/>
  <c r="L8" i="1"/>
  <c r="M8" i="1"/>
  <c r="N8" i="1"/>
  <c r="O8" i="1"/>
  <c r="P8" i="1"/>
  <c r="Q8" i="1"/>
  <c r="R8" i="1"/>
  <c r="I9" i="1"/>
  <c r="J9" i="1"/>
  <c r="K9" i="1"/>
  <c r="L9" i="1"/>
  <c r="M9" i="1"/>
  <c r="N9" i="1"/>
  <c r="O9" i="1"/>
  <c r="P9" i="1"/>
  <c r="Q9" i="1"/>
  <c r="R9" i="1"/>
  <c r="I10" i="1"/>
  <c r="J10" i="1"/>
  <c r="K10" i="1"/>
  <c r="L10" i="1"/>
  <c r="M10" i="1"/>
  <c r="N10" i="1"/>
  <c r="O10" i="1"/>
  <c r="P10" i="1"/>
  <c r="Q10" i="1"/>
  <c r="R10" i="1"/>
  <c r="I11" i="1"/>
  <c r="J11" i="1"/>
  <c r="K11" i="1"/>
  <c r="L11" i="1"/>
  <c r="M11" i="1"/>
  <c r="N11" i="1"/>
  <c r="O11" i="1"/>
  <c r="P11" i="1"/>
  <c r="Q11" i="1"/>
  <c r="R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  <c r="F23" i="7"/>
  <c r="G23" i="7"/>
  <c r="G26" i="7"/>
  <c r="H26" i="7"/>
  <c r="I26" i="7"/>
  <c r="J26" i="7"/>
  <c r="K26" i="7"/>
  <c r="L26" i="7"/>
  <c r="M26" i="7"/>
  <c r="N26" i="7"/>
  <c r="O26" i="7"/>
  <c r="P26" i="7"/>
  <c r="Q26" i="7"/>
  <c r="R26" i="7"/>
  <c r="B27" i="7"/>
  <c r="C27" i="7"/>
  <c r="D27" i="7"/>
  <c r="B28" i="7"/>
  <c r="C28" i="7"/>
  <c r="D28" i="7"/>
  <c r="G28" i="7"/>
  <c r="H28" i="7"/>
  <c r="I28" i="7"/>
  <c r="J28" i="7"/>
  <c r="K28" i="7"/>
  <c r="L28" i="7"/>
  <c r="M28" i="7"/>
  <c r="N28" i="7"/>
  <c r="O28" i="7"/>
  <c r="P28" i="7"/>
  <c r="Q28" i="7"/>
  <c r="R28" i="7"/>
  <c r="S28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S30" i="7"/>
  <c r="F34" i="7"/>
  <c r="G34" i="7"/>
  <c r="B38" i="7"/>
  <c r="D38" i="7"/>
  <c r="B39" i="7"/>
  <c r="D39" i="7"/>
  <c r="B40" i="7"/>
  <c r="D40" i="7"/>
  <c r="D41" i="7"/>
  <c r="F46" i="7"/>
  <c r="G46" i="7"/>
  <c r="G49" i="7"/>
  <c r="H49" i="7"/>
  <c r="I49" i="7"/>
  <c r="J49" i="7"/>
  <c r="K49" i="7"/>
  <c r="L49" i="7"/>
  <c r="M49" i="7"/>
  <c r="N49" i="7"/>
  <c r="O49" i="7"/>
  <c r="P49" i="7"/>
  <c r="Q49" i="7"/>
  <c r="R49" i="7"/>
  <c r="B50" i="7"/>
  <c r="C50" i="7"/>
  <c r="D50" i="7"/>
  <c r="B51" i="7"/>
  <c r="C51" i="7"/>
  <c r="D51" i="7"/>
  <c r="G51" i="7"/>
  <c r="H51" i="7"/>
  <c r="I51" i="7"/>
  <c r="J51" i="7"/>
  <c r="K51" i="7"/>
  <c r="L51" i="7"/>
  <c r="M51" i="7"/>
  <c r="N51" i="7"/>
  <c r="O51" i="7"/>
  <c r="P51" i="7"/>
  <c r="Q51" i="7"/>
  <c r="R51" i="7"/>
  <c r="S51" i="7"/>
  <c r="G52" i="7"/>
  <c r="H52" i="7"/>
  <c r="I52" i="7"/>
  <c r="J52" i="7"/>
  <c r="K52" i="7"/>
  <c r="L52" i="7"/>
  <c r="M52" i="7"/>
  <c r="N52" i="7"/>
  <c r="O52" i="7"/>
  <c r="P52" i="7"/>
  <c r="Q52" i="7"/>
  <c r="R52" i="7"/>
  <c r="S52" i="7"/>
  <c r="S53" i="7"/>
  <c r="F57" i="7"/>
  <c r="G57" i="7"/>
  <c r="G60" i="7"/>
  <c r="H60" i="7"/>
  <c r="I60" i="7"/>
  <c r="J60" i="7"/>
  <c r="K60" i="7"/>
  <c r="L60" i="7"/>
  <c r="M60" i="7"/>
  <c r="N60" i="7"/>
  <c r="O60" i="7"/>
  <c r="P60" i="7"/>
  <c r="Q60" i="7"/>
  <c r="R60" i="7"/>
  <c r="B61" i="7"/>
  <c r="C61" i="7"/>
  <c r="D61" i="7"/>
  <c r="B62" i="7"/>
  <c r="C62" i="7"/>
  <c r="D62" i="7"/>
  <c r="G62" i="7"/>
  <c r="H62" i="7"/>
  <c r="I62" i="7"/>
  <c r="J62" i="7"/>
  <c r="K62" i="7"/>
  <c r="L62" i="7"/>
  <c r="M62" i="7"/>
  <c r="N62" i="7"/>
  <c r="O62" i="7"/>
  <c r="P62" i="7"/>
  <c r="Q62" i="7"/>
  <c r="R62" i="7"/>
  <c r="S62" i="7"/>
  <c r="G63" i="7"/>
  <c r="H63" i="7"/>
  <c r="I63" i="7"/>
  <c r="J63" i="7"/>
  <c r="K63" i="7"/>
  <c r="L63" i="7"/>
  <c r="M63" i="7"/>
  <c r="N63" i="7"/>
  <c r="O63" i="7"/>
  <c r="P63" i="7"/>
  <c r="Q63" i="7"/>
  <c r="R63" i="7"/>
  <c r="S63" i="7"/>
  <c r="S64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30" headerRowCount="1">
  <autoFilter ref="A26:D3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7_1" displayName="T_All_Questions_37_1" ref="A37:D41" headerRowCount="1">
  <autoFilter ref="A37:D41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9_1" displayName="T_All_Questions_49_1" ref="A49:D53" headerRowCount="1">
  <autoFilter ref="A49:D5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60_1" displayName="T_All_Questions_60_1" ref="A60:D63" headerRowCount="1">
  <autoFilter ref="A60:D6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passes_workbook_filters</t>
        </is>
      </c>
      <c r="J1" t="inlineStr">
        <is>
          <t>F_Custom1_match</t>
        </is>
      </c>
      <c r="K1" t="inlineStr">
        <is>
          <t>F_Custom2_match</t>
        </is>
      </c>
      <c r="L1" t="inlineStr">
        <is>
          <t>passes_workbook_custom_filters</t>
        </is>
      </c>
      <c r="M1" t="inlineStr">
        <is>
          <t>All_Questions_passes_local_filters</t>
        </is>
      </c>
      <c r="N1" t="inlineStr">
        <is>
          <t>All_Questions_Q_SS_EXPORT_F_passes_per_q_filter</t>
        </is>
      </c>
      <c r="O1" t="inlineStr">
        <is>
          <t>All_Questions_Q_MS_EXPORT_F_passes_per_q_filter</t>
        </is>
      </c>
      <c r="P1" t="inlineStr">
        <is>
          <t>All_Questions_Q_NUM_EXPORT_F_passes_per_q_filter</t>
        </is>
      </c>
      <c r="Q1" t="inlineStr">
        <is>
          <t>All_Questions_Q_GRID_EXPORT_F_passes_per_q_filter</t>
        </is>
      </c>
      <c r="R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I2">
        <f>1</f>
        <v>1</v>
      </c>
      <c r="J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K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L2">
        <f>J2*K2*1</f>
        <v>1</v>
      </c>
      <c r="M2">
        <f>1</f>
        <v>1</v>
      </c>
      <c r="N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*1</f>
        <v>1</v>
      </c>
      <c r="O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*1</f>
        <v>1</v>
      </c>
      <c r="P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*1</f>
        <v>1</v>
      </c>
      <c r="Q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*1</f>
        <v>1</v>
      </c>
      <c r="R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*1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I3">
        <f>1</f>
        <v>1</v>
      </c>
      <c r="J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K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L3">
        <f>J3*K3*1</f>
        <v>1</v>
      </c>
      <c r="M3">
        <f>1</f>
        <v>1</v>
      </c>
      <c r="N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*1</f>
        <v>1</v>
      </c>
      <c r="O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*1</f>
        <v>1</v>
      </c>
      <c r="P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*1</f>
        <v>1</v>
      </c>
      <c r="Q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*1</f>
        <v>1</v>
      </c>
      <c r="R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*1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I4">
        <f>1</f>
        <v>1</v>
      </c>
      <c r="J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K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L4">
        <f>J4*K4*1</f>
        <v>1</v>
      </c>
      <c r="M4">
        <f>1</f>
        <v>1</v>
      </c>
      <c r="N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*1</f>
        <v>1</v>
      </c>
      <c r="O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*1</f>
        <v>1</v>
      </c>
      <c r="P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*1</f>
        <v>1</v>
      </c>
      <c r="Q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*1</f>
        <v>1</v>
      </c>
      <c r="R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*1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I5">
        <f>1</f>
        <v>1</v>
      </c>
      <c r="J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K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L5">
        <f>J5*K5*1</f>
        <v>1</v>
      </c>
      <c r="M5">
        <f>1</f>
        <v>1</v>
      </c>
      <c r="N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*1</f>
        <v>1</v>
      </c>
      <c r="O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*1</f>
        <v>1</v>
      </c>
      <c r="P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*1</f>
        <v>1</v>
      </c>
      <c r="Q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*1</f>
        <v>1</v>
      </c>
      <c r="R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*1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I6">
        <f>1</f>
        <v>1</v>
      </c>
      <c r="J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K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L6">
        <f>J6*K6*1</f>
        <v>1</v>
      </c>
      <c r="M6">
        <f>1</f>
        <v>1</v>
      </c>
      <c r="N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*1</f>
        <v>1</v>
      </c>
      <c r="O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*1</f>
        <v>1</v>
      </c>
      <c r="P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*1</f>
        <v>1</v>
      </c>
      <c r="Q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*1</f>
        <v>1</v>
      </c>
      <c r="R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*1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I7">
        <f>1</f>
        <v>1</v>
      </c>
      <c r="J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K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L7">
        <f>J7*K7*1</f>
        <v>1</v>
      </c>
      <c r="M7">
        <f>1</f>
        <v>1</v>
      </c>
      <c r="N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*1</f>
        <v>1</v>
      </c>
      <c r="O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*1</f>
        <v>1</v>
      </c>
      <c r="P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*1</f>
        <v>1</v>
      </c>
      <c r="Q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*1</f>
        <v>1</v>
      </c>
      <c r="R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*1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I8">
        <f>1</f>
        <v>1</v>
      </c>
      <c r="J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K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L8">
        <f>J8*K8*1</f>
        <v>1</v>
      </c>
      <c r="M8">
        <f>1</f>
        <v>1</v>
      </c>
      <c r="N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*1</f>
        <v>1</v>
      </c>
      <c r="O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*1</f>
        <v>1</v>
      </c>
      <c r="P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*1</f>
        <v>1</v>
      </c>
      <c r="Q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*1</f>
        <v>1</v>
      </c>
      <c r="R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*1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I9">
        <f>1</f>
        <v>1</v>
      </c>
      <c r="J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K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L9">
        <f>J9*K9*1</f>
        <v>1</v>
      </c>
      <c r="M9">
        <f>1</f>
        <v>1</v>
      </c>
      <c r="N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*1</f>
        <v>1</v>
      </c>
      <c r="O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*1</f>
        <v>1</v>
      </c>
      <c r="P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*1</f>
        <v>1</v>
      </c>
      <c r="Q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*1</f>
        <v>1</v>
      </c>
      <c r="R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*1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I10">
        <f>1</f>
        <v>1</v>
      </c>
      <c r="J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K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L10">
        <f>J10*K10*1</f>
        <v>1</v>
      </c>
      <c r="M10">
        <f>1</f>
        <v>1</v>
      </c>
      <c r="N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*1</f>
        <v>1</v>
      </c>
      <c r="O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*1</f>
        <v>1</v>
      </c>
      <c r="P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*1</f>
        <v>1</v>
      </c>
      <c r="Q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*1</f>
        <v>1</v>
      </c>
      <c r="R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*1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I11">
        <f>1</f>
        <v>1</v>
      </c>
      <c r="J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K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L11">
        <f>J11*K11*1</f>
        <v>1</v>
      </c>
      <c r="M11">
        <f>1</f>
        <v>1</v>
      </c>
      <c r="N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*1</f>
        <v>1</v>
      </c>
      <c r="O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*1</f>
        <v>1</v>
      </c>
      <c r="P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*1</f>
        <v>1</v>
      </c>
      <c r="Q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*1</f>
        <v>1</v>
      </c>
      <c r="R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*1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Q_SS_EXPORT_local_options</t>
        </is>
      </c>
      <c r="N1" t="inlineStr">
        <is>
          <t>Q_MS_EXPORTr1_local_options</t>
        </is>
      </c>
      <c r="O1" t="inlineStr">
        <is>
          <t>Q_MS_EXPORTr2_local_options</t>
        </is>
      </c>
      <c r="P1" t="inlineStr">
        <is>
          <t>Q_NUM_EXPORT_local_options</t>
        </is>
      </c>
      <c r="Q1" t="inlineStr">
        <is>
          <t>Q_GRID_EXPORTr1_local_options</t>
        </is>
      </c>
      <c r="R1" t="inlineStr">
        <is>
          <t>Q_GRID_EXPORTr2_local_options</t>
        </is>
      </c>
      <c r="S1" t="inlineStr">
        <is>
          <t>Q_VERY_LONG_SINGLE_SELECT_EXPOR_local_options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  <c r="R2" t="inlineStr">
        <is>
          <t>(Inherit)</t>
        </is>
      </c>
      <c r="S2" t="inlineStr">
        <is>
          <t>(Inherit)</t>
        </is>
      </c>
    </row>
    <row r="3">
      <c r="A3" t="inlineStr">
        <is>
          <t>Q_SS_EXPORT - Single Select Export Question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  <c r="R3" t="inlineStr">
        <is>
          <t>(All)</t>
        </is>
      </c>
      <c r="S3" t="inlineStr">
        <is>
          <t>(All)</t>
        </is>
      </c>
    </row>
    <row r="4">
      <c r="A4" t="inlineStr">
        <is>
          <t>Q_VERY_LONG_SINGLE_SELECT_EXPORT_NAME - Long Sheet Name Export Question</t>
        </is>
      </c>
      <c r="B4" t="inlineStr">
        <is>
          <t>Q_SS_EXPORT - Single Select Export Question</t>
        </is>
      </c>
      <c r="C4" t="inlineStr">
        <is>
          <t>'_RawData'!$H$2:$H$11</t>
        </is>
      </c>
      <c r="D4" t="inlineStr">
        <is>
          <t>'_Options'!$L$2:$L$4</t>
        </is>
      </c>
      <c r="F4" t="inlineStr">
        <is>
          <t>No</t>
        </is>
      </c>
      <c r="L4" t="inlineStr">
        <is>
          <t>B</t>
        </is>
      </c>
      <c r="M4" t="inlineStr">
        <is>
          <t>Yes</t>
        </is>
      </c>
      <c r="N4" t="inlineStr">
        <is>
          <t>Selected</t>
        </is>
      </c>
      <c r="O4" t="inlineStr">
        <is>
          <t>Selected</t>
        </is>
      </c>
      <c r="P4" t="inlineStr">
        <is>
          <t>5.5</t>
        </is>
      </c>
      <c r="Q4" t="inlineStr">
        <is>
          <t>Selected</t>
        </is>
      </c>
      <c r="R4" t="inlineStr">
        <is>
          <t>Selected</t>
        </is>
      </c>
      <c r="S4" t="inlineStr">
        <is>
          <t>A</t>
        </is>
      </c>
    </row>
    <row r="5">
      <c r="B5" t="inlineStr">
        <is>
          <t>Q_VERY_LONG_SINGLE_SELECT_EXPORT_NAME - Long Sheet Name Export Question</t>
        </is>
      </c>
      <c r="M5" t="inlineStr">
        <is>
          <t>No</t>
        </is>
      </c>
      <c r="S5" t="inlineStr">
        <is>
          <t>B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6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7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6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IFERROR(INDEX(All_Questions_Data_Names,MATCH(All_Questions_Q_SS_EXPORT_F_Q,All_Questions,0)),"'_RawData'!$A:$A")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IF(All_Questions_Q_SS_EXPORT_CT="(None)","",IFERROR(INDEX(INDIRECT(IFERROR(INDEX(All_Questions_Options_Names,MATCH(All_Questions_Q_SS_EXPORT_CT,All_Questions,0)),"'_Options'!$E$2:$E$2")),2),""))</f>
        <v/>
      </c>
      <c r="H16" s="2" t="str">
        <f>IF(All_Questions_Q_SS_EXPORT_CT="(None)","",IFERROR(INDEX(INDIRECT(IFERROR(INDEX(All_Questions_Options_Names,MATCH(All_Questions_Q_SS_EXPORT_CT,All_Questions,0)),"'_Options'!$E$2:$E$2")),3),""))</f>
        <v/>
      </c>
      <c r="I16" s="2" t="str">
        <f>IF(All_Questions_Q_SS_EXPORT_CT="(None)","",IFERROR(INDEX(INDIRECT(IFERROR(INDEX(All_Questions_Options_Names,MATCH(All_Questions_Q_SS_EXPORT_CT,All_Questions,0)),"'_Options'!$E$2:$E$2")),4),""))</f>
        <v/>
      </c>
      <c r="J16" s="2" t="str">
        <f>IF(All_Questions_Q_SS_EXPORT_CT="(None)","",IFERROR(INDEX(INDIRECT(IFERROR(INDEX(All_Questions_Options_Names,MATCH(All_Questions_Q_SS_EXPORT_CT,All_Questions,0)),"'_Options'!$E$2:$E$2")),5),""))</f>
        <v/>
      </c>
      <c r="K16" s="2" t="str">
        <f>IF(All_Questions_Q_SS_EXPORT_CT="(None)","",IFERROR(INDEX(INDIRECT(IFERROR(INDEX(All_Questions_Options_Names,MATCH(All_Questions_Q_SS_EXPORT_CT,All_Questions,0)),"'_Options'!$E$2:$E$2")),6),""))</f>
        <v/>
      </c>
      <c r="L16" s="2" t="str">
        <f>IF(All_Questions_Q_SS_EXPORT_CT="(None)","",IFERROR(INDEX(INDIRECT(IFERROR(INDEX(All_Questions_Options_Names,MATCH(All_Questions_Q_SS_EXPORT_CT,All_Questions,0)),"'_Options'!$E$2:$E$2")),7),""))</f>
        <v/>
      </c>
      <c r="M16" s="2" t="str">
        <f>IF(All_Questions_Q_SS_EXPORT_CT="(None)","",IFERROR(INDEX(INDIRECT(IFERROR(INDEX(All_Questions_Options_Names,MATCH(All_Questions_Q_SS_EXPORT_CT,All_Questions,0)),"'_Options'!$E$2:$E$2")),8),""))</f>
        <v/>
      </c>
      <c r="N16" s="2" t="str">
        <f>IF(All_Questions_Q_SS_EXPORT_CT="(None)","",IFERROR(INDEX(INDIRECT(IFERROR(INDEX(All_Questions_Options_Names,MATCH(All_Questions_Q_SS_EXPORT_CT,All_Questions,0)),"'_Options'!$E$2:$E$2")),9),""))</f>
        <v/>
      </c>
      <c r="O16" s="2" t="str">
        <f>IF(All_Questions_Q_SS_EXPORT_CT="(None)","",IFERROR(INDEX(INDIRECT(IFERROR(INDEX(All_Questions_Options_Names,MATCH(All_Questions_Q_SS_EXPORT_CT,All_Questions,0)),"'_Options'!$E$2:$E$2")),10),""))</f>
        <v/>
      </c>
      <c r="P16" s="2" t="str">
        <f>IF(All_Questions_Q_SS_EXPORT_CT="(None)","",IFERROR(INDEX(INDIRECT(IFERROR(INDEX(All_Questions_Options_Names,MATCH(All_Questions_Q_SS_EXPORT_CT,All_Questions,0)),"'_Options'!$E$2:$E$2")),11),""))</f>
        <v/>
      </c>
      <c r="Q16" s="2" t="str">
        <f>IF(All_Questions_Q_SS_EXPORT_CT="(None)","",IFERROR(INDEX(INDIRECT(IFERROR(INDEX(All_Questions_Options_Names,MATCH(All_Questions_Q_SS_EXPORT_CT,All_Questions,0)),"'_Options'!$E$2:$E$2")),12),""))</f>
        <v/>
      </c>
      <c r="R16" s="2" t="str">
        <f>IF(All_Questions_Q_SS_EXPORT_CT="(None)","",IF(COUNTA(INDIRECT(IFERROR(INDEX(All_Questions_Options_Names,MATCH(All_Questions_Q_SS_EXPORT_CT,All_Questions,0)),"'_Options'!$E$2:$E$2")))-1&gt;11,"Other",IFERROR(INDEX(INDIRECT(IFERROR(INDEX(All_Questions_Options_Names,MATCH(All_Questions_Q_SS_EXPORT_CT,All_Questions,0)),"'_Options'!$E$2:$E$2")),13),"")))</f>
        <v/>
      </c>
      <c r="S16" s="4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Yes</t>
        </is>
      </c>
      <c r="G18">
        <f>IF(OR(All_Questions_Q_SS_EXPORT_CT="(None)",G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8">
        <f>IF(OR(All_Questions_Q_SS_EXPORT_CT="(None)",H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8">
        <f>IF(OR(All_Questions_Q_SS_EXPORT_CT="(None)",I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8">
        <f>IF(OR(All_Questions_Q_SS_EXPORT_CT="(None)",J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8">
        <f>IF(OR(All_Questions_Q_SS_EXPORT_CT="(None)",K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8">
        <f>IF(OR(All_Questions_Q_SS_EXPORT_CT="(None)",L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8">
        <f>IF(OR(All_Questions_Q_SS_EXPORT_CT="(None)",M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8">
        <f>IF(OR(All_Questions_Q_SS_EXPORT_CT="(None)",N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8">
        <f>IF(OR(All_Questions_Q_SS_EXPORT_CT="(None)",O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8">
        <f>IF(OR(All_Questions_Q_SS_EXPORT_CT="(None)",P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8">
        <f>IF(OR(All_Questions_Q_SS_EXPORT_CT="(None)",Q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8">
        <f>IF(OR(All_Questions_Q_SS_EXPORT_CT="(None)",R$16=""),"",IF(R$16="Other",COUNTIFS(Q_SS_EXPORT_data,"Yes",passes_workbook_filters_data,1,passes_workbook_custom_filters_data,1,All_Questions_passes_local_filters_data,1,All_Questions_Q_SS_EXPORT_F_passes_per_q_filter_data,1)-SUM(G18,H18,I18,J18,K18,L18,M18,N18,O18,P18,Q18)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8">
        <f>IF(All_Questions_Q_SS_EXPORT_CT="(None)","",COUNTIFS(Q_SS_EXPORT_data,"Yes",passes_workbook_filters_data,1,passes_workbook_custom_filters_data,1,All_Questions_passes_local_filters_data,1,All_Questions_Q_SS_EXPORT_F_passes_per_q_filter_data,1))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No</t>
        </is>
      </c>
      <c r="G19">
        <f>IF(OR(All_Questions_Q_SS_EXPORT_CT="(None)",G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9">
        <f>IF(OR(All_Questions_Q_SS_EXPORT_CT="(None)",H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9">
        <f>IF(OR(All_Questions_Q_SS_EXPORT_CT="(None)",I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9">
        <f>IF(OR(All_Questions_Q_SS_EXPORT_CT="(None)",J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9">
        <f>IF(OR(All_Questions_Q_SS_EXPORT_CT="(None)",K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9">
        <f>IF(OR(All_Questions_Q_SS_EXPORT_CT="(None)",L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9">
        <f>IF(OR(All_Questions_Q_SS_EXPORT_CT="(None)",M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9">
        <f>IF(OR(All_Questions_Q_SS_EXPORT_CT="(None)",N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9">
        <f>IF(OR(All_Questions_Q_SS_EXPORT_CT="(None)",O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9">
        <f>IF(OR(All_Questions_Q_SS_EXPORT_CT="(None)",P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9">
        <f>IF(OR(All_Questions_Q_SS_EXPORT_CT="(None)",Q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9">
        <f>IF(OR(All_Questions_Q_SS_EXPORT_CT="(None)",R$16=""),"",IF(R$16="Other",COUNTIFS(Q_SS_EXPORT_data,"No",passes_workbook_filters_data,1,passes_workbook_custom_filters_data,1,All_Questions_passes_local_filters_data,1,All_Questions_Q_SS_EXPORT_F_passes_per_q_filter_data,1)-SUM(G19,H19,I19,J19,K19,L19,M19,N19,O19,P19,Q19)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9">
        <f>IF(All_Questions_Q_SS_EXPORT_CT="(None)","",COUNTIFS(Q_SS_EXPORT_data,"No",passes_workbook_filters_data,1,passes_workbook_custom_filters_data,1,All_Questions_passes_local_filters_data,1,All_Questions_Q_SS_EXPORT_F_passes_per_q_filter_data,1))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IF(All_Questions_Q_SS_EXPORT_CT="(None)","",COUNTIFS(respondent_id_data,"&lt;&gt;",passes_workbook_filters_data,1,passes_workbook_custom_filters_data,1,All_Questions_passes_local_filters_data,1,All_Questions_Q_SS_EXPORT_F_passes_per_q_filter_data,1))</f>
        <v>0</v>
      </c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 question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IFERROR(INDEX(All_Questions_Data_Names,MATCH(All_Questions_Q_MS_EXPORT_F_Q,All_Questions,0)),"'_RawData'!$A:$A")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4" t="inlineStr">
        <is>
          <t>Option</t>
        </is>
      </c>
      <c r="G26" s="2" t="str">
        <f>IF(All_Questions_Q_MS_EXPORT_CT="(None)","",IFERROR(INDEX(INDIRECT(IFERROR(INDEX(All_Questions_Options_Names,MATCH(All_Questions_Q_MS_EXPORT_CT,All_Questions,0)),"'_Options'!$E$2:$E$2")),2),""))</f>
        <v/>
      </c>
      <c r="H26" s="2" t="str">
        <f>IF(All_Questions_Q_MS_EXPORT_CT="(None)","",IFERROR(INDEX(INDIRECT(IFERROR(INDEX(All_Questions_Options_Names,MATCH(All_Questions_Q_MS_EXPORT_CT,All_Questions,0)),"'_Options'!$E$2:$E$2")),3),""))</f>
        <v/>
      </c>
      <c r="I26" s="2" t="str">
        <f>IF(All_Questions_Q_MS_EXPORT_CT="(None)","",IFERROR(INDEX(INDIRECT(IFERROR(INDEX(All_Questions_Options_Names,MATCH(All_Questions_Q_MS_EXPORT_CT,All_Questions,0)),"'_Options'!$E$2:$E$2")),4),""))</f>
        <v/>
      </c>
      <c r="J26" s="2" t="str">
        <f>IF(All_Questions_Q_MS_EXPORT_CT="(None)","",IFERROR(INDEX(INDIRECT(IFERROR(INDEX(All_Questions_Options_Names,MATCH(All_Questions_Q_MS_EXPORT_CT,All_Questions,0)),"'_Options'!$E$2:$E$2")),5),""))</f>
        <v/>
      </c>
      <c r="K26" s="2" t="str">
        <f>IF(All_Questions_Q_MS_EXPORT_CT="(None)","",IFERROR(INDEX(INDIRECT(IFERROR(INDEX(All_Questions_Options_Names,MATCH(All_Questions_Q_MS_EXPORT_CT,All_Questions,0)),"'_Options'!$E$2:$E$2")),6),""))</f>
        <v/>
      </c>
      <c r="L26" s="2" t="str">
        <f>IF(All_Questions_Q_MS_EXPORT_CT="(None)","",IFERROR(INDEX(INDIRECT(IFERROR(INDEX(All_Questions_Options_Names,MATCH(All_Questions_Q_MS_EXPORT_CT,All_Questions,0)),"'_Options'!$E$2:$E$2")),7),""))</f>
        <v/>
      </c>
      <c r="M26" s="2" t="str">
        <f>IF(All_Questions_Q_MS_EXPORT_CT="(None)","",IFERROR(INDEX(INDIRECT(IFERROR(INDEX(All_Questions_Options_Names,MATCH(All_Questions_Q_MS_EXPORT_CT,All_Questions,0)),"'_Options'!$E$2:$E$2")),8),""))</f>
        <v/>
      </c>
      <c r="N26" s="2" t="str">
        <f>IF(All_Questions_Q_MS_EXPORT_CT="(None)","",IFERROR(INDEX(INDIRECT(IFERROR(INDEX(All_Questions_Options_Names,MATCH(All_Questions_Q_MS_EXPORT_CT,All_Questions,0)),"'_Options'!$E$2:$E$2")),9),""))</f>
        <v/>
      </c>
      <c r="O26" s="2" t="str">
        <f>IF(All_Questions_Q_MS_EXPORT_CT="(None)","",IFERROR(INDEX(INDIRECT(IFERROR(INDEX(All_Questions_Options_Names,MATCH(All_Questions_Q_MS_EXPORT_CT,All_Questions,0)),"'_Options'!$E$2:$E$2")),10),""))</f>
        <v/>
      </c>
      <c r="P26" s="2" t="str">
        <f>IF(All_Questions_Q_MS_EXPORT_CT="(None)","",IFERROR(INDEX(INDIRECT(IFERROR(INDEX(All_Questions_Options_Names,MATCH(All_Questions_Q_MS_EXPORT_CT,All_Questions,0)),"'_Options'!$E$2:$E$2")),11),""))</f>
        <v/>
      </c>
      <c r="Q26" s="2" t="str">
        <f>IF(All_Questions_Q_MS_EXPORT_CT="(None)","",IFERROR(INDEX(INDIRECT(IFERROR(INDEX(All_Questions_Options_Names,MATCH(All_Questions_Q_MS_EXPORT_CT,All_Questions,0)),"'_Options'!$E$2:$E$2")),12),""))</f>
        <v/>
      </c>
      <c r="R26" s="2" t="str">
        <f>IF(All_Questions_Q_MS_EXPORT_CT="(None)","",IF(COUNTA(INDIRECT(IFERROR(INDEX(All_Questions_Options_Names,MATCH(All_Questions_Q_MS_EXPORT_CT,All_Questions,0)),"'_Options'!$E$2:$E$2")))-1&gt;11,"Other",IFERROR(INDEX(INDIRECT(IFERROR(INDEX(All_Questions_Options_Names,MATCH(All_Questions_Q_MS_EXPORT_CT,All_Questions,0)),"'_Options'!$E$2:$E$2")),13),"")))</f>
        <v/>
      </c>
      <c r="S26" s="4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IFERROR(B27/SUBTOTAL(9,B27:B28),0)</f>
        <v>0.7142857142857143</v>
      </c>
      <c r="D27" s="14">
        <f>SUBTOTAL(9,B27:B28)</f>
        <v>7</v>
      </c>
      <c r="F27" s="4" t="inlineStr"/>
      <c r="G27" s="4" t="inlineStr">
        <is>
          <t># of resp</t>
        </is>
      </c>
      <c r="H27" s="4" t="inlineStr">
        <is>
          <t># of resp</t>
        </is>
      </c>
      <c r="I27" s="4" t="inlineStr">
        <is>
          <t># of resp</t>
        </is>
      </c>
      <c r="J27" s="4" t="inlineStr">
        <is>
          <t># of resp</t>
        </is>
      </c>
      <c r="K27" s="4" t="inlineStr">
        <is>
          <t># of resp</t>
        </is>
      </c>
      <c r="L27" s="4" t="inlineStr">
        <is>
          <t># of resp</t>
        </is>
      </c>
      <c r="M27" s="4" t="inlineStr">
        <is>
          <t># of resp</t>
        </is>
      </c>
      <c r="N27" s="4" t="inlineStr">
        <is>
          <t># of resp</t>
        </is>
      </c>
      <c r="O27" s="4" t="inlineStr">
        <is>
          <t># of resp</t>
        </is>
      </c>
      <c r="P27" s="4" t="inlineStr">
        <is>
          <t># of resp</t>
        </is>
      </c>
      <c r="Q27" s="4" t="inlineStr">
        <is>
          <t># of resp</t>
        </is>
      </c>
      <c r="R27" s="4" t="inlineStr">
        <is>
          <t># of resp</t>
        </is>
      </c>
      <c r="S27" s="4" t="inlineStr">
        <is>
          <t># of resp</t>
        </is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IFERROR(B28/SUBTOTAL(9,B27:B28),0)</f>
        <v>0.2857142857142857</v>
      </c>
      <c r="D28" s="14">
        <f>SUBTOTAL(9,B27:B28)</f>
        <v>7</v>
      </c>
      <c r="F28" t="inlineStr">
        <is>
          <t>First</t>
        </is>
      </c>
      <c r="G28">
        <f>IF(OR(All_Questions_Q_MS_EXPORT_CT="(None)",G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8">
        <f>IF(OR(All_Questions_Q_MS_EXPORT_CT="(None)",H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8">
        <f>IF(OR(All_Questions_Q_MS_EXPORT_CT="(None)",I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8">
        <f>IF(OR(All_Questions_Q_MS_EXPORT_CT="(None)",J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8">
        <f>IF(OR(All_Questions_Q_MS_EXPORT_CT="(None)",K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8">
        <f>IF(OR(All_Questions_Q_MS_EXPORT_CT="(None)",L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8">
        <f>IF(OR(All_Questions_Q_MS_EXPORT_CT="(None)",M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8">
        <f>IF(OR(All_Questions_Q_MS_EXPORT_CT="(None)",N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8">
        <f>IF(OR(All_Questions_Q_MS_EXPORT_CT="(None)",O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8">
        <f>IF(OR(All_Questions_Q_MS_EXPORT_CT="(None)",P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8">
        <f>IF(OR(All_Questions_Q_MS_EXPORT_CT="(None)",Q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8">
        <f>IF(OR(All_Questions_Q_MS_EXPORT_CT="(None)",R$26=""),"",IF(R$26="Other",COUNTIFS(Q_MS_EXPORTr1_data,"Selected",passes_workbook_filters_data,1,passes_workbook_custom_filters_data,1,All_Questions_passes_local_filters_data,1,All_Questions_Q_MS_EXPORT_F_passes_per_q_filter_data,1)-SUM(G28,H28,I28,J28,K28,L28,M28,N28,O28,P28,Q28)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8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29">
      <c r="A29" s="15" t="inlineStr">
        <is>
          <t>Total respondents</t>
        </is>
      </c>
      <c r="B29" s="15" t="n">
        <v>10</v>
      </c>
      <c r="C29" s="15" t="n"/>
      <c r="D29" s="15" t="n"/>
      <c r="F29" t="inlineStr">
        <is>
          <t>Second</t>
        </is>
      </c>
      <c r="G29">
        <f>IF(OR(All_Questions_Q_MS_EXPORT_CT="(None)",G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9">
        <f>IF(OR(All_Questions_Q_MS_EXPORT_CT="(None)",H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9">
        <f>IF(OR(All_Questions_Q_MS_EXPORT_CT="(None)",I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9">
        <f>IF(OR(All_Questions_Q_MS_EXPORT_CT="(None)",J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9">
        <f>IF(OR(All_Questions_Q_MS_EXPORT_CT="(None)",K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9">
        <f>IF(OR(All_Questions_Q_MS_EXPORT_CT="(None)",L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9">
        <f>IF(OR(All_Questions_Q_MS_EXPORT_CT="(None)",M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9">
        <f>IF(OR(All_Questions_Q_MS_EXPORT_CT="(None)",N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9">
        <f>IF(OR(All_Questions_Q_MS_EXPORT_CT="(None)",O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9">
        <f>IF(OR(All_Questions_Q_MS_EXPORT_CT="(None)",P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9">
        <f>IF(OR(All_Questions_Q_MS_EXPORT_CT="(None)",Q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9">
        <f>IF(OR(All_Questions_Q_MS_EXPORT_CT="(None)",R$26=""),"",IF(R$26="Other",COUNTIFS(Q_MS_EXPORTr2_data,"Selected",passes_workbook_filters_data,1,passes_workbook_custom_filters_data,1,All_Questions_passes_local_filters_data,1,All_Questions_Q_MS_EXPORT_F_passes_per_q_filter_data,1)-SUM(G29,H29,I29,J29,K29,L29,M29,N29,O29,P29,Q29)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9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30">
      <c r="A30" s="4" t="inlineStr">
        <is>
          <t>Total responses</t>
        </is>
      </c>
      <c r="B30" s="4" t="n">
        <v>7</v>
      </c>
      <c r="C30" s="4" t="n"/>
      <c r="D30" s="4" t="n"/>
      <c r="F30" s="4" t="inlineStr">
        <is>
          <t>Total respondents</t>
        </is>
      </c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32">
      <c r="A32" s="11" t="n"/>
      <c r="B32" s="11" t="n"/>
      <c r="C32" s="11" t="n"/>
      <c r="D32" s="11" t="n"/>
      <c r="E32" s="11" t="n"/>
      <c r="F32" s="11" t="n"/>
      <c r="G32" s="11" t="n"/>
      <c r="H32" s="11" t="n"/>
      <c r="I32" s="11" t="n"/>
      <c r="J32" s="11" t="n"/>
    </row>
    <row r="33">
      <c r="A33" s="12" t="inlineStr">
        <is>
          <t>Q_NUM_EXPORT - Numeric export question</t>
        </is>
      </c>
      <c r="B33" s="12" t="n"/>
      <c r="C33" s="12" t="n"/>
      <c r="D33" s="12" t="n"/>
      <c r="E33" s="12" t="n"/>
      <c r="F33" s="12" t="n"/>
      <c r="G33" s="12" t="n"/>
      <c r="H33" s="12" t="n"/>
      <c r="I33" s="12" t="n"/>
      <c r="J33" s="12" t="n"/>
      <c r="K33" s="12" t="n"/>
      <c r="L33" s="12" t="n"/>
      <c r="M33" s="12" t="n"/>
      <c r="N33" s="12" t="n"/>
    </row>
    <row r="34">
      <c r="A34" s="13" t="inlineStr">
        <is>
          <t>Per-question filter</t>
        </is>
      </c>
      <c r="B34" t="inlineStr">
        <is>
          <t>Filter Q</t>
        </is>
      </c>
      <c r="C34" t="inlineStr">
        <is>
          <t>(None)</t>
        </is>
      </c>
      <c r="D34" t="inlineStr">
        <is>
          <t>Value</t>
        </is>
      </c>
      <c r="E34" t="inlineStr">
        <is>
          <t>(All)</t>
        </is>
      </c>
      <c r="F34" t="str">
        <f>IFERROR(INDEX(All_Questions_Data_Names,MATCH(All_Questions_Q_NUM_EXPORT_F_Q,All_Questions,0)),"'_RawData'!$A:$A")</f>
        <v>respondent_id_data</v>
      </c>
      <c r="G34" t="str">
        <f>"|" &amp; SUBSTITUTE(All_Questions_Q_NUM_EXPORT_F_V, ", ", "|") &amp; "|"</f>
        <v>|(All)|</v>
      </c>
    </row>
    <row r="35">
      <c r="A35" s="13" t="inlineStr">
        <is>
          <t>Cross-tab by</t>
        </is>
      </c>
      <c r="C35" t="inlineStr">
        <is>
          <t>(None)</t>
        </is>
      </c>
    </row>
    <row r="37">
      <c r="A37" s="4" t="inlineStr">
        <is>
          <t>Metric</t>
        </is>
      </c>
      <c r="B37" s="4" t="inlineStr">
        <is>
          <t>Value</t>
        </is>
      </c>
      <c r="C37" s="4" t="inlineStr">
        <is>
          <t>Note</t>
        </is>
      </c>
      <c r="D37" s="4" t="inlineStr">
        <is>
          <t>Denominator</t>
        </is>
      </c>
    </row>
    <row r="38">
      <c r="A38" t="inlineStr">
        <is>
          <t>Mean</t>
        </is>
      </c>
      <c r="B38">
        <f>IFERROR(AVERAGEIFS(Q_NUM_EXPORT_data,passes_workbook_filters_data,1,passes_workbook_custom_filters_data,1,All_Questions_passes_local_filters_data,1,All_Questions_Q_NUM_EXPORT_F_passes_per_q_filter_data,1),0)</f>
        <v>5.5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Min</t>
        </is>
      </c>
      <c r="B39">
        <f>IFERROR(MINIFS(Q_NUM_EXPORT_data,passes_workbook_filters_data,1,passes_workbook_custom_filters_data,1,All_Questions_passes_local_filters_data,1,All_Questions_Q_NUM_EXPORT_F_passes_per_q_filter_data,1),0)</f>
        <v>1.0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Max</t>
        </is>
      </c>
      <c r="B40">
        <f>IFERROR(MAXIFS(Q_NUM_EXPORT_data,passes_workbook_filters_data,1,passes_workbook_custom_filters_data,1,All_Questions_passes_local_filters_data,1,All_Questions_Q_NUM_EXPORT_F_passes_per_q_filter_data,1),0)</f>
        <v>10.0</v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t="inlineStr">
        <is>
          <t>Std</t>
        </is>
      </c>
      <c r="B41" t="n">
        <v>2.9</v>
      </c>
      <c r="C41" t="inlineStr">
        <is>
          <t>static baseline</t>
        </is>
      </c>
      <c r="D41">
        <f>COUNTIFS(Q_NUM_EXPORT_data,"&lt;&gt;",passes_workbook_filters_data,1,passes_workbook_custom_filters_data,1,All_Questions_passes_local_filters_data,1,All_Questions_Q_NUM_EXPORT_F_passes_per_q_filter_data,1)</f>
        <v>10</v>
      </c>
    </row>
    <row r="42">
      <c r="A42" s="10" t="inlineStr">
        <is>
          <t>Median not available in filtered view - see static baseline in audit log.</t>
        </is>
      </c>
    </row>
    <row r="44">
      <c r="A44" s="11" t="n"/>
      <c r="B44" s="11" t="n"/>
      <c r="C44" s="11" t="n"/>
      <c r="D44" s="11" t="n"/>
      <c r="E44" s="11" t="n"/>
      <c r="F44" s="11" t="n"/>
      <c r="G44" s="11" t="n"/>
      <c r="H44" s="11" t="n"/>
      <c r="I44" s="11" t="n"/>
      <c r="J44" s="11" t="n"/>
    </row>
    <row r="45">
      <c r="A45" s="12" t="inlineStr">
        <is>
          <t>Q_GRID_EXPORT - Grid export question</t>
        </is>
      </c>
      <c r="B45" s="12" t="n"/>
      <c r="C45" s="12" t="n"/>
      <c r="D45" s="12" t="n"/>
      <c r="E45" s="12" t="n"/>
      <c r="F45" s="12" t="n"/>
      <c r="G45" s="12" t="n"/>
      <c r="H45" s="12" t="n"/>
      <c r="I45" s="12" t="n"/>
      <c r="J45" s="12" t="n"/>
      <c r="K45" s="12" t="n"/>
      <c r="L45" s="12" t="n"/>
      <c r="M45" s="12" t="n"/>
      <c r="N45" s="12" t="n"/>
    </row>
    <row r="46">
      <c r="A46" s="13" t="inlineStr">
        <is>
          <t>Per-question filter</t>
        </is>
      </c>
      <c r="B46" t="inlineStr">
        <is>
          <t>Filter Q</t>
        </is>
      </c>
      <c r="C46" t="inlineStr">
        <is>
          <t>(None)</t>
        </is>
      </c>
      <c r="D46" t="inlineStr">
        <is>
          <t>Value</t>
        </is>
      </c>
      <c r="E46" t="inlineStr">
        <is>
          <t>(All)</t>
        </is>
      </c>
      <c r="F46" t="str">
        <f>IFERROR(INDEX(All_Questions_Data_Names,MATCH(All_Questions_Q_GRID_EXPORT_F_Q,All_Questions,0)),"'_RawData'!$A:$A")</f>
        <v>respondent_id_data</v>
      </c>
      <c r="G46" t="str">
        <f>"|" &amp; SUBSTITUTE(All_Questions_Q_GRID_EXPORT_F_V, ", ", "|") &amp; "|"</f>
        <v>|(All)|</v>
      </c>
    </row>
    <row r="47">
      <c r="A47" s="13" t="inlineStr">
        <is>
          <t>Cross-tab by</t>
        </is>
      </c>
      <c r="C47" t="inlineStr">
        <is>
          <t>(None)</t>
        </is>
      </c>
    </row>
    <row r="49">
      <c r="A49" s="4" t="inlineStr">
        <is>
          <t>Option</t>
        </is>
      </c>
      <c r="B49" s="4" t="inlineStr">
        <is>
          <t>Count</t>
        </is>
      </c>
      <c r="C49" s="4" t="inlineStr">
        <is>
          <t>%</t>
        </is>
      </c>
      <c r="D49" s="4" t="inlineStr">
        <is>
          <t>Denominator</t>
        </is>
      </c>
      <c r="F49" s="4" t="inlineStr">
        <is>
          <t>Option</t>
        </is>
      </c>
      <c r="G49" s="2" t="str">
        <f>IF(All_Questions_Q_GRID_EXPORT_CT="(None)","",IFERROR(INDEX(INDIRECT(IFERROR(INDEX(All_Questions_Options_Names,MATCH(All_Questions_Q_GRID_EXPORT_CT,All_Questions,0)),"'_Options'!$E$2:$E$2")),2),""))</f>
        <v/>
      </c>
      <c r="H49" s="2" t="str">
        <f>IF(All_Questions_Q_GRID_EXPORT_CT="(None)","",IFERROR(INDEX(INDIRECT(IFERROR(INDEX(All_Questions_Options_Names,MATCH(All_Questions_Q_GRID_EXPORT_CT,All_Questions,0)),"'_Options'!$E$2:$E$2")),3),""))</f>
        <v/>
      </c>
      <c r="I49" s="2" t="str">
        <f>IF(All_Questions_Q_GRID_EXPORT_CT="(None)","",IFERROR(INDEX(INDIRECT(IFERROR(INDEX(All_Questions_Options_Names,MATCH(All_Questions_Q_GRID_EXPORT_CT,All_Questions,0)),"'_Options'!$E$2:$E$2")),4),""))</f>
        <v/>
      </c>
      <c r="J49" s="2" t="str">
        <f>IF(All_Questions_Q_GRID_EXPORT_CT="(None)","",IFERROR(INDEX(INDIRECT(IFERROR(INDEX(All_Questions_Options_Names,MATCH(All_Questions_Q_GRID_EXPORT_CT,All_Questions,0)),"'_Options'!$E$2:$E$2")),5),""))</f>
        <v/>
      </c>
      <c r="K49" s="2" t="str">
        <f>IF(All_Questions_Q_GRID_EXPORT_CT="(None)","",IFERROR(INDEX(INDIRECT(IFERROR(INDEX(All_Questions_Options_Names,MATCH(All_Questions_Q_GRID_EXPORT_CT,All_Questions,0)),"'_Options'!$E$2:$E$2")),6),""))</f>
        <v/>
      </c>
      <c r="L49" s="2" t="str">
        <f>IF(All_Questions_Q_GRID_EXPORT_CT="(None)","",IFERROR(INDEX(INDIRECT(IFERROR(INDEX(All_Questions_Options_Names,MATCH(All_Questions_Q_GRID_EXPORT_CT,All_Questions,0)),"'_Options'!$E$2:$E$2")),7),""))</f>
        <v/>
      </c>
      <c r="M49" s="2" t="str">
        <f>IF(All_Questions_Q_GRID_EXPORT_CT="(None)","",IFERROR(INDEX(INDIRECT(IFERROR(INDEX(All_Questions_Options_Names,MATCH(All_Questions_Q_GRID_EXPORT_CT,All_Questions,0)),"'_Options'!$E$2:$E$2")),8),""))</f>
        <v/>
      </c>
      <c r="N49" s="2" t="str">
        <f>IF(All_Questions_Q_GRID_EXPORT_CT="(None)","",IFERROR(INDEX(INDIRECT(IFERROR(INDEX(All_Questions_Options_Names,MATCH(All_Questions_Q_GRID_EXPORT_CT,All_Questions,0)),"'_Options'!$E$2:$E$2")),9),""))</f>
        <v/>
      </c>
      <c r="O49" s="2" t="str">
        <f>IF(All_Questions_Q_GRID_EXPORT_CT="(None)","",IFERROR(INDEX(INDIRECT(IFERROR(INDEX(All_Questions_Options_Names,MATCH(All_Questions_Q_GRID_EXPORT_CT,All_Questions,0)),"'_Options'!$E$2:$E$2")),10),""))</f>
        <v/>
      </c>
      <c r="P49" s="2" t="str">
        <f>IF(All_Questions_Q_GRID_EXPORT_CT="(None)","",IFERROR(INDEX(INDIRECT(IFERROR(INDEX(All_Questions_Options_Names,MATCH(All_Questions_Q_GRID_EXPORT_CT,All_Questions,0)),"'_Options'!$E$2:$E$2")),11),""))</f>
        <v/>
      </c>
      <c r="Q49" s="2" t="str">
        <f>IF(All_Questions_Q_GRID_EXPORT_CT="(None)","",IFERROR(INDEX(INDIRECT(IFERROR(INDEX(All_Questions_Options_Names,MATCH(All_Questions_Q_GRID_EXPORT_CT,All_Questions,0)),"'_Options'!$E$2:$E$2")),12),""))</f>
        <v/>
      </c>
      <c r="R49" s="2" t="str">
        <f>IF(All_Questions_Q_GRID_EXPORT_CT="(None)","",IF(COUNTA(INDIRECT(IFERROR(INDEX(All_Questions_Options_Names,MATCH(All_Questions_Q_GRID_EXPORT_CT,All_Questions,0)),"'_Options'!$E$2:$E$2")))-1&gt;11,"Other",IFERROR(INDEX(INDIRECT(IFERROR(INDEX(All_Questions_Options_Names,MATCH(All_Questions_Q_GRID_EXPORT_CT,All_Questions,0)),"'_Options'!$E$2:$E$2")),13),"")))</f>
        <v/>
      </c>
      <c r="S49" s="4" t="inlineStr">
        <is>
          <t>Total</t>
        </is>
      </c>
    </row>
    <row r="50">
      <c r="A50" t="inlineStr">
        <is>
          <t>Grid first row</t>
        </is>
      </c>
      <c r="B50">
        <f>COUNTIFS(Q_GRID_EXPORTr1_data,"Selected",passes_workbook_filters_data,1,passes_workbook_custom_filters_data,1,All_Questions_passes_local_filters_data,1,All_Questions_Q_GRID_EXPORT_F_passes_per_q_filter_data,1)</f>
        <v>10</v>
      </c>
      <c r="C50" s="7">
        <f>IFERROR(B50/SUBTOTAL(9,B50:B51),0)</f>
        <v>0.5</v>
      </c>
      <c r="D50" s="14">
        <f>SUBTOTAL(9,B50:B51)</f>
        <v>20</v>
      </c>
      <c r="F50" s="4" t="inlineStr"/>
      <c r="G50" s="4" t="inlineStr">
        <is>
          <t># of resp</t>
        </is>
      </c>
      <c r="H50" s="4" t="inlineStr">
        <is>
          <t># of resp</t>
        </is>
      </c>
      <c r="I50" s="4" t="inlineStr">
        <is>
          <t># of resp</t>
        </is>
      </c>
      <c r="J50" s="4" t="inlineStr">
        <is>
          <t># of resp</t>
        </is>
      </c>
      <c r="K50" s="4" t="inlineStr">
        <is>
          <t># of resp</t>
        </is>
      </c>
      <c r="L50" s="4" t="inlineStr">
        <is>
          <t># of resp</t>
        </is>
      </c>
      <c r="M50" s="4" t="inlineStr">
        <is>
          <t># of resp</t>
        </is>
      </c>
      <c r="N50" s="4" t="inlineStr">
        <is>
          <t># of resp</t>
        </is>
      </c>
      <c r="O50" s="4" t="inlineStr">
        <is>
          <t># of resp</t>
        </is>
      </c>
      <c r="P50" s="4" t="inlineStr">
        <is>
          <t># of resp</t>
        </is>
      </c>
      <c r="Q50" s="4" t="inlineStr">
        <is>
          <t># of resp</t>
        </is>
      </c>
      <c r="R50" s="4" t="inlineStr">
        <is>
          <t># of resp</t>
        </is>
      </c>
      <c r="S50" s="4" t="inlineStr">
        <is>
          <t># of resp</t>
        </is>
      </c>
    </row>
    <row r="51">
      <c r="A51" t="inlineStr">
        <is>
          <t>Grid second row</t>
        </is>
      </c>
      <c r="B51">
        <f>COUNTIFS(Q_GRID_EXPORTr2_data,"Selected",passes_workbook_filters_data,1,passes_workbook_custom_filters_data,1,All_Questions_passes_local_filters_data,1,All_Questions_Q_GRID_EXPORT_F_passes_per_q_filter_data,1)</f>
        <v>10</v>
      </c>
      <c r="C51" s="7">
        <f>IFERROR(B51/SUBTOTAL(9,B50:B51),0)</f>
        <v>0.5</v>
      </c>
      <c r="D51" s="14">
        <f>SUBTOTAL(9,B50:B51)</f>
        <v>20</v>
      </c>
      <c r="F51" t="inlineStr">
        <is>
          <t>Grid first row</t>
        </is>
      </c>
      <c r="G51">
        <f>IF(OR(All_Questions_Q_GRID_EXPORT_CT="(None)",G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1">
        <f>IF(OR(All_Questions_Q_GRID_EXPORT_CT="(None)",H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1">
        <f>IF(OR(All_Questions_Q_GRID_EXPORT_CT="(None)",I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1">
        <f>IF(OR(All_Questions_Q_GRID_EXPORT_CT="(None)",J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1">
        <f>IF(OR(All_Questions_Q_GRID_EXPORT_CT="(None)",K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1">
        <f>IF(OR(All_Questions_Q_GRID_EXPORT_CT="(None)",L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1">
        <f>IF(OR(All_Questions_Q_GRID_EXPORT_CT="(None)",M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1">
        <f>IF(OR(All_Questions_Q_GRID_EXPORT_CT="(None)",N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1">
        <f>IF(OR(All_Questions_Q_GRID_EXPORT_CT="(None)",O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1">
        <f>IF(OR(All_Questions_Q_GRID_EXPORT_CT="(None)",P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1">
        <f>IF(OR(All_Questions_Q_GRID_EXPORT_CT="(None)",Q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1">
        <f>IF(OR(All_Questions_Q_GRID_EXPORT_CT="(None)",R$49=""),"",IF(R$49="Other",COUNTIFS(Q_GRID_EXPORTr1_data,"Selected",passes_workbook_filters_data,1,passes_workbook_custom_filters_data,1,All_Questions_passes_local_filters_data,1,All_Questions_Q_GRID_EXPORT_F_passes_per_q_filter_data,1)-SUM(G51,H51,I51,J51,K51,L51,M51,N51,O51,P51,Q51)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1">
        <f>IF(All_Questions_Q_GRID_EXPORT_CT="(None)","",COUNTIFS(Q_GRID_EXPORTr1_data,"Selected",passes_workbook_filters_data,1,passes_workbook_custom_filters_data,1,All_Questions_passes_local_filters_data,1,All_Questions_Q_GRID_EXPORT_F_passes_per_q_filter_data,1))</f>
        <v>0</v>
      </c>
    </row>
    <row r="52">
      <c r="A52" s="15" t="inlineStr">
        <is>
          <t>Total respondents</t>
        </is>
      </c>
      <c r="B52" s="15" t="n">
        <v>10</v>
      </c>
      <c r="C52" s="15" t="n"/>
      <c r="D52" s="15" t="n"/>
      <c r="F52" t="inlineStr">
        <is>
          <t>Grid second row</t>
        </is>
      </c>
      <c r="G52">
        <f>IF(OR(All_Questions_Q_GRID_EXPORT_CT="(None)",G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2">
        <f>IF(OR(All_Questions_Q_GRID_EXPORT_CT="(None)",H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2">
        <f>IF(OR(All_Questions_Q_GRID_EXPORT_CT="(None)",I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2">
        <f>IF(OR(All_Questions_Q_GRID_EXPORT_CT="(None)",J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2">
        <f>IF(OR(All_Questions_Q_GRID_EXPORT_CT="(None)",K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2">
        <f>IF(OR(All_Questions_Q_GRID_EXPORT_CT="(None)",L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2">
        <f>IF(OR(All_Questions_Q_GRID_EXPORT_CT="(None)",M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2">
        <f>IF(OR(All_Questions_Q_GRID_EXPORT_CT="(None)",N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2">
        <f>IF(OR(All_Questions_Q_GRID_EXPORT_CT="(None)",O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2">
        <f>IF(OR(All_Questions_Q_GRID_EXPORT_CT="(None)",P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2">
        <f>IF(OR(All_Questions_Q_GRID_EXPORT_CT="(None)",Q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2">
        <f>IF(OR(All_Questions_Q_GRID_EXPORT_CT="(None)",R$49=""),"",IF(R$49="Other",COUNTIFS(Q_GRID_EXPORTr2_data,"Selected",passes_workbook_filters_data,1,passes_workbook_custom_filters_data,1,All_Questions_passes_local_filters_data,1,All_Questions_Q_GRID_EXPORT_F_passes_per_q_filter_data,1)-SUM(G52,H52,I52,J52,K52,L52,M52,N52,O52,P52,Q52)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2">
        <f>IF(All_Questions_Q_GRID_EXPORT_CT="(None)","",COUNTIFS(Q_GRID_EXPORTr2_data,"Selected",passes_workbook_filters_data,1,passes_workbook_custom_filters_data,1,All_Questions_passes_local_filters_data,1,All_Questions_Q_GRID_EXPORT_F_passes_per_q_filter_data,1))</f>
        <v>0</v>
      </c>
    </row>
    <row r="53">
      <c r="A53" s="4" t="inlineStr">
        <is>
          <t>Total responses</t>
        </is>
      </c>
      <c r="B53" s="4" t="n">
        <v>20</v>
      </c>
      <c r="C53" s="4" t="n"/>
      <c r="D53" s="4" t="n"/>
      <c r="F53" s="4" t="inlineStr">
        <is>
          <t>Total respondents</t>
        </is>
      </c>
      <c r="G53" s="2" t="n"/>
      <c r="H53" s="2" t="n"/>
      <c r="I53" s="2" t="n"/>
      <c r="J53" s="2" t="n"/>
      <c r="K53" s="2" t="n"/>
      <c r="L53" s="2" t="n"/>
      <c r="M53" s="2" t="n"/>
      <c r="N53" s="2" t="n"/>
      <c r="O53" s="2" t="n"/>
      <c r="P53" s="2" t="n"/>
      <c r="Q53" s="2" t="n"/>
      <c r="R53" s="2" t="n"/>
      <c r="S53" s="2">
        <f>IF(All_Questions_Q_GRID_EXPORT_CT="(None)","",COUNTIFS(respondent_id_data,"&lt;&gt;",passes_workbook_filters_data,1,passes_workbook_custom_filters_data,1,All_Questions_passes_local_filters_data,1,All_Questions_Q_GRID_EXPORT_F_passes_per_q_filter_data,1))</f>
        <v>0</v>
      </c>
    </row>
    <row r="55">
      <c r="A55" s="11" t="n"/>
      <c r="B55" s="11" t="n"/>
      <c r="C55" s="11" t="n"/>
      <c r="D55" s="11" t="n"/>
      <c r="E55" s="11" t="n"/>
      <c r="F55" s="11" t="n"/>
      <c r="G55" s="11" t="n"/>
      <c r="H55" s="11" t="n"/>
      <c r="I55" s="11" t="n"/>
      <c r="J55" s="11" t="n"/>
    </row>
    <row r="56">
      <c r="A56" s="12" t="inlineStr">
        <is>
          <t>Q_VERY_LONG_SINGLE_SELECT_EXPORT_NAME - Long sheet name export question</t>
        </is>
      </c>
      <c r="B56" s="12" t="n"/>
      <c r="C56" s="12" t="n"/>
      <c r="D56" s="12" t="n"/>
      <c r="E56" s="12" t="n"/>
      <c r="F56" s="12" t="n"/>
      <c r="G56" s="12" t="n"/>
      <c r="H56" s="12" t="n"/>
      <c r="I56" s="12" t="n"/>
      <c r="J56" s="12" t="n"/>
      <c r="K56" s="12" t="n"/>
      <c r="L56" s="12" t="n"/>
      <c r="M56" s="12" t="n"/>
      <c r="N56" s="12" t="n"/>
    </row>
    <row r="57">
      <c r="A57" s="13" t="inlineStr">
        <is>
          <t>Per-question filter</t>
        </is>
      </c>
      <c r="B57" t="inlineStr">
        <is>
          <t>Filter Q</t>
        </is>
      </c>
      <c r="C57" t="inlineStr">
        <is>
          <t>(None)</t>
        </is>
      </c>
      <c r="D57" t="inlineStr">
        <is>
          <t>Value</t>
        </is>
      </c>
      <c r="E57" t="inlineStr">
        <is>
          <t>(All)</t>
        </is>
      </c>
      <c r="F57" t="str">
        <f>IFERROR(INDEX(All_Questions_Data_Names,MATCH(All_Questions_Q_VERY_LONG_SINGLE_SELECT_EXPORT_NAME_F_Q,All_Questions,0)),"'_RawData'!$A:$A")</f>
        <v>respondent_id_data</v>
      </c>
      <c r="G57" t="str">
        <f>"|" &amp; SUBSTITUTE(All_Questions_Q_VERY_LONG_SINGLE_SELECT_EXPORT_NAME_F_V, ", ", "|") &amp; "|"</f>
        <v>|(All)|</v>
      </c>
    </row>
    <row r="58">
      <c r="A58" s="13" t="inlineStr">
        <is>
          <t>Cross-tab by</t>
        </is>
      </c>
      <c r="C58" t="inlineStr">
        <is>
          <t>(None)</t>
        </is>
      </c>
    </row>
    <row r="60">
      <c r="A60" s="4" t="inlineStr">
        <is>
          <t>Option</t>
        </is>
      </c>
      <c r="B60" s="4" t="inlineStr">
        <is>
          <t>Count</t>
        </is>
      </c>
      <c r="C60" s="4" t="inlineStr">
        <is>
          <t>%</t>
        </is>
      </c>
      <c r="D60" s="4" t="inlineStr">
        <is>
          <t>Denominator</t>
        </is>
      </c>
      <c r="F60" s="4" t="inlineStr">
        <is>
          <t>Option</t>
        </is>
      </c>
      <c r="G60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60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60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60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60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60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60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60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60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60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60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60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60" s="4" t="inlineStr">
        <is>
          <t>Total</t>
        </is>
      </c>
    </row>
    <row r="61">
      <c r="A61" t="inlineStr">
        <is>
          <t>A</t>
        </is>
      </c>
      <c r="B61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61" s="7">
        <f>IFERROR(B61/SUBTOTAL(9,B61:B62),0)</f>
        <v>0.7</v>
      </c>
      <c r="D61" s="14">
        <f>SUBTOTAL(9,B61:B62)</f>
        <v>10</v>
      </c>
      <c r="F61" s="4" t="inlineStr"/>
      <c r="G61" s="4" t="inlineStr">
        <is>
          <t># of resp</t>
        </is>
      </c>
      <c r="H61" s="4" t="inlineStr">
        <is>
          <t># of resp</t>
        </is>
      </c>
      <c r="I61" s="4" t="inlineStr">
        <is>
          <t># of resp</t>
        </is>
      </c>
      <c r="J61" s="4" t="inlineStr">
        <is>
          <t># of resp</t>
        </is>
      </c>
      <c r="K61" s="4" t="inlineStr">
        <is>
          <t># of resp</t>
        </is>
      </c>
      <c r="L61" s="4" t="inlineStr">
        <is>
          <t># of resp</t>
        </is>
      </c>
      <c r="M61" s="4" t="inlineStr">
        <is>
          <t># of resp</t>
        </is>
      </c>
      <c r="N61" s="4" t="inlineStr">
        <is>
          <t># of resp</t>
        </is>
      </c>
      <c r="O61" s="4" t="inlineStr">
        <is>
          <t># of resp</t>
        </is>
      </c>
      <c r="P61" s="4" t="inlineStr">
        <is>
          <t># of resp</t>
        </is>
      </c>
      <c r="Q61" s="4" t="inlineStr">
        <is>
          <t># of resp</t>
        </is>
      </c>
      <c r="R61" s="4" t="inlineStr">
        <is>
          <t># of resp</t>
        </is>
      </c>
      <c r="S61" s="4" t="inlineStr">
        <is>
          <t># of resp</t>
        </is>
      </c>
    </row>
    <row r="62">
      <c r="A62" t="inlineStr">
        <is>
          <t>B</t>
        </is>
      </c>
      <c r="B62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2" s="7">
        <f>IFERROR(B62/SUBTOTAL(9,B61:B62),0)</f>
        <v>0.3</v>
      </c>
      <c r="D62" s="14">
        <f>SUBTOTAL(9,B61:B62)</f>
        <v>10</v>
      </c>
      <c r="F62" t="inlineStr">
        <is>
          <t>A</t>
        </is>
      </c>
      <c r="G62">
        <f>IF(OR(All_Questions_Q_VERY_LONG_SINGLE_SELECT_EXPORT_NAME_CT="(None)",G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2">
        <f>IF(OR(All_Questions_Q_VERY_LONG_SINGLE_SELECT_EXPORT_NAME_CT="(None)",H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2">
        <f>IF(OR(All_Questions_Q_VERY_LONG_SINGLE_SELECT_EXPORT_NAME_CT="(None)",I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2">
        <f>IF(OR(All_Questions_Q_VERY_LONG_SINGLE_SELECT_EXPORT_NAME_CT="(None)",J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2">
        <f>IF(OR(All_Questions_Q_VERY_LONG_SINGLE_SELECT_EXPORT_NAME_CT="(None)",K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2">
        <f>IF(OR(All_Questions_Q_VERY_LONG_SINGLE_SELECT_EXPORT_NAME_CT="(None)",L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2">
        <f>IF(OR(All_Questions_Q_VERY_LONG_SINGLE_SELECT_EXPORT_NAME_CT="(None)",M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2">
        <f>IF(OR(All_Questions_Q_VERY_LONG_SINGLE_SELECT_EXPORT_NAME_CT="(None)",N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2">
        <f>IF(OR(All_Questions_Q_VERY_LONG_SINGLE_SELECT_EXPORT_NAME_CT="(None)",O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2">
        <f>IF(OR(All_Questions_Q_VERY_LONG_SINGLE_SELECT_EXPORT_NAME_CT="(None)",P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2">
        <f>IF(OR(All_Questions_Q_VERY_LONG_SINGLE_SELECT_EXPORT_NAME_CT="(None)",Q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2">
        <f>IF(OR(All_Questions_Q_VERY_LONG_SINGLE_SELECT_EXPORT_NAME_CT="(None)",R$60=""),"",IF(R$60="Other",COUNTIFS(Q_VERY_LONG_SINGLE_SELECT_EXPOR_data,"A",passes_workbook_filters_data,1,passes_workbook_custom_filters_data,1,All_Questions_passes_local_filters_data,1,All_Questions_Q_VERY_LONG_SINGLE_SELECT_EXPORT_NAME_F_passes_per_q_filter_data,1)-SUM(G62,H62,I62,J62,K62,L62,M62,N62,O62,P62,Q62)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2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63">
      <c r="A63" s="15" t="inlineStr">
        <is>
          <t>Total respondents</t>
        </is>
      </c>
      <c r="B63" s="15" t="n">
        <v>10</v>
      </c>
      <c r="C63" s="15" t="n"/>
      <c r="D63" s="15" t="n"/>
      <c r="F63" t="inlineStr">
        <is>
          <t>B</t>
        </is>
      </c>
      <c r="G63">
        <f>IF(OR(All_Questions_Q_VERY_LONG_SINGLE_SELECT_EXPORT_NAME_CT="(None)",G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3">
        <f>IF(OR(All_Questions_Q_VERY_LONG_SINGLE_SELECT_EXPORT_NAME_CT="(None)",H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3">
        <f>IF(OR(All_Questions_Q_VERY_LONG_SINGLE_SELECT_EXPORT_NAME_CT="(None)",I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3">
        <f>IF(OR(All_Questions_Q_VERY_LONG_SINGLE_SELECT_EXPORT_NAME_CT="(None)",J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3">
        <f>IF(OR(All_Questions_Q_VERY_LONG_SINGLE_SELECT_EXPORT_NAME_CT="(None)",K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3">
        <f>IF(OR(All_Questions_Q_VERY_LONG_SINGLE_SELECT_EXPORT_NAME_CT="(None)",L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3">
        <f>IF(OR(All_Questions_Q_VERY_LONG_SINGLE_SELECT_EXPORT_NAME_CT="(None)",M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3">
        <f>IF(OR(All_Questions_Q_VERY_LONG_SINGLE_SELECT_EXPORT_NAME_CT="(None)",N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3">
        <f>IF(OR(All_Questions_Q_VERY_LONG_SINGLE_SELECT_EXPORT_NAME_CT="(None)",O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3">
        <f>IF(OR(All_Questions_Q_VERY_LONG_SINGLE_SELECT_EXPORT_NAME_CT="(None)",P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3">
        <f>IF(OR(All_Questions_Q_VERY_LONG_SINGLE_SELECT_EXPORT_NAME_CT="(None)",Q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3">
        <f>IF(OR(All_Questions_Q_VERY_LONG_SINGLE_SELECT_EXPORT_NAME_CT="(None)",R$60=""),"",IF(R$60="Other",COUNTIFS(Q_VERY_LONG_SINGLE_SELECT_EXPOR_data,"B",passes_workbook_filters_data,1,passes_workbook_custom_filters_data,1,All_Questions_passes_local_filters_data,1,All_Questions_Q_VERY_LONG_SINGLE_SELECT_EXPORT_NAME_F_passes_per_q_filter_data,1)-SUM(G63,H63,I63,J63,K63,L63,M63,N63,O63,P63,Q63)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3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64">
      <c r="F64" s="4" t="inlineStr">
        <is>
          <t>Total respondents</t>
        </is>
      </c>
      <c r="G64" s="2" t="n"/>
      <c r="H64" s="2" t="n"/>
      <c r="I64" s="2" t="n"/>
      <c r="J64" s="2" t="n"/>
      <c r="K64" s="2" t="n"/>
      <c r="L64" s="2" t="n"/>
      <c r="M64" s="2" t="n"/>
      <c r="N64" s="2" t="n"/>
      <c r="O64" s="2" t="n"/>
      <c r="P64" s="2" t="n"/>
      <c r="Q64" s="2" t="n"/>
      <c r="R64" s="2" t="n"/>
      <c r="S64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8:G29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8:H29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8:I29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8:J29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8:K29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8:L29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8:M29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8:N29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8:O29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8:P29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8:Q29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8:R29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0:B51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0:C51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1:G52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51:H52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51:I52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51:J52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51:K52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51:L52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51:M52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51:N52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51:O52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51:P52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51:Q52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51:R52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61:B62">
    <cfRule type="colorScale" priority="4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61:C62">
    <cfRule type="colorScale" priority="4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62:G63">
    <cfRule type="colorScale" priority="4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62:H63">
    <cfRule type="colorScale" priority="4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62:I63">
    <cfRule type="colorScale" priority="4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62:J63">
    <cfRule type="colorScale" priority="4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62:K63">
    <cfRule type="colorScale" priority="4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62:L63">
    <cfRule type="colorScale" priority="5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62:M63">
    <cfRule type="colorScale" priority="5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62:N63">
    <cfRule type="colorScale" priority="5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62:O63">
    <cfRule type="colorScale" priority="5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62:P63">
    <cfRule type="colorScale" priority="5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62:Q63">
    <cfRule type="colorScale" priority="5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62:R63">
    <cfRule type="colorScale" priority="5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=INDIRECT(IFERROR(INDEX(All_Questions_Options_Names,MATCH(All_Questions_Q_SS_EXPORT_F_Q,All_Questions,0)),"'_Options'!$E$2:$E$2"))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24" showDropDown="0" showInputMessage="0" showErrorMessage="0" allowBlank="1" type="list">
      <formula1>=All_Questions</formula1>
    </dataValidation>
    <dataValidation sqref="C34" showDropDown="0" showInputMessage="0" showErrorMessage="0" allowBlank="1" type="list">
      <formula1>=All_Questions</formula1>
    </dataValidation>
    <dataValidation sqref="E34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35" showDropDown="0" showInputMessage="0" showErrorMessage="0" allowBlank="1" type="list">
      <formula1>=All_Questions</formula1>
    </dataValidation>
    <dataValidation sqref="C46" showDropDown="0" showInputMessage="0" showErrorMessage="0" allowBlank="1" type="list">
      <formula1>=All_Questions</formula1>
    </dataValidation>
    <dataValidation sqref="E46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47" showDropDown="0" showInputMessage="0" showErrorMessage="0" allowBlank="1" type="list">
      <formula1>=All_Questions</formula1>
    </dataValidation>
    <dataValidation sqref="C57" showDropDown="0" showInputMessage="0" showErrorMessage="0" allowBlank="1" type="list">
      <formula1>=All_Questions</formula1>
    </dataValidation>
    <dataValidation sqref="E57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58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5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  <tablePart xmlns:r="http://schemas.openxmlformats.org/officeDocument/2006/relationships" r:id="rId5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7" customWidth="1" min="2" max="2"/>
    <col width="39" customWidth="1" min="3" max="3"/>
    <col width="39" customWidth="1" min="4" max="4"/>
    <col width="8" customWidth="1" min="5" max="5"/>
    <col width="11" customWidth="1" min="6" max="6"/>
    <col width="13" customWidth="1" min="7" max="7"/>
    <col width="25" customWidth="1" min="8" max="8"/>
    <col width="11" customWidth="1" min="9" max="9"/>
    <col width="9" customWidth="1" min="10" max="10"/>
    <col width="11" customWidth="1" min="11" max="11"/>
    <col width="27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2026-05-29T12:46:21Z</dcterms:created>
  <dcterms:modified xmlns:dcterms="http://purl.org/dc/terms/" xmlns:xsi="http://www.w3.org/2001/XMLSchema-instance" xsi:type="dcterms:W3CDTF">2026-05-29T12:46:25Z</dcterms:modified>
</cp:coreProperties>
</file>