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All_Questions_Q_NPS_F_wrapped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All_Questions_Q_NPS_F_wrapped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All_Questions_Q_NPS_F_wrapped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All_Questions_Q_NPS_F_wrapped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All_Questions_Q_NPS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IFERROR(INDEX(All_Questions_Data_Names,MATCH(All_Questions_Q_NPS_F_Q,All_Questions,0)),"'_RawData'!$A:$A")</f>
        <v>respondent_id_data</v>
      </c>
      <c r="G13" t="str">
        <f>"|" &amp; SUBSTITUTE(All_Questions_Q_NPS_F_V,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IF(All_Questions_Q_NPS_CT="(None)","",IFERROR(INDEX(INDIRECT(IFERROR(INDEX(All_Questions_Options_Names,MATCH(All_Questions_Q_NPS_CT,All_Questions,0)),"'_Options'!$E$2:$E$2")),2),""))</f>
        <v/>
      </c>
      <c r="H21" s="2" t="str">
        <f>IF(All_Questions_Q_NPS_CT="(None)","",IFERROR(INDEX(INDIRECT(IFERROR(INDEX(All_Questions_Options_Names,MATCH(All_Questions_Q_NPS_CT,All_Questions,0)),"'_Options'!$E$2:$E$2")),3),""))</f>
        <v/>
      </c>
      <c r="I21" s="2" t="str">
        <f>IF(All_Questions_Q_NPS_CT="(None)","",IFERROR(INDEX(INDIRECT(IFERROR(INDEX(All_Questions_Options_Names,MATCH(All_Questions_Q_NPS_CT,All_Questions,0)),"'_Options'!$E$2:$E$2")),4),""))</f>
        <v/>
      </c>
      <c r="J21" s="2" t="str">
        <f>IF(All_Questions_Q_NPS_CT="(None)","",IFERROR(INDEX(INDIRECT(IFERROR(INDEX(All_Questions_Options_Names,MATCH(All_Questions_Q_NPS_CT,All_Questions,0)),"'_Options'!$E$2:$E$2")),5),""))</f>
        <v/>
      </c>
      <c r="K21" s="2" t="str">
        <f>IF(All_Questions_Q_NPS_CT="(None)","",IFERROR(INDEX(INDIRECT(IFERROR(INDEX(All_Questions_Options_Names,MATCH(All_Questions_Q_NPS_CT,All_Questions,0)),"'_Options'!$E$2:$E$2")),6),""))</f>
        <v/>
      </c>
      <c r="L21" s="2" t="str">
        <f>IF(All_Questions_Q_NPS_CT="(None)","",IFERROR(INDEX(INDIRECT(IFERROR(INDEX(All_Questions_Options_Names,MATCH(All_Questions_Q_NPS_CT,All_Questions,0)),"'_Options'!$E$2:$E$2")),7),""))</f>
        <v/>
      </c>
      <c r="M21" s="2" t="str">
        <f>IF(All_Questions_Q_NPS_CT="(None)","",IFERROR(INDEX(INDIRECT(IFERROR(INDEX(All_Questions_Options_Names,MATCH(All_Questions_Q_NPS_CT,All_Questions,0)),"'_Options'!$E$2:$E$2")),8),""))</f>
        <v/>
      </c>
      <c r="N21" s="2" t="str">
        <f>IF(All_Questions_Q_NPS_CT="(None)","",IFERROR(INDEX(INDIRECT(IFERROR(INDEX(All_Questions_Options_Names,MATCH(All_Questions_Q_NPS_CT,All_Questions,0)),"'_Options'!$E$2:$E$2")),9),""))</f>
        <v/>
      </c>
      <c r="O21" s="2" t="str">
        <f>IF(All_Questions_Q_NPS_CT="(None)","",IFERROR(INDEX(INDIRECT(IFERROR(INDEX(All_Questions_Options_Names,MATCH(All_Questions_Q_NPS_CT,All_Questions,0)),"'_Options'!$E$2:$E$2")),10),""))</f>
        <v/>
      </c>
      <c r="P21" s="2" t="str">
        <f>IF(All_Questions_Q_NPS_CT="(None)","",IFERROR(INDEX(INDIRECT(IFERROR(INDEX(All_Questions_Options_Names,MATCH(All_Questions_Q_NPS_CT,All_Questions,0)),"'_Options'!$E$2:$E$2")),11),""))</f>
        <v/>
      </c>
      <c r="Q21" s="2" t="str">
        <f>IF(All_Questions_Q_NPS_CT="(None)","",IFERROR(INDEX(INDIRECT(IFERROR(INDEX(All_Questions_Options_Names,MATCH(All_Questions_Q_NPS_CT,All_Questions,0)),"'_Options'!$E$2:$E$2")),12),""))</f>
        <v/>
      </c>
      <c r="R21" s="2" t="str">
        <f>IF(All_Questions_Q_NPS_CT="(None)","",IF(COUNTA(INDIRECT(IFERROR(INDEX(All_Questions_Options_Names,MATCH(All_Questions_Q_NPS_CT,All_Questions,0)),"'_Options'!$E$2:$E$2")))-1&gt;11,"Other",IFERROR(INDEX(INDIRECT(IFERROR(INDEX(All_Questions_Options_Names,MATCH(All_Questions_Q_NPS_CT,All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IF(SC_Q_NPS_Q_NPS_CT="(None)","",IFERROR(INDEX(INDIRECT(IFERROR(INDEX(All_Questions_Options_Names,MATCH(SC_Q_NPS_Q_NPS_CT,All_Questions,0)),"'_Options'!$E$2:$E$2")),2),""))</f>
        <v/>
      </c>
      <c r="H8" s="2" t="str">
        <f>IF(SC_Q_NPS_Q_NPS_CT="(None)","",IFERROR(INDEX(INDIRECT(IFERROR(INDEX(All_Questions_Options_Names,MATCH(SC_Q_NPS_Q_NPS_CT,All_Questions,0)),"'_Options'!$E$2:$E$2")),3),""))</f>
        <v/>
      </c>
      <c r="I8" s="2" t="str">
        <f>IF(SC_Q_NPS_Q_NPS_CT="(None)","",IFERROR(INDEX(INDIRECT(IFERROR(INDEX(All_Questions_Options_Names,MATCH(SC_Q_NPS_Q_NPS_CT,All_Questions,0)),"'_Options'!$E$2:$E$2")),4),""))</f>
        <v/>
      </c>
      <c r="J8" s="2" t="str">
        <f>IF(SC_Q_NPS_Q_NPS_CT="(None)","",IFERROR(INDEX(INDIRECT(IFERROR(INDEX(All_Questions_Options_Names,MATCH(SC_Q_NPS_Q_NPS_CT,All_Questions,0)),"'_Options'!$E$2:$E$2")),5),""))</f>
        <v/>
      </c>
      <c r="K8" s="2" t="str">
        <f>IF(SC_Q_NPS_Q_NPS_CT="(None)","",IFERROR(INDEX(INDIRECT(IFERROR(INDEX(All_Questions_Options_Names,MATCH(SC_Q_NPS_Q_NPS_CT,All_Questions,0)),"'_Options'!$E$2:$E$2")),6),""))</f>
        <v/>
      </c>
      <c r="L8" s="2" t="str">
        <f>IF(SC_Q_NPS_Q_NPS_CT="(None)","",IFERROR(INDEX(INDIRECT(IFERROR(INDEX(All_Questions_Options_Names,MATCH(SC_Q_NPS_Q_NPS_CT,All_Questions,0)),"'_Options'!$E$2:$E$2")),7),""))</f>
        <v/>
      </c>
      <c r="M8" s="2" t="str">
        <f>IF(SC_Q_NPS_Q_NPS_CT="(None)","",IFERROR(INDEX(INDIRECT(IFERROR(INDEX(All_Questions_Options_Names,MATCH(SC_Q_NPS_Q_NPS_CT,All_Questions,0)),"'_Options'!$E$2:$E$2")),8),""))</f>
        <v/>
      </c>
      <c r="N8" s="2" t="str">
        <f>IF(SC_Q_NPS_Q_NPS_CT="(None)","",IFERROR(INDEX(INDIRECT(IFERROR(INDEX(All_Questions_Options_Names,MATCH(SC_Q_NPS_Q_NPS_CT,All_Questions,0)),"'_Options'!$E$2:$E$2")),9),""))</f>
        <v/>
      </c>
      <c r="O8" s="2" t="str">
        <f>IF(SC_Q_NPS_Q_NPS_CT="(None)","",IFERROR(INDEX(INDIRECT(IFERROR(INDEX(All_Questions_Options_Names,MATCH(SC_Q_NPS_Q_NPS_CT,All_Questions,0)),"'_Options'!$E$2:$E$2")),10),""))</f>
        <v/>
      </c>
      <c r="P8" s="2" t="str">
        <f>IF(SC_Q_NPS_Q_NPS_CT="(None)","",IFERROR(INDEX(INDIRECT(IFERROR(INDEX(All_Questions_Options_Names,MATCH(SC_Q_NPS_Q_NPS_CT,All_Questions,0)),"'_Options'!$E$2:$E$2")),11),""))</f>
        <v/>
      </c>
      <c r="Q8" s="2" t="str">
        <f>IF(SC_Q_NPS_Q_NPS_CT="(None)","",IFERROR(INDEX(INDIRECT(IFERROR(INDEX(All_Questions_Options_Names,MATCH(SC_Q_NPS_Q_NPS_CT,All_Questions,0)),"'_Options'!$E$2:$E$2")),12),""))</f>
        <v/>
      </c>
      <c r="R8" s="2" t="str">
        <f>IF(SC_Q_NPS_Q_NPS_CT="(None)","",IF(COUNTA(INDIRECT(IFERROR(INDEX(All_Questions_Options_Names,MATCH(SC_Q_NPS_Q_NPS_CT,All_Questions,0)),"'_Options'!$E$2:$E$2")))-1&gt;11,"Other",IFERROR(INDEX(INDIRECT(IFERROR(INDEX(All_Questions_Options_Names,MATCH(SC_Q_NPS_Q_NPS_CT,All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2026-06-08T13:15:07.192126+00:00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2026-06-08T13:15:07.192167+00:00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2026-06-08T13:15:07.192199+00:00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2026-06-08T13:15:07.192232+00:00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2026-06-08T13:15:07.192299+00:00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2026-06-08T13:15:07.192338+00:00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2026-06-08T13:15:07.192370+00:00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2026-06-08T13:15:07.192401+00:00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2026-06-08T13:15:07.194612+00:00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2026-06-08T13:15:07.194650+00:00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2026-06-08T13:15:07.194683+00:00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2026-06-08T13:15:07.194713+00:00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2026-06-08T13:15:07.194751+00:00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2026-06-08T13:15:07.194784+00:00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2026-06-08T13:15:07.194816+00:00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2026-06-08T13:15:07.194849+00:00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2026-06-08T13:15:08.184375+00:00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2026-06-08T13:15:08.184653+00:00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2026-06-08T13:15:08.184920+00:00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2026-06-08T13:15:08.185185+00:00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2026-06-08T13:15:08.185448+00:00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2026-06-08T13:15:08.185679+00:00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2026-06-08T13:15:08.185908+00:00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2026-06-08T13:15:08.186163+00:00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2026-06-08T13:15:08.186423+00:00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2026-06-08T13:15:08.186661+00:00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2026-06-08T13:15:08.186887+00:00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2026-06-08T13:15:08.187215+00:00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2026-06-08T13:15:08.187648+00:00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2026-06-08T13:15:08.187875+00:00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2026-06-08T13:15:08.188135+00:00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2026-06-08T13:15:08.188398+00:00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2026-06-08T13:15:08.188632+00:00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2026-06-08T13:15:08.188857+00:00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2026-06-08T13:15:08.189113+00:00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2026-06-08T13:15:08.189377+00:00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2026-06-08T13:15:08.189613+00:00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2026-06-08T13:15:08.189839+00:00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2026-06-08T13:15:08.190091+00:00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2026-06-08T13:15:08.190441+00:00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2026-06-08T13:15:08.214167+00:00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2026-06-08T13:15:08.214406+00:00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2026-06-08T13:15:08.214586+00:00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2026-06-08T13:15:08.214760+00:00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2026-06-08T13:15:08.214936+00:00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2026-06-08T13:15:08.215135+00:00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2026-06-08T13:15:08.215335+00:00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2026-06-08T13:15:08.215517+00:00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2026-06-08T13:15:08.215693+00:00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2026-06-08T13:15:08.215867+00:00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2026-06-08T13:15:08.216067+00:00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2026-06-08T13:15:08.216346+00:00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2026-06-08T13:15:08.216646+00:00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2026-06-08T13:15:08.216821+00:00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2026-06-08T13:15:08.217019+00:00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2026-06-08T13:15:08.217203+00:00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2026-06-08T13:15:08.217407+00:00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2026-06-08T13:15:08.217582+00:00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2026-06-08T13:15:08.217754+00:00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2026-06-08T13:15:08.217928+00:00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2026-06-08T13:15:08.218130+00:00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2026-06-08T13:15:08.218331+00:00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2026-06-08T13:15:08.218516+00:00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2026-06-08T13:15:08.218800+00:00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2026-06-08T13:15:07Z</dcterms:created>
  <dcterms:modified xmlns:dcterms="http://purl.org/dc/terms/" xmlns:xsi="http://www.w3.org/2001/XMLSchema-instance" xsi:type="dcterms:W3CDTF">2026-06-08T13:15:08Z</dcterms:modified>
</cp:coreProperties>
</file>