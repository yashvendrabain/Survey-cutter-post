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Not involved</t>
        </is>
      </c>
      <c r="D15" s="2" t="n"/>
      <c r="E15" s="4" t="inlineStr">
        <is>
          <t>Influencer</t>
        </is>
      </c>
      <c r="F15" s="2" t="n"/>
      <c r="G15" s="4" t="inlineStr">
        <is>
          <t>Decision maker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Q_CATGRIDr1</t>
        </is>
      </c>
      <c r="B17" t="inlineStr">
        <is>
          <t>IT / Technical</t>
        </is>
      </c>
      <c r="C17">
        <f>COUNTIFS(Q_CATGRIDr1_data,"Not involved",passes_workbook_filters_data,1,passes_workbook_custom_filters_data,1,All_Questions_passes_local_filters_data,1,All_Questions_Q_CATGRID_F_passes_per_q_filter_data,1)</f>
        <v>3</v>
      </c>
      <c r="D17" s="7">
        <f>IFERROR(C17/10,0)</f>
        <v>0.3</v>
      </c>
      <c r="E17">
        <f>COUNTIFS(Q_CATGRIDr1_data,"Influencer",passes_workbook_filters_data,1,passes_workbook_custom_filters_data,1,All_Questions_passes_local_filters_data,1,All_Questions_Q_CATGRID_F_passes_per_q_filter_data,1)</f>
        <v>4</v>
      </c>
      <c r="F17" s="7">
        <f>IFERROR(E17/10,0)</f>
        <v>0.4</v>
      </c>
      <c r="G17">
        <f>COUNTIFS(Q_CATGRIDr1_data,"Decision maker",passes_workbook_filters_data,1,passes_workbook_custom_filters_data,1,All_Questions_passes_local_filters_data,1,All_Questions_Q_CATGRID_F_passes_per_q_filter_data,1)</f>
        <v>3</v>
      </c>
      <c r="H17" s="7">
        <f>IFERROR(G17/10,0)</f>
        <v>0.3</v>
      </c>
    </row>
    <row r="18">
      <c r="A18" s="14" t="inlineStr">
        <is>
          <t>Q_CATGRIDr2</t>
        </is>
      </c>
      <c r="B18" t="inlineStr">
        <is>
          <t>Security</t>
        </is>
      </c>
      <c r="C18">
        <f>COUNTIFS(Q_CATGRIDr2_data,"Not involved",passes_workbook_filters_data,1,passes_workbook_custom_filters_data,1,All_Questions_passes_local_filters_data,1,All_Questions_Q_CATGRID_F_passes_per_q_filter_data,1)</f>
        <v>4</v>
      </c>
      <c r="D18" s="7">
        <f>IFERROR(C18/10,0)</f>
        <v>0.4</v>
      </c>
      <c r="E18">
        <f>COUNTIFS(Q_CATGRIDr2_data,"Influencer",passes_workbook_filters_data,1,passes_workbook_custom_filters_data,1,All_Questions_passes_local_filters_data,1,All_Questions_Q_CATGRID_F_passes_per_q_filter_data,1)</f>
        <v>5</v>
      </c>
      <c r="F18" s="7">
        <f>IFERROR(E18/10,0)</f>
        <v>0.5</v>
      </c>
      <c r="G18">
        <f>COUNTIFS(Q_CATGRIDr2_data,"Decision maker",passes_workbook_filters_data,1,passes_workbook_custom_filters_data,1,All_Questions_passes_local_filters_data,1,All_Questions_Q_CATGRID_F_passes_per_q_filter_data,1)</f>
        <v>1</v>
      </c>
      <c r="H18" s="7">
        <f>IFERROR(G18/10,0)</f>
        <v>0.1</v>
      </c>
    </row>
    <row r="19">
      <c r="A19" s="14" t="inlineStr">
        <is>
          <t>Q_CATGRIDr3</t>
        </is>
      </c>
      <c r="B19" t="inlineStr">
        <is>
          <t>Human Resources</t>
        </is>
      </c>
      <c r="C19">
        <f>COUNTIFS(Q_CATGRIDr3_data,"Not involved",passes_workbook_filters_data,1,passes_workbook_custom_filters_data,1,All_Questions_passes_local_filters_data,1,All_Questions_Q_CATGRID_F_passes_per_q_filter_data,1)</f>
        <v>6</v>
      </c>
      <c r="D19" s="7">
        <f>IFERROR(C19/10,0)</f>
        <v>0.6</v>
      </c>
      <c r="E19">
        <f>COUNTIFS(Q_CATGRIDr3_data,"Influencer",passes_workbook_filters_data,1,passes_workbook_custom_filters_data,1,All_Questions_passes_local_filters_data,1,All_Questions_Q_CATGRID_F_passes_per_q_filter_data,1)</f>
        <v>2</v>
      </c>
      <c r="F19" s="7">
        <f>IFERROR(E19/10,0)</f>
        <v>0.2</v>
      </c>
      <c r="G19">
        <f>COUNTIFS(Q_CATGRIDr3_data,"Decision maker",passes_workbook_filters_data,1,passes_workbook_custom_filters_data,1,All_Questions_passes_local_filters_data,1,All_Questions_Q_CATGRID_F_passes_per_q_filter_data,1)</f>
        <v>2</v>
      </c>
      <c r="H19" s="7">
        <f>IFERROR(G19/10,0)</f>
        <v>0.2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30</v>
      </c>
      <c r="C21" s="4" t="n"/>
      <c r="D21" s="4" t="n"/>
      <c r="E21" s="4" t="n"/>
      <c r="F21" s="4" t="n"/>
      <c r="G21" s="4" t="n"/>
      <c r="H21" s="4" t="n"/>
    </row>
  </sheetData>
  <mergeCells count="4">
    <mergeCell ref="E15:F15"/>
    <mergeCell ref="C15:D15"/>
    <mergeCell ref="A1:J1"/>
    <mergeCell ref="G15:H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2026-06-09T11:22:27Z</dcterms:created>
  <dcterms:modified xmlns:dcterms="http://purl.org/dc/terms/" xmlns:xsi="http://www.w3.org/2001/XMLSchema-instance" xsi:type="dcterms:W3CDTF">2026-06-09T11:22:31Z</dcterms:modified>
</cp:coreProperties>
</file>