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resolved_criteria">'All Questions'!$H$24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IF(All_Questions_Q4_CT="(None)","",IFERROR(INDEX(INDIRECT(IFERROR(INDEX(Cross_Tab_Questions_Options_Names,MATCH(All_Questions_Q4_CT,Cross_Tab_Questions,0)),"'_Options'!$E$2:$E$2")),2),""))</f>
        <v/>
      </c>
      <c r="H16" s="2" t="str">
        <f>IF(All_Questions_Q4_CT="(None)","",IFERROR(INDEX(INDIRECT(IFERROR(INDEX(Cross_Tab_Questions_Options_Names,MATCH(All_Questions_Q4_CT,Cross_Tab_Questions,0)),"'_Options'!$E$2:$E$2")),3),""))</f>
        <v/>
      </c>
      <c r="I16" s="2" t="str">
        <f>IF(All_Questions_Q4_CT="(None)","",IFERROR(INDEX(INDIRECT(IFERROR(INDEX(Cross_Tab_Questions_Options_Names,MATCH(All_Questions_Q4_CT,Cross_Tab_Questions,0)),"'_Options'!$E$2:$E$2")),4),""))</f>
        <v/>
      </c>
      <c r="J16" s="2" t="str">
        <f>IF(All_Questions_Q4_CT="(None)","",IFERROR(INDEX(INDIRECT(IFERROR(INDEX(Cross_Tab_Questions_Options_Names,MATCH(All_Questions_Q4_CT,Cross_Tab_Questions,0)),"'_Options'!$E$2:$E$2")),5),""))</f>
        <v/>
      </c>
      <c r="K16" s="2" t="str">
        <f>IF(All_Questions_Q4_CT="(None)","",IFERROR(INDEX(INDIRECT(IFERROR(INDEX(Cross_Tab_Questions_Options_Names,MATCH(All_Questions_Q4_CT,Cross_Tab_Questions,0)),"'_Options'!$E$2:$E$2")),6),""))</f>
        <v/>
      </c>
      <c r="L16" s="2" t="str">
        <f>IF(All_Questions_Q4_CT="(None)","",IFERROR(INDEX(INDIRECT(IFERROR(INDEX(Cross_Tab_Questions_Options_Names,MATCH(All_Questions_Q4_CT,Cross_Tab_Questions,0)),"'_Options'!$E$2:$E$2")),7),""))</f>
        <v/>
      </c>
      <c r="M16" s="2" t="str">
        <f>IF(All_Questions_Q4_CT="(None)","",IFERROR(INDEX(INDIRECT(IFERROR(INDEX(Cross_Tab_Questions_Options_Names,MATCH(All_Questions_Q4_CT,Cross_Tab_Questions,0)),"'_Options'!$E$2:$E$2")),8),""))</f>
        <v/>
      </c>
      <c r="N16" s="2" t="str">
        <f>IF(All_Questions_Q4_CT="(None)","",IFERROR(INDEX(INDIRECT(IFERROR(INDEX(Cross_Tab_Questions_Options_Names,MATCH(All_Questions_Q4_CT,Cross_Tab_Questions,0)),"'_Options'!$E$2:$E$2")),9),""))</f>
        <v/>
      </c>
      <c r="O16" s="2" t="str">
        <f>IF(All_Questions_Q4_CT="(None)","",IFERROR(INDEX(INDIRECT(IFERROR(INDEX(Cross_Tab_Questions_Options_Names,MATCH(All_Questions_Q4_CT,Cross_Tab_Questions,0)),"'_Options'!$E$2:$E$2")),10),""))</f>
        <v/>
      </c>
      <c r="P16" s="2" t="str">
        <f>IF(All_Questions_Q4_CT="(None)","",IFERROR(INDEX(INDIRECT(IFERROR(INDEX(Cross_Tab_Questions_Options_Names,MATCH(All_Questions_Q4_CT,Cross_Tab_Questions,0)),"'_Options'!$E$2:$E$2")),11),""))</f>
        <v/>
      </c>
      <c r="Q16" s="2" t="str">
        <f>IF(All_Questions_Q4_CT="(None)","",IFERROR(INDEX(INDIRECT(IFERROR(INDEX(Cross_Tab_Questions_Options_Names,MATCH(All_Questions_Q4_CT,Cross_Tab_Questions,0)),"'_Options'!$E$2:$E$2")),12),""))</f>
        <v/>
      </c>
      <c r="R16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24" t="str">
        <f>"|" &amp; SUBSTITUTE(All_Questions_Q5_F_V, ", ", "|") &amp; "|"</f>
        <v>|(All)|</v>
      </c>
      <c r="H24" t="str">
        <f>IFERROR(INDEX(All_Questions_Value_Criteria,MATCH(All_Questions_Q5_F_Q&amp;"|"&amp;All_Questions_Q5_F_V,All_Questions_Value_Keys,0)),All_Questions_Q5_F_V)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IF(All_Questions_Q5_CT="(None)","",IFERROR(INDEX(INDIRECT(IFERROR(INDEX(Cross_Tab_Questions_Options_Names,MATCH(All_Questions_Q5_CT,Cross_Tab_Questions,0)),"'_Options'!$E$2:$E$2")),2),""))</f>
        <v/>
      </c>
      <c r="H27" s="2" t="str">
        <f>IF(All_Questions_Q5_CT="(None)","",IFERROR(INDEX(INDIRECT(IFERROR(INDEX(Cross_Tab_Questions_Options_Names,MATCH(All_Questions_Q5_CT,Cross_Tab_Questions,0)),"'_Options'!$E$2:$E$2")),3),""))</f>
        <v/>
      </c>
      <c r="I27" s="2" t="str">
        <f>IF(All_Questions_Q5_CT="(None)","",IFERROR(INDEX(INDIRECT(IFERROR(INDEX(Cross_Tab_Questions_Options_Names,MATCH(All_Questions_Q5_CT,Cross_Tab_Questions,0)),"'_Options'!$E$2:$E$2")),4),""))</f>
        <v/>
      </c>
      <c r="J27" s="2" t="str">
        <f>IF(All_Questions_Q5_CT="(None)","",IFERROR(INDEX(INDIRECT(IFERROR(INDEX(Cross_Tab_Questions_Options_Names,MATCH(All_Questions_Q5_CT,Cross_Tab_Questions,0)),"'_Options'!$E$2:$E$2")),5),""))</f>
        <v/>
      </c>
      <c r="K27" s="2" t="str">
        <f>IF(All_Questions_Q5_CT="(None)","",IFERROR(INDEX(INDIRECT(IFERROR(INDEX(Cross_Tab_Questions_Options_Names,MATCH(All_Questions_Q5_CT,Cross_Tab_Questions,0)),"'_Options'!$E$2:$E$2")),6),""))</f>
        <v/>
      </c>
      <c r="L27" s="2" t="str">
        <f>IF(All_Questions_Q5_CT="(None)","",IFERROR(INDEX(INDIRECT(IFERROR(INDEX(Cross_Tab_Questions_Options_Names,MATCH(All_Questions_Q5_CT,Cross_Tab_Questions,0)),"'_Options'!$E$2:$E$2")),7),""))</f>
        <v/>
      </c>
      <c r="M27" s="2" t="str">
        <f>IF(All_Questions_Q5_CT="(None)","",IFERROR(INDEX(INDIRECT(IFERROR(INDEX(Cross_Tab_Questions_Options_Names,MATCH(All_Questions_Q5_CT,Cross_Tab_Questions,0)),"'_Options'!$E$2:$E$2")),8),""))</f>
        <v/>
      </c>
      <c r="N27" s="2" t="str">
        <f>IF(All_Questions_Q5_CT="(None)","",IFERROR(INDEX(INDIRECT(IFERROR(INDEX(Cross_Tab_Questions_Options_Names,MATCH(All_Questions_Q5_CT,Cross_Tab_Questions,0)),"'_Options'!$E$2:$E$2")),9),""))</f>
        <v/>
      </c>
      <c r="O27" s="2" t="str">
        <f>IF(All_Questions_Q5_CT="(None)","",IFERROR(INDEX(INDIRECT(IFERROR(INDEX(Cross_Tab_Questions_Options_Names,MATCH(All_Questions_Q5_CT,Cross_Tab_Questions,0)),"'_Options'!$E$2:$E$2")),10),""))</f>
        <v/>
      </c>
      <c r="P27" s="2" t="str">
        <f>IF(All_Questions_Q5_CT="(None)","",IFERROR(INDEX(INDIRECT(IFERROR(INDEX(Cross_Tab_Questions_Options_Names,MATCH(All_Questions_Q5_CT,Cross_Tab_Questions,0)),"'_Options'!$E$2:$E$2")),11),""))</f>
        <v/>
      </c>
      <c r="Q27" s="2" t="str">
        <f>IF(All_Questions_Q5_CT="(None)","",IFERROR(INDEX(INDIRECT(IFERROR(INDEX(Cross_Tab_Questions_Options_Names,MATCH(All_Questions_Q5_CT,Cross_Tab_Questions,0)),"'_Options'!$E$2:$E$2")),12),""))</f>
        <v/>
      </c>
      <c r="R27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2026-06-09T06:55:48.550116+00:00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2026-06-09T06:55:48.550480+00:00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2026-06-09T06:55:48.550751+00:00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2026-06-09T06:55:48.551080+00:00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2026-06-09T06:55:48.551347+00:00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2026-06-09T06:55:48.551609+00:00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2026-06-09T06:55:48.551868+00:00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2026-06-09T06:55:48.552176+00:00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2026-06-09T06:55:48.552437+00:00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2026-06-09T06:55:48.552695+00:00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2026-06-09T06:55:48.552995+00:00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2026-06-09T06:55:48.553342+00:00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2026-06-09T06:55:48.553891+00:00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2026-06-09T06:55:48.554239+00:00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2026-06-09T06:55:48.554505+00:00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2026-06-09T06:55:48.554766+00:00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2026-06-09T06:55:48.555078+00:00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2026-06-09T06:55:48.555342+00:00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2026-06-09T06:55:48.555599+00:00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2026-06-09T06:55:48.555856+00:00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2026-06-09T06:55:48.556172+00:00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2026-06-09T06:55:48.556441+00:00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2026-06-09T06:55:48.556697+00:00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2026-06-09T06:55:48.557096+00:00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2026-06-09T06:55:48.594814+00:00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2026-06-09T06:55:48.595169+00:00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2026-06-09T06:55:48.595440+00:00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2026-06-09T06:55:48.595704+00:00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2026-06-09T06:55:48.596011+00:00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2026-06-09T06:55:48.596280+00:00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2026-06-09T06:55:48.596592+00:00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2026-06-09T06:55:48.596853+00:00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2026-06-09T06:55:48.597188+00:00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2026-06-09T06:55:48.597451+00:00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2026-06-09T06:55:48.597710+00:00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2026-06-09T06:55:48.598099+00:00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2026-06-09T06:55:48.598565+00:00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2026-06-09T06:55:48.598822+00:00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2026-06-09T06:55:48.599133+00:00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2026-06-09T06:55:48.599392+00:00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2026-06-09T06:55:48.599649+00:00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2026-06-09T06:55:48.599920+00:00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2026-06-09T06:55:48.600213+00:00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2026-06-09T06:55:48.600484+00:00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2026-06-09T06:55:48.600749+00:00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2026-06-09T06:55:48.601064+00:00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2026-06-09T06:55:48.601331+00:00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2026-06-09T06:55:48.601667+00:00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2026-06-09T06:55:47Z</dcterms:created>
  <dcterms:modified xmlns:dcterms="http://purl.org/dc/terms/" xmlns:xsi="http://www.w3.org/2001/XMLSchema-instance" xsi:type="dcterms:W3CDTF">2026-06-09T06:55:48Z</dcterms:modified>
</cp:coreProperties>
</file>