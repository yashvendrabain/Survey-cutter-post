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CT">'All Questions'!$C$14</definedName>
    <definedName name="All_Questions_Q_GRID_EXPORT_F_Q">'All Questions'!$C$22</definedName>
    <definedName name="All_Questions_Q_GRID_EXPORT_F_V">'All Questions'!$E$22</definedName>
    <definedName name="All_Questions_Q_GRID_EXPORT_F_resolved_column">'All Questions'!$F$22</definedName>
    <definedName name="All_Questions_Q_GRID_EXPORT_F_wrapped">'All Questions'!$G$22</definedName>
    <definedName name="All_Questions_Q_GRID_EXPORT_CT">'All Questions'!$C$23</definedName>
    <definedName name="All_Questions_Q_VERY_LONG_SINGLE_SELECT_EXPORT_NAME_F_Q">'All Questions'!$C$31</definedName>
    <definedName name="All_Questions_Q_VERY_LONG_SINGLE_SELECT_EXPORT_NAME_F_V">'All Questions'!$E$31</definedName>
    <definedName name="All_Questions_Q_VERY_LONG_SINGLE_SELECT_EXPORT_NAME_F_resolved_column">'All Questions'!$F$31</definedName>
    <definedName name="All_Questions_Q_VERY_LONG_SINGLE_SELECT_EXPORT_NAME_F_wrapped">'All Questions'!$G$31</definedName>
    <definedName name="All_Questions_Q_VERY_LONG_SINGLE_SELECT_EXPORT_NAME_CT">'All Questions'!$C$32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1" authorId="0" shapeId="0">
      <text>
        <t>Grid export question</t>
      </text>
    </comment>
    <comment ref="A30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4_1" displayName="T_All_Questions_34_1" ref="A34:D36" headerRowCount="1">
  <autoFilter ref="A34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5" t="inlineStr">
        <is>
          <t>Theme One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5" t="inlineStr">
        <is>
          <t>Theme Two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One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IF(Theme_One_F_Custom1_Q="(Inherit)",F_Custom1_Q,Theme_One_F_Custom1_Q)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IF(Theme_One_F_Custom1_V="(Inherit)",F_Custom1_V,Theme_One_F_Custom1_V)</f>
        <v/>
      </c>
      <c r="D6">
        <f>"|" &amp; SUBSTITUTE(SUBSTITUTE(Theme_One_F_Custom1_V_resolved, ", ", "|"), ",", "|") &amp; "|"</f>
        <v/>
      </c>
      <c r="E6" t="inlineStr">
        <is>
          <t>Choose one value or type comma-separated values</t>
        </is>
      </c>
      <c r="F6">
        <f>IF(Theme_One_F_Custom1_Q_resolved="(None)","respondent_id_data",Theme_One_F_Custom1_Q_resolved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IF(Theme_One_F_Custom2_Q="(Inherit)",F_Custom2_Q,Theme_One_F_Custom2_Q)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IF(Theme_One_F_Custom2_V="(Inherit)",F_Custom2_V,Theme_One_F_Custom2_V)</f>
        <v/>
      </c>
      <c r="D8">
        <f>"|" &amp; SUBSTITUTE(SUBSTITUTE(Theme_One_F_Custom2_V_resolved, ", ", "|"), ",", "|") &amp; "|"</f>
        <v/>
      </c>
      <c r="E8" t="inlineStr">
        <is>
          <t>Choose one value or type comma-separated values</t>
        </is>
      </c>
      <c r="F8">
        <f>IF(Theme_One_F_Custom2_Q_resolved="(None)","respondent_id_data",Theme_One_F_Custom2_Q_resolved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IF(Theme_One_Q_SS_EXPORT_F_Q="(None)","respondent_id_data",Theme_One_Q_SS_EXPORT_F_Q &amp; "_data")</f>
        <v/>
      </c>
      <c r="G13">
        <f>"|" &amp; SUBSTITUTE(SUBSTITUTE(Theme_One_Q_SS_EXPORT_F_V,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IFERROR(INDEX(INDIRECT(Theme_One_Q_SS_EXPORT_CT &amp; "_options"),2),"")</f>
        <v/>
      </c>
      <c r="H16">
        <f>IFERROR(INDEX(INDIRECT(Theme_One_Q_SS_EXPORT_CT &amp; "_options"),3),"")</f>
        <v/>
      </c>
      <c r="I16">
        <f>IFERROR(INDEX(INDIRECT(Theme_One_Q_SS_EXPORT_CT &amp; "_options"),4),"")</f>
        <v/>
      </c>
      <c r="J16">
        <f>IFERROR(INDEX(INDIRECT(Theme_One_Q_SS_EXPORT_CT &amp; "_options"),5),"")</f>
        <v/>
      </c>
      <c r="K16">
        <f>IFERROR(INDEX(INDIRECT(Theme_One_Q_SS_EXPORT_CT &amp; "_options"),6),"")</f>
        <v/>
      </c>
      <c r="L16">
        <f>IFERROR(INDEX(INDIRECT(Theme_One_Q_SS_EXPORT_CT &amp; "_options"),7),"")</f>
        <v/>
      </c>
      <c r="M16">
        <f>IFERROR(INDEX(INDIRECT(Theme_One_Q_SS_EXPORT_CT &amp; "_options"),8),"")</f>
        <v/>
      </c>
      <c r="N16">
        <f>IFERROR(INDEX(INDIRECT(Theme_One_Q_SS_EXPORT_CT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"_data")=G$16)))</f>
        <v/>
      </c>
      <c r="H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"_data")=H$16)))</f>
        <v/>
      </c>
      <c r="I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"_data")=I$16)))</f>
        <v/>
      </c>
      <c r="J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"_data")=J$16)))</f>
        <v/>
      </c>
      <c r="K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"_data")=K$16)))</f>
        <v/>
      </c>
      <c r="L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"_data")=L$16)))</f>
        <v/>
      </c>
      <c r="M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"_data")=M$16)))</f>
        <v/>
      </c>
      <c r="N17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Yes")*--(INDIRECT(Theme_One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"_data")=G$16)))</f>
        <v/>
      </c>
      <c r="H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"_data")=H$16)))</f>
        <v/>
      </c>
      <c r="I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"_data")=I$16)))</f>
        <v/>
      </c>
      <c r="J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"_data")=J$16)))</f>
        <v/>
      </c>
      <c r="K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"_data")=K$16)))</f>
        <v/>
      </c>
      <c r="L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"_data")=L$16)))</f>
        <v/>
      </c>
      <c r="M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"_data")=M$16)))</f>
        <v/>
      </c>
      <c r="N18">
        <f>IF(Theme_One_Q_SS_EXPORT_CT="(None)","",SUMPRODUCT(IF(Theme_One_F_Custom1_Q_resolved="(None)",1,IF(Theme_One_F_Custom1_wrapped="|(All)|",1,--ISNUMBER(SEARCH("|"&amp;INDIRECT(Theme_One_F_Custom1_resolved_column)&amp;"|",Theme_One_F_Custom1_wrapped))))*IF(Theme_One_F_Custom2_Q_resolved="(None)",1,IF(Theme_One_F_Custom2_wrapped="|(All)|",1,--ISNUMBER(SEARCH("|"&amp;INDIRECT(Theme_One_F_Custom2_resolved_column)&amp;"|",Theme_One_F_Custom2_wrapped))))*IF(Theme_One_Q_SS_EXPORT_F_Q="(None)",1,IF(Theme_One_Q_SS_EXPORT_F_wrapped="|(All)|",1,--ISNUMBER(SEARCH("|"&amp;INDIRECT(Theme_One_Q_SS_EXPORT_F_resolved_column)&amp;"|",Theme_One_Q_SS_EXPORT_F_wrapped))))*--(Q_SS_EXPORT_data="No")*--(INDIRECT(Theme_One_Q_SS_EXPORT_CT &amp; "_data")=N$16)))</f>
        <v/>
      </c>
      <c r="O18">
        <f>SUM(G18:N18)</f>
        <v/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=INDIRECT(IF(Theme_One_F_Custom1_Q_resolved="(None)","None_options",Theme_One_F_Custom1_Q_resolved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=INDIRECT(IF(Theme_One_F_Custom2_Q_resolved="(None)","None_options",Theme_One_F_Custom2_Q_resolved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=INDIRECT(IF(Theme_One_Q_SS_EXPORT_F_Q="(None)","None_options",Theme_One_Q_SS_EXPORT_F_Q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Theme Two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IF(Theme_Two_F_Custom1_Q="(Inherit)",F_Custom1_Q,Theme_Two_F_Custom1_Q)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IF(Theme_Two_F_Custom1_V="(Inherit)",F_Custom1_V,Theme_Two_F_Custom1_V)</f>
        <v/>
      </c>
      <c r="D6">
        <f>"|" &amp; SUBSTITUTE(SUBSTITUTE(Theme_Two_F_Custom1_V_resolved, ", ", "|"), ",", "|") &amp; "|"</f>
        <v/>
      </c>
      <c r="E6" t="inlineStr">
        <is>
          <t>Choose one value or type comma-separated values</t>
        </is>
      </c>
      <c r="F6">
        <f>IF(Theme_Two_F_Custom1_Q_resolved="(None)","respondent_id_data",Theme_Two_F_Custom1_Q_resolved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IF(Theme_Two_F_Custom2_Q="(Inherit)",F_Custom2_Q,Theme_Two_F_Custom2_Q)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IF(Theme_Two_F_Custom2_V="(Inherit)",F_Custom2_V,Theme_Two_F_Custom2_V)</f>
        <v/>
      </c>
      <c r="D8">
        <f>"|" &amp; SUBSTITUTE(SUBSTITUTE(Theme_Two_F_Custom2_V_resolved, ", ", "|"), ",", "|") &amp; "|"</f>
        <v/>
      </c>
      <c r="E8" t="inlineStr">
        <is>
          <t>Choose one value or type comma-separated values</t>
        </is>
      </c>
      <c r="F8">
        <f>IF(Theme_Two_F_Custom2_Q_resolved="(None)","respondent_id_data",Theme_Two_F_Custom2_Q_resolved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Q_NUM_EXPORT - Numeric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IF(Theme_Two_Q_NUM_EXPORT_F_Q="(None)","respondent_id_data",Theme_Two_Q_NUM_EXPORT_F_Q &amp; "_data")</f>
        <v/>
      </c>
      <c r="G13">
        <f>"|" &amp; SUBSTITUTE(SUBSTITUTE(Theme_Two_Q_NUM_EXPORT_F_V,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Note</t>
        </is>
      </c>
      <c r="D16" s="3" t="inlineStr">
        <is>
          <t>Denominator</t>
        </is>
      </c>
    </row>
    <row r="17">
      <c r="A17" t="inlineStr">
        <is>
          <t>Mean</t>
        </is>
      </c>
      <c r="B17">
        <f>IFERROR(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*Q_NUM_EXPORT_data)/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0)</f>
        <v/>
      </c>
      <c r="D17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8">
      <c r="A18" t="inlineStr">
        <is>
          <t>Min</t>
        </is>
      </c>
      <c r="B18">
        <f>IFERROR(AGGREGATE(15,6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8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19">
      <c r="A19" t="inlineStr">
        <is>
          <t>Max</t>
        </is>
      </c>
      <c r="B19">
        <f>IFERROR(AGGREGATE(14,6,Q_NUM_EXPORT_data/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,1),0)</f>
        <v/>
      </c>
      <c r="D19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SUMPRODUCT(IF(Theme_Two_F_Custom1_Q_resolved="(None)",1,IF(Theme_Two_F_Custom1_wrapped="|(All)|",1,--ISNUMBER(SEARCH("|"&amp;INDIRECT(Theme_Two_F_Custom1_resolved_column)&amp;"|",Theme_Two_F_Custom1_wrapped))))*IF(Theme_Two_F_Custom2_Q_resolved="(None)",1,IF(Theme_Two_F_Custom2_wrapped="|(All)|",1,--ISNUMBER(SEARCH("|"&amp;INDIRECT(Theme_Two_F_Custom2_resolved_column)&amp;"|",Theme_Two_F_Custom2_wrapped))))*IF(Theme_Two_Q_NUM_EXPORT_F_Q="(None)",1,IF(Theme_Two_Q_NUM_EXPORT_F_wrapped="|(All)|",1,--ISNUMBER(SEARCH("|"&amp;INDIRECT(Theme_Two_Q_NUM_EXPORT_F_resolved_column)&amp;"|",Theme_Two_Q_NUM_EXPORT_F_wrapped))))*--ISNUMBER(Q_NUM_EXPORT_data))</f>
        <v/>
      </c>
    </row>
    <row r="21">
      <c r="A21" s="9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=INDIRECT(IF(Theme_Two_F_Custom1_Q_resolved="(None)","None_options",Theme_Two_F_Custom1_Q_resolved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=INDIRECT(IF(Theme_Two_F_Custom2_Q_resolved="(None)","None_options",Theme_Two_F_Custom2_Q_resolved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=INDIRECT(IF(Theme_Two_Q_NUM_EXPORT_F_Q="(None)","None_options",Theme_Two_Q_NUM_EXPORT_F_Q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Q_MS_EXPORT - Multi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IF(All_Questions_Q_MS_EXPORT_F_Q="(None)","respondent_id_data",All_Questions_Q_MS_EXPORT_F_Q &amp; "_data")</f>
        <v/>
      </c>
      <c r="G13">
        <f>"|" &amp; SUBSTITUTE(SUBSTITUTE(All_Questions_Q_MS_EXPORT_F_V,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IFERROR(INDEX(INDIRECT(All_Questions_Q_MS_EXPORT_CT &amp; "_options"),2),"")</f>
        <v/>
      </c>
      <c r="H16">
        <f>IFERROR(INDEX(INDIRECT(All_Questions_Q_MS_EXPORT_CT &amp; "_options"),3),"")</f>
        <v/>
      </c>
      <c r="I16">
        <f>IFERROR(INDEX(INDIRECT(All_Questions_Q_MS_EXPORT_CT &amp; "_options"),4),"")</f>
        <v/>
      </c>
      <c r="J16">
        <f>IFERROR(INDEX(INDIRECT(All_Questions_Q_MS_EXPORT_CT &amp; "_options"),5),"")</f>
        <v/>
      </c>
      <c r="K16">
        <f>IFERROR(INDEX(INDIRECT(All_Questions_Q_MS_EXPORT_CT &amp; "_options"),6),"")</f>
        <v/>
      </c>
      <c r="L16">
        <f>IFERROR(INDEX(INDIRECT(All_Questions_Q_MS_EXPORT_CT &amp; "_options"),7),"")</f>
        <v/>
      </c>
      <c r="M16">
        <f>IFERROR(INDEX(INDIRECT(All_Questions_Q_MS_EXPORT_CT &amp; "_options"),8),"")</f>
        <v/>
      </c>
      <c r="N16">
        <f>IFERROR(INDEX(INDIRECT(All_Questions_Q_MS_EXPORT_CT &amp; "_options"),9),"")</f>
        <v/>
      </c>
      <c r="O16" s="4" t="inlineStr">
        <is>
          <t>TOTAL</t>
        </is>
      </c>
    </row>
    <row r="17">
      <c r="A17" t="inlineStr">
        <is>
          <t>First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17" s="6">
        <f>IFERROR(B17/SUBTOTAL(9,B17:B18),0)</f>
        <v/>
      </c>
      <c r="D17" s="13">
        <f>SUBTOTAL(9,B17:B18)</f>
        <v/>
      </c>
      <c r="F17" t="inlineStr">
        <is>
          <t>First</t>
        </is>
      </c>
      <c r="G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"_data")=G$16)))</f>
        <v/>
      </c>
      <c r="H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"_data")=H$16)))</f>
        <v/>
      </c>
      <c r="I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"_data")=I$16)))</f>
        <v/>
      </c>
      <c r="J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"_data")=J$16)))</f>
        <v/>
      </c>
      <c r="K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"_data")=K$16)))</f>
        <v/>
      </c>
      <c r="L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"_data")=L$16)))</f>
        <v/>
      </c>
      <c r="M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"_data")=M$16)))</f>
        <v/>
      </c>
      <c r="N1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"_data")=N$16)))</f>
        <v/>
      </c>
      <c r="O17">
        <f>SUM(G17:N17)</f>
        <v/>
      </c>
    </row>
    <row r="18">
      <c r="A18" t="inlineStr">
        <is>
          <t>Second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18" s="6">
        <f>IFERROR(B18/SUBTOTAL(9,B17:B18),0)</f>
        <v/>
      </c>
      <c r="D18" s="13">
        <f>SUBTOTAL(9,B17:B18)</f>
        <v/>
      </c>
      <c r="F18" t="inlineStr">
        <is>
          <t>Second</t>
        </is>
      </c>
      <c r="G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"_data")=G$16)))</f>
        <v/>
      </c>
      <c r="H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"_data")=H$16)))</f>
        <v/>
      </c>
      <c r="I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"_data")=I$16)))</f>
        <v/>
      </c>
      <c r="J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"_data")=J$16)))</f>
        <v/>
      </c>
      <c r="K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"_data")=K$16)))</f>
        <v/>
      </c>
      <c r="L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"_data")=L$16)))</f>
        <v/>
      </c>
      <c r="M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"_data")=M$16)))</f>
        <v/>
      </c>
      <c r="N18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Q_GRID_EXPORT - Grid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IF(All_Questions_Q_GRID_EXPORT_F_Q="(None)","respondent_id_data",All_Questions_Q_GRID_EXPORT_F_Q &amp; "_data")</f>
        <v/>
      </c>
      <c r="G22">
        <f>"|" &amp; SUBSTITUTE(SUBSTITUTE(All_Questions_Q_GRID_EXPORT_F_V,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IFERROR(INDEX(INDIRECT(All_Questions_Q_GRID_EXPORT_CT &amp; "_options"),2),"")</f>
        <v/>
      </c>
      <c r="H25">
        <f>IFERROR(INDEX(INDIRECT(All_Questions_Q_GRID_EXPORT_CT &amp; "_options"),3),"")</f>
        <v/>
      </c>
      <c r="I25">
        <f>IFERROR(INDEX(INDIRECT(All_Questions_Q_GRID_EXPORT_CT &amp; "_options"),4),"")</f>
        <v/>
      </c>
      <c r="J25">
        <f>IFERROR(INDEX(INDIRECT(All_Questions_Q_GRID_EXPORT_CT &amp; "_options"),5),"")</f>
        <v/>
      </c>
      <c r="K25">
        <f>IFERROR(INDEX(INDIRECT(All_Questions_Q_GRID_EXPORT_CT &amp; "_options"),6),"")</f>
        <v/>
      </c>
      <c r="L25">
        <f>IFERROR(INDEX(INDIRECT(All_Questions_Q_GRID_EXPORT_CT &amp; "_options"),7),"")</f>
        <v/>
      </c>
      <c r="M25">
        <f>IFERROR(INDEX(INDIRECT(All_Questions_Q_GRID_EXPORT_CT &amp; "_options"),8),"")</f>
        <v/>
      </c>
      <c r="N25">
        <f>IFERROR(INDEX(INDIRECT(All_Questions_Q_GRID_EXPORT_CT &amp; "_options"),9),"")</f>
        <v/>
      </c>
      <c r="O25" s="4" t="inlineStr">
        <is>
          <t>TOTAL</t>
        </is>
      </c>
    </row>
    <row r="26">
      <c r="A26" t="inlineStr">
        <is>
          <t>Grid first row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Grid first row</t>
        </is>
      </c>
      <c r="G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"_data")=G$25)))</f>
        <v/>
      </c>
      <c r="H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"_data")=H$25)))</f>
        <v/>
      </c>
      <c r="I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"_data")=I$25)))</f>
        <v/>
      </c>
      <c r="J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"_data")=J$25)))</f>
        <v/>
      </c>
      <c r="K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"_data")=K$25)))</f>
        <v/>
      </c>
      <c r="L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"_data")=L$25)))</f>
        <v/>
      </c>
      <c r="M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"_data")=M$25)))</f>
        <v/>
      </c>
      <c r="N26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"_data")=N$25)))</f>
        <v/>
      </c>
      <c r="O26">
        <f>SUM(G26:N26)</f>
        <v/>
      </c>
    </row>
    <row r="27">
      <c r="A27" t="inlineStr">
        <is>
          <t>Grid second row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Grid second row</t>
        </is>
      </c>
      <c r="G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"_data")=G$25)))</f>
        <v/>
      </c>
      <c r="H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"_data")=H$25)))</f>
        <v/>
      </c>
      <c r="I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"_data")=I$25)))</f>
        <v/>
      </c>
      <c r="J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"_data")=J$25)))</f>
        <v/>
      </c>
      <c r="K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"_data")=K$25)))</f>
        <v/>
      </c>
      <c r="L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"_data")=L$25)))</f>
        <v/>
      </c>
      <c r="M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"_data")=M$25)))</f>
        <v/>
      </c>
      <c r="N2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Q_VERY_LONG_SINGLE_SELECT_EXPORT_NAME - Long sheet name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IF(All_Questions_Q_VERY_LONG_SINGLE_SELECT_EXPORT_NAME_F_Q="(None)","respondent_id_data",All_Questions_Q_VERY_LONG_SINGLE_SELECT_EXPORT_NAME_F_Q &amp; "_data")</f>
        <v/>
      </c>
      <c r="G31">
        <f>"|" &amp; SUBSTITUTE(SUBSTITUTE(All_Questions_Q_VERY_LONG_SINGLE_SELECT_EXPORT_NAME_F_V,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Option</t>
        </is>
      </c>
      <c r="B34" s="3" t="inlineStr">
        <is>
          <t>Count</t>
        </is>
      </c>
      <c r="C34" s="3" t="inlineStr">
        <is>
          <t>%</t>
        </is>
      </c>
      <c r="D34" s="3" t="inlineStr">
        <is>
          <t>Denominator</t>
        </is>
      </c>
      <c r="F34" s="4" t="inlineStr">
        <is>
          <t>Option \ Cross-tab</t>
        </is>
      </c>
      <c r="G34">
        <f>IFERROR(INDEX(INDIRECT(All_Questions_Q_VERY_LONG_SINGLE_SELECT_EXPORT_NAME_CT &amp; "_options"),2),"")</f>
        <v/>
      </c>
      <c r="H34">
        <f>IFERROR(INDEX(INDIRECT(All_Questions_Q_VERY_LONG_SINGLE_SELECT_EXPORT_NAME_CT &amp; "_options"),3),"")</f>
        <v/>
      </c>
      <c r="I34">
        <f>IFERROR(INDEX(INDIRECT(All_Questions_Q_VERY_LONG_SINGLE_SELECT_EXPORT_NAME_CT &amp; "_options"),4),"")</f>
        <v/>
      </c>
      <c r="J34">
        <f>IFERROR(INDEX(INDIRECT(All_Questions_Q_VERY_LONG_SINGLE_SELECT_EXPORT_NAME_CT &amp; "_options"),5),"")</f>
        <v/>
      </c>
      <c r="K34">
        <f>IFERROR(INDEX(INDIRECT(All_Questions_Q_VERY_LONG_SINGLE_SELECT_EXPORT_NAME_CT &amp; "_options"),6),"")</f>
        <v/>
      </c>
      <c r="L34">
        <f>IFERROR(INDEX(INDIRECT(All_Questions_Q_VERY_LONG_SINGLE_SELECT_EXPORT_NAME_CT &amp; "_options"),7),"")</f>
        <v/>
      </c>
      <c r="M34">
        <f>IFERROR(INDEX(INDIRECT(All_Questions_Q_VERY_LONG_SINGLE_SELECT_EXPORT_NAME_CT &amp; "_options"),8),"")</f>
        <v/>
      </c>
      <c r="N34">
        <f>IFERROR(INDEX(INDIRECT(All_Questions_Q_VERY_LONG_SINGLE_SELECT_EXPORT_NAME_CT &amp; "_options"),9),"")</f>
        <v/>
      </c>
      <c r="O34" s="4" t="inlineStr">
        <is>
          <t>TOTAL</t>
        </is>
      </c>
    </row>
    <row r="35">
      <c r="A35" t="inlineStr">
        <is>
          <t>A</t>
        </is>
      </c>
      <c r="B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35" s="6">
        <f>IFERROR(B35/SUBTOTAL(9,B35:B36),0)</f>
        <v/>
      </c>
      <c r="D35" s="13">
        <f>SUBTOTAL(9,B35:B36)</f>
        <v/>
      </c>
      <c r="F35" t="inlineStr">
        <is>
          <t>A</t>
        </is>
      </c>
      <c r="G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"_data")=G$34)))</f>
        <v/>
      </c>
      <c r="H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"_data")=H$34)))</f>
        <v/>
      </c>
      <c r="I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"_data")=I$34)))</f>
        <v/>
      </c>
      <c r="J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"_data")=J$34)))</f>
        <v/>
      </c>
      <c r="K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"_data")=K$34)))</f>
        <v/>
      </c>
      <c r="L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"_data")=L$34)))</f>
        <v/>
      </c>
      <c r="M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"_data")=M$34)))</f>
        <v/>
      </c>
      <c r="N35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"_data")=N$34)))</f>
        <v/>
      </c>
      <c r="O35">
        <f>SUM(G35:N35)</f>
        <v/>
      </c>
    </row>
    <row r="36">
      <c r="A36" t="inlineStr">
        <is>
          <t>B</t>
        </is>
      </c>
      <c r="B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36" s="6">
        <f>IFERROR(B36/SUBTOTAL(9,B35:B36),0)</f>
        <v/>
      </c>
      <c r="D36" s="13">
        <f>SUBTOTAL(9,B35:B36)</f>
        <v/>
      </c>
      <c r="F36" t="inlineStr">
        <is>
          <t>B</t>
        </is>
      </c>
      <c r="G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"_data")=G$34)))</f>
        <v/>
      </c>
      <c r="H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"_data")=H$34)))</f>
        <v/>
      </c>
      <c r="I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"_data")=I$34)))</f>
        <v/>
      </c>
      <c r="J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"_data")=J$34)))</f>
        <v/>
      </c>
      <c r="K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"_data")=K$34)))</f>
        <v/>
      </c>
      <c r="L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"_data")=L$34)))</f>
        <v/>
      </c>
      <c r="M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"_data")=M$34)))</f>
        <v/>
      </c>
      <c r="N3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"_data")=N$34)))</f>
        <v/>
      </c>
      <c r="O36">
        <f>SUM(G36:N36)</f>
        <v/>
      </c>
    </row>
  </sheetData>
  <mergeCells count="4">
    <mergeCell ref="A1:J1"/>
    <mergeCell ref="A30:J30"/>
    <mergeCell ref="A12:J12"/>
    <mergeCell ref="A21:J21"/>
  </mergeCells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2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2026-05-14T06:32:25Z</dcterms:created>
  <dcterms:modified xmlns:dcterms="http://purl.org/dc/terms/" xmlns:xsi="http://www.w3.org/2001/XMLSchema-instance" xsi:type="dcterms:W3CDTF">2026-05-14T06:32:25Z</dcterms:modified>
</cp:coreProperties>
</file>