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'_RawData'!$A$2:$A$4</definedName>
    <definedName name="Q1_data">'_RawData'!$B$2:$B$4</definedName>
    <definedName name="Q26r1_data">'_RawData'!$C$2:$C$4</definedName>
    <definedName name="Q26r2_data">'_RawData'!$D$2:$D$4</definedName>
    <definedName name="All_Questions">'_Options'!$A$2:$A$3</definedName>
    <definedName name="All_Questions_Local">'_Options'!$B$2:$B$4</definedName>
    <definedName name="None_options">'_Options'!$E$2:$E$2</definedName>
    <definedName name="Q1_options">'_Options'!$F$2:$F$4</definedName>
    <definedName name="Q1_local_options">'_Options'!$I$2:$I$5</definedName>
    <definedName name="Q26r1_options">'_Options'!$G$2:$G$3</definedName>
    <definedName name="Q26r1_local_options">'_Options'!$J$2:$J$4</definedName>
    <definedName name="Q26r2_options">'_Options'!$H$2:$H$3</definedName>
    <definedName name="Q26r2_local_options">'_Options'!$K$2:$K$4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'_RawData'!$E$2:$E$4</definedName>
    <definedName name="F_Custom1_match_data">'_RawData'!$F$2:$F$4</definedName>
    <definedName name="F_Custom2_match_data">'_RawData'!$G$2:$G$4</definedName>
    <definedName name="passes_workbook_custom_filters_data">'_RawData'!$H$2:$H$4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'_RawData'!$I$2:$I$4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'_RawData'!$J$2:$J$4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Q26r1</t>
        </is>
      </c>
      <c r="D1" t="inlineStr">
        <is>
          <t>Q26r2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All_Questions_Q1_F_passes_per_q_filter</t>
        </is>
      </c>
    </row>
    <row r="2">
      <c r="A2" t="n">
        <v>1</v>
      </c>
      <c r="B2" t="inlineStr">
        <is>
          <t>Yes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*1</f>
        <v>1</v>
      </c>
    </row>
    <row r="3">
      <c r="A3" t="n">
        <v>2</v>
      </c>
      <c r="B3" t="inlineStr">
        <is>
          <t>Yes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*1</f>
        <v>1</v>
      </c>
    </row>
    <row r="4">
      <c r="A4" t="n">
        <v>3</v>
      </c>
      <c r="B4" t="inlineStr">
        <is>
          <t>No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Q26r1_options</t>
        </is>
      </c>
      <c r="H1" t="inlineStr">
        <is>
          <t>Q26r2_options</t>
        </is>
      </c>
      <c r="I1" t="inlineStr">
        <is>
          <t>Q1_local_options</t>
        </is>
      </c>
      <c r="J1" t="inlineStr">
        <is>
          <t>Q26r1_local_options</t>
        </is>
      </c>
      <c r="K1" t="inlineStr">
        <is>
          <t>Q26r2_local_options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Purchase Decision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B4" t="inlineStr">
        <is>
          <t>Q1 - Purchase Decision</t>
        </is>
      </c>
      <c r="F4" t="inlineStr">
        <is>
          <t>No</t>
        </is>
      </c>
      <c r="I4" t="inlineStr">
        <is>
          <t>Yes</t>
        </is>
      </c>
      <c r="J4" t="inlineStr">
        <is>
          <t>Selected</t>
        </is>
      </c>
      <c r="K4" t="inlineStr">
        <is>
          <t>Selected</t>
        </is>
      </c>
    </row>
    <row r="5">
      <c r="I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2026-05-28T09:23:53.090913+00:00</t>
        </is>
      </c>
    </row>
    <row r="4">
      <c r="A4" s="5" t="inlineStr">
        <is>
          <t>Total respondents:</t>
        </is>
      </c>
      <c r="B4" t="n">
        <v>3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1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1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7" customWidth="1" min="3" max="3"/>
    <col width="20" customWidth="1" min="4" max="4"/>
    <col width="1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Q1 - Purchase decision</t>
        </is>
      </c>
      <c r="D2" t="inlineStr">
        <is>
          <t>SINGLE_SELECT</t>
        </is>
      </c>
      <c r="E2" t="inlineStr">
        <is>
          <t>Q1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Q26</t>
        </is>
      </c>
      <c r="B3" t="inlineStr">
        <is>
          <t>Q26</t>
        </is>
      </c>
      <c r="C3" t="inlineStr">
        <is>
          <t>What role did each stakeholder play</t>
        </is>
      </c>
      <c r="D3" t="inlineStr">
        <is>
          <t>GRID_SINGLE_SELECT</t>
        </is>
      </c>
      <c r="E3" t="inlineStr">
        <is>
          <t>Q26r1, Q26r2</t>
        </is>
      </c>
      <c r="F3" t="n">
        <v>3</v>
      </c>
      <c r="G3" t="inlineStr">
        <is>
          <t>Yes</t>
        </is>
      </c>
      <c r="H3" t="inlineStr">
        <is>
          <t>No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Purchase decision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IF(All_Questions_Q1_CT="(None)","",IFERROR(INDEX(INDIRECT(IFERROR(INDEX(All_Questions_Options_Names,MATCH(All_Questions_Q1_CT,All_Questions,0)),"'_Options'!$E$2:$E$2")),2),""))</f>
        <v/>
      </c>
      <c r="H16" s="2" t="str">
        <f>IF(All_Questions_Q1_CT="(None)","",IFERROR(INDEX(INDIRECT(IFERROR(INDEX(All_Questions_Options_Names,MATCH(All_Questions_Q1_CT,All_Questions,0)),"'_Options'!$E$2:$E$2")),3),""))</f>
        <v/>
      </c>
      <c r="I16" s="2" t="str">
        <f>IF(All_Questions_Q1_CT="(None)","",IFERROR(INDEX(INDIRECT(IFERROR(INDEX(All_Questions_Options_Names,MATCH(All_Questions_Q1_CT,All_Questions,0)),"'_Options'!$E$2:$E$2")),4),""))</f>
        <v/>
      </c>
      <c r="J16" s="2" t="str">
        <f>IF(All_Questions_Q1_CT="(None)","",IFERROR(INDEX(INDIRECT(IFERROR(INDEX(All_Questions_Options_Names,MATCH(All_Questions_Q1_CT,All_Questions,0)),"'_Options'!$E$2:$E$2")),5),""))</f>
        <v/>
      </c>
      <c r="K16" s="2" t="str">
        <f>IF(All_Questions_Q1_CT="(None)","",IFERROR(INDEX(INDIRECT(IFERROR(INDEX(All_Questions_Options_Names,MATCH(All_Questions_Q1_CT,All_Questions,0)),"'_Options'!$E$2:$E$2")),6),""))</f>
        <v/>
      </c>
      <c r="L16" s="2" t="str">
        <f>IF(All_Questions_Q1_CT="(None)","",IFERROR(INDEX(INDIRECT(IFERROR(INDEX(All_Questions_Options_Names,MATCH(All_Questions_Q1_CT,All_Questions,0)),"'_Options'!$E$2:$E$2")),7),""))</f>
        <v/>
      </c>
      <c r="M16" s="2" t="str">
        <f>IF(All_Questions_Q1_CT="(None)","",IFERROR(INDEX(INDIRECT(IFERROR(INDEX(All_Questions_Options_Names,MATCH(All_Questions_Q1_CT,All_Questions,0)),"'_Options'!$E$2:$E$2")),8),""))</f>
        <v/>
      </c>
      <c r="N16" s="2" t="str">
        <f>IF(All_Questions_Q1_CT="(None)","",IFERROR(INDEX(INDIRECT(IFERROR(INDEX(All_Questions_Options_Names,MATCH(All_Questions_Q1_CT,All_Questions,0)),"'_Options'!$E$2:$E$2")),9),""))</f>
        <v/>
      </c>
      <c r="O16" s="2" t="str">
        <f>IF(All_Questions_Q1_CT="(None)","",IFERROR(INDEX(INDIRECT(IFERROR(INDEX(All_Questions_Options_Names,MATCH(All_Questions_Q1_CT,All_Questions,0)),"'_Options'!$E$2:$E$2")),10),""))</f>
        <v/>
      </c>
      <c r="P16" s="2" t="str">
        <f>IF(All_Questions_Q1_CT="(None)","",IFERROR(INDEX(INDIRECT(IFERROR(INDEX(All_Questions_Options_Names,MATCH(All_Questions_Q1_CT,All_Questions,0)),"'_Options'!$E$2:$E$2")),11),""))</f>
        <v/>
      </c>
      <c r="Q16" s="2" t="str">
        <f>IF(All_Questions_Q1_CT="(None)","",IFERROR(INDEX(INDIRECT(IFERROR(INDEX(All_Questions_Options_Names,MATCH(All_Questions_Q1_CT,All_Questions,0)),"'_Options'!$E$2:$E$2")),12),""))</f>
        <v/>
      </c>
      <c r="R16" s="2" t="str">
        <f>IF(All_Questions_Q1_CT="(None)","",IF(COUNTA(INDIRECT(IFERROR(INDEX(All_Questions_Options_Names,MATCH(All_Questions_Q1_CT,All_Questions,0)),"'_Options'!$E$2:$E$2")))-1&gt;11,"Other",IFERROR(INDEX(INDIRECT(IFERROR(INDEX(All_Questions_Options_Names,MATCH(All_Questions_Q1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COUNTIFS(Q1_data,"Yes",passes_workbook_filters_data,1,passes_workbook_custom_filters_data,1,All_Questions_passes_local_filters_data,1,All_Questions_Q1_F_passes_per_q_filter_data,1)</f>
        <v>2</v>
      </c>
      <c r="C17" s="7">
        <f>IFERROR(B17/SUBTOTAL(9,B17:B18),0)</f>
        <v>0.6666666666666666</v>
      </c>
      <c r="D17" s="14">
        <f>SUBTOTAL(9,B17:B18)</f>
        <v>3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COUNTIFS(Q1_data,"No",passes_workbook_filters_data,1,passes_workbook_custom_filters_data,1,All_Questions_passes_local_filters_data,1,All_Questions_Q1_F_passes_per_q_filter_data,1)</f>
        <v>1</v>
      </c>
      <c r="C18" s="7">
        <f>IFERROR(B18/SUBTOTAL(9,B17:B18),0)</f>
        <v>0.3333333333333333</v>
      </c>
      <c r="D18" s="14">
        <f>SUBTOTAL(9,B17:B18)</f>
        <v>3</v>
      </c>
      <c r="F18" t="inlineStr">
        <is>
          <t>Yes</t>
        </is>
      </c>
      <c r="G18">
        <f>IF(OR(All_Questions_Q1_CT="(None)",G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G$16))</f>
        <v>0</v>
      </c>
      <c r="H18">
        <f>IF(OR(All_Questions_Q1_CT="(None)",H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H$16))</f>
        <v>0</v>
      </c>
      <c r="I18">
        <f>IF(OR(All_Questions_Q1_CT="(None)",I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I$16))</f>
        <v>0</v>
      </c>
      <c r="J18">
        <f>IF(OR(All_Questions_Q1_CT="(None)",J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J$16))</f>
        <v>0</v>
      </c>
      <c r="K18">
        <f>IF(OR(All_Questions_Q1_CT="(None)",K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K$16))</f>
        <v>0</v>
      </c>
      <c r="L18">
        <f>IF(OR(All_Questions_Q1_CT="(None)",L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L$16))</f>
        <v>0</v>
      </c>
      <c r="M18">
        <f>IF(OR(All_Questions_Q1_CT="(None)",M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M$16))</f>
        <v>0</v>
      </c>
      <c r="N18">
        <f>IF(OR(All_Questions_Q1_CT="(None)",N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N$16))</f>
        <v>0</v>
      </c>
      <c r="O18">
        <f>IF(OR(All_Questions_Q1_CT="(None)",O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O$16))</f>
        <v>0</v>
      </c>
      <c r="P18">
        <f>IF(OR(All_Questions_Q1_CT="(None)",P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P$16))</f>
        <v>0</v>
      </c>
      <c r="Q18">
        <f>IF(OR(All_Questions_Q1_CT="(None)",Q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Q$16))</f>
        <v>0</v>
      </c>
      <c r="R18">
        <f>IF(OR(All_Questions_Q1_CT="(None)",R$16=""),"",IF(R$16="Other",COUNTIFS(Q1_data,"Yes",passes_workbook_filters_data,1,passes_workbook_custom_filters_data,1,All_Questions_passes_local_filters_data,1,All_Questions_Q1_F_passes_per_q_filter_data,1)-SUM(G18,H18,I18,J18,K18,L18,M18,N18,O18,P18,Q18)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R$16)))</f>
        <v>0</v>
      </c>
      <c r="S18">
        <f>IF(All_Questions_Q1_CT="(None)","",COUNTIFS(Q1_data,"Yes",passes_workbook_filters_data,1,passes_workbook_custom_filters_data,1,All_Questions_passes_local_filters_data,1,All_Questions_Q1_F_passes_per_q_filter_data,1))</f>
        <v>0</v>
      </c>
    </row>
    <row r="19">
      <c r="A19" s="15" t="inlineStr">
        <is>
          <t>Total respondents</t>
        </is>
      </c>
      <c r="B19" s="15" t="n">
        <v>3</v>
      </c>
      <c r="C19" s="15" t="n"/>
      <c r="D19" s="15" t="n"/>
      <c r="F19" t="inlineStr">
        <is>
          <t>No</t>
        </is>
      </c>
      <c r="G19">
        <f>IF(OR(All_Questions_Q1_CT="(None)",G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G$16))</f>
        <v>0</v>
      </c>
      <c r="H19">
        <f>IF(OR(All_Questions_Q1_CT="(None)",H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H$16))</f>
        <v>0</v>
      </c>
      <c r="I19">
        <f>IF(OR(All_Questions_Q1_CT="(None)",I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I$16))</f>
        <v>0</v>
      </c>
      <c r="J19">
        <f>IF(OR(All_Questions_Q1_CT="(None)",J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J$16))</f>
        <v>0</v>
      </c>
      <c r="K19">
        <f>IF(OR(All_Questions_Q1_CT="(None)",K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K$16))</f>
        <v>0</v>
      </c>
      <c r="L19">
        <f>IF(OR(All_Questions_Q1_CT="(None)",L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L$16))</f>
        <v>0</v>
      </c>
      <c r="M19">
        <f>IF(OR(All_Questions_Q1_CT="(None)",M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M$16))</f>
        <v>0</v>
      </c>
      <c r="N19">
        <f>IF(OR(All_Questions_Q1_CT="(None)",N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N$16))</f>
        <v>0</v>
      </c>
      <c r="O19">
        <f>IF(OR(All_Questions_Q1_CT="(None)",O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O$16))</f>
        <v>0</v>
      </c>
      <c r="P19">
        <f>IF(OR(All_Questions_Q1_CT="(None)",P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P$16))</f>
        <v>0</v>
      </c>
      <c r="Q19">
        <f>IF(OR(All_Questions_Q1_CT="(None)",Q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Q$16))</f>
        <v>0</v>
      </c>
      <c r="R19">
        <f>IF(OR(All_Questions_Q1_CT="(None)",R$16=""),"",IF(R$16="Other",COUNTIFS(Q1_data,"No",passes_workbook_filters_data,1,passes_workbook_custom_filters_data,1,All_Questions_passes_local_filters_data,1,All_Questions_Q1_F_passes_per_q_filter_data,1)-SUM(G19,H19,I19,J19,K19,L19,M19,N19,O19,P19,Q19)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R$16)))</f>
        <v>0</v>
      </c>
      <c r="S19">
        <f>IF(All_Questions_Q1_CT="(None)","",COUNTIFS(Q1_data,"No",passes_workbook_filters_data,1,passes_workbook_custom_filters_data,1,All_Questions_passes_local_filters_data,1,All_Questions_Q1_F_passes_per_q_filter_data,1))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IF(All_Questions_Q1_CT="(None)","",COUNTIFS(respondent_id_data,"&lt;&gt;",passes_workbook_filters_data,1,passes_workbook_custom_filters_data,1,All_Questions_passes_local_filters_data,1,All_Questions_Q1_F_passes_per_q_filter_data,1))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7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Single Cuts</t>
        </is>
      </c>
      <c r="B2" t="inlineStr">
        <is>
          <t>rate_per_value</t>
        </is>
      </c>
      <c r="C2" t="inlineStr">
        <is>
          <t>Q1</t>
        </is>
      </c>
      <c r="D2" t="inlineStr">
        <is>
          <t>Q1</t>
        </is>
      </c>
      <c r="E2" t="inlineStr"/>
      <c r="G2" t="n">
        <v>3</v>
      </c>
      <c r="H2" t="inlineStr">
        <is>
          <t>count(value) / count(non-NA values)</t>
        </is>
      </c>
      <c r="I2" t="n">
        <v>3</v>
      </c>
      <c r="J2" t="n">
        <v>3</v>
      </c>
      <c r="K2" t="n">
        <v>0</v>
      </c>
      <c r="L2" t="inlineStr">
        <is>
          <t>2026-05-28T09:23:53.098788+00:00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skip:Q26</t>
        </is>
      </c>
      <c r="B2" t="inlineStr">
        <is>
          <t>all raw columns empty in dataset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2026-05-28T09:23:55Z</dcterms:created>
  <dcterms:modified xmlns:dcterms="http://purl.org/dc/terms/" xmlns:xsi="http://www.w3.org/2001/XMLSchema-instance" xsi:type="dcterms:W3CDTF">2026-05-28T09:24:12Z</dcterms:modified>
</cp:coreProperties>
</file>