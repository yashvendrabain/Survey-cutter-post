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Questions'!$C$24</definedName>
    <definedName name="All_Questions_Q_VERY_LONG_SINGLE_SELECT_EXPORT_NAME_F_V">'All Questions'!$E$24</definedName>
    <definedName name="All_Questions_Q_VERY_LONG_SINGLE_SELECT_EXPORT_NAME_F_resolved_column">'All Questions'!$F$24</definedName>
    <definedName name="All_Questions_Q_VERY_LONG_SINGLE_SELECT_EXPORT_NAME_F_wrapped">'All Questions'!$G$24</definedName>
    <definedName name="All_Questions_Q_VERY_LONG_SINGLE_SELECT_EXPORT_NAME_F_passes_per_q_filter_data">'_RawData'!$T$2:$T$11</definedName>
    <definedName name="All_Questions_Q_VERY_LONG_SINGLE_SELECT_EXPORT_NAME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IF(All_Questions_Q_GRID_EXPORT_CT="(None)","",IFERROR(INDEX(INDIRECT(IFERROR(INDEX(All_Questions_Options_Names,MATCH(All_Questions_Q_GRID_EXPORT_CT,All_Questions,0)),"'_Options'!$E$2:$E$2")),2),""))</f>
        <v/>
      </c>
      <c r="H16" s="2" t="str">
        <f>IF(All_Questions_Q_GRID_EXPORT_CT="(None)","",IFERROR(INDEX(INDIRECT(IFERROR(INDEX(All_Questions_Options_Names,MATCH(All_Questions_Q_GRID_EXPORT_CT,All_Questions,0)),"'_Options'!$E$2:$E$2")),3),""))</f>
        <v/>
      </c>
      <c r="I16" s="2" t="str">
        <f>IF(All_Questions_Q_GRID_EXPORT_CT="(None)","",IFERROR(INDEX(INDIRECT(IFERROR(INDEX(All_Questions_Options_Names,MATCH(All_Questions_Q_GRID_EXPORT_CT,All_Questions,0)),"'_Options'!$E$2:$E$2")),4),""))</f>
        <v/>
      </c>
      <c r="J16" s="2" t="str">
        <f>IF(All_Questions_Q_GRID_EXPORT_CT="(None)","",IFERROR(INDEX(INDIRECT(IFERROR(INDEX(All_Questions_Options_Names,MATCH(All_Questions_Q_GRID_EXPORT_CT,All_Questions,0)),"'_Options'!$E$2:$E$2")),5),""))</f>
        <v/>
      </c>
      <c r="K16" s="2" t="str">
        <f>IF(All_Questions_Q_GRID_EXPORT_CT="(None)","",IFERROR(INDEX(INDIRECT(IFERROR(INDEX(All_Questions_Options_Names,MATCH(All_Questions_Q_GRID_EXPORT_CT,All_Questions,0)),"'_Options'!$E$2:$E$2")),6),""))</f>
        <v/>
      </c>
      <c r="L16" s="2" t="str">
        <f>IF(All_Questions_Q_GRID_EXPORT_CT="(None)","",IFERROR(INDEX(INDIRECT(IFERROR(INDEX(All_Questions_Options_Names,MATCH(All_Questions_Q_GRID_EXPORT_CT,All_Questions,0)),"'_Options'!$E$2:$E$2")),7),""))</f>
        <v/>
      </c>
      <c r="M16" s="2" t="str">
        <f>IF(All_Questions_Q_GRID_EXPORT_CT="(None)","",IFERROR(INDEX(INDIRECT(IFERROR(INDEX(All_Questions_Options_Names,MATCH(All_Questions_Q_GRID_EXPORT_CT,All_Questions,0)),"'_Options'!$E$2:$E$2")),8),""))</f>
        <v/>
      </c>
      <c r="N16" s="2" t="str">
        <f>IF(All_Questions_Q_GRID_EXPORT_CT="(None)","",IFERROR(INDEX(INDIRECT(IFERROR(INDEX(All_Questions_Options_Names,MATCH(All_Questions_Q_GRID_EXPORT_CT,All_Questions,0)),"'_Options'!$E$2:$E$2")),9),""))</f>
        <v/>
      </c>
      <c r="O16" s="2" t="str">
        <f>IF(All_Questions_Q_GRID_EXPORT_CT="(None)","",IFERROR(INDEX(INDIRECT(IFERROR(INDEX(All_Questions_Options_Names,MATCH(All_Questions_Q_GRID_EXPORT_CT,All_Questions,0)),"'_Options'!$E$2:$E$2")),10),""))</f>
        <v/>
      </c>
      <c r="P16" s="2" t="str">
        <f>IF(All_Questions_Q_GRID_EXPORT_CT="(None)","",IFERROR(INDEX(INDIRECT(IFERROR(INDEX(All_Questions_Options_Names,MATCH(All_Questions_Q_GRID_EXPORT_CT,All_Questions,0)),"'_Options'!$E$2:$E$2")),11),""))</f>
        <v/>
      </c>
      <c r="Q16" s="2" t="str">
        <f>IF(All_Questions_Q_GRID_EXPORT_CT="(None)","",IFERROR(INDEX(INDIRECT(IFERROR(INDEX(All_Questions_Options_Names,MATCH(All_Questions_Q_GRID_EXPORT_CT,All_Questions,0)),"'_Options'!$E$2:$E$2")),12),""))</f>
        <v/>
      </c>
      <c r="R16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16" s="4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first row</t>
        </is>
      </c>
      <c r="G18">
        <f>IF(OR(All_Questions_Q_GRID_EXPORT_CT="(None)",G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8">
        <f>IF(OR(All_Questions_Q_GRID_EXPORT_CT="(None)",H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8">
        <f>IF(OR(All_Questions_Q_GRID_EXPORT_CT="(None)",I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8">
        <f>IF(OR(All_Questions_Q_GRID_EXPORT_CT="(None)",J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8">
        <f>IF(OR(All_Questions_Q_GRID_EXPORT_CT="(None)",K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8">
        <f>IF(OR(All_Questions_Q_GRID_EXPORT_CT="(None)",L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8">
        <f>IF(OR(All_Questions_Q_GRID_EXPORT_CT="(None)",M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8">
        <f>IF(OR(All_Questions_Q_GRID_EXPORT_CT="(None)",N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8">
        <f>IF(OR(All_Questions_Q_GRID_EXPORT_CT="(None)",O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8">
        <f>IF(OR(All_Questions_Q_GRID_EXPORT_CT="(None)",P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8">
        <f>IF(OR(All_Questions_Q_GRID_EXPORT_CT="(None)",Q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8">
        <f>IF(OR(All_Questions_Q_GRID_EXPORT_CT="(None)",R$16=""),"",IF(R$16="Other",COUNTIFS(Q_GRID_EXPORTr1_data,"Selected",passes_workbook_filters_data,1,passes_workbook_custom_filters_data,1,All_Questions_passes_local_filters_data,1,All_Questions_Q_GRID_EXPORT_F_passes_per_q_filter_data,1)-SUM(G18,H18,I18,J18,K18,L18,M18,N18,O18,P18,Q18)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8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Grid second row</t>
        </is>
      </c>
      <c r="G19">
        <f>IF(OR(All_Questions_Q_GRID_EXPORT_CT="(None)",G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9">
        <f>IF(OR(All_Questions_Q_GRID_EXPORT_CT="(None)",H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9">
        <f>IF(OR(All_Questions_Q_GRID_EXPORT_CT="(None)",I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9">
        <f>IF(OR(All_Questions_Q_GRID_EXPORT_CT="(None)",J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9">
        <f>IF(OR(All_Questions_Q_GRID_EXPORT_CT="(None)",K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9">
        <f>IF(OR(All_Questions_Q_GRID_EXPORT_CT="(None)",L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9">
        <f>IF(OR(All_Questions_Q_GRID_EXPORT_CT="(None)",M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9">
        <f>IF(OR(All_Questions_Q_GRID_EXPORT_CT="(None)",N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9">
        <f>IF(OR(All_Questions_Q_GRID_EXPORT_CT="(None)",O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9">
        <f>IF(OR(All_Questions_Q_GRID_EXPORT_CT="(None)",P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9">
        <f>IF(OR(All_Questions_Q_GRID_EXPORT_CT="(None)",Q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9">
        <f>IF(OR(All_Questions_Q_GRID_EXPORT_CT="(None)",R$16=""),"",IF(R$16="Other",COUNTIFS(Q_GRID_EXPORTr2_data,"Selected",passes_workbook_filters_data,1,passes_workbook_custom_filters_data,1,All_Questions_passes_local_filters_data,1,All_Questions_Q_GRID_EXPORT_F_passes_per_q_filter_data,1)-SUM(G19,H19,I19,J19,K19,L19,M19,N19,O19,P19,Q19)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9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20">
      <c r="A20" s="4" t="inlineStr">
        <is>
          <t>Total responses</t>
        </is>
      </c>
      <c r="B20" s="4" t="n">
        <v>20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Q_VERY_LONG_SINGLE_SELECT_EXPORT_NAME - Long sheet name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IFERROR(INDEX(All_Questions_Data_Names,MATCH(All_Questions_Q_VERY_LONG_SINGLE_SELECT_EXPORT_NAME_F_Q,All_Questions,0)),"'_RawData'!$A:$A")</f>
        <v>respondent_id_data</v>
      </c>
      <c r="G24" t="str">
        <f>"|" &amp; SUBSTITUTE(All_Questions_Q_VERY_LONG_SINGLE_SELECT_EXPORT_NAME_F_V,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7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7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7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7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7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7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7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7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7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7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7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7" s="4" t="inlineStr">
        <is>
          <t>Total</t>
        </is>
      </c>
    </row>
    <row r="28">
      <c r="A28" t="inlineStr">
        <is>
          <t>A</t>
        </is>
      </c>
      <c r="B2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8" s="7">
        <f>IFERROR(B28/SUBTOTAL(9,B28:B29),0)</f>
        <v>0.7</v>
      </c>
      <c r="D28" s="14">
        <f>SUBTOTAL(9,B28:B29)</f>
        <v>10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B</t>
        </is>
      </c>
      <c r="B2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9" s="7">
        <f>IFERROR(B29/SUBTOTAL(9,B28:B29),0)</f>
        <v>0.3</v>
      </c>
      <c r="D29" s="14">
        <f>SUBTOTAL(9,B28:B29)</f>
        <v>10</v>
      </c>
      <c r="F29" t="inlineStr">
        <is>
          <t>A</t>
        </is>
      </c>
      <c r="G29">
        <f>IF(OR(All_Questions_Q_VERY_LONG_SINGLE_SELECT_EXPORT_NAME_CT="(None)",G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29">
        <f>IF(OR(All_Questions_Q_VERY_LONG_SINGLE_SELECT_EXPORT_NAME_CT="(None)",H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29">
        <f>IF(OR(All_Questions_Q_VERY_LONG_SINGLE_SELECT_EXPORT_NAME_CT="(None)",I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29">
        <f>IF(OR(All_Questions_Q_VERY_LONG_SINGLE_SELECT_EXPORT_NAME_CT="(None)",J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29">
        <f>IF(OR(All_Questions_Q_VERY_LONG_SINGLE_SELECT_EXPORT_NAME_CT="(None)",K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29">
        <f>IF(OR(All_Questions_Q_VERY_LONG_SINGLE_SELECT_EXPORT_NAME_CT="(None)",L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29">
        <f>IF(OR(All_Questions_Q_VERY_LONG_SINGLE_SELECT_EXPORT_NAME_CT="(None)",M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29">
        <f>IF(OR(All_Questions_Q_VERY_LONG_SINGLE_SELECT_EXPORT_NAME_CT="(None)",N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29">
        <f>IF(OR(All_Questions_Q_VERY_LONG_SINGLE_SELECT_EXPORT_NAME_CT="(None)",O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29">
        <f>IF(OR(All_Questions_Q_VERY_LONG_SINGLE_SELECT_EXPORT_NAME_CT="(None)",P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29">
        <f>IF(OR(All_Questions_Q_VERY_LONG_SINGLE_SELECT_EXPORT_NAME_CT="(None)",Q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29">
        <f>IF(OR(All_Questions_Q_VERY_LONG_SINGLE_SELECT_EXPORT_NAME_CT="(None)",R$27=""),"",IF(R$27="Other",COUNTIFS(Q_VERY_LONG_SINGLE_SELECT_EXPOR_data,"A",passes_workbook_filters_data,1,passes_workbook_custom_filters_data,1,All_Questions_passes_local_filters_data,1,All_Questions_Q_VERY_LONG_SINGLE_SELECT_EXPORT_NAME_F_passes_per_q_filter_data,1)-SUM(G29,H29,I29,J29,K29,L29,M29,N29,O29,P29,Q29)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29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B</t>
        </is>
      </c>
      <c r="G30">
        <f>IF(OR(All_Questions_Q_VERY_LONG_SINGLE_SELECT_EXPORT_NAME_CT="(None)",G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30">
        <f>IF(OR(All_Questions_Q_VERY_LONG_SINGLE_SELECT_EXPORT_NAME_CT="(None)",H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30">
        <f>IF(OR(All_Questions_Q_VERY_LONG_SINGLE_SELECT_EXPORT_NAME_CT="(None)",I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30">
        <f>IF(OR(All_Questions_Q_VERY_LONG_SINGLE_SELECT_EXPORT_NAME_CT="(None)",J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30">
        <f>IF(OR(All_Questions_Q_VERY_LONG_SINGLE_SELECT_EXPORT_NAME_CT="(None)",K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30">
        <f>IF(OR(All_Questions_Q_VERY_LONG_SINGLE_SELECT_EXPORT_NAME_CT="(None)",L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30">
        <f>IF(OR(All_Questions_Q_VERY_LONG_SINGLE_SELECT_EXPORT_NAME_CT="(None)",M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30">
        <f>IF(OR(All_Questions_Q_VERY_LONG_SINGLE_SELECT_EXPORT_NAME_CT="(None)",N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30">
        <f>IF(OR(All_Questions_Q_VERY_LONG_SINGLE_SELECT_EXPORT_NAME_CT="(None)",O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30">
        <f>IF(OR(All_Questions_Q_VERY_LONG_SINGLE_SELECT_EXPORT_NAME_CT="(None)",P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30">
        <f>IF(OR(All_Questions_Q_VERY_LONG_SINGLE_SELECT_EXPORT_NAME_CT="(None)",Q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30">
        <f>IF(OR(All_Questions_Q_VERY_LONG_SINGLE_SELECT_EXPORT_NAME_CT="(None)",R$27=""),"",IF(R$27="Other",COUNTIFS(Q_VERY_LONG_SINGLE_SELECT_EXPOR_data,"B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30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2026-05-19T09:13:33Z</dcterms:created>
  <dcterms:modified xmlns:dcterms="http://purl.org/dc/terms/" xmlns:xsi="http://www.w3.org/2001/XMLSchema-instance" xsi:type="dcterms:W3CDTF">2026-05-19T09:13:33Z</dcterms:modified>
</cp:coreProperties>
</file>