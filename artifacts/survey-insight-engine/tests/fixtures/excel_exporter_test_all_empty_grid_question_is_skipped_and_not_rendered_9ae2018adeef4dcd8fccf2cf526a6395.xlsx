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Cross_Tab_Questions">'_Options'!$L$2:$L$3</definedName>
    <definedName name="Cross_Tab_Questions_Data_Names">'_Options'!$M$2:$M$3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Cross_Tab_Questions_Options_Names">'_Options'!$N$2:$N$3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resolved_criteria">'All Questions'!$H$13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IF(OR(All_Questions_Q1_F_Q="(None)",All_Questions_Q1_F_Q="",ISBLANK(All_Questions_Q1_F_Q),All_Questions_Q1_F_V="(All)",All_Questions_Q1_F_V="",ISBLANK(All_Questions_Q1_F_V)),1,IFERROR(IF(ISNUMBER(SEARCH("|"&amp;INDEX(INDIRECT(All_Questions_Q1_F_resolved_column),1)&amp;"|",("|" &amp; SUBSTITUTE(All_Questions_Q1_F_resolved_criteria, ", ", "|") &amp; "|"))),1,0),0))*1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IF(OR(All_Questions_Q1_F_Q="(None)",All_Questions_Q1_F_Q="",ISBLANK(All_Questions_Q1_F_Q),All_Questions_Q1_F_V="(All)",All_Questions_Q1_F_V="",ISBLANK(All_Questions_Q1_F_V)),1,IFERROR(IF(ISNUMBER(SEARCH("|"&amp;INDEX(INDIRECT(All_Questions_Q1_F_resolved_column),2)&amp;"|",("|" &amp; SUBSTITUTE(All_Questions_Q1_F_resolved_criteria, ", ", "|") &amp; "|"))),1,0),0))*1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IF(OR(All_Questions_Q1_F_Q="(None)",All_Questions_Q1_F_Q="",ISBLANK(All_Questions_Q1_F_Q),All_Questions_Q1_F_V="(All)",All_Questions_Q1_F_V="",ISBLANK(All_Questions_Q1_F_V)),1,IFERROR(IF(ISNUMBER(SEARCH("|"&amp;INDEX(INDIRECT(All_Questions_Q1_F_resolved_column),3)&amp;"|",("|" &amp; SUBSTITUTE(All_Questions_Q1_F_resolved_criteria,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'_RawData'!$A$2:$A$4</t>
        </is>
      </c>
      <c r="N2" t="inlineStr">
        <is>
          <t>'_Options'!$E$2:$E$2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Q1 - Purchase Decision</t>
        </is>
      </c>
      <c r="M3" t="inlineStr">
        <is>
          <t>'_RawData'!$B$2:$B$4</t>
        </is>
      </c>
      <c r="N3" t="inlineStr">
        <is>
          <t>'_Options'!$F$2:$F$4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2026-06-08T13:44:38.022512+00:00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IFERROR(INDEX(All_Questions_Value_Data_Names,MATCH(All_Questions_Q1_F_Q&amp;"|"&amp;All_Questions_Q1_F_V,All_Questions_Value_Keys,0)),IFERROR(INDEX(All_Questions_Data_Names,MATCH(All_Questions_Q1_F_Q,All_Questions,0)),"'_RawData'!$A:$A"))</f>
        <v>respondent_id_data</v>
      </c>
      <c r="G13" t="str">
        <f>"|" &amp; SUBSTITUTE(All_Questions_Q1_F_V, ", ", "|") &amp; "|"</f>
        <v>|(All)|</v>
      </c>
      <c r="H13" t="str">
        <f>IFERROR(INDEX(All_Questions_Value_Criteria,MATCH(All_Questions_Q1_F_Q&amp;"|"&amp;All_Questions_Q1_F_V,All_Questions_Value_Keys,0)),All_Questions_Q1_F_V)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IF(All_Questions_Q1_CT="(None)","",IFERROR(INDEX(INDIRECT(IFERROR(INDEX(Cross_Tab_Questions_Options_Names,MATCH(All_Questions_Q1_CT,Cross_Tab_Questions,0)),"'_Options'!$E$2:$E$2")),2),""))</f>
        <v/>
      </c>
      <c r="H16" s="2" t="str">
        <f>IF(All_Questions_Q1_CT="(None)","",IFERROR(INDEX(INDIRECT(IFERROR(INDEX(Cross_Tab_Questions_Options_Names,MATCH(All_Questions_Q1_CT,Cross_Tab_Questions,0)),"'_Options'!$E$2:$E$2")),3),""))</f>
        <v/>
      </c>
      <c r="I16" s="2" t="str">
        <f>IF(All_Questions_Q1_CT="(None)","",IFERROR(INDEX(INDIRECT(IFERROR(INDEX(Cross_Tab_Questions_Options_Names,MATCH(All_Questions_Q1_CT,Cross_Tab_Questions,0)),"'_Options'!$E$2:$E$2")),4),""))</f>
        <v/>
      </c>
      <c r="J16" s="2" t="str">
        <f>IF(All_Questions_Q1_CT="(None)","",IFERROR(INDEX(INDIRECT(IFERROR(INDEX(Cross_Tab_Questions_Options_Names,MATCH(All_Questions_Q1_CT,Cross_Tab_Questions,0)),"'_Options'!$E$2:$E$2")),5),""))</f>
        <v/>
      </c>
      <c r="K16" s="2" t="str">
        <f>IF(All_Questions_Q1_CT="(None)","",IFERROR(INDEX(INDIRECT(IFERROR(INDEX(Cross_Tab_Questions_Options_Names,MATCH(All_Questions_Q1_CT,Cross_Tab_Questions,0)),"'_Options'!$E$2:$E$2")),6),""))</f>
        <v/>
      </c>
      <c r="L16" s="2" t="str">
        <f>IF(All_Questions_Q1_CT="(None)","",IFERROR(INDEX(INDIRECT(IFERROR(INDEX(Cross_Tab_Questions_Options_Names,MATCH(All_Questions_Q1_CT,Cross_Tab_Questions,0)),"'_Options'!$E$2:$E$2")),7),""))</f>
        <v/>
      </c>
      <c r="M16" s="2" t="str">
        <f>IF(All_Questions_Q1_CT="(None)","",IFERROR(INDEX(INDIRECT(IFERROR(INDEX(Cross_Tab_Questions_Options_Names,MATCH(All_Questions_Q1_CT,Cross_Tab_Questions,0)),"'_Options'!$E$2:$E$2")),8),""))</f>
        <v/>
      </c>
      <c r="N16" s="2" t="str">
        <f>IF(All_Questions_Q1_CT="(None)","",IFERROR(INDEX(INDIRECT(IFERROR(INDEX(Cross_Tab_Questions_Options_Names,MATCH(All_Questions_Q1_CT,Cross_Tab_Questions,0)),"'_Options'!$E$2:$E$2")),9),""))</f>
        <v/>
      </c>
      <c r="O16" s="2" t="str">
        <f>IF(All_Questions_Q1_CT="(None)","",IFERROR(INDEX(INDIRECT(IFERROR(INDEX(Cross_Tab_Questions_Options_Names,MATCH(All_Questions_Q1_CT,Cross_Tab_Questions,0)),"'_Options'!$E$2:$E$2")),10),""))</f>
        <v/>
      </c>
      <c r="P16" s="2" t="str">
        <f>IF(All_Questions_Q1_CT="(None)","",IFERROR(INDEX(INDIRECT(IFERROR(INDEX(Cross_Tab_Questions_Options_Names,MATCH(All_Questions_Q1_CT,Cross_Tab_Questions,0)),"'_Options'!$E$2:$E$2")),11),""))</f>
        <v/>
      </c>
      <c r="Q16" s="2" t="str">
        <f>IF(All_Questions_Q1_CT="(None)","",IFERROR(INDEX(INDIRECT(IFERROR(INDEX(Cross_Tab_Questions_Options_Names,MATCH(All_Questions_Q1_CT,Cross_Tab_Questions,0)),"'_Options'!$E$2:$E$2")),12),""))</f>
        <v/>
      </c>
      <c r="R16" s="2" t="str">
        <f>IF(All_Questions_Q1_CT="(None)","",IF(COUNTA(INDIRECT(IFERROR(INDEX(Cross_Tab_Questions_Options_Names,MATCH(All_Questions_Q1_CT,Cross_Tab_Questions,0)),"'_Options'!$E$2:$E$2")))-1&gt;11,"Other",IFERROR(INDEX(INDIRECT(IFERROR(INDEX(Cross_Tab_Questions_Options_Names,MATCH(All_Questions_Q1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 s="14">
        <f>IF(OR(All_Questions_Q1_CT="(None)",G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$16))</f>
        <v>0</v>
      </c>
      <c r="H18" s="14">
        <f>IF(OR(All_Questions_Q1_CT="(None)",H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$16))</f>
        <v>0</v>
      </c>
      <c r="I18" s="14">
        <f>IF(OR(All_Questions_Q1_CT="(None)",I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$16))</f>
        <v>0</v>
      </c>
      <c r="J18" s="14">
        <f>IF(OR(All_Questions_Q1_CT="(None)",J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$16))</f>
        <v>0</v>
      </c>
      <c r="K18" s="14">
        <f>IF(OR(All_Questions_Q1_CT="(None)",K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$16))</f>
        <v>0</v>
      </c>
      <c r="L18" s="14">
        <f>IF(OR(All_Questions_Q1_CT="(None)",L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$16))</f>
        <v>0</v>
      </c>
      <c r="M18" s="14">
        <f>IF(OR(All_Questions_Q1_CT="(None)",M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$16))</f>
        <v>0</v>
      </c>
      <c r="N18" s="14">
        <f>IF(OR(All_Questions_Q1_CT="(None)",N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$16))</f>
        <v>0</v>
      </c>
      <c r="O18" s="14">
        <f>IF(OR(All_Questions_Q1_CT="(None)",O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$16))</f>
        <v>0</v>
      </c>
      <c r="P18" s="14">
        <f>IF(OR(All_Questions_Q1_CT="(None)",P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$16))</f>
        <v>0</v>
      </c>
      <c r="Q18" s="14">
        <f>IF(OR(All_Questions_Q1_CT="(None)",Q$16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$16))</f>
        <v>0</v>
      </c>
      <c r="R18" s="14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$16)))</f>
        <v>0</v>
      </c>
      <c r="S18" s="14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 s="14">
        <f>IF(OR(All_Questions_Q1_CT="(None)",G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$16))</f>
        <v>0</v>
      </c>
      <c r="H19" s="14">
        <f>IF(OR(All_Questions_Q1_CT="(None)",H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$16))</f>
        <v>0</v>
      </c>
      <c r="I19" s="14">
        <f>IF(OR(All_Questions_Q1_CT="(None)",I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$16))</f>
        <v>0</v>
      </c>
      <c r="J19" s="14">
        <f>IF(OR(All_Questions_Q1_CT="(None)",J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$16))</f>
        <v>0</v>
      </c>
      <c r="K19" s="14">
        <f>IF(OR(All_Questions_Q1_CT="(None)",K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$16))</f>
        <v>0</v>
      </c>
      <c r="L19" s="14">
        <f>IF(OR(All_Questions_Q1_CT="(None)",L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$16))</f>
        <v>0</v>
      </c>
      <c r="M19" s="14">
        <f>IF(OR(All_Questions_Q1_CT="(None)",M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$16))</f>
        <v>0</v>
      </c>
      <c r="N19" s="14">
        <f>IF(OR(All_Questions_Q1_CT="(None)",N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$16))</f>
        <v>0</v>
      </c>
      <c r="O19" s="14">
        <f>IF(OR(All_Questions_Q1_CT="(None)",O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$16))</f>
        <v>0</v>
      </c>
      <c r="P19" s="14">
        <f>IF(OR(All_Questions_Q1_CT="(None)",P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$16))</f>
        <v>0</v>
      </c>
      <c r="Q19" s="14">
        <f>IF(OR(All_Questions_Q1_CT="(None)",Q$16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$16))</f>
        <v>0</v>
      </c>
      <c r="R19" s="14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$16)))</f>
        <v>0</v>
      </c>
      <c r="S19" s="14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2026-06-08T13:44:38.035105+00:00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2026-06-08T13:44:40Z</dcterms:created>
  <dcterms:modified xmlns:dcterms="http://purl.org/dc/terms/" xmlns:xsi="http://www.w3.org/2001/XMLSchema-instance" xsi:type="dcterms:W3CDTF">2026-06-08T13:44:49Z</dcterms:modified>
</cp:coreProperties>
</file>