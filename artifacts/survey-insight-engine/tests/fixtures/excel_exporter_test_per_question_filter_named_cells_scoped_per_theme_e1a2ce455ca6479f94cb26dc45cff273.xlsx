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I16" i="9"/>
  <c r="K16" i="9"/>
  <c r="M16" i="9"/>
  <c r="O16" i="9"/>
  <c r="Q16" i="9"/>
  <c r="S16" i="9"/>
  <c r="U16" i="9"/>
  <c r="W16" i="9"/>
  <c r="Y16" i="9"/>
  <c r="AA16" i="9"/>
  <c r="AC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E20" i="9"/>
  <c r="F23" i="9"/>
  <c r="G23" i="9"/>
  <c r="G26" i="9"/>
  <c r="I26" i="9"/>
  <c r="K26" i="9"/>
  <c r="M26" i="9"/>
  <c r="O26" i="9"/>
  <c r="Q26" i="9"/>
  <c r="S26" i="9"/>
  <c r="U26" i="9"/>
  <c r="W26" i="9"/>
  <c r="Y26" i="9"/>
  <c r="AA26" i="9"/>
  <c r="AC26" i="9"/>
  <c r="B27" i="9"/>
  <c r="C27" i="9"/>
  <c r="D27" i="9"/>
  <c r="B28" i="9"/>
  <c r="C28" i="9"/>
  <c r="D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E30" i="9"/>
  <c r="F33" i="9"/>
  <c r="G33" i="9"/>
  <c r="G36" i="9"/>
  <c r="I36" i="9"/>
  <c r="K36" i="9"/>
  <c r="M36" i="9"/>
  <c r="O36" i="9"/>
  <c r="Q36" i="9"/>
  <c r="S36" i="9"/>
  <c r="U36" i="9"/>
  <c r="W36" i="9"/>
  <c r="Y36" i="9"/>
  <c r="AA36" i="9"/>
  <c r="AC36" i="9"/>
  <c r="B37" i="9"/>
  <c r="C37" i="9"/>
  <c r="D37" i="9"/>
  <c r="B38" i="9"/>
  <c r="C38" i="9"/>
  <c r="D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E40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IF(Theme_One_Q_SS_EXPORT_CT="(None)","",IFERROR(INDEX(INDIRECT(XLOOKUP(Theme_One_Q_SS_EXPORT_CT,All_Questions,All_Questions_Options_Names,"None_options")),2),""))</f>
        <v/>
      </c>
      <c r="H16" s="2" t="n"/>
      <c r="I16" s="2" t="str">
        <f>IF(Theme_One_Q_SS_EXPORT_CT="(None)","",IFERROR(INDEX(INDIRECT(XLOOKUP(Theme_One_Q_SS_EXPORT_CT,All_Questions,All_Questions_Options_Names,"None_options")),3),""))</f>
        <v/>
      </c>
      <c r="J16" s="2" t="n"/>
      <c r="K16" s="2" t="str">
        <f>IF(Theme_One_Q_SS_EXPORT_CT="(None)","",IFERROR(INDEX(INDIRECT(XLOOKUP(Theme_One_Q_SS_EXPORT_CT,All_Questions,All_Questions_Options_Names,"None_options")),4),""))</f>
        <v/>
      </c>
      <c r="L16" s="2" t="n"/>
      <c r="M16" s="2" t="str">
        <f>IF(Theme_One_Q_SS_EXPORT_CT="(None)","",IFERROR(INDEX(INDIRECT(XLOOKUP(Theme_One_Q_SS_EXPORT_CT,All_Questions,All_Questions_Options_Names,"None_options")),5),""))</f>
        <v/>
      </c>
      <c r="N16" s="2" t="n"/>
      <c r="O16" s="2" t="str">
        <f>IF(Theme_One_Q_SS_EXPORT_CT="(None)","",IFERROR(INDEX(INDIRECT(XLOOKUP(Theme_One_Q_SS_EXPORT_CT,All_Questions,All_Questions_Options_Names,"None_options")),6),""))</f>
        <v/>
      </c>
      <c r="P16" s="2" t="n"/>
      <c r="Q16" s="2" t="str">
        <f>IF(Theme_One_Q_SS_EXPORT_CT="(None)","",IFERROR(INDEX(INDIRECT(XLOOKUP(Theme_One_Q_SS_EXPORT_CT,All_Questions,All_Questions_Options_Names,"None_options")),7),""))</f>
        <v/>
      </c>
      <c r="R16" s="2" t="n"/>
      <c r="S16" s="2" t="str">
        <f>IF(Theme_One_Q_SS_EXPORT_CT="(None)","",IFERROR(INDEX(INDIRECT(XLOOKUP(Theme_One_Q_SS_EXPORT_CT,All_Questions,All_Questions_Options_Names,"None_options")),8),""))</f>
        <v/>
      </c>
      <c r="T16" s="2" t="n"/>
      <c r="U16" s="2" t="str">
        <f>IF(Theme_One_Q_SS_EXPORT_CT="(None)","",IFERROR(INDEX(INDIRECT(XLOOKUP(Theme_One_Q_SS_EXPORT_CT,All_Questions,All_Questions_Options_Names,"None_options")),9),""))</f>
        <v/>
      </c>
      <c r="V16" s="2" t="n"/>
      <c r="W16" s="2" t="str">
        <f>IF(Theme_One_Q_SS_EXPORT_CT="(None)","",IFERROR(INDEX(INDIRECT(XLOOKUP(Theme_One_Q_SS_EXPORT_CT,All_Questions,All_Questions_Options_Names,"None_options")),10),""))</f>
        <v/>
      </c>
      <c r="X16" s="2" t="n"/>
      <c r="Y16" s="2" t="str">
        <f>IF(Theme_One_Q_SS_EXPORT_CT="(None)","",IFERROR(INDEX(INDIRECT(XLOOKUP(Theme_One_Q_SS_EXPORT_CT,All_Questions,All_Questions_Options_Names,"None_options")),11),""))</f>
        <v/>
      </c>
      <c r="Z16" s="2" t="n"/>
      <c r="AA16" s="2" t="str">
        <f>IF(Theme_One_Q_SS_EXPORT_CT="(None)","",IFERROR(INDEX(INDIRECT(XLOOKUP(Theme_One_Q_SS_EXPORT_CT,All_Questions,All_Questions_Options_Names,"None_options")),12),""))</f>
        <v/>
      </c>
      <c r="AB16" s="2" t="n"/>
      <c r="AC16" s="2" t="str">
        <f>IF(Theme_One_Q_SS_EXPORT_CT="(None)","",IF(COUNTA(INDIRECT(XLOOKUP(Theme_One_Q_SS_EXPORT_CT,All_Questions,All_Questions_Options_Names,"None_options")))-1&gt;11,"Other",IFERROR(INDEX(INDIRECT(XLOOKUP(Theme_One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8" s="7">
        <f>IFERROR(G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8" s="7">
        <f>IFERROR(I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8" s="7">
        <f>IFERROR(K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8" s="7">
        <f>IFERROR(M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8" s="7">
        <f>IFERROR(O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8" s="7">
        <f>IFERROR(Q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8">
        <f>IF(OR(Theme_One_Q_SS_EXPORT_CT="(None)",S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8" s="7">
        <f>IFERROR(S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8">
        <f>IF(OR(Theme_One_Q_SS_EXPORT_CT="(None)",U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8" s="7">
        <f>IFERROR(U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8">
        <f>IF(OR(Theme_One_Q_SS_EXPORT_CT="(None)",W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8" s="7">
        <f>IFERROR(W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8">
        <f>IF(OR(Theme_One_Q_SS_EXPORT_CT="(None)",Y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8" s="7">
        <f>IFERROR(Y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8">
        <f>IF(OR(Theme_One_Q_SS_EXPORT_CT="(None)",AA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8" s="7">
        <f>IFERROR(AA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8">
        <f>IF(OR(Theme_One_Q_SS_EXPORT_CT="(None)",AC$16=""),"",IF(AC$16="Other",COUNTIFS(Q_SS_EXPORT_data,"Yes",passes_workbook_filters_data,1,passes_workbook_custom_filters_data,1,Theme_One_passes_local_filters_data,1,Theme_One_Q_SS_EXPORT_F_passes_per_q_filter_data,1)-SUM(G18,I18,K18,M18,O18,Q18,S18,U18,W18,Y18,AA18)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9" s="7">
        <f>IFERROR(G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9" s="7">
        <f>IFERROR(I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9" s="7">
        <f>IFERROR(K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9" s="7">
        <f>IFERROR(M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9" s="7">
        <f>IFERROR(O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9" s="7">
        <f>IFERROR(Q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9">
        <f>IF(OR(Theme_One_Q_SS_EXPORT_CT="(None)",S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9" s="7">
        <f>IFERROR(S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9">
        <f>IF(OR(Theme_One_Q_SS_EXPORT_CT="(None)",U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9" s="7">
        <f>IFERROR(U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9">
        <f>IF(OR(Theme_One_Q_SS_EXPORT_CT="(None)",W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9" s="7">
        <f>IFERROR(W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9">
        <f>IF(OR(Theme_One_Q_SS_EXPORT_CT="(None)",Y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9" s="7">
        <f>IFERROR(Y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9">
        <f>IF(OR(Theme_One_Q_SS_EXPORT_CT="(None)",AA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9" s="7">
        <f>IFERROR(AA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9">
        <f>IF(OR(Theme_One_Q_SS_EXPORT_CT="(None)",AC$16=""),"",IF(AC$16="Other",COUNTIFS(Q_SS_EXPORT_data,"No",passes_workbook_filters_data,1,passes_workbook_custom_filters_data,1,Theme_One_passes_local_filters_data,1,Theme_One_Q_SS_EXPORT_F_passes_per_q_filter_data,1)-SUM(G19,I19,K19,M19,O19,Q19,S19,U19,W19,Y19,AA19)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IF(All_Questions_Q_MS_EXPORT_CT="(None)","",IFERROR(INDEX(INDIRECT(XLOOKUP(All_Questions_Q_MS_EXPORT_CT,All_Questions,All_Questions_Options_Names,"None_options")),2),""))</f>
        <v/>
      </c>
      <c r="H16" s="2" t="n"/>
      <c r="I16" s="2" t="str">
        <f>IF(All_Questions_Q_MS_EXPORT_CT="(None)","",IFERROR(INDEX(INDIRECT(XLOOKUP(All_Questions_Q_MS_EXPORT_CT,All_Questions,All_Questions_Options_Names,"None_options")),3),""))</f>
        <v/>
      </c>
      <c r="J16" s="2" t="n"/>
      <c r="K16" s="2" t="str">
        <f>IF(All_Questions_Q_MS_EXPORT_CT="(None)","",IFERROR(INDEX(INDIRECT(XLOOKUP(All_Questions_Q_MS_EXPORT_CT,All_Questions,All_Questions_Options_Names,"None_options")),4),""))</f>
        <v/>
      </c>
      <c r="L16" s="2" t="n"/>
      <c r="M16" s="2" t="str">
        <f>IF(All_Questions_Q_MS_EXPORT_CT="(None)","",IFERROR(INDEX(INDIRECT(XLOOKUP(All_Questions_Q_MS_EXPORT_CT,All_Questions,All_Questions_Options_Names,"None_options")),5),""))</f>
        <v/>
      </c>
      <c r="N16" s="2" t="n"/>
      <c r="O16" s="2" t="str">
        <f>IF(All_Questions_Q_MS_EXPORT_CT="(None)","",IFERROR(INDEX(INDIRECT(XLOOKUP(All_Questions_Q_MS_EXPORT_CT,All_Questions,All_Questions_Options_Names,"None_options")),6),""))</f>
        <v/>
      </c>
      <c r="P16" s="2" t="n"/>
      <c r="Q16" s="2" t="str">
        <f>IF(All_Questions_Q_MS_EXPORT_CT="(None)","",IFERROR(INDEX(INDIRECT(XLOOKUP(All_Questions_Q_MS_EXPORT_CT,All_Questions,All_Questions_Options_Names,"None_options")),7),""))</f>
        <v/>
      </c>
      <c r="R16" s="2" t="n"/>
      <c r="S16" s="2" t="str">
        <f>IF(All_Questions_Q_MS_EXPORT_CT="(None)","",IFERROR(INDEX(INDIRECT(XLOOKUP(All_Questions_Q_MS_EXPORT_CT,All_Questions,All_Questions_Options_Names,"None_options")),8),""))</f>
        <v/>
      </c>
      <c r="T16" s="2" t="n"/>
      <c r="U16" s="2" t="str">
        <f>IF(All_Questions_Q_MS_EXPORT_CT="(None)","",IFERROR(INDEX(INDIRECT(XLOOKUP(All_Questions_Q_MS_EXPORT_CT,All_Questions,All_Questions_Options_Names,"None_options")),9),""))</f>
        <v/>
      </c>
      <c r="V16" s="2" t="n"/>
      <c r="W16" s="2" t="str">
        <f>IF(All_Questions_Q_MS_EXPORT_CT="(None)","",IFERROR(INDEX(INDIRECT(XLOOKUP(All_Questions_Q_MS_EXPORT_CT,All_Questions,All_Questions_Options_Names,"None_options")),10),""))</f>
        <v/>
      </c>
      <c r="X16" s="2" t="n"/>
      <c r="Y16" s="2" t="str">
        <f>IF(All_Questions_Q_MS_EXPORT_CT="(None)","",IFERROR(INDEX(INDIRECT(XLOOKUP(All_Questions_Q_MS_EXPORT_CT,All_Questions,All_Questions_Options_Names,"None_options")),11),""))</f>
        <v/>
      </c>
      <c r="Z16" s="2" t="n"/>
      <c r="AA16" s="2" t="str">
        <f>IF(All_Questions_Q_MS_EXPORT_CT="(None)","",IFERROR(INDEX(INDIRECT(XLOOKUP(All_Questions_Q_MS_EXPORT_CT,All_Questions,All_Questions_Options_Names,"None_options")),12),""))</f>
        <v/>
      </c>
      <c r="AB16" s="2" t="n"/>
      <c r="AC1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,0)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,0)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,0)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,0)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,0)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,0)</f>
        <v>0</v>
      </c>
      <c r="S18">
        <f>IF(OR(All_Questions_Q_MS_EXPORT_CT="(None)",S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,0)</f>
        <v>0</v>
      </c>
      <c r="U18">
        <f>IF(OR(All_Questions_Q_MS_EXPORT_CT="(None)",U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,0)</f>
        <v>0</v>
      </c>
      <c r="W18">
        <f>IF(OR(All_Questions_Q_MS_EXPORT_CT="(None)",W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,0)</f>
        <v>0</v>
      </c>
      <c r="Y18">
        <f>IF(OR(All_Questions_Q_MS_EXPORT_CT="(None)",Y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,0)</f>
        <v>0</v>
      </c>
      <c r="AA18">
        <f>IF(OR(All_Questions_Q_MS_EXPORT_CT="(None)",AA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0)</f>
        <v>0</v>
      </c>
      <c r="AC18">
        <f>IF(OR(All_Questions_Q_MS_EXPORT_CT="(None)",AC$16=""),"",IF(AC$16="Other",COUNTIFS(Q_MS_EXPORTr1_data,"Selected",passes_workbook_filters_data,1,passes_workbook_custom_filters_data,1,All_Questions_passes_local_filters_data,1,All_Questions_Q_MS_EXPORT_F_passes_per_q_filter_data,1)-SUM(G18,I18,K18,M18,O18,Q18,S18,U18,W18,Y18,AA18)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,0)</f>
        <v>0</v>
      </c>
      <c r="AE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,0)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,0)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,0)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,0)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,0)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,0)</f>
        <v>0</v>
      </c>
      <c r="S19">
        <f>IF(OR(All_Questions_Q_MS_EXPORT_CT="(None)",S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,0)</f>
        <v>0</v>
      </c>
      <c r="U19">
        <f>IF(OR(All_Questions_Q_MS_EXPORT_CT="(None)",U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,0)</f>
        <v>0</v>
      </c>
      <c r="W19">
        <f>IF(OR(All_Questions_Q_MS_EXPORT_CT="(None)",W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,0)</f>
        <v>0</v>
      </c>
      <c r="Y19">
        <f>IF(OR(All_Questions_Q_MS_EXPORT_CT="(None)",Y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,0)</f>
        <v>0</v>
      </c>
      <c r="AA19">
        <f>IF(OR(All_Questions_Q_MS_EXPORT_CT="(None)",AA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0)</f>
        <v>0</v>
      </c>
      <c r="AC19">
        <f>IF(OR(All_Questions_Q_MS_EXPORT_CT="(None)",AC$16=""),"",IF(AC$16="Other",COUNTIFS(Q_MS_EXPORTr2_data,"Selected",passes_workbook_filters_data,1,passes_workbook_custom_filters_data,1,All_Questions_passes_local_filters_data,1,All_Questions_Q_MS_EXPORT_F_passes_per_q_filter_data,1)-SUM(G19,I19,K19,M19,O19,Q19,S19,U19,W19,Y19,AA19)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,0)</f>
        <v>0</v>
      </c>
      <c r="AE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IF(All_Questions_Q_GRID_EXPORT_CT="(None)","",IFERROR(INDEX(INDIRECT(XLOOKUP(All_Questions_Q_GRID_EXPORT_CT,All_Questions,All_Questions_Options_Names,"None_options")),2),""))</f>
        <v/>
      </c>
      <c r="H26" s="2" t="n"/>
      <c r="I26" s="2" t="str">
        <f>IF(All_Questions_Q_GRID_EXPORT_CT="(None)","",IFERROR(INDEX(INDIRECT(XLOOKUP(All_Questions_Q_GRID_EXPORT_CT,All_Questions,All_Questions_Options_Names,"None_options")),3),""))</f>
        <v/>
      </c>
      <c r="J26" s="2" t="n"/>
      <c r="K26" s="2" t="str">
        <f>IF(All_Questions_Q_GRID_EXPORT_CT="(None)","",IFERROR(INDEX(INDIRECT(XLOOKUP(All_Questions_Q_GRID_EXPORT_CT,All_Questions,All_Questions_Options_Names,"None_options")),4),""))</f>
        <v/>
      </c>
      <c r="L26" s="2" t="n"/>
      <c r="M26" s="2" t="str">
        <f>IF(All_Questions_Q_GRID_EXPORT_CT="(None)","",IFERROR(INDEX(INDIRECT(XLOOKUP(All_Questions_Q_GRID_EXPORT_CT,All_Questions,All_Questions_Options_Names,"None_options")),5),""))</f>
        <v/>
      </c>
      <c r="N26" s="2" t="n"/>
      <c r="O26" s="2" t="str">
        <f>IF(All_Questions_Q_GRID_EXPORT_CT="(None)","",IFERROR(INDEX(INDIRECT(XLOOKUP(All_Questions_Q_GRID_EXPORT_CT,All_Questions,All_Questions_Options_Names,"None_options")),6),""))</f>
        <v/>
      </c>
      <c r="P26" s="2" t="n"/>
      <c r="Q26" s="2" t="str">
        <f>IF(All_Questions_Q_GRID_EXPORT_CT="(None)","",IFERROR(INDEX(INDIRECT(XLOOKUP(All_Questions_Q_GRID_EXPORT_CT,All_Questions,All_Questions_Options_Names,"None_options")),7),""))</f>
        <v/>
      </c>
      <c r="R26" s="2" t="n"/>
      <c r="S26" s="2" t="str">
        <f>IF(All_Questions_Q_GRID_EXPORT_CT="(None)","",IFERROR(INDEX(INDIRECT(XLOOKUP(All_Questions_Q_GRID_EXPORT_CT,All_Questions,All_Questions_Options_Names,"None_options")),8),""))</f>
        <v/>
      </c>
      <c r="T26" s="2" t="n"/>
      <c r="U26" s="2" t="str">
        <f>IF(All_Questions_Q_GRID_EXPORT_CT="(None)","",IFERROR(INDEX(INDIRECT(XLOOKUP(All_Questions_Q_GRID_EXPORT_CT,All_Questions,All_Questions_Options_Names,"None_options")),9),""))</f>
        <v/>
      </c>
      <c r="V26" s="2" t="n"/>
      <c r="W26" s="2" t="str">
        <f>IF(All_Questions_Q_GRID_EXPORT_CT="(None)","",IFERROR(INDEX(INDIRECT(XLOOKUP(All_Questions_Q_GRID_EXPORT_CT,All_Questions,All_Questions_Options_Names,"None_options")),10),""))</f>
        <v/>
      </c>
      <c r="X26" s="2" t="n"/>
      <c r="Y26" s="2" t="str">
        <f>IF(All_Questions_Q_GRID_EXPORT_CT="(None)","",IFERROR(INDEX(INDIRECT(XLOOKUP(All_Questions_Q_GRID_EXPORT_CT,All_Questions,All_Questions_Options_Names,"None_options")),11),""))</f>
        <v/>
      </c>
      <c r="Z26" s="2" t="n"/>
      <c r="AA26" s="2" t="str">
        <f>IF(All_Questions_Q_GRID_EXPORT_CT="(None)","",IFERROR(INDEX(INDIRECT(XLOOKUP(All_Questions_Q_GRID_EXPORT_CT,All_Questions,All_Questions_Options_Names,"None_options")),12),""))</f>
        <v/>
      </c>
      <c r="AB26" s="2" t="n"/>
      <c r="AC26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first row</t>
        </is>
      </c>
      <c r="G28">
        <f>IF(OR(All_Questions_Q_GRID_EXPORT_CT="(None)",G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,0)</f>
        <v>0</v>
      </c>
      <c r="I28">
        <f>IF(OR(All_Questions_Q_GRID_EXPORT_CT="(None)",I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,0)</f>
        <v>0</v>
      </c>
      <c r="K28">
        <f>IF(OR(All_Questions_Q_GRID_EXPORT_CT="(None)",K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,0)</f>
        <v>0</v>
      </c>
      <c r="M28">
        <f>IF(OR(All_Questions_Q_GRID_EXPORT_CT="(None)",M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,0)</f>
        <v>0</v>
      </c>
      <c r="O28">
        <f>IF(OR(All_Questions_Q_GRID_EXPORT_CT="(None)",O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,0)</f>
        <v>0</v>
      </c>
      <c r="Q28">
        <f>IF(OR(All_Questions_Q_GRID_EXPORT_CT="(None)",Q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,0)</f>
        <v>0</v>
      </c>
      <c r="S28">
        <f>IF(OR(All_Questions_Q_GRID_EXPORT_CT="(None)",S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,0)</f>
        <v>0</v>
      </c>
      <c r="U28">
        <f>IF(OR(All_Questions_Q_GRID_EXPORT_CT="(None)",U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,0)</f>
        <v>0</v>
      </c>
      <c r="W28">
        <f>IF(OR(All_Questions_Q_GRID_EXPORT_CT="(None)",W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,0)</f>
        <v>0</v>
      </c>
      <c r="Y28">
        <f>IF(OR(All_Questions_Q_GRID_EXPORT_CT="(None)",Y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,0)</f>
        <v>0</v>
      </c>
      <c r="AA28">
        <f>IF(OR(All_Questions_Q_GRID_EXPORT_CT="(None)",AA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0)</f>
        <v>0</v>
      </c>
      <c r="AC28">
        <f>IF(OR(All_Questions_Q_GRID_EXPORT_CT="(None)",AC$26=""),"",IF(AC$26="Other",COUNTIFS(Q_GRID_EXPORTr1_data,"Selected",passes_workbook_filters_data,1,passes_workbook_custom_filters_data,1,All_Questions_passes_local_filters_data,1,All_Questions_Q_GRID_EXPORT_F_passes_per_q_filter_data,1)-SUM(G28,I28,K28,M28,O28,Q28,S28,U28,W28,Y28,AA28)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,0)</f>
        <v>0</v>
      </c>
      <c r="AE2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  <c r="F29" t="inlineStr">
        <is>
          <t>Grid second row</t>
        </is>
      </c>
      <c r="G29">
        <f>IF(OR(All_Questions_Q_GRID_EXPORT_CT="(None)",G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,0)</f>
        <v>0</v>
      </c>
      <c r="I29">
        <f>IF(OR(All_Questions_Q_GRID_EXPORT_CT="(None)",I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,0)</f>
        <v>0</v>
      </c>
      <c r="K29">
        <f>IF(OR(All_Questions_Q_GRID_EXPORT_CT="(None)",K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,0)</f>
        <v>0</v>
      </c>
      <c r="M29">
        <f>IF(OR(All_Questions_Q_GRID_EXPORT_CT="(None)",M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,0)</f>
        <v>0</v>
      </c>
      <c r="O29">
        <f>IF(OR(All_Questions_Q_GRID_EXPORT_CT="(None)",O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,0)</f>
        <v>0</v>
      </c>
      <c r="Q29">
        <f>IF(OR(All_Questions_Q_GRID_EXPORT_CT="(None)",Q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,0)</f>
        <v>0</v>
      </c>
      <c r="S29">
        <f>IF(OR(All_Questions_Q_GRID_EXPORT_CT="(None)",S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,0)</f>
        <v>0</v>
      </c>
      <c r="U29">
        <f>IF(OR(All_Questions_Q_GRID_EXPORT_CT="(None)",U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,0)</f>
        <v>0</v>
      </c>
      <c r="W29">
        <f>IF(OR(All_Questions_Q_GRID_EXPORT_CT="(None)",W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,0)</f>
        <v>0</v>
      </c>
      <c r="Y29">
        <f>IF(OR(All_Questions_Q_GRID_EXPORT_CT="(None)",Y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,0)</f>
        <v>0</v>
      </c>
      <c r="AA29">
        <f>IF(OR(All_Questions_Q_GRID_EXPORT_CT="(None)",AA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0)</f>
        <v>0</v>
      </c>
      <c r="AC29">
        <f>IF(OR(All_Questions_Q_GRID_EXPORT_CT="(None)",AC$26=""),"",IF(AC$26="Other",COUNTIFS(Q_GRID_EXPORTr2_data,"Selected",passes_workbook_filters_data,1,passes_workbook_custom_filters_data,1,All_Questions_passes_local_filters_data,1,All_Questions_Q_GRID_EXPORT_F_passes_per_q_filter_data,1)-SUM(G29,I29,K29,M29,O29,Q29,S29,U29,W29,Y29,AA29)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,0)</f>
        <v>0</v>
      </c>
      <c r="AE2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sheet name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36" s="2" t="n"/>
      <c r="I36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36" s="2" t="n"/>
      <c r="K36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36" s="2" t="n"/>
      <c r="M36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36" s="2" t="n"/>
      <c r="O36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36" s="2" t="n"/>
      <c r="Q36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36" s="2" t="n"/>
      <c r="S36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36" s="2" t="n"/>
      <c r="U36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36" s="2" t="n"/>
      <c r="W36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36" s="2" t="n"/>
      <c r="Y36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36" s="2" t="n"/>
      <c r="AA36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36" s="2" t="n"/>
      <c r="AC36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36" s="2" t="n"/>
      <c r="AE36" s="4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s="4" t="inlineStr"/>
      <c r="G37" s="4" t="inlineStr">
        <is>
          <t># of resp</t>
        </is>
      </c>
      <c r="H37" s="4" t="inlineStr">
        <is>
          <t>% of resp</t>
        </is>
      </c>
      <c r="I37" s="4" t="inlineStr">
        <is>
          <t># of resp</t>
        </is>
      </c>
      <c r="J37" s="4" t="inlineStr">
        <is>
          <t>% of resp</t>
        </is>
      </c>
      <c r="K37" s="4" t="inlineStr">
        <is>
          <t># of resp</t>
        </is>
      </c>
      <c r="L37" s="4" t="inlineStr">
        <is>
          <t>% of resp</t>
        </is>
      </c>
      <c r="M37" s="4" t="inlineStr">
        <is>
          <t># of resp</t>
        </is>
      </c>
      <c r="N37" s="4" t="inlineStr">
        <is>
          <t>% of resp</t>
        </is>
      </c>
      <c r="O37" s="4" t="inlineStr">
        <is>
          <t># of resp</t>
        </is>
      </c>
      <c r="P37" s="4" t="inlineStr">
        <is>
          <t>% of resp</t>
        </is>
      </c>
      <c r="Q37" s="4" t="inlineStr">
        <is>
          <t># of resp</t>
        </is>
      </c>
      <c r="R37" s="4" t="inlineStr">
        <is>
          <t>% of resp</t>
        </is>
      </c>
      <c r="S37" s="4" t="inlineStr">
        <is>
          <t># of resp</t>
        </is>
      </c>
      <c r="T37" s="4" t="inlineStr">
        <is>
          <t>% of resp</t>
        </is>
      </c>
      <c r="U37" s="4" t="inlineStr">
        <is>
          <t># of resp</t>
        </is>
      </c>
      <c r="V37" s="4" t="inlineStr">
        <is>
          <t>% of resp</t>
        </is>
      </c>
      <c r="W37" s="4" t="inlineStr">
        <is>
          <t># of resp</t>
        </is>
      </c>
      <c r="X37" s="4" t="inlineStr">
        <is>
          <t>% of resp</t>
        </is>
      </c>
      <c r="Y37" s="4" t="inlineStr">
        <is>
          <t># of resp</t>
        </is>
      </c>
      <c r="Z37" s="4" t="inlineStr">
        <is>
          <t>% of resp</t>
        </is>
      </c>
      <c r="AA37" s="4" t="inlineStr">
        <is>
          <t># of resp</t>
        </is>
      </c>
      <c r="AB37" s="4" t="inlineStr">
        <is>
          <t>% of resp</t>
        </is>
      </c>
      <c r="AC37" s="4" t="inlineStr">
        <is>
          <t># of resp</t>
        </is>
      </c>
      <c r="AD37" s="4" t="inlineStr">
        <is>
          <t>% of resp</t>
        </is>
      </c>
      <c r="AE37" s="4" t="inlineStr">
        <is>
          <t># of resp</t>
        </is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A</t>
        </is>
      </c>
      <c r="G38">
        <f>IF(OR(All_Questions_Q_VERY_LONG_SINGLE_SELECT_EXPORT_NAME_CT="(None)",G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</f>
        <v>0</v>
      </c>
      <c r="H38" s="7">
        <f>IFERROR(G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,0)</f>
        <v>0</v>
      </c>
      <c r="I38">
        <f>IF(OR(All_Questions_Q_VERY_LONG_SINGLE_SELECT_EXPORT_NAME_CT="(None)",I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</f>
        <v>0</v>
      </c>
      <c r="J38" s="7">
        <f>IFERROR(I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,0)</f>
        <v>0</v>
      </c>
      <c r="K38">
        <f>IF(OR(All_Questions_Q_VERY_LONG_SINGLE_SELECT_EXPORT_NAME_CT="(None)",K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</f>
        <v>0</v>
      </c>
      <c r="L38" s="7">
        <f>IFERROR(K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,0)</f>
        <v>0</v>
      </c>
      <c r="M38">
        <f>IF(OR(All_Questions_Q_VERY_LONG_SINGLE_SELECT_EXPORT_NAME_CT="(None)",M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</f>
        <v>0</v>
      </c>
      <c r="N38" s="7">
        <f>IFERROR(M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,0)</f>
        <v>0</v>
      </c>
      <c r="O38">
        <f>IF(OR(All_Questions_Q_VERY_LONG_SINGLE_SELECT_EXPORT_NAME_CT="(None)",O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</f>
        <v>0</v>
      </c>
      <c r="P38" s="7">
        <f>IFERROR(O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,0)</f>
        <v>0</v>
      </c>
      <c r="Q38">
        <f>IF(OR(All_Questions_Q_VERY_LONG_SINGLE_SELECT_EXPORT_NAME_CT="(None)",Q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</f>
        <v>0</v>
      </c>
      <c r="R38" s="7">
        <f>IFERROR(Q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,0)</f>
        <v>0</v>
      </c>
      <c r="S38">
        <f>IF(OR(All_Questions_Q_VERY_LONG_SINGLE_SELECT_EXPORT_NAME_CT="(None)",S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</f>
        <v>0</v>
      </c>
      <c r="T38" s="7">
        <f>IFERROR(S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,0)</f>
        <v>0</v>
      </c>
      <c r="U38">
        <f>IF(OR(All_Questions_Q_VERY_LONG_SINGLE_SELECT_EXPORT_NAME_CT="(None)",U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</f>
        <v>0</v>
      </c>
      <c r="V38" s="7">
        <f>IFERROR(U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,0)</f>
        <v>0</v>
      </c>
      <c r="W38">
        <f>IF(OR(All_Questions_Q_VERY_LONG_SINGLE_SELECT_EXPORT_NAME_CT="(None)",W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</f>
        <v>0</v>
      </c>
      <c r="X38" s="7">
        <f>IFERROR(W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,0)</f>
        <v>0</v>
      </c>
      <c r="Y38">
        <f>IF(OR(All_Questions_Q_VERY_LONG_SINGLE_SELECT_EXPORT_NAME_CT="(None)",Y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</f>
        <v>0</v>
      </c>
      <c r="Z38" s="7">
        <f>IFERROR(Y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,0)</f>
        <v>0</v>
      </c>
      <c r="AA38">
        <f>IF(OR(All_Questions_Q_VERY_LONG_SINGLE_SELECT_EXPORT_NAME_CT="(None)",AA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</f>
        <v>0</v>
      </c>
      <c r="AB38" s="7">
        <f>IFERROR(AA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0)</f>
        <v>0</v>
      </c>
      <c r="AC38">
        <f>IF(OR(All_Questions_Q_VERY_LONG_SINGLE_SELECT_EXPORT_NAME_CT="(None)",AC$36=""),"",IF(AC$36="Other",COUNTIFS(Q_VERY_LONG_SINGLE_SELECT_EXPOR_data,"A",passes_workbook_filters_data,1,passes_workbook_custom_filters_data,1,All_Questions_passes_local_filters_data,1,All_Questions_Q_VERY_LONG_SINGLE_SELECT_EXPORT_NAME_F_passes_per_q_filter_data,1)-SUM(G38,I38,K38,M38,O38,Q38,S38,U38,W38,Y38,AA38)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</f>
        <v>0</v>
      </c>
      <c r="AD38" s="7">
        <f>IFERROR(AC38/(IF(AC$36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,0)</f>
        <v>0</v>
      </c>
      <c r="AE38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F39" t="inlineStr">
        <is>
          <t>B</t>
        </is>
      </c>
      <c r="G39">
        <f>IF(OR(All_Questions_Q_VERY_LONG_SINGLE_SELECT_EXPORT_NAME_CT="(None)",G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</f>
        <v>0</v>
      </c>
      <c r="H39" s="7">
        <f>IFERROR(G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,0)</f>
        <v>0</v>
      </c>
      <c r="I39">
        <f>IF(OR(All_Questions_Q_VERY_LONG_SINGLE_SELECT_EXPORT_NAME_CT="(None)",I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</f>
        <v>0</v>
      </c>
      <c r="J39" s="7">
        <f>IFERROR(I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,0)</f>
        <v>0</v>
      </c>
      <c r="K39">
        <f>IF(OR(All_Questions_Q_VERY_LONG_SINGLE_SELECT_EXPORT_NAME_CT="(None)",K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</f>
        <v>0</v>
      </c>
      <c r="L39" s="7">
        <f>IFERROR(K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,0)</f>
        <v>0</v>
      </c>
      <c r="M39">
        <f>IF(OR(All_Questions_Q_VERY_LONG_SINGLE_SELECT_EXPORT_NAME_CT="(None)",M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</f>
        <v>0</v>
      </c>
      <c r="N39" s="7">
        <f>IFERROR(M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,0)</f>
        <v>0</v>
      </c>
      <c r="O39">
        <f>IF(OR(All_Questions_Q_VERY_LONG_SINGLE_SELECT_EXPORT_NAME_CT="(None)",O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</f>
        <v>0</v>
      </c>
      <c r="P39" s="7">
        <f>IFERROR(O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,0)</f>
        <v>0</v>
      </c>
      <c r="Q39">
        <f>IF(OR(All_Questions_Q_VERY_LONG_SINGLE_SELECT_EXPORT_NAME_CT="(None)",Q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</f>
        <v>0</v>
      </c>
      <c r="R39" s="7">
        <f>IFERROR(Q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,0)</f>
        <v>0</v>
      </c>
      <c r="S39">
        <f>IF(OR(All_Questions_Q_VERY_LONG_SINGLE_SELECT_EXPORT_NAME_CT="(None)",S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</f>
        <v>0</v>
      </c>
      <c r="T39" s="7">
        <f>IFERROR(S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,0)</f>
        <v>0</v>
      </c>
      <c r="U39">
        <f>IF(OR(All_Questions_Q_VERY_LONG_SINGLE_SELECT_EXPORT_NAME_CT="(None)",U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</f>
        <v>0</v>
      </c>
      <c r="V39" s="7">
        <f>IFERROR(U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,0)</f>
        <v>0</v>
      </c>
      <c r="W39">
        <f>IF(OR(All_Questions_Q_VERY_LONG_SINGLE_SELECT_EXPORT_NAME_CT="(None)",W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</f>
        <v>0</v>
      </c>
      <c r="X39" s="7">
        <f>IFERROR(W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,0)</f>
        <v>0</v>
      </c>
      <c r="Y39">
        <f>IF(OR(All_Questions_Q_VERY_LONG_SINGLE_SELECT_EXPORT_NAME_CT="(None)",Y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</f>
        <v>0</v>
      </c>
      <c r="Z39" s="7">
        <f>IFERROR(Y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,0)</f>
        <v>0</v>
      </c>
      <c r="AA39">
        <f>IF(OR(All_Questions_Q_VERY_LONG_SINGLE_SELECT_EXPORT_NAME_CT="(None)",AA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</f>
        <v>0</v>
      </c>
      <c r="AB39" s="7">
        <f>IFERROR(AA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0)</f>
        <v>0</v>
      </c>
      <c r="AC39">
        <f>IF(OR(All_Questions_Q_VERY_LONG_SINGLE_SELECT_EXPORT_NAME_CT="(None)",AC$36=""),"",IF(AC$36="Other",COUNTIFS(Q_VERY_LONG_SINGLE_SELECT_EXPOR_data,"B",passes_workbook_filters_data,1,passes_workbook_custom_filters_data,1,All_Questions_passes_local_filters_data,1,All_Questions_Q_VERY_LONG_SINGLE_SELECT_EXPORT_NAME_F_passes_per_q_filter_data,1)-SUM(G39,I39,K39,M39,O39,Q39,S39,U39,W39,Y39,AA39)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</f>
        <v>0</v>
      </c>
      <c r="AD39" s="7">
        <f>IFERROR(AC39/(IF(AC$36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,0)</f>
        <v>0</v>
      </c>
      <c r="AE39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K16:L16"/>
    <mergeCell ref="Q16:R16"/>
    <mergeCell ref="S16:T16"/>
    <mergeCell ref="AC16:AD16"/>
    <mergeCell ref="G36:H36"/>
    <mergeCell ref="I36:J36"/>
    <mergeCell ref="U36:V36"/>
    <mergeCell ref="K36:L36"/>
    <mergeCell ref="I26:J26"/>
    <mergeCell ref="W36:X36"/>
    <mergeCell ref="K26:L26"/>
    <mergeCell ref="O36:P36"/>
    <mergeCell ref="W26:X26"/>
    <mergeCell ref="I16:J16"/>
    <mergeCell ref="U16:V16"/>
    <mergeCell ref="O26:P26"/>
    <mergeCell ref="Q26:R26"/>
    <mergeCell ref="AA36:AB3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M36:N36"/>
    <mergeCell ref="Q36:R36"/>
    <mergeCell ref="S36:T36"/>
    <mergeCell ref="Y36:Z36"/>
    <mergeCell ref="G26:H26"/>
    <mergeCell ref="M26:N26"/>
    <mergeCell ref="G16:H16"/>
    <mergeCell ref="AC36:AD3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8:T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8:V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8:X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8:Z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8:AB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8:AD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2026-05-18T10:51:51Z</dcterms:created>
  <dcterms:modified xmlns:dcterms="http://purl.org/dc/terms/" xmlns:xsi="http://www.w3.org/2001/XMLSchema-instance" xsi:type="dcterms:W3CDTF">2026-05-18T10:51:52Z</dcterms:modified>
</cp:coreProperties>
</file>