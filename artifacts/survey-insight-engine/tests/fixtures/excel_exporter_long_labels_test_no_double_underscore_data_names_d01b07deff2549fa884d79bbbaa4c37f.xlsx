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Questions'!$C$29</definedName>
    <definedName name="All_Questions_Q56_Expected_2025_Gross_margin_growth_outlook_F_V">'All Questions'!$E$29</definedName>
    <definedName name="All_Questions_Q56_Expected_2025_Gross_margin_growth_outlook_F_resolved_column">'All Questions'!$F$29</definedName>
    <definedName name="All_Questions_Q56_Expected_2025_Gross_margin_growth_outlook_F_wrapped">'All Questions'!$G$29</definedName>
    <definedName name="All_Questions_Q56_Expected_2025_Gross_margin_growth_outlook_F_resolved_criteria">'All Questions'!$H$29</definedName>
    <definedName name="All_Questions_Q56_Expected_2025_Gross_margin_growth_outlook_F_passes_per_q_filter_data">'_RawData'!$K$2:$K$7</definedName>
    <definedName name="All_Questions_Q56_Expected_2025_Gross_margin_growth_outlook_CT">'All Questions'!$C$30</definedName>
    <definedName name="All_Questions_Q102_Expected_2025_EBITDA_margin_growth_outlook_F_Q">'All Questions'!$C$45</definedName>
    <definedName name="All_Questions_Q102_Expected_2025_EBITDA_margin_growth_outlook_F_V">'All Questions'!$E$45</definedName>
    <definedName name="All_Questions_Q102_Expected_2025_EBITDA_margin_growth_outlook_F_resolved_column">'All Questions'!$F$45</definedName>
    <definedName name="All_Questions_Q102_Expected_2025_EBITDA_margin_growth_outlook_F_wrapped">'All Questions'!$G$45</definedName>
    <definedName name="All_Questions_Q102_Expected_2025_EBITDA_margin_growth_outlook_F_resolved_criteria">'All Questions'!$H$45</definedName>
    <definedName name="All_Questions_Q102_Expected_2025_EBITDA_margin_growth_outlook_F_passes_per_q_filter_data">'_RawData'!$L$2:$L$7</definedName>
    <definedName name="All_Questions_Q102_Expected_2025_EBITDA_margin_growth_outlook_CT">'All Questions'!$C$46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7" i="7"/>
  <c r="C37" i="7"/>
  <c r="D37" i="7"/>
  <c r="E37" i="7"/>
  <c r="F37" i="7"/>
  <c r="G37" i="7"/>
  <c r="H37" i="7"/>
  <c r="I37" i="7"/>
  <c r="J37" i="7"/>
  <c r="K37" i="7"/>
  <c r="L37" i="7"/>
  <c r="M37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N41" i="7"/>
  <c r="F45" i="7"/>
  <c r="G45" i="7"/>
  <c r="H45" i="7"/>
  <c r="B49" i="7"/>
  <c r="C49" i="7"/>
  <c r="D49" i="7"/>
  <c r="B50" i="7"/>
  <c r="C50" i="7"/>
  <c r="D50" i="7"/>
  <c r="B53" i="7"/>
  <c r="C53" i="7"/>
  <c r="D53" i="7"/>
  <c r="E53" i="7"/>
  <c r="F53" i="7"/>
  <c r="G53" i="7"/>
  <c r="H53" i="7"/>
  <c r="I53" i="7"/>
  <c r="J53" i="7"/>
  <c r="K53" i="7"/>
  <c r="L53" i="7"/>
  <c r="M53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N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5" headerRowCount="1">
  <autoFilter ref="A32:D3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C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D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E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F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G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H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I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J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K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L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M21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Higher</t>
        </is>
      </c>
      <c r="B23" s="14">
        <f>IF(OR(All_Questions_Q14_Expected_2025_Gross_margin_growth_outlook_CT="(None)",B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3" s="14">
        <f>IF(OR(All_Questions_Q14_Expected_2025_Gross_margin_growth_outlook_CT="(None)",C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3" s="14">
        <f>IF(OR(All_Questions_Q14_Expected_2025_Gross_margin_growth_outlook_CT="(None)",D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3" s="14">
        <f>IF(OR(All_Questions_Q14_Expected_2025_Gross_margin_growth_outlook_CT="(None)",E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3" s="14">
        <f>IF(OR(All_Questions_Q14_Expected_2025_Gross_margin_growth_outlook_CT="(None)",F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3" s="14">
        <f>IF(OR(All_Questions_Q14_Expected_2025_Gross_margin_growth_outlook_CT="(None)",G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3" s="14">
        <f>IF(OR(All_Questions_Q14_Expected_2025_Gross_margin_growth_outlook_CT="(None)",H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3" s="14">
        <f>IF(OR(All_Questions_Q14_Expected_2025_Gross_margin_growth_outlook_CT="(None)",I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3" s="14">
        <f>IF(OR(All_Questions_Q14_Expected_2025_Gross_margin_growth_outlook_CT="(None)",J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3" s="14">
        <f>IF(OR(All_Questions_Q14_Expected_2025_Gross_margin_growth_outlook_CT="(None)",K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3" s="14">
        <f>IF(OR(All_Questions_Q14_Expected_2025_Gross_margin_growth_outlook_CT="(None)",L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3" s="14">
        <f>IF(OR(All_Questions_Q14_Expected_2025_Gross_margin_growth_outlook_CT="(None)",M$21=""),"",IF(M$21="Other",COUNTIFS(Q14_Expected_2025_Gross_margin_data,"Higher",passes_workbook_filters_data,1,passes_workbook_custom_filters_data,1,All_Questions_passes_local_filters_data,1,All_Questions_Q14_Expected_2025_Gross_margin_growth_outlook_F_passes_per_q_filter_data,1)-SUM(B23,C23,D23,E23,F23,G23,H23,I23,J23,K23,L23)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3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24">
      <c r="A24" t="inlineStr">
        <is>
          <t>Lower</t>
        </is>
      </c>
      <c r="B24" s="14">
        <f>IF(OR(All_Questions_Q14_Expected_2025_Gross_margin_growth_outlook_CT="(None)",B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4" s="14">
        <f>IF(OR(All_Questions_Q14_Expected_2025_Gross_margin_growth_outlook_CT="(None)",C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4" s="14">
        <f>IF(OR(All_Questions_Q14_Expected_2025_Gross_margin_growth_outlook_CT="(None)",D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4" s="14">
        <f>IF(OR(All_Questions_Q14_Expected_2025_Gross_margin_growth_outlook_CT="(None)",E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4" s="14">
        <f>IF(OR(All_Questions_Q14_Expected_2025_Gross_margin_growth_outlook_CT="(None)",F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4" s="14">
        <f>IF(OR(All_Questions_Q14_Expected_2025_Gross_margin_growth_outlook_CT="(None)",G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4" s="14">
        <f>IF(OR(All_Questions_Q14_Expected_2025_Gross_margin_growth_outlook_CT="(None)",H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4" s="14">
        <f>IF(OR(All_Questions_Q14_Expected_2025_Gross_margin_growth_outlook_CT="(None)",I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4" s="14">
        <f>IF(OR(All_Questions_Q14_Expected_2025_Gross_margin_growth_outlook_CT="(None)",J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4" s="14">
        <f>IF(OR(All_Questions_Q14_Expected_2025_Gross_margin_growth_outlook_CT="(None)",K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4" s="14">
        <f>IF(OR(All_Questions_Q14_Expected_2025_Gross_margin_growth_outlook_CT="(None)",L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4" s="14">
        <f>IF(OR(All_Questions_Q14_Expected_2025_Gross_margin_growth_outlook_CT="(None)",M$21=""),"",IF(M$21="Other",COUNTIFS(Q14_Expected_2025_Gross_margin_data,"Lower",passes_workbook_filters_data,1,passes_workbook_custom_filters_data,1,All_Questions_passes_local_filters_data,1,All_Questions_Q14_Expected_2025_Gross_margin_growth_outlook_F_passes_per_q_filter_data,1)-SUM(B24,C24,D24,E24,F24,G24,H24,I24,J24,K24,L24)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4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Q56 Expected 2025 Gross margin growth outlook question text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9" t="str">
        <f>"|" &amp; SUBSTITUTE(All_Questions_Q56_Expected_2025_Gross_margin_growth_outlook_F_V, ", ", "|") &amp; "|"</f>
        <v>|(All)|</v>
      </c>
      <c r="H29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Higher</t>
        </is>
      </c>
      <c r="B33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33" s="7">
        <f>IFERROR(B33/SUBTOTAL(9,B33:B34),0)</f>
        <v>0.5</v>
      </c>
      <c r="D33" s="14">
        <f>SUBTOTAL(9,B33:B34)</f>
        <v>6</v>
      </c>
    </row>
    <row r="34">
      <c r="A34" t="inlineStr">
        <is>
          <t>Lower</t>
        </is>
      </c>
      <c r="B34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34" s="7">
        <f>IFERROR(B34/SUBTOTAL(9,B33:B34),0)</f>
        <v>0.5</v>
      </c>
      <c r="D34" s="14">
        <f>SUBTOTAL(9,B33:B34)</f>
        <v>6</v>
      </c>
    </row>
    <row r="35">
      <c r="A35" s="15" t="inlineStr">
        <is>
          <t>Total respondents</t>
        </is>
      </c>
      <c r="B35" s="15" t="n">
        <v>6</v>
      </c>
      <c r="C35" s="15" t="n"/>
      <c r="D35" s="15" t="n"/>
    </row>
    <row r="36"/>
    <row r="37">
      <c r="A37" s="4" t="inlineStr">
        <is>
          <t>Option</t>
        </is>
      </c>
      <c r="B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C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D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E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F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G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H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I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J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K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L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M3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N37" s="4" t="inlineStr">
        <is>
          <t>Total</t>
        </is>
      </c>
    </row>
    <row r="38">
      <c r="A38" s="4" t="inlineStr"/>
      <c r="B38" s="4" t="inlineStr">
        <is>
          <t># of resp</t>
        </is>
      </c>
      <c r="C38" s="4" t="inlineStr">
        <is>
          <t># of resp</t>
        </is>
      </c>
      <c r="D38" s="4" t="inlineStr">
        <is>
          <t># of resp</t>
        </is>
      </c>
      <c r="E38" s="4" t="inlineStr">
        <is>
          <t># of resp</t>
        </is>
      </c>
      <c r="F38" s="4" t="inlineStr">
        <is>
          <t># of resp</t>
        </is>
      </c>
      <c r="G38" s="4" t="inlineStr">
        <is>
          <t># of resp</t>
        </is>
      </c>
      <c r="H38" s="4" t="inlineStr">
        <is>
          <t># of resp</t>
        </is>
      </c>
      <c r="I38" s="4" t="inlineStr">
        <is>
          <t># of resp</t>
        </is>
      </c>
      <c r="J38" s="4" t="inlineStr">
        <is>
          <t># of resp</t>
        </is>
      </c>
      <c r="K38" s="4" t="inlineStr">
        <is>
          <t># of resp</t>
        </is>
      </c>
      <c r="L38" s="4" t="inlineStr">
        <is>
          <t># of resp</t>
        </is>
      </c>
      <c r="M38" s="4" t="inlineStr">
        <is>
          <t># of resp</t>
        </is>
      </c>
      <c r="N38" s="4" t="inlineStr">
        <is>
          <t># of resp</t>
        </is>
      </c>
    </row>
    <row r="39">
      <c r="A39" t="inlineStr">
        <is>
          <t>Higher</t>
        </is>
      </c>
      <c r="B39" s="14">
        <f>IF(OR(All_Questions_Q56_Expected_2025_Gross_margin_growth_outlook_CT="(None)",B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39" s="14">
        <f>IF(OR(All_Questions_Q56_Expected_2025_Gross_margin_growth_outlook_CT="(None)",C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39" s="14">
        <f>IF(OR(All_Questions_Q56_Expected_2025_Gross_margin_growth_outlook_CT="(None)",D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39" s="14">
        <f>IF(OR(All_Questions_Q56_Expected_2025_Gross_margin_growth_outlook_CT="(None)",E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39" s="14">
        <f>IF(OR(All_Questions_Q56_Expected_2025_Gross_margin_growth_outlook_CT="(None)",F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39" s="14">
        <f>IF(OR(All_Questions_Q56_Expected_2025_Gross_margin_growth_outlook_CT="(None)",G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39" s="14">
        <f>IF(OR(All_Questions_Q56_Expected_2025_Gross_margin_growth_outlook_CT="(None)",H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39" s="14">
        <f>IF(OR(All_Questions_Q56_Expected_2025_Gross_margin_growth_outlook_CT="(None)",I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39" s="14">
        <f>IF(OR(All_Questions_Q56_Expected_2025_Gross_margin_growth_outlook_CT="(None)",J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39" s="14">
        <f>IF(OR(All_Questions_Q56_Expected_2025_Gross_margin_growth_outlook_CT="(None)",K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39" s="14">
        <f>IF(OR(All_Questions_Q56_Expected_2025_Gross_margin_growth_outlook_CT="(None)",L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39" s="14">
        <f>IF(OR(All_Questions_Q56_Expected_2025_Gross_margin_growth_outlook_CT="(None)",M$37=""),"",IF(M$37="Other",COUNTIFS(Q56_Expected_2025_Gross_margin_data,"Higher",passes_workbook_filters_data,1,passes_workbook_custom_filters_data,1,All_Questions_passes_local_filters_data,1,All_Questions_Q56_Expected_2025_Gross_margin_growth_outlook_F_passes_per_q_filter_data,1)-SUM(B39,C39,D39,E39,F39,G39,H39,I39,J39,K39,L39)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3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40">
      <c r="A40" t="inlineStr">
        <is>
          <t>Lower</t>
        </is>
      </c>
      <c r="B40" s="14">
        <f>IF(OR(All_Questions_Q56_Expected_2025_Gross_margin_growth_outlook_CT="(None)",B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40" s="14">
        <f>IF(OR(All_Questions_Q56_Expected_2025_Gross_margin_growth_outlook_CT="(None)",C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40" s="14">
        <f>IF(OR(All_Questions_Q56_Expected_2025_Gross_margin_growth_outlook_CT="(None)",D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40" s="14">
        <f>IF(OR(All_Questions_Q56_Expected_2025_Gross_margin_growth_outlook_CT="(None)",E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40" s="14">
        <f>IF(OR(All_Questions_Q56_Expected_2025_Gross_margin_growth_outlook_CT="(None)",F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40" s="14">
        <f>IF(OR(All_Questions_Q56_Expected_2025_Gross_margin_growth_outlook_CT="(None)",G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40" s="14">
        <f>IF(OR(All_Questions_Q56_Expected_2025_Gross_margin_growth_outlook_CT="(None)",H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40" s="14">
        <f>IF(OR(All_Questions_Q56_Expected_2025_Gross_margin_growth_outlook_CT="(None)",I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40" s="14">
        <f>IF(OR(All_Questions_Q56_Expected_2025_Gross_margin_growth_outlook_CT="(None)",J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40" s="14">
        <f>IF(OR(All_Questions_Q56_Expected_2025_Gross_margin_growth_outlook_CT="(None)",K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40" s="14">
        <f>IF(OR(All_Questions_Q56_Expected_2025_Gross_margin_growth_outlook_CT="(None)",L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40" s="14">
        <f>IF(OR(All_Questions_Q56_Expected_2025_Gross_margin_growth_outlook_CT="(None)",M$37=""),"",IF(M$37="Other",COUNTIFS(Q56_Expected_2025_Gross_margin_data,"Lower",passes_workbook_filters_data,1,passes_workbook_custom_filters_data,1,All_Questions_passes_local_filters_data,1,All_Questions_Q56_Expected_2025_Gross_margin_growth_outlook_F_passes_per_q_filter_data,1)-SUM(B40,C40,D40,E40,F40,G40,H40,I40,J40,K40,L40)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4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41">
      <c r="A41" s="4" t="inlineStr">
        <is>
          <t>Total respondents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42"/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Q102 Expected 2025 EBITDA margin growth outlook question text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45" t="str">
        <f>"|" &amp; SUBSTITUTE(All_Questions_Q102_Expected_2025_EBITDA_margin_growth_outlook_F_V, ", ", "|") &amp; "|"</f>
        <v>|(All)|</v>
      </c>
      <c r="H4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46">
      <c r="A46" s="13" t="inlineStr">
        <is>
          <t>Cross-tab by</t>
        </is>
      </c>
      <c r="C46" t="inlineStr">
        <is>
          <t>(None)</t>
        </is>
      </c>
    </row>
    <row r="47"/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</row>
    <row r="49">
      <c r="A49" t="inlineStr">
        <is>
          <t>Higher</t>
        </is>
      </c>
      <c r="B4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49" s="7">
        <f>IFERROR(B49/SUBTOTAL(9,B49:B50),0)</f>
        <v>0.5</v>
      </c>
      <c r="D49" s="14">
        <f>SUBTOTAL(9,B49:B50)</f>
        <v>6</v>
      </c>
    </row>
    <row r="50">
      <c r="A50" t="inlineStr">
        <is>
          <t>Lower</t>
        </is>
      </c>
      <c r="B5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50" s="7">
        <f>IFERROR(B50/SUBTOTAL(9,B49:B50),0)</f>
        <v>0.5</v>
      </c>
      <c r="D50" s="14">
        <f>SUBTOTAL(9,B49:B50)</f>
        <v>6</v>
      </c>
    </row>
    <row r="51">
      <c r="A51" s="15" t="inlineStr">
        <is>
          <t>Total respondents</t>
        </is>
      </c>
      <c r="B51" s="15" t="n">
        <v>6</v>
      </c>
      <c r="C51" s="15" t="n"/>
      <c r="D51" s="15" t="n"/>
    </row>
    <row r="52"/>
    <row r="53">
      <c r="A53" s="4" t="inlineStr">
        <is>
          <t>Option</t>
        </is>
      </c>
      <c r="B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C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D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E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F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G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H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I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J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K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L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M53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N53" s="4" t="inlineStr">
        <is>
          <t>Total</t>
        </is>
      </c>
    </row>
    <row r="54">
      <c r="A54" s="4" t="inlineStr"/>
      <c r="B54" s="4" t="inlineStr">
        <is>
          <t># of resp</t>
        </is>
      </c>
      <c r="C54" s="4" t="inlineStr">
        <is>
          <t># of resp</t>
        </is>
      </c>
      <c r="D54" s="4" t="inlineStr">
        <is>
          <t># of resp</t>
        </is>
      </c>
      <c r="E54" s="4" t="inlineStr">
        <is>
          <t># of resp</t>
        </is>
      </c>
      <c r="F54" s="4" t="inlineStr">
        <is>
          <t># of resp</t>
        </is>
      </c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</row>
    <row r="55">
      <c r="A55" t="inlineStr">
        <is>
          <t>Higher</t>
        </is>
      </c>
      <c r="B55" s="14">
        <f>IF(OR(All_Questions_Q102_Expected_2025_EBITDA_margin_growth_outlook_CT="(None)",B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5" s="14">
        <f>IF(OR(All_Questions_Q102_Expected_2025_EBITDA_margin_growth_outlook_CT="(None)",C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5" s="14">
        <f>IF(OR(All_Questions_Q102_Expected_2025_EBITDA_margin_growth_outlook_CT="(None)",D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5" s="14">
        <f>IF(OR(All_Questions_Q102_Expected_2025_EBITDA_margin_growth_outlook_CT="(None)",E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5" s="14">
        <f>IF(OR(All_Questions_Q102_Expected_2025_EBITDA_margin_growth_outlook_CT="(None)",F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5" s="14">
        <f>IF(OR(All_Questions_Q102_Expected_2025_EBITDA_margin_growth_outlook_CT="(None)",G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5" s="14">
        <f>IF(OR(All_Questions_Q102_Expected_2025_EBITDA_margin_growth_outlook_CT="(None)",H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5" s="14">
        <f>IF(OR(All_Questions_Q102_Expected_2025_EBITDA_margin_growth_outlook_CT="(None)",I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5" s="14">
        <f>IF(OR(All_Questions_Q102_Expected_2025_EBITDA_margin_growth_outlook_CT="(None)",J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5" s="14">
        <f>IF(OR(All_Questions_Q102_Expected_2025_EBITDA_margin_growth_outlook_CT="(None)",K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5" s="14">
        <f>IF(OR(All_Questions_Q102_Expected_2025_EBITDA_margin_growth_outlook_CT="(None)",L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5" s="14">
        <f>IF(OR(All_Questions_Q102_Expected_2025_EBITDA_margin_growth_outlook_CT="(None)",M$53=""),"",IF(M$53="Other",COUNTIFS(Q102_Expected_2025_EBITDA_margi_data,"Higher",passes_workbook_filters_data,1,passes_workbook_custom_filters_data,1,All_Questions_passes_local_filters_data,1,All_Questions_Q102_Expected_2025_EBITDA_margin_growth_outlook_F_passes_per_q_filter_data,1)-SUM(B55,C55,D55,E55,F55,G55,H55,I55,J55,K55,L55)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5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56">
      <c r="A56" t="inlineStr">
        <is>
          <t>Lower</t>
        </is>
      </c>
      <c r="B56" s="14">
        <f>IF(OR(All_Questions_Q102_Expected_2025_EBITDA_margin_growth_outlook_CT="(None)",B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6" s="14">
        <f>IF(OR(All_Questions_Q102_Expected_2025_EBITDA_margin_growth_outlook_CT="(None)",C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6" s="14">
        <f>IF(OR(All_Questions_Q102_Expected_2025_EBITDA_margin_growth_outlook_CT="(None)",D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6" s="14">
        <f>IF(OR(All_Questions_Q102_Expected_2025_EBITDA_margin_growth_outlook_CT="(None)",E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6" s="14">
        <f>IF(OR(All_Questions_Q102_Expected_2025_EBITDA_margin_growth_outlook_CT="(None)",F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6" s="14">
        <f>IF(OR(All_Questions_Q102_Expected_2025_EBITDA_margin_growth_outlook_CT="(None)",G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6" s="14">
        <f>IF(OR(All_Questions_Q102_Expected_2025_EBITDA_margin_growth_outlook_CT="(None)",H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6" s="14">
        <f>IF(OR(All_Questions_Q102_Expected_2025_EBITDA_margin_growth_outlook_CT="(None)",I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6" s="14">
        <f>IF(OR(All_Questions_Q102_Expected_2025_EBITDA_margin_growth_outlook_CT="(None)",J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6" s="14">
        <f>IF(OR(All_Questions_Q102_Expected_2025_EBITDA_margin_growth_outlook_CT="(None)",K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6" s="14">
        <f>IF(OR(All_Questions_Q102_Expected_2025_EBITDA_margin_growth_outlook_CT="(None)",L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6" s="14">
        <f>IF(OR(All_Questions_Q102_Expected_2025_EBITDA_margin_growth_outlook_CT="(None)",M$53=""),"",IF(M$53="Other",COUNTIFS(Q102_Expected_2025_EBITDA_margi_data,"Lower",passes_workbook_filters_data,1,passes_workbook_custom_filters_data,1,All_Questions_passes_local_filters_data,1,All_Questions_Q102_Expected_2025_EBITDA_margin_growth_outlook_F_passes_per_q_filter_data,1)-SUM(B56,C56,D56,E56,F56,G56,H56,I56,J56,K56,L56)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6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57">
      <c r="A57" s="4" t="inlineStr">
        <is>
          <t>Total respondents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9:D4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9:E4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9:F4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9:G4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9:H4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9:I4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9:J4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9:K4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9:L4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9:M4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5:B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5:C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5:D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5:E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5:F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4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2026-06-09T11:19:26Z</dcterms:created>
  <dcterms:modified xmlns:dcterms="http://purl.org/dc/terms/" xmlns:xsi="http://www.w3.org/2001/XMLSchema-instance" xsi:type="dcterms:W3CDTF">2026-06-09T11:19:26Z</dcterms:modified>
</cp:coreProperties>
</file>