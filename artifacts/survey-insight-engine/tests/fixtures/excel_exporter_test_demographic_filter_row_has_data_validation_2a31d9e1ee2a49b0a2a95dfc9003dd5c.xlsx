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resolved_criteria">'Demographics'!$H$14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resolved_criteria">'All Questions'!$H$14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resolved_criteria">'All Questions'!$H$25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Questions'!$C$42</definedName>
    <definedName name="All_Questions_Q_GRID_EXPORT_F_V">'All Questions'!$E$42</definedName>
    <definedName name="All_Questions_Q_GRID_EXPORT_F_resolved_column">'All Questions'!$F$42</definedName>
    <definedName name="All_Questions_Q_GRID_EXPORT_F_wrapped">'All Questions'!$G$42</definedName>
    <definedName name="All_Questions_Q_GRID_EXPORT_F_resolved_criteria">'All Questions'!$H$42</definedName>
    <definedName name="All_Questions_Q_GRID_EXPORT_F_passes_per_q_filter_data">'_RawData'!$U$2:$U$4</definedName>
    <definedName name="All_Questions_Q_GRID_EXPORT_CT">'All Questions'!$C$43</definedName>
    <definedName name="All_Questions_Q_VERY_LONG_SINGLE_SELECT_EXPORT_NAME_F_Q">'All Questions'!$C$60</definedName>
    <definedName name="All_Questions_Q_VERY_LONG_SINGLE_SELECT_EXPORT_NAME_F_V">'All Questions'!$E$60</definedName>
    <definedName name="All_Questions_Q_VERY_LONG_SINGLE_SELECT_EXPORT_NAME_F_resolved_column">'All Questions'!$F$60</definedName>
    <definedName name="All_Questions_Q_VERY_LONG_SINGLE_SELECT_EXPORT_NAME_F_wrapped">'All Questions'!$G$60</definedName>
    <definedName name="All_Questions_Q_VERY_LONG_SINGLE_SELECT_EXPORT_NAME_F_resolved_criteria">'All Questions'!$H$60</definedName>
    <definedName name="All_Questions_Q_VERY_LONG_SINGLE_SELECT_EXPORT_NAME_F_passes_per_q_filter_data">'_RawData'!$V$2:$V$4</definedName>
    <definedName name="All_Questions_Q_VERY_LONG_SINGLE_SELECT_EXPORT_NAME_CT">'All Questions'!$C$61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H25" i="8"/>
  <c r="B29" i="8"/>
  <c r="D29" i="8"/>
  <c r="B30" i="8"/>
  <c r="D30" i="8"/>
  <c r="B31" i="8"/>
  <c r="D31" i="8"/>
  <c r="D32" i="8"/>
  <c r="G35" i="8"/>
  <c r="H35" i="8"/>
  <c r="I35" i="8"/>
  <c r="J35" i="8"/>
  <c r="K35" i="8"/>
  <c r="L35" i="8"/>
  <c r="M35" i="8"/>
  <c r="N35" i="8"/>
  <c r="O35" i="8"/>
  <c r="P35" i="8"/>
  <c r="Q35" i="8"/>
  <c r="R35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S38" i="8"/>
  <c r="F42" i="8"/>
  <c r="G42" i="8"/>
  <c r="H42" i="8"/>
  <c r="C47" i="8"/>
  <c r="D47" i="8"/>
  <c r="E47" i="8"/>
  <c r="F47" i="8"/>
  <c r="C48" i="8"/>
  <c r="D48" i="8"/>
  <c r="E48" i="8"/>
  <c r="F48" i="8"/>
  <c r="G52" i="8"/>
  <c r="H52" i="8"/>
  <c r="I52" i="8"/>
  <c r="J52" i="8"/>
  <c r="K52" i="8"/>
  <c r="L52" i="8"/>
  <c r="M52" i="8"/>
  <c r="N52" i="8"/>
  <c r="O52" i="8"/>
  <c r="P52" i="8"/>
  <c r="Q52" i="8"/>
  <c r="R52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  <c r="F60" i="8"/>
  <c r="G60" i="8"/>
  <c r="H60" i="8"/>
  <c r="G63" i="8"/>
  <c r="H63" i="8"/>
  <c r="I63" i="8"/>
  <c r="J63" i="8"/>
  <c r="K63" i="8"/>
  <c r="L63" i="8"/>
  <c r="M63" i="8"/>
  <c r="N63" i="8"/>
  <c r="O63" i="8"/>
  <c r="P63" i="8"/>
  <c r="Q63" i="8"/>
  <c r="R63" i="8"/>
  <c r="B64" i="8"/>
  <c r="C64" i="8"/>
  <c r="D64" i="8"/>
  <c r="B65" i="8"/>
  <c r="C65" i="8"/>
  <c r="D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S6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3_1" displayName="T_All_Questions_63_1" ref="A63:D66" headerRowCount="1">
  <autoFilter ref="A63:D6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'_RawData'!$A$2:$A$4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'_RawData'!$C$2:$C$4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'_RawData'!$B$2:$B$4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'_RawData'!$D$2:$D$4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'_RawData'!$C$2:$C$4</t>
        </is>
      </c>
      <c r="D4" t="inlineStr">
        <is>
          <t>'_Options'!$Y$2:$Y$4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'_RawData'!$H$2:$H$4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'_RawData'!$F$2:$F$4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'_RawData'!$F$2:$F$4</t>
        </is>
      </c>
      <c r="D5" t="inlineStr">
        <is>
          <t>'_Options'!$AA$2:$AA$6</t>
        </is>
      </c>
      <c r="M5" t="inlineStr">
        <is>
          <t>No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'_RawData'!$F$2:$F$4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'_RawData'!$H$2:$H$4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'_RawData'!$G$2:$G$4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'_RawData'!$G$2:$G$4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4" t="str">
        <f>"|" &amp; SUBSTITUTE(Demographics_Q_SS_EXPORT_F_V, ", ", "|") &amp; "|"</f>
        <v>|(All)|</v>
      </c>
      <c r="H14" t="str">
        <f>IFERROR(INDEX(All_Questions_Value_Criteria,MATCH(Demographics_Q_SS_EXPORT_F_Q&amp;"|"&amp;Demographics_Q_SS_EXPORT_F_V,All_Questions_Value_Keys,0)),Demographics_Q_SS_EXPORT_F_V)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IF(Demographics_Q_SS_EXPORT_CT="(None)","",IFERROR(INDEX(INDIRECT(IFERROR(INDEX(Cross_Tab_Questions_Options_Names,MATCH(Demographics_Q_SS_EXPORT_CT,Cross_Tab_Questions,0)),"'_Options'!$E$2:$E$2")),2),""))</f>
        <v/>
      </c>
      <c r="H17" s="2" t="str">
        <f>IF(Demographics_Q_SS_EXPORT_CT="(None)","",IFERROR(INDEX(INDIRECT(IFERROR(INDEX(Cross_Tab_Questions_Options_Names,MATCH(Demographics_Q_SS_EXPORT_CT,Cross_Tab_Questions,0)),"'_Options'!$E$2:$E$2")),3),""))</f>
        <v/>
      </c>
      <c r="I17" s="2" t="str">
        <f>IF(Demographics_Q_SS_EXPORT_CT="(None)","",IFERROR(INDEX(INDIRECT(IFERROR(INDEX(Cross_Tab_Questions_Options_Names,MATCH(Demographics_Q_SS_EXPORT_CT,Cross_Tab_Questions,0)),"'_Options'!$E$2:$E$2")),4),""))</f>
        <v/>
      </c>
      <c r="J17" s="2" t="str">
        <f>IF(Demographics_Q_SS_EXPORT_CT="(None)","",IFERROR(INDEX(INDIRECT(IFERROR(INDEX(Cross_Tab_Questions_Options_Names,MATCH(Demographics_Q_SS_EXPORT_CT,Cross_Tab_Questions,0)),"'_Options'!$E$2:$E$2")),5),""))</f>
        <v/>
      </c>
      <c r="K17" s="2" t="str">
        <f>IF(Demographics_Q_SS_EXPORT_CT="(None)","",IFERROR(INDEX(INDIRECT(IFERROR(INDEX(Cross_Tab_Questions_Options_Names,MATCH(Demographics_Q_SS_EXPORT_CT,Cross_Tab_Questions,0)),"'_Options'!$E$2:$E$2")),6),""))</f>
        <v/>
      </c>
      <c r="L17" s="2" t="str">
        <f>IF(Demographics_Q_SS_EXPORT_CT="(None)","",IFERROR(INDEX(INDIRECT(IFERROR(INDEX(Cross_Tab_Questions_Options_Names,MATCH(Demographics_Q_SS_EXPORT_CT,Cross_Tab_Questions,0)),"'_Options'!$E$2:$E$2")),7),""))</f>
        <v/>
      </c>
      <c r="M17" s="2" t="str">
        <f>IF(Demographics_Q_SS_EXPORT_CT="(None)","",IFERROR(INDEX(INDIRECT(IFERROR(INDEX(Cross_Tab_Questions_Options_Names,MATCH(Demographics_Q_SS_EXPORT_CT,Cross_Tab_Questions,0)),"'_Options'!$E$2:$E$2")),8),""))</f>
        <v/>
      </c>
      <c r="N17" s="2" t="str">
        <f>IF(Demographics_Q_SS_EXPORT_CT="(None)","",IFERROR(INDEX(INDIRECT(IFERROR(INDEX(Cross_Tab_Questions_Options_Names,MATCH(Demographics_Q_SS_EXPORT_CT,Cross_Tab_Questions,0)),"'_Options'!$E$2:$E$2")),9),""))</f>
        <v/>
      </c>
      <c r="O17" s="2" t="str">
        <f>IF(Demographics_Q_SS_EXPORT_CT="(None)","",IFERROR(INDEX(INDIRECT(IFERROR(INDEX(Cross_Tab_Questions_Options_Names,MATCH(Demographics_Q_SS_EXPORT_CT,Cross_Tab_Questions,0)),"'_Options'!$E$2:$E$2")),10),""))</f>
        <v/>
      </c>
      <c r="P17" s="2" t="str">
        <f>IF(Demographics_Q_SS_EXPORT_CT="(None)","",IFERROR(INDEX(INDIRECT(IFERROR(INDEX(Cross_Tab_Questions_Options_Names,MATCH(Demographics_Q_SS_EXPORT_CT,Cross_Tab_Questions,0)),"'_Options'!$E$2:$E$2")),11),""))</f>
        <v/>
      </c>
      <c r="Q17" s="2" t="str">
        <f>IF(Demographics_Q_SS_EXPORT_CT="(None)","",IFERROR(INDEX(INDIRECT(IFERROR(INDEX(Cross_Tab_Questions_Options_Names,MATCH(Demographics_Q_SS_EXPORT_CT,Cross_Tab_Questions,0)),"'_Options'!$E$2:$E$2")),12),""))</f>
        <v/>
      </c>
      <c r="R17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 s="14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19" s="14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19" s="14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19" s="14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19" s="14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19" s="14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19" s="14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19" s="14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19" s="14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19" s="14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19" s="14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19" s="14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19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 s="14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20" s="14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20" s="14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20" s="14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20" s="14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20" s="14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20" s="14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20" s="14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20" s="14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20" s="14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20" s="14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20" s="14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20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4" t="str">
        <f>"|" &amp; SUBSTITUTE(All_Questions_Q_MS_EXPORT_F_V, ", ", "|") &amp; "|"</f>
        <v>|(All)|</v>
      </c>
      <c r="H14" t="str">
        <f>IFERROR(INDEX(All_Questions_Value_Criteria,MATCH(All_Questions_Q_MS_EXPORT_F_Q&amp;"|"&amp;All_Questions_Q_MS_EXPORT_F_V,All_Questions_Value_Keys,0)),All_Questions_Q_MS_EXPORT_F_V)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IF(All_Questions_Q_MS_EXPORT_CT="(None)","",IFERROR(INDEX(INDIRECT(IFERROR(INDEX(Cross_Tab_Questions_Options_Names,MATCH(All_Questions_Q_MS_EXPORT_CT,Cross_Tab_Questions,0)),"'_Options'!$E$2:$E$2")),2),""))</f>
        <v/>
      </c>
      <c r="H17" s="2" t="str">
        <f>IF(All_Questions_Q_MS_EXPORT_CT="(None)","",IFERROR(INDEX(INDIRECT(IFERROR(INDEX(Cross_Tab_Questions_Options_Names,MATCH(All_Questions_Q_MS_EXPORT_CT,Cross_Tab_Questions,0)),"'_Options'!$E$2:$E$2")),3),""))</f>
        <v/>
      </c>
      <c r="I17" s="2" t="str">
        <f>IF(All_Questions_Q_MS_EXPORT_CT="(None)","",IFERROR(INDEX(INDIRECT(IFERROR(INDEX(Cross_Tab_Questions_Options_Names,MATCH(All_Questions_Q_MS_EXPORT_CT,Cross_Tab_Questions,0)),"'_Options'!$E$2:$E$2")),4),""))</f>
        <v/>
      </c>
      <c r="J17" s="2" t="str">
        <f>IF(All_Questions_Q_MS_EXPORT_CT="(None)","",IFERROR(INDEX(INDIRECT(IFERROR(INDEX(Cross_Tab_Questions_Options_Names,MATCH(All_Questions_Q_MS_EXPORT_CT,Cross_Tab_Questions,0)),"'_Options'!$E$2:$E$2")),5),""))</f>
        <v/>
      </c>
      <c r="K17" s="2" t="str">
        <f>IF(All_Questions_Q_MS_EXPORT_CT="(None)","",IFERROR(INDEX(INDIRECT(IFERROR(INDEX(Cross_Tab_Questions_Options_Names,MATCH(All_Questions_Q_MS_EXPORT_CT,Cross_Tab_Questions,0)),"'_Options'!$E$2:$E$2")),6),""))</f>
        <v/>
      </c>
      <c r="L17" s="2" t="str">
        <f>IF(All_Questions_Q_MS_EXPORT_CT="(None)","",IFERROR(INDEX(INDIRECT(IFERROR(INDEX(Cross_Tab_Questions_Options_Names,MATCH(All_Questions_Q_MS_EXPORT_CT,Cross_Tab_Questions,0)),"'_Options'!$E$2:$E$2")),7),""))</f>
        <v/>
      </c>
      <c r="M17" s="2" t="str">
        <f>IF(All_Questions_Q_MS_EXPORT_CT="(None)","",IFERROR(INDEX(INDIRECT(IFERROR(INDEX(Cross_Tab_Questions_Options_Names,MATCH(All_Questions_Q_MS_EXPORT_CT,Cross_Tab_Questions,0)),"'_Options'!$E$2:$E$2")),8),""))</f>
        <v/>
      </c>
      <c r="N17" s="2" t="str">
        <f>IF(All_Questions_Q_MS_EXPORT_CT="(None)","",IFERROR(INDEX(INDIRECT(IFERROR(INDEX(Cross_Tab_Questions_Options_Names,MATCH(All_Questions_Q_MS_EXPORT_CT,Cross_Tab_Questions,0)),"'_Options'!$E$2:$E$2")),9),""))</f>
        <v/>
      </c>
      <c r="O17" s="2" t="str">
        <f>IF(All_Questions_Q_MS_EXPORT_CT="(None)","",IFERROR(INDEX(INDIRECT(IFERROR(INDEX(Cross_Tab_Questions_Options_Names,MATCH(All_Questions_Q_MS_EXPORT_CT,Cross_Tab_Questions,0)),"'_Options'!$E$2:$E$2")),10),""))</f>
        <v/>
      </c>
      <c r="P17" s="2" t="str">
        <f>IF(All_Questions_Q_MS_EXPORT_CT="(None)","",IFERROR(INDEX(INDIRECT(IFERROR(INDEX(Cross_Tab_Questions_Options_Names,MATCH(All_Questions_Q_MS_EXPORT_CT,Cross_Tab_Questions,0)),"'_Options'!$E$2:$E$2")),11),""))</f>
        <v/>
      </c>
      <c r="Q17" s="2" t="str">
        <f>IF(All_Questions_Q_MS_EXPORT_CT="(None)","",IFERROR(INDEX(INDIRECT(IFERROR(INDEX(Cross_Tab_Questions_Options_Names,MATCH(All_Questions_Q_MS_EXPORT_CT,Cross_Tab_Questions,0)),"'_Options'!$E$2:$E$2")),12),""))</f>
        <v/>
      </c>
      <c r="R1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% selected</t>
        </is>
      </c>
      <c r="H18" s="4" t="inlineStr">
        <is>
          <t>% selected</t>
        </is>
      </c>
      <c r="I18" s="4" t="inlineStr">
        <is>
          <t>% selected</t>
        </is>
      </c>
      <c r="J18" s="4" t="inlineStr">
        <is>
          <t>% selected</t>
        </is>
      </c>
      <c r="K18" s="4" t="inlineStr">
        <is>
          <t>% selected</t>
        </is>
      </c>
      <c r="L18" s="4" t="inlineStr">
        <is>
          <t>% selected</t>
        </is>
      </c>
      <c r="M18" s="4" t="inlineStr">
        <is>
          <t>% selected</t>
        </is>
      </c>
      <c r="N18" s="4" t="inlineStr">
        <is>
          <t>% selected</t>
        </is>
      </c>
      <c r="O18" s="4" t="inlineStr">
        <is>
          <t>% selected</t>
        </is>
      </c>
      <c r="P18" s="4" t="inlineStr">
        <is>
          <t>% selected</t>
        </is>
      </c>
      <c r="Q18" s="4" t="inlineStr">
        <is>
          <t>% selected</t>
        </is>
      </c>
      <c r="R18" s="4" t="inlineStr">
        <is>
          <t>% selected</t>
        </is>
      </c>
      <c r="S18" s="4" t="inlineStr">
        <is>
          <t>% selected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 s="7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0.5</v>
      </c>
      <c r="H19" s="7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0.5</v>
      </c>
      <c r="I19" s="7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0.5</v>
      </c>
      <c r="J19" s="7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0.5</v>
      </c>
      <c r="K19" s="7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0.5</v>
      </c>
      <c r="L19" s="7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0.5</v>
      </c>
      <c r="M19" s="7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0.5</v>
      </c>
      <c r="N19" s="7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0.5</v>
      </c>
      <c r="O19" s="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0.5</v>
      </c>
      <c r="P19" s="7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0.5</v>
      </c>
      <c r="Q19" s="7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0.5</v>
      </c>
      <c r="R19" s="7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0.5</v>
      </c>
      <c r="S1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 s="7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0.2</v>
      </c>
      <c r="H20" s="7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0.2</v>
      </c>
      <c r="I20" s="7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0.2</v>
      </c>
      <c r="J20" s="7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0.2</v>
      </c>
      <c r="K20" s="7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0.2</v>
      </c>
      <c r="L20" s="7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0.2</v>
      </c>
      <c r="M20" s="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0.2</v>
      </c>
      <c r="N20" s="7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0.2</v>
      </c>
      <c r="O20" s="7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0.2</v>
      </c>
      <c r="P20" s="7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0.2</v>
      </c>
      <c r="Q20" s="7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0.2</v>
      </c>
      <c r="R20" s="7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0.2</v>
      </c>
      <c r="S2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25" t="str">
        <f>"|" &amp; SUBSTITUTE(All_Questions_Q_NUM_EXPORT_F_V, ", ", "|") &amp; "|"</f>
        <v>|(All)|</v>
      </c>
      <c r="H25" t="str">
        <f>IFERROR(INDEX(All_Questions_Value_Criteria,MATCH(All_Questions_Q_NUM_EXPORT_F_Q&amp;"|"&amp;All_Questions_Q_NUM_EXPORT_F_V,All_Questions_Value_Keys,0)),All_Questions_Q_NUM_EXPORT_F_V)</f>
        <v>(All)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F35" s="4" t="inlineStr">
        <is>
          <t>Option</t>
        </is>
      </c>
      <c r="G35" s="2" t="str">
        <f>IF(All_Questions_Q_NUM_EXPORT_CT="(None)","",IFERROR(INDEX(INDIRECT(IFERROR(INDEX(Cross_Tab_Questions_Options_Names,MATCH(All_Questions_Q_NUM_EXPORT_CT,Cross_Tab_Questions,0)),"'_Options'!$E$2:$E$2")),2),""))</f>
        <v/>
      </c>
      <c r="H35" s="2" t="str">
        <f>IF(All_Questions_Q_NUM_EXPORT_CT="(None)","",IFERROR(INDEX(INDIRECT(IFERROR(INDEX(Cross_Tab_Questions_Options_Names,MATCH(All_Questions_Q_NUM_EXPORT_CT,Cross_Tab_Questions,0)),"'_Options'!$E$2:$E$2")),3),""))</f>
        <v/>
      </c>
      <c r="I35" s="2" t="str">
        <f>IF(All_Questions_Q_NUM_EXPORT_CT="(None)","",IFERROR(INDEX(INDIRECT(IFERROR(INDEX(Cross_Tab_Questions_Options_Names,MATCH(All_Questions_Q_NUM_EXPORT_CT,Cross_Tab_Questions,0)),"'_Options'!$E$2:$E$2")),4),""))</f>
        <v/>
      </c>
      <c r="J35" s="2" t="str">
        <f>IF(All_Questions_Q_NUM_EXPORT_CT="(None)","",IFERROR(INDEX(INDIRECT(IFERROR(INDEX(Cross_Tab_Questions_Options_Names,MATCH(All_Questions_Q_NUM_EXPORT_CT,Cross_Tab_Questions,0)),"'_Options'!$E$2:$E$2")),5),""))</f>
        <v/>
      </c>
      <c r="K35" s="2" t="str">
        <f>IF(All_Questions_Q_NUM_EXPORT_CT="(None)","",IFERROR(INDEX(INDIRECT(IFERROR(INDEX(Cross_Tab_Questions_Options_Names,MATCH(All_Questions_Q_NUM_EXPORT_CT,Cross_Tab_Questions,0)),"'_Options'!$E$2:$E$2")),6),""))</f>
        <v/>
      </c>
      <c r="L35" s="2" t="str">
        <f>IF(All_Questions_Q_NUM_EXPORT_CT="(None)","",IFERROR(INDEX(INDIRECT(IFERROR(INDEX(Cross_Tab_Questions_Options_Names,MATCH(All_Questions_Q_NUM_EXPORT_CT,Cross_Tab_Questions,0)),"'_Options'!$E$2:$E$2")),7),""))</f>
        <v/>
      </c>
      <c r="M35" s="2" t="str">
        <f>IF(All_Questions_Q_NUM_EXPORT_CT="(None)","",IFERROR(INDEX(INDIRECT(IFERROR(INDEX(Cross_Tab_Questions_Options_Names,MATCH(All_Questions_Q_NUM_EXPORT_CT,Cross_Tab_Questions,0)),"'_Options'!$E$2:$E$2")),8),""))</f>
        <v/>
      </c>
      <c r="N35" s="2" t="str">
        <f>IF(All_Questions_Q_NUM_EXPORT_CT="(None)","",IFERROR(INDEX(INDIRECT(IFERROR(INDEX(Cross_Tab_Questions_Options_Names,MATCH(All_Questions_Q_NUM_EXPORT_CT,Cross_Tab_Questions,0)),"'_Options'!$E$2:$E$2")),9),""))</f>
        <v/>
      </c>
      <c r="O3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3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3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3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35" s="4" t="inlineStr">
        <is>
          <t>Total</t>
        </is>
      </c>
    </row>
    <row r="36">
      <c r="F36" s="4" t="inlineStr"/>
      <c r="G36" s="4" t="inlineStr">
        <is>
          <t>Mean</t>
        </is>
      </c>
      <c r="H36" s="4" t="inlineStr">
        <is>
          <t>Mean</t>
        </is>
      </c>
      <c r="I36" s="4" t="inlineStr">
        <is>
          <t>Mean</t>
        </is>
      </c>
      <c r="J36" s="4" t="inlineStr">
        <is>
          <t>Mean</t>
        </is>
      </c>
      <c r="K36" s="4" t="inlineStr">
        <is>
          <t>Mean</t>
        </is>
      </c>
      <c r="L36" s="4" t="inlineStr">
        <is>
          <t>Mean</t>
        </is>
      </c>
      <c r="M36" s="4" t="inlineStr">
        <is>
          <t>Mean</t>
        </is>
      </c>
      <c r="N36" s="4" t="inlineStr">
        <is>
          <t>Mean</t>
        </is>
      </c>
      <c r="O36" s="4" t="inlineStr">
        <is>
          <t>Mean</t>
        </is>
      </c>
      <c r="P36" s="4" t="inlineStr">
        <is>
          <t>Mean</t>
        </is>
      </c>
      <c r="Q36" s="4" t="inlineStr">
        <is>
          <t>Mean</t>
        </is>
      </c>
      <c r="R36" s="4" t="inlineStr">
        <is>
          <t>Mean</t>
        </is>
      </c>
      <c r="S36" s="4" t="inlineStr">
        <is>
          <t>Mean</t>
        </is>
      </c>
    </row>
    <row r="37">
      <c r="F37" t="inlineStr">
        <is>
          <t>Numeric export question</t>
        </is>
      </c>
      <c r="G37" s="16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5.5</v>
      </c>
      <c r="H37" s="16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5.5</v>
      </c>
      <c r="I37" s="16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5.5</v>
      </c>
      <c r="J37" s="1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5.5</v>
      </c>
      <c r="K37" s="16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5.5</v>
      </c>
      <c r="L37" s="16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5.5</v>
      </c>
      <c r="M37" s="16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5.5</v>
      </c>
      <c r="N37" s="16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5.5</v>
      </c>
      <c r="O37" s="16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5.5</v>
      </c>
      <c r="P37" s="16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5.5</v>
      </c>
      <c r="Q37" s="16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5.5</v>
      </c>
      <c r="R37" s="16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5.5</v>
      </c>
      <c r="S3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Q_GRID_EXPORT - Grid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42" t="str">
        <f>"|" &amp; SUBSTITUTE(All_Questions_Q_GRID_EXPORT_F_V, ", ", "|") &amp; "|"</f>
        <v>|(All)|</v>
      </c>
      <c r="H42" t="str">
        <f>IFERROR(INDEX(All_Questions_Value_Criteria,MATCH(All_Questions_Q_GRID_EXPORT_F_Q&amp;"|"&amp;All_Questions_Q_GRID_EXPORT_F_V,All_Questions_Value_Keys,0)),All_Questions_Q_GRID_EXPORT_F_V)</f>
        <v>(All)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Sub-question ID</t>
        </is>
      </c>
      <c r="B45" s="4" t="inlineStr">
        <is>
          <t>Sub-question</t>
        </is>
      </c>
      <c r="C45" s="4" t="inlineStr">
        <is>
          <t>High</t>
        </is>
      </c>
      <c r="D45" s="2" t="n"/>
      <c r="E45" s="4" t="inlineStr">
        <is>
          <t>Low</t>
        </is>
      </c>
      <c r="F45" s="2" t="n"/>
    </row>
    <row r="46">
      <c r="A46" s="2" t="inlineStr"/>
      <c r="B46" s="2" t="inlineStr"/>
      <c r="C46" s="4" t="inlineStr">
        <is>
          <t>Count</t>
        </is>
      </c>
      <c r="D46" s="4" t="inlineStr">
        <is>
          <t>%</t>
        </is>
      </c>
      <c r="E46" s="4" t="inlineStr">
        <is>
          <t>Count</t>
        </is>
      </c>
      <c r="F46" s="4" t="inlineStr">
        <is>
          <t>%</t>
        </is>
      </c>
    </row>
    <row r="47">
      <c r="A47" s="17" t="inlineStr">
        <is>
          <t>Q_GRID_EXPORTr1</t>
        </is>
      </c>
      <c r="B47" t="inlineStr">
        <is>
          <t>Grid first row</t>
        </is>
      </c>
      <c r="C47">
        <f>COUNTIFS(Q_GRID_EXPORTr1_data,"High",passes_workbook_filters_data,1,passes_workbook_custom_filters_data,1,All_Questions_passes_local_filters_data,1,All_Questions_Q_GRID_EXPORT_F_passes_per_q_filter_data,1)</f>
        <v>6</v>
      </c>
      <c r="D47" s="7">
        <f>IFERROR(C47/10,0)</f>
        <v>0.6</v>
      </c>
      <c r="E47">
        <f>COUNTIFS(Q_GRID_EXPORTr1_data,"Low",passes_workbook_filters_data,1,passes_workbook_custom_filters_data,1,All_Questions_passes_local_filters_data,1,All_Questions_Q_GRID_EXPORT_F_passes_per_q_filter_data,1)</f>
        <v>4</v>
      </c>
      <c r="F47" s="7">
        <f>IFERROR(E47/10,0)</f>
        <v>0.4</v>
      </c>
    </row>
    <row r="48">
      <c r="A48" s="17" t="inlineStr">
        <is>
          <t>Q_GRID_EXPORTr2</t>
        </is>
      </c>
      <c r="B48" t="inlineStr">
        <is>
          <t>Grid second row</t>
        </is>
      </c>
      <c r="C48">
        <f>COUNTIFS(Q_GRID_EXPORTr2_data,"High",passes_workbook_filters_data,1,passes_workbook_custom_filters_data,1,All_Questions_passes_local_filters_data,1,All_Questions_Q_GRID_EXPORT_F_passes_per_q_filter_data,1)</f>
        <v>5</v>
      </c>
      <c r="D48" s="7">
        <f>IFERROR(C48/10,0)</f>
        <v>0.5</v>
      </c>
      <c r="E48">
        <f>COUNTIFS(Q_GRID_EXPORTr2_data,"Low",passes_workbook_filters_data,1,passes_workbook_custom_filters_data,1,All_Questions_passes_local_filters_data,1,All_Questions_Q_GRID_EXPORT_F_passes_per_q_filter_data,1)</f>
        <v>5</v>
      </c>
      <c r="F48" s="7">
        <f>IFERROR(E48/10,0)</f>
        <v>0.5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  <c r="E49" s="15" t="n"/>
      <c r="F49" s="15" t="n"/>
    </row>
    <row r="50">
      <c r="A50" s="4" t="inlineStr">
        <is>
          <t>Total responses</t>
        </is>
      </c>
      <c r="B50" s="4" t="n">
        <v>20</v>
      </c>
      <c r="C50" s="4" t="n"/>
      <c r="D50" s="4" t="n"/>
      <c r="E50" s="4" t="n"/>
      <c r="F50" s="4" t="n"/>
    </row>
    <row r="51"/>
    <row r="52">
      <c r="F52" s="4" t="inlineStr">
        <is>
          <t>Option</t>
        </is>
      </c>
      <c r="G5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5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5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5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5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5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5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5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5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5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5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5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52" s="4" t="inlineStr">
        <is>
          <t>Total</t>
        </is>
      </c>
    </row>
    <row r="53"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F54" t="inlineStr">
        <is>
          <t>Grid first row</t>
        </is>
      </c>
      <c r="G54" s="14">
        <f>IF(OR(All_Questions_Q_GRID_EXPORT_CT="(None)",G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4" s="14">
        <f>IF(OR(All_Questions_Q_GRID_EXPORT_CT="(None)",H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4" s="14">
        <f>IF(OR(All_Questions_Q_GRID_EXPORT_CT="(None)",I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4" s="14">
        <f>IF(OR(All_Questions_Q_GRID_EXPORT_CT="(None)",J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4" s="14">
        <f>IF(OR(All_Questions_Q_GRID_EXPORT_CT="(None)",K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4" s="14">
        <f>IF(OR(All_Questions_Q_GRID_EXPORT_CT="(None)",L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4" s="14">
        <f>IF(OR(All_Questions_Q_GRID_EXPORT_CT="(None)",M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4" s="14">
        <f>IF(OR(All_Questions_Q_GRID_EXPORT_CT="(None)",N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4" s="14">
        <f>IF(OR(All_Questions_Q_GRID_EXPORT_CT="(None)",O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4" s="14">
        <f>IF(OR(All_Questions_Q_GRID_EXPORT_CT="(None)",P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4" s="14">
        <f>IF(OR(All_Questions_Q_GRID_EXPORT_CT="(None)",Q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4" s="14">
        <f>IF(OR(All_Questions_Q_GRID_EXPORT_CT="(None)",R$52=""),"",IF(R$52="Other",COUNTIFS(Q_GRID_EXPORTr1_data,"Selected",passes_workbook_filters_data,1,passes_workbook_custom_filters_data,1,All_Questions_passes_local_filters_data,1,All_Questions_Q_GRID_EXPORT_F_passes_per_q_filter_data,1)-SUM(G54,H54,I54,J54,K54,L54,M54,N54,O54,P54,Q54)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5">
      <c r="F55" t="inlineStr">
        <is>
          <t>Grid second row</t>
        </is>
      </c>
      <c r="G55" s="14">
        <f>IF(OR(All_Questions_Q_GRID_EXPORT_CT="(None)",G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5" s="14">
        <f>IF(OR(All_Questions_Q_GRID_EXPORT_CT="(None)",H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5" s="14">
        <f>IF(OR(All_Questions_Q_GRID_EXPORT_CT="(None)",I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5" s="14">
        <f>IF(OR(All_Questions_Q_GRID_EXPORT_CT="(None)",J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5" s="14">
        <f>IF(OR(All_Questions_Q_GRID_EXPORT_CT="(None)",K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5" s="14">
        <f>IF(OR(All_Questions_Q_GRID_EXPORT_CT="(None)",L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5" s="14">
        <f>IF(OR(All_Questions_Q_GRID_EXPORT_CT="(None)",M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5" s="14">
        <f>IF(OR(All_Questions_Q_GRID_EXPORT_CT="(None)",N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5" s="14">
        <f>IF(OR(All_Questions_Q_GRID_EXPORT_CT="(None)",O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5" s="14">
        <f>IF(OR(All_Questions_Q_GRID_EXPORT_CT="(None)",P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5" s="14">
        <f>IF(OR(All_Questions_Q_GRID_EXPORT_CT="(None)",Q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5" s="14">
        <f>IF(OR(All_Questions_Q_GRID_EXPORT_CT="(None)",R$52=""),"",IF(R$52="Other",COUNTIFS(Q_GRID_EXPORTr2_data,"Selected",passes_workbook_filters_data,1,passes_workbook_custom_filters_data,1,All_Questions_passes_local_filters_data,1,All_Questions_Q_GRID_EXPORT_F_passes_per_q_filter_data,1)-SUM(G55,H55,I55,J55,K55,L55,M55,N55,O55,P55,Q55)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7"/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2" t="inlineStr">
        <is>
          <t>Q_VERY_LONG_SINGLE_SELECT_EXPORT_NAME - Long sheet name export question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</row>
    <row r="60">
      <c r="A60" s="13" t="inlineStr">
        <is>
          <t>Per-question filter</t>
        </is>
      </c>
      <c r="B60" t="inlineStr">
        <is>
          <t>Filter Q</t>
        </is>
      </c>
      <c r="C60" t="inlineStr">
        <is>
          <t>(None)</t>
        </is>
      </c>
      <c r="D60" t="inlineStr">
        <is>
          <t>Value</t>
        </is>
      </c>
      <c r="E60" t="inlineStr">
        <is>
          <t>(All)</t>
        </is>
      </c>
      <c r="F6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60" t="str">
        <f>"|" &amp; SUBSTITUTE(All_Questions_Q_VERY_LONG_SINGLE_SELECT_EXPORT_NAME_F_V, ", ", "|") &amp; "|"</f>
        <v>|(All)|</v>
      </c>
      <c r="H6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61">
      <c r="A61" s="13" t="inlineStr">
        <is>
          <t>Cross-tab by</t>
        </is>
      </c>
      <c r="C61" t="inlineStr">
        <is>
          <t>(None)</t>
        </is>
      </c>
    </row>
    <row r="62"/>
    <row r="63">
      <c r="A63" s="4" t="inlineStr">
        <is>
          <t>Option</t>
        </is>
      </c>
      <c r="B63" s="4" t="inlineStr">
        <is>
          <t>Count</t>
        </is>
      </c>
      <c r="C63" s="4" t="inlineStr">
        <is>
          <t>%</t>
        </is>
      </c>
      <c r="D63" s="4" t="inlineStr">
        <is>
          <t>Denominator</t>
        </is>
      </c>
      <c r="F63" s="4" t="inlineStr">
        <is>
          <t>Option</t>
        </is>
      </c>
      <c r="G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6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63" s="4" t="inlineStr">
        <is>
          <t>Total</t>
        </is>
      </c>
    </row>
    <row r="64">
      <c r="A64" t="inlineStr">
        <is>
          <t>A</t>
        </is>
      </c>
      <c r="B6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4" s="7">
        <f>IFERROR(B64/SUBTOTAL(9,B64:B65),0)</f>
        <v>0.7</v>
      </c>
      <c r="D64" s="14">
        <f>SUBTOTAL(9,B64:B65)</f>
        <v>10</v>
      </c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A65" t="inlineStr">
        <is>
          <t>B</t>
        </is>
      </c>
      <c r="B6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5" s="7">
        <f>IFERROR(B65/SUBTOTAL(9,B64:B65),0)</f>
        <v>0.3</v>
      </c>
      <c r="D65" s="14">
        <f>SUBTOTAL(9,B64:B65)</f>
        <v>10</v>
      </c>
      <c r="F65" t="inlineStr">
        <is>
          <t>A</t>
        </is>
      </c>
      <c r="G65" s="14">
        <f>IF(OR(All_Questions_Q_VERY_LONG_SINGLE_SELECT_EXPORT_NAME_CT="(None)",G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5" s="14">
        <f>IF(OR(All_Questions_Q_VERY_LONG_SINGLE_SELECT_EXPORT_NAME_CT="(None)",H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5" s="14">
        <f>IF(OR(All_Questions_Q_VERY_LONG_SINGLE_SELECT_EXPORT_NAME_CT="(None)",I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5" s="14">
        <f>IF(OR(All_Questions_Q_VERY_LONG_SINGLE_SELECT_EXPORT_NAME_CT="(None)",J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5" s="14">
        <f>IF(OR(All_Questions_Q_VERY_LONG_SINGLE_SELECT_EXPORT_NAME_CT="(None)",K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5" s="14">
        <f>IF(OR(All_Questions_Q_VERY_LONG_SINGLE_SELECT_EXPORT_NAME_CT="(None)",L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5" s="14">
        <f>IF(OR(All_Questions_Q_VERY_LONG_SINGLE_SELECT_EXPORT_NAME_CT="(None)",M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5" s="14">
        <f>IF(OR(All_Questions_Q_VERY_LONG_SINGLE_SELECT_EXPORT_NAME_CT="(None)",N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5" s="14">
        <f>IF(OR(All_Questions_Q_VERY_LONG_SINGLE_SELECT_EXPORT_NAME_CT="(None)",O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5" s="14">
        <f>IF(OR(All_Questions_Q_VERY_LONG_SINGLE_SELECT_EXPORT_NAME_CT="(None)",P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5" s="14">
        <f>IF(OR(All_Questions_Q_VERY_LONG_SINGLE_SELECT_EXPORT_NAME_CT="(None)",Q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5" s="14">
        <f>IF(OR(All_Questions_Q_VERY_LONG_SINGLE_SELECT_EXPORT_NAME_CT="(None)",R$63=""),"",IF(R$63="Other",COUNTIFS(Q_VERY_LONG_SINGLE_SELECT_EXPOR_data,"A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6">
      <c r="A66" s="15" t="inlineStr">
        <is>
          <t>Total respondents</t>
        </is>
      </c>
      <c r="B66" s="15" t="n">
        <v>10</v>
      </c>
      <c r="C66" s="15" t="n"/>
      <c r="D66" s="15" t="n"/>
      <c r="F66" t="inlineStr">
        <is>
          <t>B</t>
        </is>
      </c>
      <c r="G66" s="14">
        <f>IF(OR(All_Questions_Q_VERY_LONG_SINGLE_SELECT_EXPORT_NAME_CT="(None)",G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6" s="14">
        <f>IF(OR(All_Questions_Q_VERY_LONG_SINGLE_SELECT_EXPORT_NAME_CT="(None)",H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6" s="14">
        <f>IF(OR(All_Questions_Q_VERY_LONG_SINGLE_SELECT_EXPORT_NAME_CT="(None)",I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6" s="14">
        <f>IF(OR(All_Questions_Q_VERY_LONG_SINGLE_SELECT_EXPORT_NAME_CT="(None)",J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6" s="14">
        <f>IF(OR(All_Questions_Q_VERY_LONG_SINGLE_SELECT_EXPORT_NAME_CT="(None)",K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6" s="14">
        <f>IF(OR(All_Questions_Q_VERY_LONG_SINGLE_SELECT_EXPORT_NAME_CT="(None)",L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6" s="14">
        <f>IF(OR(All_Questions_Q_VERY_LONG_SINGLE_SELECT_EXPORT_NAME_CT="(None)",M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6" s="14">
        <f>IF(OR(All_Questions_Q_VERY_LONG_SINGLE_SELECT_EXPORT_NAME_CT="(None)",N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6" s="14">
        <f>IF(OR(All_Questions_Q_VERY_LONG_SINGLE_SELECT_EXPORT_NAME_CT="(None)",O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6" s="14">
        <f>IF(OR(All_Questions_Q_VERY_LONG_SINGLE_SELECT_EXPORT_NAME_CT="(None)",P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6" s="14">
        <f>IF(OR(All_Questions_Q_VERY_LONG_SINGLE_SELECT_EXPORT_NAME_CT="(None)",Q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6" s="14">
        <f>IF(OR(All_Questions_Q_VERY_LONG_SINGLE_SELECT_EXPORT_NAME_CT="(None)",R$63=""),"",IF(R$63="Other",COUNTIFS(Q_VERY_LONG_SINGLE_SELECT_EXPOR_data,"B",passes_workbook_filters_data,1,passes_workbook_custom_filters_data,1,All_Questions_passes_local_filters_data,1,All_Questions_Q_VERY_LONG_SINGLE_SELECT_EXPORT_NAME_F_passes_per_q_filter_data,1)-SUM(G66,H66,I66,J66,K66,L66,M66,N66,O66,P66,Q66)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5:F45"/>
    <mergeCell ref="A1:J1"/>
    <mergeCell ref="C45:D45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7:D4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7:F4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4:B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4:C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=Cross_Tab_Questions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=Cross_Tab_Questions</formula1>
    </dataValidation>
    <dataValidation sqref="C60" showDropDown="0" showInputMessage="0" showErrorMessage="0" allowBlank="1" type="list">
      <formula1>=All_Questions</formula1>
    </dataValidation>
    <dataValidation sqref="E6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1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G$17</t>
        </is>
      </c>
      <c r="H9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9" t="n">
        <v>0.5</v>
      </c>
      <c r="J9" t="n">
        <v>0</v>
      </c>
      <c r="K9" t="n">
        <v>0</v>
      </c>
      <c r="L9" t="inlineStr">
        <is>
          <t>2026-06-08T13:42:35.880601+00:00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H$17</t>
        </is>
      </c>
      <c r="H10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10" t="n">
        <v>0.5</v>
      </c>
      <c r="J10" t="n">
        <v>0</v>
      </c>
      <c r="K10" t="n">
        <v>0</v>
      </c>
      <c r="L10" t="inlineStr">
        <is>
          <t>2026-06-08T13:42:35.880660+00:00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I$17</t>
        </is>
      </c>
      <c r="H11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11" t="n">
        <v>0.5</v>
      </c>
      <c r="J11" t="n">
        <v>0</v>
      </c>
      <c r="K11" t="n">
        <v>0</v>
      </c>
      <c r="L11" t="inlineStr">
        <is>
          <t>2026-06-08T13:42:35.880701+00:00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J$17</t>
        </is>
      </c>
      <c r="H12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12" t="n">
        <v>0.5</v>
      </c>
      <c r="J12" t="n">
        <v>0</v>
      </c>
      <c r="K12" t="n">
        <v>0</v>
      </c>
      <c r="L12" t="inlineStr">
        <is>
          <t>2026-06-08T13:42:35.880741+00:00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K$17</t>
        </is>
      </c>
      <c r="H13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13" t="n">
        <v>0.5</v>
      </c>
      <c r="J13" t="n">
        <v>0</v>
      </c>
      <c r="K13" t="n">
        <v>0</v>
      </c>
      <c r="L13" t="inlineStr">
        <is>
          <t>2026-06-08T13:42:35.880780+00:00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L$17</t>
        </is>
      </c>
      <c r="H14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14" t="n">
        <v>0.5</v>
      </c>
      <c r="J14" t="n">
        <v>0</v>
      </c>
      <c r="K14" t="n">
        <v>0</v>
      </c>
      <c r="L14" t="inlineStr">
        <is>
          <t>2026-06-08T13:42:35.880818+00:00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M$17</t>
        </is>
      </c>
      <c r="H15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15" t="n">
        <v>0.5</v>
      </c>
      <c r="J15" t="n">
        <v>0</v>
      </c>
      <c r="K15" t="n">
        <v>0</v>
      </c>
      <c r="L15" t="inlineStr">
        <is>
          <t>2026-06-08T13:42:35.880857+00:00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N$17</t>
        </is>
      </c>
      <c r="H16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16" t="n">
        <v>0.5</v>
      </c>
      <c r="J16" t="n">
        <v>0</v>
      </c>
      <c r="K16" t="n">
        <v>0</v>
      </c>
      <c r="L16" t="inlineStr">
        <is>
          <t>2026-06-08T13:42:35.880895+00:00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O$17</t>
        </is>
      </c>
      <c r="H1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17" t="n">
        <v>0.5</v>
      </c>
      <c r="J17" t="n">
        <v>0</v>
      </c>
      <c r="K17" t="n">
        <v>0</v>
      </c>
      <c r="L17" t="inlineStr">
        <is>
          <t>2026-06-08T13:42:35.880931+00:00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P$17</t>
        </is>
      </c>
      <c r="H18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18" t="n">
        <v>0.5</v>
      </c>
      <c r="J18" t="n">
        <v>0</v>
      </c>
      <c r="K18" t="n">
        <v>0</v>
      </c>
      <c r="L18" t="inlineStr">
        <is>
          <t>2026-06-08T13:42:35.881000+00:00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Q$17</t>
        </is>
      </c>
      <c r="H19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19" t="n">
        <v>0.5</v>
      </c>
      <c r="J19" t="n">
        <v>0</v>
      </c>
      <c r="K19" t="n">
        <v>0</v>
      </c>
      <c r="L19" t="inlineStr">
        <is>
          <t>2026-06-08T13:42:35.881042+00:00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R$17</t>
        </is>
      </c>
      <c r="H20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20" t="n">
        <v>0.5</v>
      </c>
      <c r="J20" t="n">
        <v>0</v>
      </c>
      <c r="K20" t="n">
        <v>0</v>
      </c>
      <c r="L20" t="inlineStr">
        <is>
          <t>2026-06-08T13:42:35.881092+00:00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G$17</t>
        </is>
      </c>
      <c r="H21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21" t="n">
        <v>0.2</v>
      </c>
      <c r="J21" t="n">
        <v>0</v>
      </c>
      <c r="K21" t="n">
        <v>0</v>
      </c>
      <c r="L21" t="inlineStr">
        <is>
          <t>2026-06-08T13:42:35.881166+00:00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H$17</t>
        </is>
      </c>
      <c r="H22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22" t="n">
        <v>0.2</v>
      </c>
      <c r="J22" t="n">
        <v>0</v>
      </c>
      <c r="K22" t="n">
        <v>0</v>
      </c>
      <c r="L22" t="inlineStr">
        <is>
          <t>2026-06-08T13:42:35.881204+00:00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I$17</t>
        </is>
      </c>
      <c r="H23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23" t="n">
        <v>0.2</v>
      </c>
      <c r="J23" t="n">
        <v>0</v>
      </c>
      <c r="K23" t="n">
        <v>0</v>
      </c>
      <c r="L23" t="inlineStr">
        <is>
          <t>2026-06-08T13:42:35.881242+00:00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J$17</t>
        </is>
      </c>
      <c r="H24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24" t="n">
        <v>0.2</v>
      </c>
      <c r="J24" t="n">
        <v>0</v>
      </c>
      <c r="K24" t="n">
        <v>0</v>
      </c>
      <c r="L24" t="inlineStr">
        <is>
          <t>2026-06-08T13:42:35.881315+00:00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K$17</t>
        </is>
      </c>
      <c r="H25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25" t="n">
        <v>0.2</v>
      </c>
      <c r="J25" t="n">
        <v>0</v>
      </c>
      <c r="K25" t="n">
        <v>0</v>
      </c>
      <c r="L25" t="inlineStr">
        <is>
          <t>2026-06-08T13:42:35.881383+00:00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L$17</t>
        </is>
      </c>
      <c r="H26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26" t="n">
        <v>0.2</v>
      </c>
      <c r="J26" t="n">
        <v>0</v>
      </c>
      <c r="K26" t="n">
        <v>0</v>
      </c>
      <c r="L26" t="inlineStr">
        <is>
          <t>2026-06-08T13:42:35.881442+00:00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M$17</t>
        </is>
      </c>
      <c r="H2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27" t="n">
        <v>0.2</v>
      </c>
      <c r="J27" t="n">
        <v>0</v>
      </c>
      <c r="K27" t="n">
        <v>0</v>
      </c>
      <c r="L27" t="inlineStr">
        <is>
          <t>2026-06-08T13:42:35.881489+00:00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N$17</t>
        </is>
      </c>
      <c r="H28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28" t="n">
        <v>0.2</v>
      </c>
      <c r="J28" t="n">
        <v>0</v>
      </c>
      <c r="K28" t="n">
        <v>0</v>
      </c>
      <c r="L28" t="inlineStr">
        <is>
          <t>2026-06-08T13:42:35.881533+00:00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O$17</t>
        </is>
      </c>
      <c r="H29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29" t="n">
        <v>0.2</v>
      </c>
      <c r="J29" t="n">
        <v>0</v>
      </c>
      <c r="K29" t="n">
        <v>0</v>
      </c>
      <c r="L29" t="inlineStr">
        <is>
          <t>2026-06-08T13:42:35.881573+00:00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P$17</t>
        </is>
      </c>
      <c r="H30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30" t="n">
        <v>0.2</v>
      </c>
      <c r="J30" t="n">
        <v>0</v>
      </c>
      <c r="K30" t="n">
        <v>0</v>
      </c>
      <c r="L30" t="inlineStr">
        <is>
          <t>2026-06-08T13:42:35.881612+00:00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Q$17</t>
        </is>
      </c>
      <c r="H31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31" t="n">
        <v>0.2</v>
      </c>
      <c r="J31" t="n">
        <v>0</v>
      </c>
      <c r="K31" t="n">
        <v>0</v>
      </c>
      <c r="L31" t="inlineStr">
        <is>
          <t>2026-06-08T13:42:35.881651+00:00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R$17</t>
        </is>
      </c>
      <c r="H32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32" t="n">
        <v>0.2</v>
      </c>
      <c r="J32" t="n">
        <v>0</v>
      </c>
      <c r="K32" t="n">
        <v>0</v>
      </c>
      <c r="L32" t="inlineStr">
        <is>
          <t>2026-06-08T13:42:35.881699+00:00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G$35</t>
        </is>
      </c>
      <c r="H33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0</v>
      </c>
      <c r="I33" t="n">
        <v>5.5</v>
      </c>
      <c r="J33" t="n">
        <v>0</v>
      </c>
      <c r="K33" t="n">
        <v>0</v>
      </c>
      <c r="L33" t="inlineStr">
        <is>
          <t>2026-06-08T13:42:35.886754+00:00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H$35</t>
        </is>
      </c>
      <c r="H34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0</v>
      </c>
      <c r="I34" t="n">
        <v>5.5</v>
      </c>
      <c r="J34" t="n">
        <v>0</v>
      </c>
      <c r="K34" t="n">
        <v>0</v>
      </c>
      <c r="L34" t="inlineStr">
        <is>
          <t>2026-06-08T13:42:35.886799+00:00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I$35</t>
        </is>
      </c>
      <c r="H35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0</v>
      </c>
      <c r="I35" t="n">
        <v>5.5</v>
      </c>
      <c r="J35" t="n">
        <v>0</v>
      </c>
      <c r="K35" t="n">
        <v>0</v>
      </c>
      <c r="L35" t="inlineStr">
        <is>
          <t>2026-06-08T13:42:35.886827+00:00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J$35</t>
        </is>
      </c>
      <c r="H3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0</v>
      </c>
      <c r="I36" t="n">
        <v>5.5</v>
      </c>
      <c r="J36" t="n">
        <v>0</v>
      </c>
      <c r="K36" t="n">
        <v>0</v>
      </c>
      <c r="L36" t="inlineStr">
        <is>
          <t>2026-06-08T13:42:35.886856+00:00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K$35</t>
        </is>
      </c>
      <c r="H37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0</v>
      </c>
      <c r="I37" t="n">
        <v>5.5</v>
      </c>
      <c r="J37" t="n">
        <v>0</v>
      </c>
      <c r="K37" t="n">
        <v>0</v>
      </c>
      <c r="L37" t="inlineStr">
        <is>
          <t>2026-06-08T13:42:35.886881+00:00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L$35</t>
        </is>
      </c>
      <c r="H38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0</v>
      </c>
      <c r="I38" t="n">
        <v>5.5</v>
      </c>
      <c r="J38" t="n">
        <v>0</v>
      </c>
      <c r="K38" t="n">
        <v>0</v>
      </c>
      <c r="L38" t="inlineStr">
        <is>
          <t>2026-06-08T13:42:35.886906+00:00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M$35</t>
        </is>
      </c>
      <c r="H39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0</v>
      </c>
      <c r="I39" t="n">
        <v>5.5</v>
      </c>
      <c r="J39" t="n">
        <v>0</v>
      </c>
      <c r="K39" t="n">
        <v>0</v>
      </c>
      <c r="L39" t="inlineStr">
        <is>
          <t>2026-06-08T13:42:35.886931+00:00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N$35</t>
        </is>
      </c>
      <c r="H40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0</v>
      </c>
      <c r="I40" t="n">
        <v>5.5</v>
      </c>
      <c r="J40" t="n">
        <v>0</v>
      </c>
      <c r="K40" t="n">
        <v>0</v>
      </c>
      <c r="L40" t="inlineStr">
        <is>
          <t>2026-06-08T13:42:35.886986+00:00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O$35</t>
        </is>
      </c>
      <c r="H41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0</v>
      </c>
      <c r="I41" t="n">
        <v>5.5</v>
      </c>
      <c r="J41" t="n">
        <v>0</v>
      </c>
      <c r="K41" t="n">
        <v>0</v>
      </c>
      <c r="L41" t="inlineStr">
        <is>
          <t>2026-06-08T13:42:35.887016+00:00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P$35</t>
        </is>
      </c>
      <c r="H42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0</v>
      </c>
      <c r="I42" t="n">
        <v>5.5</v>
      </c>
      <c r="J42" t="n">
        <v>0</v>
      </c>
      <c r="K42" t="n">
        <v>0</v>
      </c>
      <c r="L42" t="inlineStr">
        <is>
          <t>2026-06-08T13:42:35.887045+00:00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Q$35</t>
        </is>
      </c>
      <c r="H43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0</v>
      </c>
      <c r="I43" t="n">
        <v>5.5</v>
      </c>
      <c r="J43" t="n">
        <v>0</v>
      </c>
      <c r="K43" t="n">
        <v>0</v>
      </c>
      <c r="L43" t="inlineStr">
        <is>
          <t>2026-06-08T13:42:35.887081+00:00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R$35</t>
        </is>
      </c>
      <c r="H44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0</v>
      </c>
      <c r="I44" t="n">
        <v>5.5</v>
      </c>
      <c r="J44" t="n">
        <v>0</v>
      </c>
      <c r="K44" t="n">
        <v>0</v>
      </c>
      <c r="L44" t="inlineStr">
        <is>
          <t>2026-06-08T13:42:35.887135+00:00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2026-06-08T13:42:35Z</dcterms:created>
  <dcterms:modified xmlns:dcterms="http://purl.org/dc/terms/" xmlns:xsi="http://www.w3.org/2001/XMLSchema-instance" xsi:type="dcterms:W3CDTF">2026-06-08T13:42:35Z</dcterms:modified>
</cp:coreProperties>
</file>