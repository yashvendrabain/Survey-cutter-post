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'_RawData'!$T$2:$T$11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'_RawData'!$U$2:$U$11</definedName>
    <definedName name="All_Questions_Q_GRID_EXPORT_CT">'All Questions'!$C$38</definedName>
    <definedName name="All_Questions_Q_VERY_LONG_SINGLE_SELECT_EXPORT_NAME_F_Q">'All Questions'!$C$48</definedName>
    <definedName name="All_Questions_Q_VERY_LONG_SINGLE_SELECT_EXPORT_NAME_F_V">'All Questions'!$E$48</definedName>
    <definedName name="All_Questions_Q_VERY_LONG_SINGLE_SELECT_EXPORT_NAME_F_resolved_column">'All Questions'!$F$48</definedName>
    <definedName name="All_Questions_Q_VERY_LONG_SINGLE_SELECT_EXPORT_NAME_F_wrapped">'All Questions'!$G$48</definedName>
    <definedName name="All_Questions_Q_VERY_LONG_SINGLE_SELECT_EXPORT_NAME_F_passes_per_q_filter_data">'_RawData'!$V$2:$V$11</definedName>
    <definedName name="All_Questions_Q_VERY_LONG_SINGLE_SELECT_EXPORT_NAME_CT">'All Questions'!$C$49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G40" i="8"/>
  <c r="H40" i="8"/>
  <c r="I40" i="8"/>
  <c r="J40" i="8"/>
  <c r="K40" i="8"/>
  <c r="L40" i="8"/>
  <c r="M40" i="8"/>
  <c r="N40" i="8"/>
  <c r="O40" i="8"/>
  <c r="P40" i="8"/>
  <c r="Q40" i="8"/>
  <c r="R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S44" i="8"/>
  <c r="F48" i="8"/>
  <c r="G48" i="8"/>
  <c r="G51" i="8"/>
  <c r="H51" i="8"/>
  <c r="I51" i="8"/>
  <c r="J51" i="8"/>
  <c r="K51" i="8"/>
  <c r="L51" i="8"/>
  <c r="M51" i="8"/>
  <c r="N51" i="8"/>
  <c r="O51" i="8"/>
  <c r="P51" i="8"/>
  <c r="Q51" i="8"/>
  <c r="R51" i="8"/>
  <c r="B52" i="8"/>
  <c r="C52" i="8"/>
  <c r="D52" i="8"/>
  <c r="B53" i="8"/>
  <c r="C53" i="8"/>
  <c r="D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S5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2" headerRowCount="1">
  <autoFilter ref="A28:D3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0_1" displayName="T_All_Questions_40_1" ref="A40:D44" headerRowCount="1">
  <autoFilter ref="A40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1_1" displayName="T_All_Questions_51_1" ref="A51:D54" headerRowCount="1">
  <autoFilter ref="A51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*1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*1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*1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*1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*1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*1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*1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*1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*1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*1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s="10" t="inlineStr">
        <is>
          <t>Median not available in filtered view - see static baseline in audit log.</t>
        </is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IF(All_Questions_Q_GRID_EXPORT_CT="(None)","",IFERROR(INDEX(INDIRECT(IFERROR(INDEX(All_Questions_Options_Names,MATCH(All_Questions_Q_GRID_EXPORT_CT,All_Questions,0)),"'_Options'!$E$2:$E$2")),2),""))</f>
        <v/>
      </c>
      <c r="H40" s="2" t="str">
        <f>IF(All_Questions_Q_GRID_EXPORT_CT="(None)","",IFERROR(INDEX(INDIRECT(IFERROR(INDEX(All_Questions_Options_Names,MATCH(All_Questions_Q_GRID_EXPORT_CT,All_Questions,0)),"'_Options'!$E$2:$E$2")),3),""))</f>
        <v/>
      </c>
      <c r="I40" s="2" t="str">
        <f>IF(All_Questions_Q_GRID_EXPORT_CT="(None)","",IFERROR(INDEX(INDIRECT(IFERROR(INDEX(All_Questions_Options_Names,MATCH(All_Questions_Q_GRID_EXPORT_CT,All_Questions,0)),"'_Options'!$E$2:$E$2")),4),""))</f>
        <v/>
      </c>
      <c r="J40" s="2" t="str">
        <f>IF(All_Questions_Q_GRID_EXPORT_CT="(None)","",IFERROR(INDEX(INDIRECT(IFERROR(INDEX(All_Questions_Options_Names,MATCH(All_Questions_Q_GRID_EXPORT_CT,All_Questions,0)),"'_Options'!$E$2:$E$2")),5),""))</f>
        <v/>
      </c>
      <c r="K40" s="2" t="str">
        <f>IF(All_Questions_Q_GRID_EXPORT_CT="(None)","",IFERROR(INDEX(INDIRECT(IFERROR(INDEX(All_Questions_Options_Names,MATCH(All_Questions_Q_GRID_EXPORT_CT,All_Questions,0)),"'_Options'!$E$2:$E$2")),6),""))</f>
        <v/>
      </c>
      <c r="L40" s="2" t="str">
        <f>IF(All_Questions_Q_GRID_EXPORT_CT="(None)","",IFERROR(INDEX(INDIRECT(IFERROR(INDEX(All_Questions_Options_Names,MATCH(All_Questions_Q_GRID_EXPORT_CT,All_Questions,0)),"'_Options'!$E$2:$E$2")),7),""))</f>
        <v/>
      </c>
      <c r="M40" s="2" t="str">
        <f>IF(All_Questions_Q_GRID_EXPORT_CT="(None)","",IFERROR(INDEX(INDIRECT(IFERROR(INDEX(All_Questions_Options_Names,MATCH(All_Questions_Q_GRID_EXPORT_CT,All_Questions,0)),"'_Options'!$E$2:$E$2")),8),""))</f>
        <v/>
      </c>
      <c r="N40" s="2" t="str">
        <f>IF(All_Questions_Q_GRID_EXPORT_CT="(None)","",IFERROR(INDEX(INDIRECT(IFERROR(INDEX(All_Questions_Options_Names,MATCH(All_Questions_Q_GRID_EXPORT_CT,All_Questions,0)),"'_Options'!$E$2:$E$2")),9),""))</f>
        <v/>
      </c>
      <c r="O40" s="2" t="str">
        <f>IF(All_Questions_Q_GRID_EXPORT_CT="(None)","",IFERROR(INDEX(INDIRECT(IFERROR(INDEX(All_Questions_Options_Names,MATCH(All_Questions_Q_GRID_EXPORT_CT,All_Questions,0)),"'_Options'!$E$2:$E$2")),10),""))</f>
        <v/>
      </c>
      <c r="P40" s="2" t="str">
        <f>IF(All_Questions_Q_GRID_EXPORT_CT="(None)","",IFERROR(INDEX(INDIRECT(IFERROR(INDEX(All_Questions_Options_Names,MATCH(All_Questions_Q_GRID_EXPORT_CT,All_Questions,0)),"'_Options'!$E$2:$E$2")),11),""))</f>
        <v/>
      </c>
      <c r="Q40" s="2" t="str">
        <f>IF(All_Questions_Q_GRID_EXPORT_CT="(None)","",IFERROR(INDEX(INDIRECT(IFERROR(INDEX(All_Questions_Options_Names,MATCH(All_Questions_Q_GRID_EXPORT_CT,All_Questions,0)),"'_Options'!$E$2:$E$2")),12),""))</f>
        <v/>
      </c>
      <c r="R4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0" s="4" t="inlineStr">
        <is>
          <t>Total</t>
        </is>
      </c>
    </row>
    <row r="41">
      <c r="A41" t="inlineStr">
        <is>
          <t>Grid first row</t>
        </is>
      </c>
      <c r="B41">
        <f>COUNTIFS(Q_GRID_EXPORTr1_data,"Selected",passes_workbook_filters_data,1,passes_workbook_custom_filters_data,1,All_Questions_passes_local_filters_data,1,All_Questions_Q_GRID_EXPORT_F_passes_per_q_filter_data,1)</f>
        <v>10</v>
      </c>
      <c r="C41" s="7">
        <f>IFERROR(B41/SUBTOTAL(9,B41:B42),0)</f>
        <v>0.5</v>
      </c>
      <c r="D41" s="14">
        <f>SUBTOTAL(9,B41:B42)</f>
        <v>20</v>
      </c>
      <c r="F41" s="4" t="inlineStr"/>
      <c r="G41" s="4" t="inlineStr">
        <is>
          <t># of resp</t>
        </is>
      </c>
      <c r="H41" s="4" t="inlineStr">
        <is>
          <t># of resp</t>
        </is>
      </c>
      <c r="I41" s="4" t="inlineStr">
        <is>
          <t># of resp</t>
        </is>
      </c>
      <c r="J41" s="4" t="inlineStr">
        <is>
          <t># of resp</t>
        </is>
      </c>
      <c r="K41" s="4" t="inlineStr">
        <is>
          <t># of resp</t>
        </is>
      </c>
      <c r="L41" s="4" t="inlineStr">
        <is>
          <t># of resp</t>
        </is>
      </c>
      <c r="M41" s="4" t="inlineStr">
        <is>
          <t># of resp</t>
        </is>
      </c>
      <c r="N41" s="4" t="inlineStr">
        <is>
          <t># of resp</t>
        </is>
      </c>
      <c r="O41" s="4" t="inlineStr">
        <is>
          <t># of resp</t>
        </is>
      </c>
      <c r="P41" s="4" t="inlineStr">
        <is>
          <t># of resp</t>
        </is>
      </c>
      <c r="Q41" s="4" t="inlineStr">
        <is>
          <t># of resp</t>
        </is>
      </c>
      <c r="R41" s="4" t="inlineStr">
        <is>
          <t># of resp</t>
        </is>
      </c>
      <c r="S41" s="4" t="inlineStr">
        <is>
          <t># of resp</t>
        </is>
      </c>
    </row>
    <row r="42">
      <c r="A42" t="inlineStr">
        <is>
          <t>Grid second row</t>
        </is>
      </c>
      <c r="B42">
        <f>COUNTIFS(Q_GRID_EXPORTr2_data,"Selected",passes_workbook_filters_data,1,passes_workbook_custom_filters_data,1,All_Questions_passes_local_filters_data,1,All_Questions_Q_GRID_EXPORT_F_passes_per_q_filter_data,1)</f>
        <v>10</v>
      </c>
      <c r="C42" s="7">
        <f>IFERROR(B42/SUBTOTAL(9,B41:B42),0)</f>
        <v>0.5</v>
      </c>
      <c r="D42" s="14">
        <f>SUBTOTAL(9,B41:B42)</f>
        <v>20</v>
      </c>
      <c r="F42" t="inlineStr">
        <is>
          <t>Grid first row</t>
        </is>
      </c>
      <c r="G42">
        <f>IF(OR(All_Questions_Q_GRID_EXPORT_CT="(None)",G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2">
        <f>IF(OR(All_Questions_Q_GRID_EXPORT_CT="(None)",H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2">
        <f>IF(OR(All_Questions_Q_GRID_EXPORT_CT="(None)",I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2">
        <f>IF(OR(All_Questions_Q_GRID_EXPORT_CT="(None)",J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2">
        <f>IF(OR(All_Questions_Q_GRID_EXPORT_CT="(None)",K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2">
        <f>IF(OR(All_Questions_Q_GRID_EXPORT_CT="(None)",L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2">
        <f>IF(OR(All_Questions_Q_GRID_EXPORT_CT="(None)",M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2">
        <f>IF(OR(All_Questions_Q_GRID_EXPORT_CT="(None)",N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2">
        <f>IF(OR(All_Questions_Q_GRID_EXPORT_CT="(None)",O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2">
        <f>IF(OR(All_Questions_Q_GRID_EXPORT_CT="(None)",P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2">
        <f>IF(OR(All_Questions_Q_GRID_EXPORT_CT="(None)",Q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2">
        <f>IF(OR(All_Questions_Q_GRID_EXPORT_CT="(None)",R$40=""),"",IF(R$40="Other",COUNTIFS(Q_GRID_EXPORTr1_data,"Selected",passes_workbook_filters_data,1,passes_workbook_custom_filters_data,1,All_Questions_passes_local_filters_data,1,All_Questions_Q_GRID_EXPORT_F_passes_per_q_filter_data,1)-SUM(G42,H42,I42,J42,K42,L42,M42,N42,O42,P42,Q42)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Grid second row</t>
        </is>
      </c>
      <c r="G43">
        <f>IF(OR(All_Questions_Q_GRID_EXPORT_CT="(None)",G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3">
        <f>IF(OR(All_Questions_Q_GRID_EXPORT_CT="(None)",H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3">
        <f>IF(OR(All_Questions_Q_GRID_EXPORT_CT="(None)",I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3">
        <f>IF(OR(All_Questions_Q_GRID_EXPORT_CT="(None)",J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3">
        <f>IF(OR(All_Questions_Q_GRID_EXPORT_CT="(None)",K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3">
        <f>IF(OR(All_Questions_Q_GRID_EXPORT_CT="(None)",L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3">
        <f>IF(OR(All_Questions_Q_GRID_EXPORT_CT="(None)",M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3">
        <f>IF(OR(All_Questions_Q_GRID_EXPORT_CT="(None)",N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3">
        <f>IF(OR(All_Questions_Q_GRID_EXPORT_CT="(None)",O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3">
        <f>IF(OR(All_Questions_Q_GRID_EXPORT_CT="(None)",P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3">
        <f>IF(OR(All_Questions_Q_GRID_EXPORT_CT="(None)",Q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3">
        <f>IF(OR(All_Questions_Q_GRID_EXPORT_CT="(None)",R$40=""),"",IF(R$40="Other",COUNTIFS(Q_GRID_EXPORTr2_data,"Selected",passes_workbook_filters_data,1,passes_workbook_custom_filters_data,1,All_Questions_passes_local_filters_data,1,All_Questions_Q_GRID_EXPORT_F_passes_per_q_filter_data,1)-SUM(G43,H43,I43,J43,K43,L43,M43,N43,O43,P43,Q43)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4">
      <c r="A44" s="4" t="inlineStr">
        <is>
          <t>Total responses</t>
        </is>
      </c>
      <c r="B44" s="4" t="n">
        <v>20</v>
      </c>
      <c r="C44" s="4" t="n"/>
      <c r="D44" s="4" t="n"/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Q_VERY_LONG_SINGLE_SELECT_EXPORT_NAME - Long sheet name export question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IFERROR(INDEX(All_Questions_Data_Names,MATCH(All_Questions_Q_VERY_LONG_SINGLE_SELECT_EXPORT_NAME_F_Q,All_Questions,0)),"'_RawData'!$A:$A")</f>
        <v>respondent_id_data</v>
      </c>
      <c r="G48" t="str">
        <f>"|" &amp; SUBSTITUTE(All_Questions_Q_VERY_LONG_SINGLE_SELECT_EXPORT_NAME_F_V, ", ", "|") &amp; "|"</f>
        <v>|(All)|</v>
      </c>
    </row>
    <row r="49">
      <c r="A49" s="13" t="inlineStr">
        <is>
          <t>Cross-tab by</t>
        </is>
      </c>
      <c r="C49" t="inlineStr">
        <is>
          <t>(None)</t>
        </is>
      </c>
    </row>
    <row r="51">
      <c r="A51" s="4" t="inlineStr">
        <is>
          <t>Option</t>
        </is>
      </c>
      <c r="B51" s="4" t="inlineStr">
        <is>
          <t>Count</t>
        </is>
      </c>
      <c r="C51" s="4" t="inlineStr">
        <is>
          <t>%</t>
        </is>
      </c>
      <c r="D51" s="4" t="inlineStr">
        <is>
          <t>Denominator</t>
        </is>
      </c>
      <c r="F51" s="4" t="inlineStr">
        <is>
          <t>Option</t>
        </is>
      </c>
      <c r="G5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1" s="4" t="inlineStr">
        <is>
          <t>Total</t>
        </is>
      </c>
    </row>
    <row r="52">
      <c r="A52" t="inlineStr">
        <is>
          <t>A</t>
        </is>
      </c>
      <c r="B5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2" s="7">
        <f>IFERROR(B52/SUBTOTAL(9,B52:B53),0)</f>
        <v>0.7</v>
      </c>
      <c r="D52" s="14">
        <f>SUBTOTAL(9,B52:B53)</f>
        <v>10</v>
      </c>
      <c r="F52" s="4" t="inlineStr"/>
      <c r="G52" s="4" t="inlineStr">
        <is>
          <t># of resp</t>
        </is>
      </c>
      <c r="H52" s="4" t="inlineStr">
        <is>
          <t># of resp</t>
        </is>
      </c>
      <c r="I52" s="4" t="inlineStr">
        <is>
          <t># of resp</t>
        </is>
      </c>
      <c r="J52" s="4" t="inlineStr">
        <is>
          <t># of resp</t>
        </is>
      </c>
      <c r="K52" s="4" t="inlineStr">
        <is>
          <t># of resp</t>
        </is>
      </c>
      <c r="L52" s="4" t="inlineStr">
        <is>
          <t># of resp</t>
        </is>
      </c>
      <c r="M52" s="4" t="inlineStr">
        <is>
          <t># of resp</t>
        </is>
      </c>
      <c r="N52" s="4" t="inlineStr">
        <is>
          <t># of resp</t>
        </is>
      </c>
      <c r="O52" s="4" t="inlineStr">
        <is>
          <t># of resp</t>
        </is>
      </c>
      <c r="P52" s="4" t="inlineStr">
        <is>
          <t># of resp</t>
        </is>
      </c>
      <c r="Q52" s="4" t="inlineStr">
        <is>
          <t># of resp</t>
        </is>
      </c>
      <c r="R52" s="4" t="inlineStr">
        <is>
          <t># of resp</t>
        </is>
      </c>
      <c r="S52" s="4" t="inlineStr">
        <is>
          <t># of resp</t>
        </is>
      </c>
    </row>
    <row r="53">
      <c r="A53" t="inlineStr">
        <is>
          <t>B</t>
        </is>
      </c>
      <c r="B5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3" s="7">
        <f>IFERROR(B53/SUBTOTAL(9,B52:B53),0)</f>
        <v>0.3</v>
      </c>
      <c r="D53" s="14">
        <f>SUBTOTAL(9,B52:B53)</f>
        <v>10</v>
      </c>
      <c r="F53" t="inlineStr">
        <is>
          <t>A</t>
        </is>
      </c>
      <c r="G53">
        <f>IF(OR(All_Questions_Q_VERY_LONG_SINGLE_SELECT_EXPORT_NAME_CT="(None)",G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3">
        <f>IF(OR(All_Questions_Q_VERY_LONG_SINGLE_SELECT_EXPORT_NAME_CT="(None)",H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3">
        <f>IF(OR(All_Questions_Q_VERY_LONG_SINGLE_SELECT_EXPORT_NAME_CT="(None)",I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3">
        <f>IF(OR(All_Questions_Q_VERY_LONG_SINGLE_SELECT_EXPORT_NAME_CT="(None)",J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3">
        <f>IF(OR(All_Questions_Q_VERY_LONG_SINGLE_SELECT_EXPORT_NAME_CT="(None)",K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3">
        <f>IF(OR(All_Questions_Q_VERY_LONG_SINGLE_SELECT_EXPORT_NAME_CT="(None)",L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3">
        <f>IF(OR(All_Questions_Q_VERY_LONG_SINGLE_SELECT_EXPORT_NAME_CT="(None)",M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3">
        <f>IF(OR(All_Questions_Q_VERY_LONG_SINGLE_SELECT_EXPORT_NAME_CT="(None)",N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3">
        <f>IF(OR(All_Questions_Q_VERY_LONG_SINGLE_SELECT_EXPORT_NAME_CT="(None)",O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3">
        <f>IF(OR(All_Questions_Q_VERY_LONG_SINGLE_SELECT_EXPORT_NAME_CT="(None)",P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3">
        <f>IF(OR(All_Questions_Q_VERY_LONG_SINGLE_SELECT_EXPORT_NAME_CT="(None)",Q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3">
        <f>IF(OR(All_Questions_Q_VERY_LONG_SINGLE_SELECT_EXPORT_NAME_CT="(None)",R$51=""),"",IF(R$51="Other",COUNTIFS(Q_VERY_LONG_SINGLE_SELECT_EXPOR_data,"A",passes_workbook_filters_data,1,passes_workbook_custom_filters_data,1,All_Questions_passes_local_filters_data,1,All_Questions_Q_VERY_LONG_SINGLE_SELECT_EXPORT_NAME_F_passes_per_q_filter_data,1)-SUM(G53,H53,I53,J53,K53,L53,M53,N53,O53,P53,Q53)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4">
      <c r="A54" s="15" t="inlineStr">
        <is>
          <t>Total respondents</t>
        </is>
      </c>
      <c r="B54" s="15" t="n">
        <v>10</v>
      </c>
      <c r="C54" s="15" t="n"/>
      <c r="D54" s="15" t="n"/>
      <c r="F54" t="inlineStr">
        <is>
          <t>B</t>
        </is>
      </c>
      <c r="G54">
        <f>IF(OR(All_Questions_Q_VERY_LONG_SINGLE_SELECT_EXPORT_NAME_CT="(None)",G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4">
        <f>IF(OR(All_Questions_Q_VERY_LONG_SINGLE_SELECT_EXPORT_NAME_CT="(None)",H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4">
        <f>IF(OR(All_Questions_Q_VERY_LONG_SINGLE_SELECT_EXPORT_NAME_CT="(None)",I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4">
        <f>IF(OR(All_Questions_Q_VERY_LONG_SINGLE_SELECT_EXPORT_NAME_CT="(None)",J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4">
        <f>IF(OR(All_Questions_Q_VERY_LONG_SINGLE_SELECT_EXPORT_NAME_CT="(None)",K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4">
        <f>IF(OR(All_Questions_Q_VERY_LONG_SINGLE_SELECT_EXPORT_NAME_CT="(None)",L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4">
        <f>IF(OR(All_Questions_Q_VERY_LONG_SINGLE_SELECT_EXPORT_NAME_CT="(None)",M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4">
        <f>IF(OR(All_Questions_Q_VERY_LONG_SINGLE_SELECT_EXPORT_NAME_CT="(None)",N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4">
        <f>IF(OR(All_Questions_Q_VERY_LONG_SINGLE_SELECT_EXPORT_NAME_CT="(None)",O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4">
        <f>IF(OR(All_Questions_Q_VERY_LONG_SINGLE_SELECT_EXPORT_NAME_CT="(None)",P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4">
        <f>IF(OR(All_Questions_Q_VERY_LONG_SINGLE_SELECT_EXPORT_NAME_CT="(None)",Q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4">
        <f>IF(OR(All_Questions_Q_VERY_LONG_SINGLE_SELECT_EXPORT_NAME_CT="(None)",R$51=""),"",IF(R$51="Other",COUNTIFS(Q_VERY_LONG_SINGLE_SELECT_EXPOR_data,"B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5">
      <c r="F55" s="4" t="inlineStr">
        <is>
          <t>Total respondents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:G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:I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:K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:M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2:O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2:Q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2:B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2:C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3:G5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3:H5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3:I5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3:J5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3:K5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3:L5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3:M5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3:N5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3:O5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3:P5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3:Q5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3:R5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2026-05-31T20:07:08Z</dcterms:created>
  <dcterms:modified xmlns:dcterms="http://purl.org/dc/terms/" xmlns:xsi="http://www.w3.org/2001/XMLSchema-instance" xsi:type="dcterms:W3CDTF">2026-05-31T20:07:08Z</dcterms:modified>
</cp:coreProperties>
</file>