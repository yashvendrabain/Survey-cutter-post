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resolved_criteria">'All Questions'!$H$13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21" i="7"/>
  <c r="H21" i="7"/>
  <c r="I21" i="7"/>
  <c r="J21" i="7"/>
  <c r="K21" i="7"/>
  <c r="L21" i="7"/>
  <c r="M21" i="7"/>
  <c r="N21" i="7"/>
  <c r="O21" i="7"/>
  <c r="P21" i="7"/>
  <c r="Q21" i="7"/>
  <c r="R21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S25" i="7"/>
  <c r="G8" i="8"/>
  <c r="H8" i="8"/>
  <c r="I8" i="8"/>
  <c r="J8" i="8"/>
  <c r="K8" i="8"/>
  <c r="L8" i="8"/>
  <c r="M8" i="8"/>
  <c r="N8" i="8"/>
  <c r="O8" i="8"/>
  <c r="P8" i="8"/>
  <c r="Q8" i="8"/>
  <c r="R8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S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("|" &amp; SUBSTITUTE(All_Questions_Q_NPS_F_resolved_criteria, ", ", "|") &amp; "|"))),1,0),0))*1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("|" &amp; SUBSTITUTE(All_Questions_Q_NPS_F_resolved_criteria, ", ", "|") &amp; "|"))),1,0),0))*1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("|" &amp; SUBSTITUTE(All_Questions_Q_NPS_F_resolved_criteria, ", ", "|") &amp; "|"))),1,0),0))*1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("|" &amp; SUBSTITUTE(All_Questions_Q_NPS_F_resolved_criteria, ", ", "|") &amp; "|"))),1,0),0))*1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("|" &amp; SUBSTITUTE(All_Questions_Q_NPS_F_resolved_criteria,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'_RawData'!$A$2:$A$6</t>
        </is>
      </c>
      <c r="N2" t="inlineStr">
        <is>
          <t>'_Options'!$E$2:$E$2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IFERROR(INDEX(All_Questions_Value_Data_Names,MATCH(All_Questions_Q_NPS_F_Q&amp;"|"&amp;All_Questions_Q_NPS_F_V,All_Questions_Value_Keys,0)),IFERROR(INDEX(All_Questions_Data_Names,MATCH(All_Questions_Q_NPS_F_Q,All_Questions,0)),"'_RawData'!$A:$A"))</f>
        <v>respondent_id_data</v>
      </c>
      <c r="G13" t="str">
        <f>"|" &amp; SUBSTITUTE(All_Questions_Q_NPS_F_V, ", ", "|") &amp; "|"</f>
        <v>|(All)|</v>
      </c>
      <c r="H13" t="str">
        <f>IFERROR(INDEX(All_Questions_Value_Criteria,MATCH(All_Questions_Q_NPS_F_Q&amp;"|"&amp;All_Questions_Q_NPS_F_V,All_Questions_Value_Keys,0)),All_Questions_Q_NPS_F_V)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F21" s="4" t="inlineStr">
        <is>
          <t>Option</t>
        </is>
      </c>
      <c r="G21" s="2" t="str">
        <f>IF(All_Questions_Q_NPS_CT="(None)","",IFERROR(INDEX(INDIRECT(IFERROR(INDEX(Cross_Tab_Questions_Options_Names,MATCH(All_Questions_Q_NPS_CT,Cross_Tab_Questions,0)),"'_Options'!$E$2:$E$2")),2),""))</f>
        <v/>
      </c>
      <c r="H21" s="2" t="str">
        <f>IF(All_Questions_Q_NPS_CT="(None)","",IFERROR(INDEX(INDIRECT(IFERROR(INDEX(Cross_Tab_Questions_Options_Names,MATCH(All_Questions_Q_NPS_CT,Cross_Tab_Questions,0)),"'_Options'!$E$2:$E$2")),3),""))</f>
        <v/>
      </c>
      <c r="I21" s="2" t="str">
        <f>IF(All_Questions_Q_NPS_CT="(None)","",IFERROR(INDEX(INDIRECT(IFERROR(INDEX(Cross_Tab_Questions_Options_Names,MATCH(All_Questions_Q_NPS_CT,Cross_Tab_Questions,0)),"'_Options'!$E$2:$E$2")),4),""))</f>
        <v/>
      </c>
      <c r="J21" s="2" t="str">
        <f>IF(All_Questions_Q_NPS_CT="(None)","",IFERROR(INDEX(INDIRECT(IFERROR(INDEX(Cross_Tab_Questions_Options_Names,MATCH(All_Questions_Q_NPS_CT,Cross_Tab_Questions,0)),"'_Options'!$E$2:$E$2")),5),""))</f>
        <v/>
      </c>
      <c r="K21" s="2" t="str">
        <f>IF(All_Questions_Q_NPS_CT="(None)","",IFERROR(INDEX(INDIRECT(IFERROR(INDEX(Cross_Tab_Questions_Options_Names,MATCH(All_Questions_Q_NPS_CT,Cross_Tab_Questions,0)),"'_Options'!$E$2:$E$2")),6),""))</f>
        <v/>
      </c>
      <c r="L21" s="2" t="str">
        <f>IF(All_Questions_Q_NPS_CT="(None)","",IFERROR(INDEX(INDIRECT(IFERROR(INDEX(Cross_Tab_Questions_Options_Names,MATCH(All_Questions_Q_NPS_CT,Cross_Tab_Questions,0)),"'_Options'!$E$2:$E$2")),7),""))</f>
        <v/>
      </c>
      <c r="M21" s="2" t="str">
        <f>IF(All_Questions_Q_NPS_CT="(None)","",IFERROR(INDEX(INDIRECT(IFERROR(INDEX(Cross_Tab_Questions_Options_Names,MATCH(All_Questions_Q_NPS_CT,Cross_Tab_Questions,0)),"'_Options'!$E$2:$E$2")),8),""))</f>
        <v/>
      </c>
      <c r="N21" s="2" t="str">
        <f>IF(All_Questions_Q_NPS_CT="(None)","",IFERROR(INDEX(INDIRECT(IFERROR(INDEX(Cross_Tab_Questions_Options_Names,MATCH(All_Questions_Q_NPS_CT,Cross_Tab_Questions,0)),"'_Options'!$E$2:$E$2")),9),""))</f>
        <v/>
      </c>
      <c r="O21" s="2" t="str">
        <f>IF(All_Questions_Q_NPS_CT="(None)","",IFERROR(INDEX(INDIRECT(IFERROR(INDEX(Cross_Tab_Questions_Options_Names,MATCH(All_Questions_Q_NPS_CT,Cross_Tab_Questions,0)),"'_Options'!$E$2:$E$2")),10),""))</f>
        <v/>
      </c>
      <c r="P21" s="2" t="str">
        <f>IF(All_Questions_Q_NPS_CT="(None)","",IFERROR(INDEX(INDIRECT(IFERROR(INDEX(Cross_Tab_Questions_Options_Names,MATCH(All_Questions_Q_NPS_CT,Cross_Tab_Questions,0)),"'_Options'!$E$2:$E$2")),11),""))</f>
        <v/>
      </c>
      <c r="Q21" s="2" t="str">
        <f>IF(All_Questions_Q_NPS_CT="(None)","",IFERROR(INDEX(INDIRECT(IFERROR(INDEX(Cross_Tab_Questions_Options_Names,MATCH(All_Questions_Q_NPS_CT,Cross_Tab_Questions,0)),"'_Options'!$E$2:$E$2")),12),""))</f>
        <v/>
      </c>
      <c r="R21" s="2" t="str">
        <f>IF(All_Questions_Q_NPS_CT="(None)","",IF(COUNTA(INDIRECT(IFERROR(INDEX(Cross_Tab_Questions_Options_Names,MATCH(All_Questions_Q_NPS_CT,Cross_Tab_Questions,0)),"'_Options'!$E$2:$E$2")))-1&gt;11,"Other",IFERROR(INDEX(INDIRECT(IFERROR(INDEX(Cross_Tab_Questions_Options_Names,MATCH(All_Questions_Q_NPS_CT,Cross_Tab_Questions,0)),"'_Options'!$E$2:$E$2")),13),"")))</f>
        <v/>
      </c>
      <c r="S21" s="4" t="inlineStr">
        <is>
          <t>Total</t>
        </is>
      </c>
    </row>
    <row r="22">
      <c r="F22" s="4" t="inlineStr"/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  <c r="O22" s="4" t="inlineStr">
        <is>
          <t>NPS</t>
        </is>
      </c>
      <c r="P22" s="4" t="inlineStr">
        <is>
          <t>NPS</t>
        </is>
      </c>
      <c r="Q22" s="4" t="inlineStr">
        <is>
          <t>NPS</t>
        </is>
      </c>
      <c r="R22" s="4" t="inlineStr">
        <is>
          <t>NPS</t>
        </is>
      </c>
      <c r="S22" s="4" t="inlineStr">
        <is>
          <t>NPS</t>
        </is>
      </c>
    </row>
    <row r="23">
      <c r="F23" t="inlineStr">
        <is>
          <t>Vendor B</t>
        </is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-25</v>
      </c>
      <c r="N23" s="16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-25</v>
      </c>
      <c r="O23" s="1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-25</v>
      </c>
      <c r="P23" s="16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-25</v>
      </c>
      <c r="Q23" s="16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-25</v>
      </c>
      <c r="R23" s="16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-25</v>
      </c>
      <c r="S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F24" t="inlineStr">
        <is>
          <t>Vendor A</t>
        </is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67</v>
      </c>
      <c r="N24" s="16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67</v>
      </c>
      <c r="O24" s="16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67</v>
      </c>
      <c r="P24" s="16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67</v>
      </c>
      <c r="Q24" s="16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67</v>
      </c>
      <c r="R24" s="16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67</v>
      </c>
      <c r="S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F25" s="4" t="inlineStr">
        <is>
          <t>Total respondents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3:N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3:O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3:P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3: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3:R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4" customWidth="1" min="4" max="4"/>
    <col width="20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F8" s="4" t="inlineStr">
        <is>
          <t>Option</t>
        </is>
      </c>
      <c r="G8" s="2" t="str">
        <f>IF(SC_Q_NPS_Q_NPS_CT="(None)","",IFERROR(INDEX(INDIRECT(IFERROR(INDEX(Cross_Tab_Questions_Options_Names,MATCH(SC_Q_NPS_Q_NPS_CT,Cross_Tab_Questions,0)),"'_Options'!$E$2:$E$2")),2),""))</f>
        <v/>
      </c>
      <c r="H8" s="2" t="str">
        <f>IF(SC_Q_NPS_Q_NPS_CT="(None)","",IFERROR(INDEX(INDIRECT(IFERROR(INDEX(Cross_Tab_Questions_Options_Names,MATCH(SC_Q_NPS_Q_NPS_CT,Cross_Tab_Questions,0)),"'_Options'!$E$2:$E$2")),3),""))</f>
        <v/>
      </c>
      <c r="I8" s="2" t="str">
        <f>IF(SC_Q_NPS_Q_NPS_CT="(None)","",IFERROR(INDEX(INDIRECT(IFERROR(INDEX(Cross_Tab_Questions_Options_Names,MATCH(SC_Q_NPS_Q_NPS_CT,Cross_Tab_Questions,0)),"'_Options'!$E$2:$E$2")),4),""))</f>
        <v/>
      </c>
      <c r="J8" s="2" t="str">
        <f>IF(SC_Q_NPS_Q_NPS_CT="(None)","",IFERROR(INDEX(INDIRECT(IFERROR(INDEX(Cross_Tab_Questions_Options_Names,MATCH(SC_Q_NPS_Q_NPS_CT,Cross_Tab_Questions,0)),"'_Options'!$E$2:$E$2")),5),""))</f>
        <v/>
      </c>
      <c r="K8" s="2" t="str">
        <f>IF(SC_Q_NPS_Q_NPS_CT="(None)","",IFERROR(INDEX(INDIRECT(IFERROR(INDEX(Cross_Tab_Questions_Options_Names,MATCH(SC_Q_NPS_Q_NPS_CT,Cross_Tab_Questions,0)),"'_Options'!$E$2:$E$2")),6),""))</f>
        <v/>
      </c>
      <c r="L8" s="2" t="str">
        <f>IF(SC_Q_NPS_Q_NPS_CT="(None)","",IFERROR(INDEX(INDIRECT(IFERROR(INDEX(Cross_Tab_Questions_Options_Names,MATCH(SC_Q_NPS_Q_NPS_CT,Cross_Tab_Questions,0)),"'_Options'!$E$2:$E$2")),7),""))</f>
        <v/>
      </c>
      <c r="M8" s="2" t="str">
        <f>IF(SC_Q_NPS_Q_NPS_CT="(None)","",IFERROR(INDEX(INDIRECT(IFERROR(INDEX(Cross_Tab_Questions_Options_Names,MATCH(SC_Q_NPS_Q_NPS_CT,Cross_Tab_Questions,0)),"'_Options'!$E$2:$E$2")),8),""))</f>
        <v/>
      </c>
      <c r="N8" s="2" t="str">
        <f>IF(SC_Q_NPS_Q_NPS_CT="(None)","",IFERROR(INDEX(INDIRECT(IFERROR(INDEX(Cross_Tab_Questions_Options_Names,MATCH(SC_Q_NPS_Q_NPS_CT,Cross_Tab_Questions,0)),"'_Options'!$E$2:$E$2")),9),""))</f>
        <v/>
      </c>
      <c r="O8" s="2" t="str">
        <f>IF(SC_Q_NPS_Q_NPS_CT="(None)","",IFERROR(INDEX(INDIRECT(IFERROR(INDEX(Cross_Tab_Questions_Options_Names,MATCH(SC_Q_NPS_Q_NPS_CT,Cross_Tab_Questions,0)),"'_Options'!$E$2:$E$2")),10),""))</f>
        <v/>
      </c>
      <c r="P8" s="2" t="str">
        <f>IF(SC_Q_NPS_Q_NPS_CT="(None)","",IFERROR(INDEX(INDIRECT(IFERROR(INDEX(Cross_Tab_Questions_Options_Names,MATCH(SC_Q_NPS_Q_NPS_CT,Cross_Tab_Questions,0)),"'_Options'!$E$2:$E$2")),11),""))</f>
        <v/>
      </c>
      <c r="Q8" s="2" t="str">
        <f>IF(SC_Q_NPS_Q_NPS_CT="(None)","",IFERROR(INDEX(INDIRECT(IFERROR(INDEX(Cross_Tab_Questions_Options_Names,MATCH(SC_Q_NPS_Q_NPS_CT,Cross_Tab_Questions,0)),"'_Options'!$E$2:$E$2")),12),""))</f>
        <v/>
      </c>
      <c r="R8" s="2" t="str">
        <f>IF(SC_Q_NPS_Q_NPS_CT="(None)","",IF(COUNTA(INDIRECT(IFERROR(INDEX(Cross_Tab_Questions_Options_Names,MATCH(SC_Q_NPS_Q_NPS_CT,Cross_Tab_Questions,0)),"'_Options'!$E$2:$E$2")))-1&gt;11,"Other",IFERROR(INDEX(INDIRECT(IFERROR(INDEX(Cross_Tab_Questions_Options_Names,MATCH(SC_Q_NPS_Q_NPS_CT,Cross_Tab_Questions,0)),"'_Options'!$E$2:$E$2")),13),"")))</f>
        <v/>
      </c>
      <c r="S8" s="4" t="inlineStr">
        <is>
          <t>Total</t>
        </is>
      </c>
    </row>
    <row r="9">
      <c r="F9" s="4" t="inlineStr"/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  <c r="O9" s="4" t="inlineStr">
        <is>
          <t>NPS</t>
        </is>
      </c>
      <c r="P9" s="4" t="inlineStr">
        <is>
          <t>NPS</t>
        </is>
      </c>
      <c r="Q9" s="4" t="inlineStr">
        <is>
          <t>NPS</t>
        </is>
      </c>
      <c r="R9" s="4" t="inlineStr">
        <is>
          <t>NPS</t>
        </is>
      </c>
      <c r="S9" s="4" t="inlineStr">
        <is>
          <t>NPS</t>
        </is>
      </c>
    </row>
    <row r="10">
      <c r="F10" t="inlineStr">
        <is>
          <t>Vendor B</t>
        </is>
      </c>
      <c r="G10" s="16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-25</v>
      </c>
      <c r="N10" s="16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-25</v>
      </c>
      <c r="O10" s="16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-25</v>
      </c>
      <c r="P10" s="16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-25</v>
      </c>
      <c r="Q10" s="16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-25</v>
      </c>
      <c r="R10" s="16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-25</v>
      </c>
      <c r="S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F11" t="inlineStr">
        <is>
          <t>Vendor A</t>
        </is>
      </c>
      <c r="G11" s="16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67</v>
      </c>
      <c r="N11" s="16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67</v>
      </c>
      <c r="O11" s="16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67</v>
      </c>
      <c r="P11" s="16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67</v>
      </c>
      <c r="Q11" s="16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67</v>
      </c>
      <c r="R11" s="16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67</v>
      </c>
      <c r="S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F12" s="4" t="inlineStr">
        <is>
          <t>Total respondents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:N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:O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:P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: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:R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2026-06-09T06:49:13.530506+00:00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2026-06-09T06:49:13.530554+00:00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2026-06-09T06:49:13.530586+00:00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2026-06-09T06:49:13.530631+00:00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2026-06-09T06:49:13.530673+00:00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2026-06-09T06:49:13.530706+00:00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2026-06-09T06:49:13.530738+00:00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2026-06-09T06:49:13.530771+00:00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2026-06-09T06:49:13.533116+00:00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2026-06-09T06:49:13.533155+00:00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2026-06-09T06:49:13.533188+00:00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2026-06-09T06:49:13.533220+00:00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2026-06-09T06:49:13.533258+00:00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2026-06-09T06:49:13.533289+00:00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2026-06-09T06:49:13.533322+00:00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2026-06-09T06:49:13.533354+00:00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G$21</t>
        </is>
      </c>
      <c r="H18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18" t="n">
        <v>-25</v>
      </c>
      <c r="J18" t="n">
        <v>0</v>
      </c>
      <c r="K18" t="n">
        <v>0</v>
      </c>
      <c r="L18" t="inlineStr">
        <is>
          <t>2026-06-09T06:49:14.415186+00:00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H$21</t>
        </is>
      </c>
      <c r="H19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19" t="n">
        <v>-25</v>
      </c>
      <c r="J19" t="n">
        <v>0</v>
      </c>
      <c r="K19" t="n">
        <v>0</v>
      </c>
      <c r="L19" t="inlineStr">
        <is>
          <t>2026-06-09T06:49:14.415487+00:00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I$21</t>
        </is>
      </c>
      <c r="H20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20" t="n">
        <v>-25</v>
      </c>
      <c r="J20" t="n">
        <v>0</v>
      </c>
      <c r="K20" t="n">
        <v>0</v>
      </c>
      <c r="L20" t="inlineStr">
        <is>
          <t>2026-06-09T06:49:14.415833+00:00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J$21</t>
        </is>
      </c>
      <c r="H21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21" t="n">
        <v>-25</v>
      </c>
      <c r="J21" t="n">
        <v>0</v>
      </c>
      <c r="K21" t="n">
        <v>0</v>
      </c>
      <c r="L21" t="inlineStr">
        <is>
          <t>2026-06-09T06:49:14.416362+00:00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K$21</t>
        </is>
      </c>
      <c r="H22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22" t="n">
        <v>-25</v>
      </c>
      <c r="J22" t="n">
        <v>0</v>
      </c>
      <c r="K22" t="n">
        <v>0</v>
      </c>
      <c r="L22" t="inlineStr">
        <is>
          <t>2026-06-09T06:49:14.416668+00:00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L$21</t>
        </is>
      </c>
      <c r="H23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23" t="n">
        <v>-25</v>
      </c>
      <c r="J23" t="n">
        <v>0</v>
      </c>
      <c r="K23" t="n">
        <v>0</v>
      </c>
      <c r="L23" t="inlineStr">
        <is>
          <t>2026-06-09T06:49:14.416983+00:00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M$21</t>
        </is>
      </c>
      <c r="H24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24" t="n">
        <v>-25</v>
      </c>
      <c r="J24" t="n">
        <v>0</v>
      </c>
      <c r="K24" t="n">
        <v>0</v>
      </c>
      <c r="L24" t="inlineStr">
        <is>
          <t>2026-06-09T06:49:14.417255+00:00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N$21</t>
        </is>
      </c>
      <c r="H25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25" t="n">
        <v>-25</v>
      </c>
      <c r="J25" t="n">
        <v>0</v>
      </c>
      <c r="K25" t="n">
        <v>0</v>
      </c>
      <c r="L25" t="inlineStr">
        <is>
          <t>2026-06-09T06:49:14.417513+00:00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O$21</t>
        </is>
      </c>
      <c r="H2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26" t="n">
        <v>-25</v>
      </c>
      <c r="J26" t="n">
        <v>0</v>
      </c>
      <c r="K26" t="n">
        <v>0</v>
      </c>
      <c r="L26" t="inlineStr">
        <is>
          <t>2026-06-09T06:49:14.417768+00:00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P$21</t>
        </is>
      </c>
      <c r="H27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27" t="n">
        <v>-25</v>
      </c>
      <c r="J27" t="n">
        <v>0</v>
      </c>
      <c r="K27" t="n">
        <v>0</v>
      </c>
      <c r="L27" t="inlineStr">
        <is>
          <t>2026-06-09T06:49:14.418144+00:00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Q$21</t>
        </is>
      </c>
      <c r="H28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28" t="n">
        <v>-25</v>
      </c>
      <c r="J28" t="n">
        <v>0</v>
      </c>
      <c r="K28" t="n">
        <v>0</v>
      </c>
      <c r="L28" t="inlineStr">
        <is>
          <t>2026-06-09T06:49:14.418509+00:00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R$21</t>
        </is>
      </c>
      <c r="H29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29" t="n">
        <v>-25</v>
      </c>
      <c r="J29" t="n">
        <v>0</v>
      </c>
      <c r="K29" t="n">
        <v>0</v>
      </c>
      <c r="L29" t="inlineStr">
        <is>
          <t>2026-06-09T06:49:14.418878+00:00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G$21</t>
        </is>
      </c>
      <c r="H30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30" t="n">
        <v>67</v>
      </c>
      <c r="J30" t="n">
        <v>0</v>
      </c>
      <c r="K30" t="n">
        <v>0</v>
      </c>
      <c r="L30" t="inlineStr">
        <is>
          <t>2026-06-09T06:49:14.419408+00:00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H$21</t>
        </is>
      </c>
      <c r="H31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31" t="n">
        <v>67</v>
      </c>
      <c r="J31" t="n">
        <v>0</v>
      </c>
      <c r="K31" t="n">
        <v>0</v>
      </c>
      <c r="L31" t="inlineStr">
        <is>
          <t>2026-06-09T06:49:14.419682+00:00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I$21</t>
        </is>
      </c>
      <c r="H32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32" t="n">
        <v>67</v>
      </c>
      <c r="J32" t="n">
        <v>0</v>
      </c>
      <c r="K32" t="n">
        <v>0</v>
      </c>
      <c r="L32" t="inlineStr">
        <is>
          <t>2026-06-09T06:49:14.419994+00:00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J$21</t>
        </is>
      </c>
      <c r="H33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33" t="n">
        <v>67</v>
      </c>
      <c r="J33" t="n">
        <v>0</v>
      </c>
      <c r="K33" t="n">
        <v>0</v>
      </c>
      <c r="L33" t="inlineStr">
        <is>
          <t>2026-06-09T06:49:14.420281+00:00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K$21</t>
        </is>
      </c>
      <c r="H34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34" t="n">
        <v>67</v>
      </c>
      <c r="J34" t="n">
        <v>0</v>
      </c>
      <c r="K34" t="n">
        <v>0</v>
      </c>
      <c r="L34" t="inlineStr">
        <is>
          <t>2026-06-09T06:49:14.420546+00:00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L$21</t>
        </is>
      </c>
      <c r="H35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35" t="n">
        <v>67</v>
      </c>
      <c r="J35" t="n">
        <v>0</v>
      </c>
      <c r="K35" t="n">
        <v>0</v>
      </c>
      <c r="L35" t="inlineStr">
        <is>
          <t>2026-06-09T06:49:14.420803+00:00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M$21</t>
        </is>
      </c>
      <c r="H3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36" t="n">
        <v>67</v>
      </c>
      <c r="J36" t="n">
        <v>0</v>
      </c>
      <c r="K36" t="n">
        <v>0</v>
      </c>
      <c r="L36" t="inlineStr">
        <is>
          <t>2026-06-09T06:49:14.421108+00:00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N$21</t>
        </is>
      </c>
      <c r="H37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37" t="n">
        <v>67</v>
      </c>
      <c r="J37" t="n">
        <v>0</v>
      </c>
      <c r="K37" t="n">
        <v>0</v>
      </c>
      <c r="L37" t="inlineStr">
        <is>
          <t>2026-06-09T06:49:14.421368+00:00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O$21</t>
        </is>
      </c>
      <c r="H38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38" t="n">
        <v>67</v>
      </c>
      <c r="J38" t="n">
        <v>0</v>
      </c>
      <c r="K38" t="n">
        <v>0</v>
      </c>
      <c r="L38" t="inlineStr">
        <is>
          <t>2026-06-09T06:49:14.421622+00:00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P$21</t>
        </is>
      </c>
      <c r="H39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39" t="n">
        <v>67</v>
      </c>
      <c r="J39" t="n">
        <v>0</v>
      </c>
      <c r="K39" t="n">
        <v>0</v>
      </c>
      <c r="L39" t="inlineStr">
        <is>
          <t>2026-06-09T06:49:14.421873+00:00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Q$21</t>
        </is>
      </c>
      <c r="H40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40" t="n">
        <v>67</v>
      </c>
      <c r="J40" t="n">
        <v>0</v>
      </c>
      <c r="K40" t="n">
        <v>0</v>
      </c>
      <c r="L40" t="inlineStr">
        <is>
          <t>2026-06-09T06:49:14.422183+00:00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R$21</t>
        </is>
      </c>
      <c r="H41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41" t="n">
        <v>67</v>
      </c>
      <c r="J41" t="n">
        <v>0</v>
      </c>
      <c r="K41" t="n">
        <v>0</v>
      </c>
      <c r="L41" t="inlineStr">
        <is>
          <t>2026-06-09T06:49:14.422520+00:00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G$8</t>
        </is>
      </c>
      <c r="H42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0</v>
      </c>
      <c r="I42" t="n">
        <v>-25</v>
      </c>
      <c r="J42" t="n">
        <v>0</v>
      </c>
      <c r="K42" t="n">
        <v>0</v>
      </c>
      <c r="L42" t="inlineStr">
        <is>
          <t>2026-06-09T06:49:14.446058+00:00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H$8</t>
        </is>
      </c>
      <c r="H43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0</v>
      </c>
      <c r="I43" t="n">
        <v>-25</v>
      </c>
      <c r="J43" t="n">
        <v>0</v>
      </c>
      <c r="K43" t="n">
        <v>0</v>
      </c>
      <c r="L43" t="inlineStr">
        <is>
          <t>2026-06-09T06:49:14.446308+00:00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I$8</t>
        </is>
      </c>
      <c r="H44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0</v>
      </c>
      <c r="I44" t="n">
        <v>-25</v>
      </c>
      <c r="J44" t="n">
        <v>0</v>
      </c>
      <c r="K44" t="n">
        <v>0</v>
      </c>
      <c r="L44" t="inlineStr">
        <is>
          <t>2026-06-09T06:49:14.446522+00:00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J$8</t>
        </is>
      </c>
      <c r="H45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0</v>
      </c>
      <c r="I45" t="n">
        <v>-25</v>
      </c>
      <c r="J45" t="n">
        <v>0</v>
      </c>
      <c r="K45" t="n">
        <v>0</v>
      </c>
      <c r="L45" t="inlineStr">
        <is>
          <t>2026-06-09T06:49:14.446727+00:00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K$8</t>
        </is>
      </c>
      <c r="H4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0</v>
      </c>
      <c r="I46" t="n">
        <v>-25</v>
      </c>
      <c r="J46" t="n">
        <v>0</v>
      </c>
      <c r="K46" t="n">
        <v>0</v>
      </c>
      <c r="L46" t="inlineStr">
        <is>
          <t>2026-06-09T06:49:14.446977+00:00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L$8</t>
        </is>
      </c>
      <c r="H47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0</v>
      </c>
      <c r="I47" t="n">
        <v>-25</v>
      </c>
      <c r="J47" t="n">
        <v>0</v>
      </c>
      <c r="K47" t="n">
        <v>0</v>
      </c>
      <c r="L47" t="inlineStr">
        <is>
          <t>2026-06-09T06:49:14.447192+00:00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M$8</t>
        </is>
      </c>
      <c r="H48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0</v>
      </c>
      <c r="I48" t="n">
        <v>-25</v>
      </c>
      <c r="J48" t="n">
        <v>0</v>
      </c>
      <c r="K48" t="n">
        <v>0</v>
      </c>
      <c r="L48" t="inlineStr">
        <is>
          <t>2026-06-09T06:49:14.447398+00:00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N$8</t>
        </is>
      </c>
      <c r="H49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0</v>
      </c>
      <c r="I49" t="n">
        <v>-25</v>
      </c>
      <c r="J49" t="n">
        <v>0</v>
      </c>
      <c r="K49" t="n">
        <v>0</v>
      </c>
      <c r="L49" t="inlineStr">
        <is>
          <t>2026-06-09T06:49:14.447599+00:00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O$8</t>
        </is>
      </c>
      <c r="H50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0</v>
      </c>
      <c r="I50" t="n">
        <v>-25</v>
      </c>
      <c r="J50" t="n">
        <v>0</v>
      </c>
      <c r="K50" t="n">
        <v>0</v>
      </c>
      <c r="L50" t="inlineStr">
        <is>
          <t>2026-06-09T06:49:14.447800+00:00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P$8</t>
        </is>
      </c>
      <c r="H51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0</v>
      </c>
      <c r="I51" t="n">
        <v>-25</v>
      </c>
      <c r="J51" t="n">
        <v>0</v>
      </c>
      <c r="K51" t="n">
        <v>0</v>
      </c>
      <c r="L51" t="inlineStr">
        <is>
          <t>2026-06-09T06:49:14.448052+00:00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Q$8</t>
        </is>
      </c>
      <c r="H52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0</v>
      </c>
      <c r="I52" t="n">
        <v>-25</v>
      </c>
      <c r="J52" t="n">
        <v>0</v>
      </c>
      <c r="K52" t="n">
        <v>0</v>
      </c>
      <c r="L52" t="inlineStr">
        <is>
          <t>2026-06-09T06:49:14.448258+00:00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R$8</t>
        </is>
      </c>
      <c r="H53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0</v>
      </c>
      <c r="I53" t="n">
        <v>-25</v>
      </c>
      <c r="J53" t="n">
        <v>0</v>
      </c>
      <c r="K53" t="n">
        <v>0</v>
      </c>
      <c r="L53" t="inlineStr">
        <is>
          <t>2026-06-09T06:49:14.448542+00:00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G$8</t>
        </is>
      </c>
      <c r="H54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0</v>
      </c>
      <c r="I54" t="n">
        <v>67</v>
      </c>
      <c r="J54" t="n">
        <v>0</v>
      </c>
      <c r="K54" t="n">
        <v>0</v>
      </c>
      <c r="L54" t="inlineStr">
        <is>
          <t>2026-06-09T06:49:14.448909+00:00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H$8</t>
        </is>
      </c>
      <c r="H55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0</v>
      </c>
      <c r="I55" t="n">
        <v>67</v>
      </c>
      <c r="J55" t="n">
        <v>0</v>
      </c>
      <c r="K55" t="n">
        <v>0</v>
      </c>
      <c r="L55" t="inlineStr">
        <is>
          <t>2026-06-09T06:49:14.449154+00:00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I$8</t>
        </is>
      </c>
      <c r="H5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0</v>
      </c>
      <c r="I56" t="n">
        <v>67</v>
      </c>
      <c r="J56" t="n">
        <v>0</v>
      </c>
      <c r="K56" t="n">
        <v>0</v>
      </c>
      <c r="L56" t="inlineStr">
        <is>
          <t>2026-06-09T06:49:14.449360+00:00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J$8</t>
        </is>
      </c>
      <c r="H57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0</v>
      </c>
      <c r="I57" t="n">
        <v>67</v>
      </c>
      <c r="J57" t="n">
        <v>0</v>
      </c>
      <c r="K57" t="n">
        <v>0</v>
      </c>
      <c r="L57" t="inlineStr">
        <is>
          <t>2026-06-09T06:49:14.449563+00:00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K$8</t>
        </is>
      </c>
      <c r="H58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0</v>
      </c>
      <c r="I58" t="n">
        <v>67</v>
      </c>
      <c r="J58" t="n">
        <v>0</v>
      </c>
      <c r="K58" t="n">
        <v>0</v>
      </c>
      <c r="L58" t="inlineStr">
        <is>
          <t>2026-06-09T06:49:14.449763+00:00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L$8</t>
        </is>
      </c>
      <c r="H59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0</v>
      </c>
      <c r="I59" t="n">
        <v>67</v>
      </c>
      <c r="J59" t="n">
        <v>0</v>
      </c>
      <c r="K59" t="n">
        <v>0</v>
      </c>
      <c r="L59" t="inlineStr">
        <is>
          <t>2026-06-09T06:49:14.450014+00:00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M$8</t>
        </is>
      </c>
      <c r="H60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0</v>
      </c>
      <c r="I60" t="n">
        <v>67</v>
      </c>
      <c r="J60" t="n">
        <v>0</v>
      </c>
      <c r="K60" t="n">
        <v>0</v>
      </c>
      <c r="L60" t="inlineStr">
        <is>
          <t>2026-06-09T06:49:14.450235+00:00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N$8</t>
        </is>
      </c>
      <c r="H61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0</v>
      </c>
      <c r="I61" t="n">
        <v>67</v>
      </c>
      <c r="J61" t="n">
        <v>0</v>
      </c>
      <c r="K61" t="n">
        <v>0</v>
      </c>
      <c r="L61" t="inlineStr">
        <is>
          <t>2026-06-09T06:49:14.450444+00:00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O$8</t>
        </is>
      </c>
      <c r="H62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0</v>
      </c>
      <c r="I62" t="n">
        <v>67</v>
      </c>
      <c r="J62" t="n">
        <v>0</v>
      </c>
      <c r="K62" t="n">
        <v>0</v>
      </c>
      <c r="L62" t="inlineStr">
        <is>
          <t>2026-06-09T06:49:14.450651+00:00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P$8</t>
        </is>
      </c>
      <c r="H63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0</v>
      </c>
      <c r="I63" t="n">
        <v>67</v>
      </c>
      <c r="J63" t="n">
        <v>0</v>
      </c>
      <c r="K63" t="n">
        <v>0</v>
      </c>
      <c r="L63" t="inlineStr">
        <is>
          <t>2026-06-09T06:49:14.450927+00:00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Q$8</t>
        </is>
      </c>
      <c r="H64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0</v>
      </c>
      <c r="I64" t="n">
        <v>67</v>
      </c>
      <c r="J64" t="n">
        <v>0</v>
      </c>
      <c r="K64" t="n">
        <v>0</v>
      </c>
      <c r="L64" t="inlineStr">
        <is>
          <t>2026-06-09T06:49:14.451206+00:00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R$8</t>
        </is>
      </c>
      <c r="H65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0</v>
      </c>
      <c r="I65" t="n">
        <v>67</v>
      </c>
      <c r="J65" t="n">
        <v>0</v>
      </c>
      <c r="K65" t="n">
        <v>0</v>
      </c>
      <c r="L65" t="inlineStr">
        <is>
          <t>2026-06-09T06:49:14.451492+00:00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2026-06-09T06:49:13Z</dcterms:created>
  <dcterms:modified xmlns:dcterms="http://purl.org/dc/terms/" xmlns:xsi="http://www.w3.org/2001/XMLSchema-instance" xsi:type="dcterms:W3CDTF">2026-06-09T06:49:14Z</dcterms:modified>
</cp:coreProperties>
</file>