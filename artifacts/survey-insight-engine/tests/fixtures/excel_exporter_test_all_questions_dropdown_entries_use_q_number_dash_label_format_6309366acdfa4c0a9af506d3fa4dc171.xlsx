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Cross_Tab_Questions">'_Options'!$L$2:$L$4</definedName>
    <definedName name="Cross_Tab_Questions_Data_Names">'_Options'!$M$2:$M$4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Cross_Tab_Questions_Options_Names">'_Options'!$N$2:$N$4</definedName>
    <definedName name="All_Questions_Value_Keys">'_Options'!$T$2:$T$2</definedName>
    <definedName name="All_Questions_Value_Data_Names">'_Options'!$U$2:$U$2</definedName>
    <definedName name="All_Questions_Value_Criteria">'_Options'!$V$2:$V$2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resolved_criteria">'Demographics'!$H$14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resolved_criteria">'All Questions'!$H$14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N28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2" i="8"/>
  <c r="C22" i="8"/>
  <c r="D22" i="8"/>
  <c r="E22" i="8"/>
  <c r="F22" i="8"/>
  <c r="G22" i="8"/>
  <c r="H22" i="8"/>
  <c r="I22" i="8"/>
  <c r="J22" i="8"/>
  <c r="K22" i="8"/>
  <c r="L22" i="8"/>
  <c r="M22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IF(OR(Demographics_Q1_F_Q="(None)",Demographics_Q1_F_Q="",ISBLANK(Demographics_Q1_F_Q),Demographics_Q1_F_V="(All)",Demographics_Q1_F_V="",ISBLANK(Demographics_Q1_F_V)),1,IFERROR(IF(ISNUMBER(SEARCH("|"&amp;INDEX(INDIRECT(Demographics_Q1_F_resolved_column),1)&amp;"|",("|" &amp; SUBSTITUTE(Demographics_Q1_F_resolved_criteria, ", ", "|") &amp; "|"))),1,0),0))*1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IF(OR(All_Questions_Q2_F_Q="(None)",All_Questions_Q2_F_Q="",ISBLANK(All_Questions_Q2_F_Q),All_Questions_Q2_F_V="(All)",All_Questions_Q2_F_V="",ISBLANK(All_Questions_Q2_F_V)),1,IFERROR(IF(ISNUMBER(SEARCH("|"&amp;INDEX(INDIRECT(All_Questions_Q2_F_resolved_column),1)&amp;"|",("|" &amp; SUBSTITUTE(All_Questions_Q2_F_resolved_criteria, ", ", "|") &amp; "|"))),1,0),0))*1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IF(OR(Demographics_Q1_F_Q="(None)",Demographics_Q1_F_Q="",ISBLANK(Demographics_Q1_F_Q),Demographics_Q1_F_V="(All)",Demographics_Q1_F_V="",ISBLANK(Demographics_Q1_F_V)),1,IFERROR(IF(ISNUMBER(SEARCH("|"&amp;INDEX(INDIRECT(Demographics_Q1_F_resolved_column),2)&amp;"|",("|" &amp; SUBSTITUTE(Demographics_Q1_F_resolved_criteria, ", ", "|") &amp; "|"))),1,0),0))*1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IF(OR(All_Questions_Q2_F_Q="(None)",All_Questions_Q2_F_Q="",ISBLANK(All_Questions_Q2_F_Q),All_Questions_Q2_F_V="(All)",All_Questions_Q2_F_V="",ISBLANK(All_Questions_Q2_F_V)),1,IFERROR(IF(ISNUMBER(SEARCH("|"&amp;INDEX(INDIRECT(All_Questions_Q2_F_resolved_column),2)&amp;"|",("|" &amp; SUBSTITUTE(All_Questions_Q2_F_resolved_criteria, ", ", "|") &amp; "|"))),1,0),0))*1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IF(OR(Demographics_Q1_F_Q="(None)",Demographics_Q1_F_Q="",ISBLANK(Demographics_Q1_F_Q),Demographics_Q1_F_V="(All)",Demographics_Q1_F_V="",ISBLANK(Demographics_Q1_F_V)),1,IFERROR(IF(ISNUMBER(SEARCH("|"&amp;INDEX(INDIRECT(Demographics_Q1_F_resolved_column),3)&amp;"|",("|" &amp; SUBSTITUTE(Demographics_Q1_F_resolved_criteria, ", ", "|") &amp; "|"))),1,0),0))*1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IF(OR(All_Questions_Q2_F_Q="(None)",All_Questions_Q2_F_Q="",ISBLANK(All_Questions_Q2_F_Q),All_Questions_Q2_F_V="(All)",All_Questions_Q2_F_V="",ISBLANK(All_Questions_Q2_F_V)),1,IFERROR(IF(ISNUMBER(SEARCH("|"&amp;INDEX(INDIRECT(All_Questions_Q2_F_resolved_column),3)&amp;"|",("|" &amp; SUBSTITUTE(All_Questions_Q2_F_resolved_criteria, ", ", "|") &amp; "|"))),1,0),0))*1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IF(OR(Demographics_Q1_F_Q="(None)",Demographics_Q1_F_Q="",ISBLANK(Demographics_Q1_F_Q),Demographics_Q1_F_V="(All)",Demographics_Q1_F_V="",ISBLANK(Demographics_Q1_F_V)),1,IFERROR(IF(ISNUMBER(SEARCH("|"&amp;INDEX(INDIRECT(Demographics_Q1_F_resolved_column),4)&amp;"|",("|" &amp; SUBSTITUTE(Demographics_Q1_F_resolved_criteria, ", ", "|") &amp; "|"))),1,0),0))*1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IF(OR(All_Questions_Q2_F_Q="(None)",All_Questions_Q2_F_Q="",ISBLANK(All_Questions_Q2_F_Q),All_Questions_Q2_F_V="(All)",All_Questions_Q2_F_V="",ISBLANK(All_Questions_Q2_F_V)),1,IFERROR(IF(ISNUMBER(SEARCH("|"&amp;INDEX(INDIRECT(All_Questions_Q2_F_resolved_column),4)&amp;"|",("|" &amp; SUBSTITUTE(All_Questions_Q2_F_resolved_criteria,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T1" t="inlineStr">
        <is>
          <t>All_Questions_Value_Keys</t>
        </is>
      </c>
      <c r="U1" t="inlineStr">
        <is>
          <t>All_Questions_Value_Data_Names</t>
        </is>
      </c>
      <c r="V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Country</t>
        </is>
      </c>
      <c r="M3" t="inlineStr">
        <is>
          <t>'_RawData'!$B$2:$B$5</t>
        </is>
      </c>
      <c r="N3" t="inlineStr">
        <is>
          <t>'_Options'!$F$2:$F$5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  <c r="L4" t="inlineStr">
        <is>
          <t>Q2 - Survey Version</t>
        </is>
      </c>
      <c r="M4" t="inlineStr">
        <is>
          <t>'_RawData'!$C$2:$C$5</t>
        </is>
      </c>
      <c r="N4" t="inlineStr">
        <is>
          <t>'_Options'!$G$2:$G$4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IFERROR(INDEX(All_Questions_Value_Data_Names,MATCH(Demographics_Q1_F_Q&amp;"|"&amp;Demographics_Q1_F_V,All_Questions_Value_Keys,0)),IFERROR(INDEX(All_Questions_Data_Names,MATCH(Demographics_Q1_F_Q,All_Questions,0)),"'_RawData'!$A:$A"))</f>
        <v>respondent_id_data</v>
      </c>
      <c r="G14" t="str">
        <f>"|" &amp; SUBSTITUTE(Demographics_Q1_F_V, ", ", "|") &amp; "|"</f>
        <v>|(All)|</v>
      </c>
      <c r="H14" t="str">
        <f>IFERROR(INDEX(All_Questions_Value_Criteria,MATCH(Demographics_Q1_F_Q&amp;"|"&amp;Demographics_Q1_F_V,All_Questions_Value_Keys,0)),Demographics_Q1_F_V)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IF(Demographics_Q1_CT="(None)","",IFERROR(INDEX(INDIRECT(IFERROR(INDEX(Cross_Tab_Questions_Options_Names,MATCH(Demographics_Q1_CT,Cross_Tab_Questions,0)),"'_Options'!$E$2:$E$2")),2),""))</f>
        <v/>
      </c>
      <c r="C23" s="2" t="str">
        <f>IF(Demographics_Q1_CT="(None)","",IFERROR(INDEX(INDIRECT(IFERROR(INDEX(Cross_Tab_Questions_Options_Names,MATCH(Demographics_Q1_CT,Cross_Tab_Questions,0)),"'_Options'!$E$2:$E$2")),3),""))</f>
        <v/>
      </c>
      <c r="D23" s="2" t="str">
        <f>IF(Demographics_Q1_CT="(None)","",IFERROR(INDEX(INDIRECT(IFERROR(INDEX(Cross_Tab_Questions_Options_Names,MATCH(Demographics_Q1_CT,Cross_Tab_Questions,0)),"'_Options'!$E$2:$E$2")),4),""))</f>
        <v/>
      </c>
      <c r="E23" s="2" t="str">
        <f>IF(Demographics_Q1_CT="(None)","",IFERROR(INDEX(INDIRECT(IFERROR(INDEX(Cross_Tab_Questions_Options_Names,MATCH(Demographics_Q1_CT,Cross_Tab_Questions,0)),"'_Options'!$E$2:$E$2")),5),""))</f>
        <v/>
      </c>
      <c r="F23" s="2" t="str">
        <f>IF(Demographics_Q1_CT="(None)","",IFERROR(INDEX(INDIRECT(IFERROR(INDEX(Cross_Tab_Questions_Options_Names,MATCH(Demographics_Q1_CT,Cross_Tab_Questions,0)),"'_Options'!$E$2:$E$2")),6),""))</f>
        <v/>
      </c>
      <c r="G23" s="2" t="str">
        <f>IF(Demographics_Q1_CT="(None)","",IFERROR(INDEX(INDIRECT(IFERROR(INDEX(Cross_Tab_Questions_Options_Names,MATCH(Demographics_Q1_CT,Cross_Tab_Questions,0)),"'_Options'!$E$2:$E$2")),7),""))</f>
        <v/>
      </c>
      <c r="H23" s="2" t="str">
        <f>IF(Demographics_Q1_CT="(None)","",IFERROR(INDEX(INDIRECT(IFERROR(INDEX(Cross_Tab_Questions_Options_Names,MATCH(Demographics_Q1_CT,Cross_Tab_Questions,0)),"'_Options'!$E$2:$E$2")),8),""))</f>
        <v/>
      </c>
      <c r="I23" s="2" t="str">
        <f>IF(Demographics_Q1_CT="(None)","",IFERROR(INDEX(INDIRECT(IFERROR(INDEX(Cross_Tab_Questions_Options_Names,MATCH(Demographics_Q1_CT,Cross_Tab_Questions,0)),"'_Options'!$E$2:$E$2")),9),""))</f>
        <v/>
      </c>
      <c r="J23" s="2" t="str">
        <f>IF(Demographics_Q1_CT="(None)","",IFERROR(INDEX(INDIRECT(IFERROR(INDEX(Cross_Tab_Questions_Options_Names,MATCH(Demographics_Q1_CT,Cross_Tab_Questions,0)),"'_Options'!$E$2:$E$2")),10),""))</f>
        <v/>
      </c>
      <c r="K23" s="2" t="str">
        <f>IF(Demographics_Q1_CT="(None)","",IFERROR(INDEX(INDIRECT(IFERROR(INDEX(Cross_Tab_Questions_Options_Names,MATCH(Demographics_Q1_CT,Cross_Tab_Questions,0)),"'_Options'!$E$2:$E$2")),11),""))</f>
        <v/>
      </c>
      <c r="L23" s="2" t="str">
        <f>IF(Demographics_Q1_CT="(None)","",IFERROR(INDEX(INDIRECT(IFERROR(INDEX(Cross_Tab_Questions_Options_Names,MATCH(Demographics_Q1_CT,Cross_Tab_Questions,0)),"'_Options'!$E$2:$E$2")),12),""))</f>
        <v/>
      </c>
      <c r="M23" s="2" t="str">
        <f>IF(Demographics_Q1_CT="(None)","",IF(COUNTA(INDIRECT(IFERROR(INDEX(Cross_Tab_Questions_Options_Names,MATCH(Demographics_Q1_CT,Cross_Tab_Questions,0)),"'_Options'!$E$2:$E$2")))-1&gt;11,"Other",IFERROR(INDEX(INDIRECT(IFERROR(INDEX(Cross_Tab_Questions_Options_Names,MATCH(Demographics_Q1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United States</t>
        </is>
      </c>
      <c r="B25" s="14">
        <f>IF(OR(Demographics_Q1_CT="(None)",B$23=""),"",COUNTIFS(Q1_data,"United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5" s="14">
        <f>IF(OR(Demographics_Q1_CT="(None)",C$23=""),"",COUNTIFS(Q1_data,"United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5" s="14">
        <f>IF(OR(Demographics_Q1_CT="(None)",D$23=""),"",COUNTIFS(Q1_data,"United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5" s="14">
        <f>IF(OR(Demographics_Q1_CT="(None)",E$23=""),"",COUNTIFS(Q1_data,"United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5" s="14">
        <f>IF(OR(Demographics_Q1_CT="(None)",F$23=""),"",COUNTIFS(Q1_data,"United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5" s="14">
        <f>IF(OR(Demographics_Q1_CT="(None)",G$23=""),"",COUNTIFS(Q1_data,"United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5" s="14">
        <f>IF(OR(Demographics_Q1_CT="(None)",H$23=""),"",COUNTIFS(Q1_data,"United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5" s="14">
        <f>IF(OR(Demographics_Q1_CT="(None)",I$23=""),"",COUNTIFS(Q1_data,"United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5" s="14">
        <f>IF(OR(Demographics_Q1_CT="(None)",J$23=""),"",COUNTIFS(Q1_data,"United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5" s="14">
        <f>IF(OR(Demographics_Q1_CT="(None)",K$23=""),"",COUNTIFS(Q1_data,"United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5" s="14">
        <f>IF(OR(Demographics_Q1_CT="(None)",L$23=""),"",COUNTIFS(Q1_data,"United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5" s="14">
        <f>IF(OR(Demographics_Q1_CT="(None)",M$23=""),"",IF(M$23="Other",COUNTIFS(Q1_data,"United States",passes_workbook_filters_data,1,passes_workbook_custom_filters_data,1,Demographics_passes_local_filters_data,1,Demographics_Q1_F_passes_per_q_filter_data,1)-SUM(B25,C25,D25,E25,F25,G25,H25,I25,J25,K25,L25),COUNTIFS(Q1_data,"United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5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6">
      <c r="A26" t="inlineStr">
        <is>
          <t>Canada</t>
        </is>
      </c>
      <c r="B26" s="14">
        <f>IF(OR(Demographics_Q1_CT="(None)",B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6" s="14">
        <f>IF(OR(Demographics_Q1_CT="(None)",C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6" s="14">
        <f>IF(OR(Demographics_Q1_CT="(None)",D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6" s="14">
        <f>IF(OR(Demographics_Q1_CT="(None)",E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6" s="14">
        <f>IF(OR(Demographics_Q1_CT="(None)",F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6" s="14">
        <f>IF(OR(Demographics_Q1_CT="(None)",G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6" s="14">
        <f>IF(OR(Demographics_Q1_CT="(None)",H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6" s="14">
        <f>IF(OR(Demographics_Q1_CT="(None)",I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6" s="14">
        <f>IF(OR(Demographics_Q1_CT="(None)",J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6" s="14">
        <f>IF(OR(Demographics_Q1_CT="(None)",K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6" s="14">
        <f>IF(OR(Demographics_Q1_CT="(None)",L$23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6" s="14">
        <f>IF(OR(Demographics_Q1_CT="(None)",M$23=""),"",IF(M$23="Other",COUNTIFS(Q1_data,"Canada",passes_workbook_filters_data,1,passes_workbook_custom_filters_data,1,Demographics_passes_local_filters_data,1,Demographics_Q1_F_passes_per_q_filter_data,1)-SUM(B26,C26,D26,E26,F26,G26,H26,I26,J26,K26,L26)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6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7">
      <c r="A27" t="inlineStr">
        <is>
          <t>India</t>
        </is>
      </c>
      <c r="B27" s="14">
        <f>IF(OR(Demographics_Q1_CT="(None)",B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B$23))</f>
        <v>0</v>
      </c>
      <c r="C27" s="14">
        <f>IF(OR(Demographics_Q1_CT="(None)",C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C$23))</f>
        <v>0</v>
      </c>
      <c r="D27" s="14">
        <f>IF(OR(Demographics_Q1_CT="(None)",D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D$23))</f>
        <v>0</v>
      </c>
      <c r="E27" s="14">
        <f>IF(OR(Demographics_Q1_CT="(None)",E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E$23))</f>
        <v>0</v>
      </c>
      <c r="F27" s="14">
        <f>IF(OR(Demographics_Q1_CT="(None)",F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F$23))</f>
        <v>0</v>
      </c>
      <c r="G27" s="14">
        <f>IF(OR(Demographics_Q1_CT="(None)",G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$23))</f>
        <v>0</v>
      </c>
      <c r="H27" s="14">
        <f>IF(OR(Demographics_Q1_CT="(None)",H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$23))</f>
        <v>0</v>
      </c>
      <c r="I27" s="14">
        <f>IF(OR(Demographics_Q1_CT="(None)",I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$23))</f>
        <v>0</v>
      </c>
      <c r="J27" s="14">
        <f>IF(OR(Demographics_Q1_CT="(None)",J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$23))</f>
        <v>0</v>
      </c>
      <c r="K27" s="14">
        <f>IF(OR(Demographics_Q1_CT="(None)",K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$23))</f>
        <v>0</v>
      </c>
      <c r="L27" s="14">
        <f>IF(OR(Demographics_Q1_CT="(None)",L$23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$23))</f>
        <v>0</v>
      </c>
      <c r="M27" s="14">
        <f>IF(OR(Demographics_Q1_CT="(None)",M$23=""),"",IF(M$23="Other",COUNTIFS(Q1_data,"India",passes_workbook_filters_data,1,passes_workbook_custom_filters_data,1,Demographics_passes_local_filters_data,1,Demographics_Q1_F_passes_per_q_filter_data,1)-SUM(B27,C27,D27,E27,F27,G27,H27,I27,J27,K27,L27)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$23)))</f>
        <v>0</v>
      </c>
      <c r="N27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IFERROR(INDEX(All_Questions_Value_Data_Names,MATCH(All_Questions_Q2_F_Q&amp;"|"&amp;All_Questions_Q2_F_V,All_Questions_Value_Keys,0)),IFERROR(INDEX(All_Questions_Data_Names,MATCH(All_Questions_Q2_F_Q,All_Questions,0)),"'_RawData'!$A:$A"))</f>
        <v>respondent_id_data</v>
      </c>
      <c r="G14" t="str">
        <f>"|" &amp; SUBSTITUTE(All_Questions_Q2_F_V, ", ", "|") &amp; "|"</f>
        <v>|(All)|</v>
      </c>
      <c r="H14" t="str">
        <f>IFERROR(INDEX(All_Questions_Value_Criteria,MATCH(All_Questions_Q2_F_Q&amp;"|"&amp;All_Questions_Q2_F_V,All_Questions_Value_Keys,0)),All_Questions_Q2_F_V)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IF(All_Questions_Q2_CT="(None)","",IFERROR(INDEX(INDIRECT(IFERROR(INDEX(Cross_Tab_Questions_Options_Names,MATCH(All_Questions_Q2_CT,Cross_Tab_Questions,0)),"'_Options'!$E$2:$E$2")),2),""))</f>
        <v/>
      </c>
      <c r="C22" s="2" t="str">
        <f>IF(All_Questions_Q2_CT="(None)","",IFERROR(INDEX(INDIRECT(IFERROR(INDEX(Cross_Tab_Questions_Options_Names,MATCH(All_Questions_Q2_CT,Cross_Tab_Questions,0)),"'_Options'!$E$2:$E$2")),3),""))</f>
        <v/>
      </c>
      <c r="D22" s="2" t="str">
        <f>IF(All_Questions_Q2_CT="(None)","",IFERROR(INDEX(INDIRECT(IFERROR(INDEX(Cross_Tab_Questions_Options_Names,MATCH(All_Questions_Q2_CT,Cross_Tab_Questions,0)),"'_Options'!$E$2:$E$2")),4),""))</f>
        <v/>
      </c>
      <c r="E22" s="2" t="str">
        <f>IF(All_Questions_Q2_CT="(None)","",IFERROR(INDEX(INDIRECT(IFERROR(INDEX(Cross_Tab_Questions_Options_Names,MATCH(All_Questions_Q2_CT,Cross_Tab_Questions,0)),"'_Options'!$E$2:$E$2")),5),""))</f>
        <v/>
      </c>
      <c r="F22" s="2" t="str">
        <f>IF(All_Questions_Q2_CT="(None)","",IFERROR(INDEX(INDIRECT(IFERROR(INDEX(Cross_Tab_Questions_Options_Names,MATCH(All_Questions_Q2_CT,Cross_Tab_Questions,0)),"'_Options'!$E$2:$E$2")),6),""))</f>
        <v/>
      </c>
      <c r="G22" s="2" t="str">
        <f>IF(All_Questions_Q2_CT="(None)","",IFERROR(INDEX(INDIRECT(IFERROR(INDEX(Cross_Tab_Questions_Options_Names,MATCH(All_Questions_Q2_CT,Cross_Tab_Questions,0)),"'_Options'!$E$2:$E$2")),7),""))</f>
        <v/>
      </c>
      <c r="H22" s="2" t="str">
        <f>IF(All_Questions_Q2_CT="(None)","",IFERROR(INDEX(INDIRECT(IFERROR(INDEX(Cross_Tab_Questions_Options_Names,MATCH(All_Questions_Q2_CT,Cross_Tab_Questions,0)),"'_Options'!$E$2:$E$2")),8),""))</f>
        <v/>
      </c>
      <c r="I22" s="2" t="str">
        <f>IF(All_Questions_Q2_CT="(None)","",IFERROR(INDEX(INDIRECT(IFERROR(INDEX(Cross_Tab_Questions_Options_Names,MATCH(All_Questions_Q2_CT,Cross_Tab_Questions,0)),"'_Options'!$E$2:$E$2")),9),""))</f>
        <v/>
      </c>
      <c r="J22" s="2" t="str">
        <f>IF(All_Questions_Q2_CT="(None)","",IFERROR(INDEX(INDIRECT(IFERROR(INDEX(Cross_Tab_Questions_Options_Names,MATCH(All_Questions_Q2_CT,Cross_Tab_Questions,0)),"'_Options'!$E$2:$E$2")),10),""))</f>
        <v/>
      </c>
      <c r="K22" s="2" t="str">
        <f>IF(All_Questions_Q2_CT="(None)","",IFERROR(INDEX(INDIRECT(IFERROR(INDEX(Cross_Tab_Questions_Options_Names,MATCH(All_Questions_Q2_CT,Cross_Tab_Questions,0)),"'_Options'!$E$2:$E$2")),11),""))</f>
        <v/>
      </c>
      <c r="L22" s="2" t="str">
        <f>IF(All_Questions_Q2_CT="(None)","",IFERROR(INDEX(INDIRECT(IFERROR(INDEX(Cross_Tab_Questions_Options_Names,MATCH(All_Questions_Q2_CT,Cross_Tab_Questions,0)),"'_Options'!$E$2:$E$2")),12),""))</f>
        <v/>
      </c>
      <c r="M22" s="2" t="str">
        <f>IF(All_Questions_Q2_CT="(None)","",IF(COUNTA(INDIRECT(IFERROR(INDEX(Cross_Tab_Questions_Options_Names,MATCH(All_Questions_Q2_CT,Cross_Tab_Questions,0)),"'_Options'!$E$2:$E$2")))-1&gt;11,"Other",IFERROR(INDEX(INDIRECT(IFERROR(INDEX(Cross_Tab_Questions_Options_Names,MATCH(All_Questions_Q2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Version 2</t>
        </is>
      </c>
      <c r="B24" s="14">
        <f>IF(OR(All_Questions_Q2_CT="(None)",B$22=""),"",COUNTIFS(Q2_data,"Version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B$22))</f>
        <v>0</v>
      </c>
      <c r="C24" s="14">
        <f>IF(OR(All_Questions_Q2_CT="(None)",C$22=""),"",COUNTIFS(Q2_data,"Version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C$22))</f>
        <v>0</v>
      </c>
      <c r="D24" s="14">
        <f>IF(OR(All_Questions_Q2_CT="(None)",D$22=""),"",COUNTIFS(Q2_data,"Version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D$22))</f>
        <v>0</v>
      </c>
      <c r="E24" s="14">
        <f>IF(OR(All_Questions_Q2_CT="(None)",E$22=""),"",COUNTIFS(Q2_data,"Version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E$22))</f>
        <v>0</v>
      </c>
      <c r="F24" s="14">
        <f>IF(OR(All_Questions_Q2_CT="(None)",F$22=""),"",COUNTIFS(Q2_data,"Version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F$22))</f>
        <v>0</v>
      </c>
      <c r="G24" s="14">
        <f>IF(OR(All_Questions_Q2_CT="(None)",G$22=""),"",COUNTIFS(Q2_data,"Version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$22))</f>
        <v>0</v>
      </c>
      <c r="H24" s="14">
        <f>IF(OR(All_Questions_Q2_CT="(None)",H$22=""),"",COUNTIFS(Q2_data,"Version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$22))</f>
        <v>0</v>
      </c>
      <c r="I24" s="14">
        <f>IF(OR(All_Questions_Q2_CT="(None)",I$22=""),"",COUNTIFS(Q2_data,"Version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$22))</f>
        <v>0</v>
      </c>
      <c r="J24" s="14">
        <f>IF(OR(All_Questions_Q2_CT="(None)",J$22=""),"",COUNTIFS(Q2_data,"Version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$22))</f>
        <v>0</v>
      </c>
      <c r="K24" s="14">
        <f>IF(OR(All_Questions_Q2_CT="(None)",K$22=""),"",COUNTIFS(Q2_data,"Version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$22))</f>
        <v>0</v>
      </c>
      <c r="L24" s="14">
        <f>IF(OR(All_Questions_Q2_CT="(None)",L$22=""),"",COUNTIFS(Q2_data,"Version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$22))</f>
        <v>0</v>
      </c>
      <c r="M24" s="14">
        <f>IF(OR(All_Questions_Q2_CT="(None)",M$22=""),"",IF(M$22="Other",COUNTIFS(Q2_data,"Version 2",passes_workbook_filters_data,1,passes_workbook_custom_filters_data,1,All_Questions_passes_local_filters_data,1,All_Questions_Q2_F_passes_per_q_filter_data,1)-SUM(B24,C24,D24,E24,F24,G24,H24,I24,J24,K24,L24),COUNTIFS(Q2_data,"Version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$22)))</f>
        <v>0</v>
      </c>
      <c r="N24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5">
      <c r="A25" t="inlineStr">
        <is>
          <t>Version 3</t>
        </is>
      </c>
      <c r="B25" s="14">
        <f>IF(OR(All_Questions_Q2_CT="(None)",B$22=""),"",COUNTIFS(Q2_data,"Version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B$22))</f>
        <v>0</v>
      </c>
      <c r="C25" s="14">
        <f>IF(OR(All_Questions_Q2_CT="(None)",C$22=""),"",COUNTIFS(Q2_data,"Version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C$22))</f>
        <v>0</v>
      </c>
      <c r="D25" s="14">
        <f>IF(OR(All_Questions_Q2_CT="(None)",D$22=""),"",COUNTIFS(Q2_data,"Version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D$22))</f>
        <v>0</v>
      </c>
      <c r="E25" s="14">
        <f>IF(OR(All_Questions_Q2_CT="(None)",E$22=""),"",COUNTIFS(Q2_data,"Version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E$22))</f>
        <v>0</v>
      </c>
      <c r="F25" s="14">
        <f>IF(OR(All_Questions_Q2_CT="(None)",F$22=""),"",COUNTIFS(Q2_data,"Version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F$22))</f>
        <v>0</v>
      </c>
      <c r="G25" s="14">
        <f>IF(OR(All_Questions_Q2_CT="(None)",G$22=""),"",COUNTIFS(Q2_data,"Version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$22))</f>
        <v>0</v>
      </c>
      <c r="H25" s="14">
        <f>IF(OR(All_Questions_Q2_CT="(None)",H$22=""),"",COUNTIFS(Q2_data,"Version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$22))</f>
        <v>0</v>
      </c>
      <c r="I25" s="14">
        <f>IF(OR(All_Questions_Q2_CT="(None)",I$22=""),"",COUNTIFS(Q2_data,"Version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$22))</f>
        <v>0</v>
      </c>
      <c r="J25" s="14">
        <f>IF(OR(All_Questions_Q2_CT="(None)",J$22=""),"",COUNTIFS(Q2_data,"Version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$22))</f>
        <v>0</v>
      </c>
      <c r="K25" s="14">
        <f>IF(OR(All_Questions_Q2_CT="(None)",K$22=""),"",COUNTIFS(Q2_data,"Version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$22))</f>
        <v>0</v>
      </c>
      <c r="L25" s="14">
        <f>IF(OR(All_Questions_Q2_CT="(None)",L$22=""),"",COUNTIFS(Q2_data,"Version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$22))</f>
        <v>0</v>
      </c>
      <c r="M25" s="14">
        <f>IF(OR(All_Questions_Q2_CT="(None)",M$22=""),"",IF(M$22="Other",COUNTIFS(Q2_data,"Version 3",passes_workbook_filters_data,1,passes_workbook_custom_filters_data,1,All_Questions_passes_local_filters_data,1,All_Questions_Q2_F_passes_per_q_filter_data,1)-SUM(B25,C25,D25,E25,F25,G25,H25,I25,J25,K25,L25),COUNTIFS(Q2_data,"Version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$22)))</f>
        <v>0</v>
      </c>
      <c r="N25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2026-06-09T11:19:00Z</dcterms:created>
  <dcterms:modified xmlns:dcterms="http://purl.org/dc/terms/" xmlns:xsi="http://www.w3.org/2001/XMLSchema-instance" xsi:type="dcterms:W3CDTF">2026-06-09T11:19:00Z</dcterms:modified>
</cp:coreProperties>
</file>