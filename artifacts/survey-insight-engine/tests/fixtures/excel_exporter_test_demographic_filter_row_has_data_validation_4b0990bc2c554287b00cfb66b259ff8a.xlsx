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'_Options'!$F$2:$F$2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Q_SS_EXPORT">'Filters'!$B$3</definedName>
    <definedName name="F_Q_SS_EXPORT_crit">'Filters'!$C$3</definedName>
    <definedName name="F_Custom1_Q">'Filters'!$B$6</definedName>
    <definedName name="F_Custom1_V">'Filters'!$D$6</definedName>
    <definedName name="F_Custom1_resolved_column">'Filters'!$E$6</definedName>
    <definedName name="F_Custom1_crit">'Filters'!$F$6</definedName>
    <definedName name="F_Custom2_Q">'Filters'!$B$7</definedName>
    <definedName name="F_Custom2_V">'Filters'!$D$7</definedName>
    <definedName name="F_Custom2_resolved_column">'Filters'!$E$7</definedName>
    <definedName name="F_Custom2_crit">'Filters'!$F$7</definedName>
    <definedName name="Q_SS_EXPORT_F_Q">'Filters'!$B$11</definedName>
    <definedName name="Q_SS_EXPORT_F_V">'Filters'!$C$11</definedName>
    <definedName name="Q_SS_EXPORT_CT">'Filters'!$D$11</definedName>
    <definedName name="Q_SS_EXPORT_F_resolved_column">'Filters'!$E$11</definedName>
    <definedName name="Q_SS_EXPORT_F_crit">'Filters'!$F$11</definedName>
    <definedName name="Q_MS_EXPORT_F_Q">'Filters'!$B$12</definedName>
    <definedName name="Q_MS_EXPORT_F_V">'Filters'!$C$12</definedName>
    <definedName name="Q_MS_EXPORT_CT">'Filters'!$D$12</definedName>
    <definedName name="Q_MS_EXPORT_F_resolved_column">'Filters'!$E$12</definedName>
    <definedName name="Q_MS_EXPORT_F_crit">'Filters'!$F$12</definedName>
    <definedName name="Q_NUM_EXPORT_F_Q">'Filters'!$B$13</definedName>
    <definedName name="Q_NUM_EXPORT_F_V">'Filters'!$C$13</definedName>
    <definedName name="Q_NUM_EXPORT_CT">'Filters'!$D$13</definedName>
    <definedName name="Q_NUM_EXPORT_F_resolved_column">'Filters'!$E$13</definedName>
    <definedName name="Q_NUM_EXPORT_F_crit">'Filters'!$F$13</definedName>
    <definedName name="Q_GRID_EXPORT_F_Q">'Filters'!$B$14</definedName>
    <definedName name="Q_GRID_EXPORT_F_V">'Filters'!$C$14</definedName>
    <definedName name="Q_GRID_EXPORT_CT">'Filters'!$D$14</definedName>
    <definedName name="Q_GRID_EXPORT_F_resolved_column">'Filters'!$E$14</definedName>
    <definedName name="Q_GRID_EXPORT_F_crit">'Filters'!$F$14</definedName>
    <definedName name="Q_VERY_LONG_SINGLE_SELECT_EXPORT_NAME_F_Q">'Filters'!$B$15</definedName>
    <definedName name="Q_VERY_LONG_SINGLE_SELECT_EXPORT_NAME_F_V">'Filters'!$C$15</definedName>
    <definedName name="Q_VERY_LONG_SINGLE_SELECT_EXPORT_NAME_CT">'Filters'!$D$15</definedName>
    <definedName name="Q_VERY_LONG_SINGLE_SELECT_EXPORT_NAME_F_resolved_column">'Filters'!$E$15</definedName>
    <definedName name="Q_VERY_LONG_SINGLE_SELECT_EXPORT_NAME_F_crit">'Filters'!$F$15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_Demographics_6_1" displayName="T_Demographic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3_1" displayName="T_All_Questions_13_1" ref="A13:D17" headerRowCount="1">
  <autoFilter ref="A13:D17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3_1" displayName="T_All_Questions_23_1" ref="A23:D25" headerRowCount="1">
  <autoFilter ref="A23:D2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</row>
    <row r="3">
      <c r="A3" t="n">
        <v>2</v>
      </c>
      <c r="B3" t="inlineStr">
        <is>
          <t>No</t>
        </is>
      </c>
    </row>
    <row r="4">
      <c r="A4" t="n">
        <v>3</v>
      </c>
      <c r="B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3">
      <c r="A3" t="inlineStr">
        <is>
          <t>Q_SS_EXPORT - Single select export question</t>
        </is>
      </c>
      <c r="B3" t="inlineStr">
        <is>
          <t>(All)</t>
        </is>
      </c>
      <c r="C3">
        <f>IF(F_Q_SS_EXPORT="(All)","*",F_Q_SS_EXPORT)</f>
        <v/>
      </c>
      <c r="D3" t="inlineStr">
        <is>
          <t>Q_SS_EXPORT</t>
        </is>
      </c>
    </row>
    <row r="5">
      <c r="A5" s="3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IF(F_Custom1_Q="(None)","&lt;&gt;",IF(F_Custom1_V="(All)","*",F_Custom1_V))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IF(F_Custom2_Q="(None)","&lt;&gt;",IF(F_Custom2_V="(All)","*",F_Custom2_V))</f>
        <v/>
      </c>
    </row>
    <row r="9">
      <c r="A9" s="3" t="inlineStr">
        <is>
          <t>PER-QUESTION FILTERS</t>
        </is>
      </c>
      <c r="B9" s="2" t="n"/>
      <c r="C9" s="2" t="n"/>
      <c r="D9" s="2" t="n"/>
      <c r="E9" s="2" t="n"/>
      <c r="F9" s="2" t="n"/>
      <c r="G9" s="2" t="n"/>
    </row>
    <row r="10">
      <c r="A10" s="3" t="inlineStr">
        <is>
          <t>Question</t>
        </is>
      </c>
      <c r="B10" s="3" t="inlineStr">
        <is>
          <t>Filter question</t>
        </is>
      </c>
      <c r="C10" s="3" t="inlineStr">
        <is>
          <t>Filter value</t>
        </is>
      </c>
      <c r="D10" s="3" t="inlineStr">
        <is>
          <t>Cross-tab by</t>
        </is>
      </c>
      <c r="E10" s="3" t="inlineStr">
        <is>
          <t>Resolved column</t>
        </is>
      </c>
      <c r="F10" s="3" t="inlineStr">
        <is>
          <t>Resolved criterion</t>
        </is>
      </c>
    </row>
    <row r="11">
      <c r="A11" t="inlineStr">
        <is>
          <t>Q_SS_EXPORT - Single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IF(Q_SS_EXPORT_F_Q="(None)","respondent_id_data",Q_SS_EXPORT_F_Q &amp; "_data")</f>
        <v/>
      </c>
      <c r="F11">
        <f>IF(Q_SS_EXPORT_F_Q="(None)","&lt;&gt;",IF(Q_SS_EXPORT_F_V="(All)","*",Q_SS_EXPORT_F_V))</f>
        <v/>
      </c>
    </row>
    <row r="12">
      <c r="A12" t="inlineStr">
        <is>
          <t>Q_MS_EXPORT - Multi select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IF(Q_MS_EXPORT_F_Q="(None)","respondent_id_data",Q_MS_EXPORT_F_Q &amp; "_data")</f>
        <v/>
      </c>
      <c r="F12">
        <f>IF(Q_MS_EXPORT_F_Q="(None)","&lt;&gt;",IF(Q_MS_EXPORT_F_V="(All)","*",Q_MS_EXPORT_F_V))</f>
        <v/>
      </c>
    </row>
    <row r="13">
      <c r="A13" t="inlineStr">
        <is>
          <t>Q_NUM_EXPORT - Numeric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IF(Q_NUM_EXPORT_F_Q="(None)","respondent_id_data",Q_NUM_EXPORT_F_Q &amp; "_data")</f>
        <v/>
      </c>
      <c r="F13">
        <f>IF(Q_NUM_EXPORT_F_Q="(None)","&lt;&gt;",IF(Q_NUM_EXPORT_F_V="(All)","*",Q_NUM_EXPORT_F_V))</f>
        <v/>
      </c>
    </row>
    <row r="14">
      <c r="A14" t="inlineStr">
        <is>
          <t>Q_GRID_EXPORT - Grid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IF(Q_GRID_EXPORT_F_Q="(None)","respondent_id_data",Q_GRID_EXPORT_F_Q &amp; "_data")</f>
        <v/>
      </c>
      <c r="F14">
        <f>IF(Q_GRID_EXPORT_F_Q="(None)","&lt;&gt;",IF(Q_GRID_EXPORT_F_V="(All)","*",Q_GRID_EXPORT_F_V))</f>
        <v/>
      </c>
    </row>
    <row r="15">
      <c r="A15" t="inlineStr">
        <is>
          <t>Q_VERY_LONG_SINGLE_SELECT_EXPORT_NAME - Long sheet name export question</t>
        </is>
      </c>
      <c r="B15" t="inlineStr">
        <is>
          <t>(None)</t>
        </is>
      </c>
      <c r="C15" t="inlineStr">
        <is>
          <t>(All)</t>
        </is>
      </c>
      <c r="D15" t="inlineStr">
        <is>
          <t>(None)</t>
        </is>
      </c>
      <c r="E15">
        <f>IF(Q_VERY_LONG_SINGLE_SELECT_EXPORT_NAME_F_Q="(None)","respondent_id_data",Q_VERY_LONG_SINGLE_SELECT_EXPORT_NAME_F_Q &amp; "_data")</f>
        <v/>
      </c>
      <c r="F15">
        <f>IF(Q_VERY_LONG_SINGLE_SELECT_EXPORT_NAME_F_Q="(None)","&lt;&gt;",IF(Q_VERY_LONG_SINGLE_SELECT_EXPORT_NAME_F_V="(All)","*",Q_VERY_LONG_SINGLE_SELECT_EXPORT_NAME_F_V))</f>
        <v/>
      </c>
    </row>
  </sheetData>
  <dataValidations count="20">
    <dataValidation sqref="B3" showDropDown="0" showInputMessage="0" showErrorMessage="0" allowBlank="1" type="list">
      <formula1>=Q_SS_EXPORT_options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=INDIRECT(IF(Q_SS_EXPORT_F_Q="(None)","None_options",Q_SS_EXPORT_F_Q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=INDIRECT(IF(Q_MS_EXPORT_F_Q="(None)","None_options",Q_MS_EXPORT_F_Q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=INDIRECT(IF(Q_NUM_EXPORT_F_Q="(None)","None_options",Q_NUM_EXPORT_F_Q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=INDIRECT(IF(Q_GRID_EXPORT_F_Q="(None)","None_options",Q_GRID_EXPORT_F_Q &amp; "_options"))</formula1>
    </dataValidation>
    <dataValidation sqref="D14" showDropDown="0" showInputMessage="0" showErrorMessage="0" allowBlank="1" type="list">
      <formula1>=All_Questions</formula1>
    </dataValidation>
    <dataValidation sqref="B15" showDropDown="0" showInputMessage="0" showErrorMessage="0" allowBlank="1" type="list">
      <formula1>=All_Questions</formula1>
    </dataValidation>
    <dataValidation sqref="C15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5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5" t="inlineStr">
        <is>
          <t>Demographics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Demographics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COUNTIFS(Q_SS_EXPORT_data,F_Q_SS_EXPORT_crit,INDIRECT(F_Custom1_resolved_column),F_Custom1_crit,INDIRECT(F_Custom2_resolved_column),F_Custom2_crit,INDIRECT(Q_SS_EXPORT_F_resolved_column),Q_SS_EXPORT_F_crit,Q_SS_EXPORT_data,"Yes")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Q_SS_EXPORT_data,F_Q_SS_EXPORT_crit,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Q_SS_EXPORT_data,F_Q_SS_EXPORT_crit,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Q_SS_EXPORT_data,F_Q_SS_EXPORT_crit,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Q_SS_EXPORT_data,F_Q_SS_EXPORT_crit,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Q_SS_EXPORT_data,F_Q_SS_EXPORT_crit,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Q_SS_EXPORT_data,F_Q_SS_EXPORT_crit,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Q_SS_EXPORT_data,F_Q_SS_EXPORT_crit,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Q_SS_EXPORT_data,F_Q_SS_EXPORT_crit,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COUNTIFS(Q_SS_EXPORT_data,F_Q_SS_EXPORT_crit,INDIRECT(F_Custom1_resolved_column),F_Custom1_crit,INDIRECT(F_Custom2_resolved_column),F_Custom2_crit,INDIRECT(Q_SS_EXPORT_F_resolved_column),Q_SS_EXPORT_F_crit,Q_SS_EXPORT_data,"No")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Q_SS_EXPORT_data,F_Q_SS_EXPORT_crit,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Q_SS_EXPORT_data,F_Q_SS_EXPORT_crit,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Q_SS_EXPORT_data,F_Q_SS_EXPORT_crit,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Q_SS_EXPORT_data,F_Q_SS_EXPORT_crit,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Q_SS_EXPORT_data,F_Q_SS_EXPORT_crit,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Q_SS_EXPORT_data,F_Q_SS_EXPORT_crit,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Q_SS_EXPORT_data,F_Q_SS_EXPORT_crit,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Q_SS_EXPORT_data,F_Q_SS_EXPORT_crit,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</sheetData>
  <mergeCells count="2">
    <mergeCell ref="A1:J1"/>
    <mergeCell ref="A4:J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Q_MS_EXPORT - Multi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IFERROR(INDEX(INDIRECT(Q_MS_EXPORT_CT &amp; "_options"),2),"")</f>
        <v/>
      </c>
      <c r="H6">
        <f>IFERROR(INDEX(INDIRECT(Q_MS_EXPORT_CT &amp; "_options"),3),"")</f>
        <v/>
      </c>
      <c r="I6">
        <f>IFERROR(INDEX(INDIRECT(Q_MS_EXPORT_CT &amp; "_options"),4),"")</f>
        <v/>
      </c>
      <c r="J6">
        <f>IFERROR(INDEX(INDIRECT(Q_MS_EXPORT_CT &amp; "_options"),5),"")</f>
        <v/>
      </c>
      <c r="K6">
        <f>IFERROR(INDEX(INDIRECT(Q_MS_EXPORT_CT &amp; "_options"),6),"")</f>
        <v/>
      </c>
      <c r="L6">
        <f>IFERROR(INDEX(INDIRECT(Q_MS_EXPORT_CT &amp; "_options"),7),"")</f>
        <v/>
      </c>
      <c r="M6">
        <f>IFERROR(INDEX(INDIRECT(Q_MS_EXPORT_CT &amp; "_options"),8),"")</f>
        <v/>
      </c>
      <c r="N6">
        <f>IFERROR(INDEX(INDIRECT(Q_MS_EXPORT_CT &amp; "_options"),9),"")</f>
        <v/>
      </c>
      <c r="O6" s="4" t="inlineStr">
        <is>
          <t>TOTAL</t>
        </is>
      </c>
    </row>
    <row r="7">
      <c r="A7" t="inlineStr">
        <is>
          <t>First</t>
        </is>
      </c>
      <c r="B7">
        <f>COUNTIFS(Q_SS_EXPORT_data,F_Q_SS_EXPORT_crit,INDIRECT(F_Custom1_resolved_column),F_Custom1_crit,INDIRECT(F_Custom2_resolved_column),F_Custom2_crit,INDIRECT(Q_MS_EXPORT_F_resolved_column),Q_MS_EXPORT_F_crit,Q_MS_EXPORTr1_data,"Selected")</f>
        <v/>
      </c>
      <c r="C7" s="6">
        <f>IFERROR(B7/SUBTOTAL(9,B7:B8),0)</f>
        <v/>
      </c>
      <c r="D7" s="11">
        <f>SUBTOTAL(9,B7:B8)</f>
        <v/>
      </c>
      <c r="F7" t="inlineStr">
        <is>
          <t>First</t>
        </is>
      </c>
      <c r="G7">
        <f>IF(Q_MS_EXPORT_CT="(None)","",COUNTIFS(Q_SS_EXPORT_data,F_Q_SS_EXPORT_crit,INDIRECT(F_Custom1_resolved_column),F_Custom1_crit,INDIRECT(F_Custom2_resolved_column),F_Custom2_crit,INDIRECT(Q_MS_EXPORT_F_resolved_column),Q_MS_EXPORT_F_crit,Q_MS_EXPORTr1_data,"Selected",INDIRECT(Q_MS_EXPORT_CT &amp; "_data"),G$6))</f>
        <v/>
      </c>
      <c r="H7">
        <f>IF(Q_MS_EXPORT_CT="(None)","",COUNTIFS(Q_SS_EXPORT_data,F_Q_SS_EXPORT_crit,INDIRECT(F_Custom1_resolved_column),F_Custom1_crit,INDIRECT(F_Custom2_resolved_column),F_Custom2_crit,INDIRECT(Q_MS_EXPORT_F_resolved_column),Q_MS_EXPORT_F_crit,Q_MS_EXPORTr1_data,"Selected",INDIRECT(Q_MS_EXPORT_CT &amp; "_data"),H$6))</f>
        <v/>
      </c>
      <c r="I7">
        <f>IF(Q_MS_EXPORT_CT="(None)","",COUNTIFS(Q_SS_EXPORT_data,F_Q_SS_EXPORT_crit,INDIRECT(F_Custom1_resolved_column),F_Custom1_crit,INDIRECT(F_Custom2_resolved_column),F_Custom2_crit,INDIRECT(Q_MS_EXPORT_F_resolved_column),Q_MS_EXPORT_F_crit,Q_MS_EXPORTr1_data,"Selected",INDIRECT(Q_MS_EXPORT_CT &amp; "_data"),I$6))</f>
        <v/>
      </c>
      <c r="J7">
        <f>IF(Q_MS_EXPORT_CT="(None)","",COUNTIFS(Q_SS_EXPORT_data,F_Q_SS_EXPORT_crit,INDIRECT(F_Custom1_resolved_column),F_Custom1_crit,INDIRECT(F_Custom2_resolved_column),F_Custom2_crit,INDIRECT(Q_MS_EXPORT_F_resolved_column),Q_MS_EXPORT_F_crit,Q_MS_EXPORTr1_data,"Selected",INDIRECT(Q_MS_EXPORT_CT &amp; "_data"),J$6))</f>
        <v/>
      </c>
      <c r="K7">
        <f>IF(Q_MS_EXPORT_CT="(None)","",COUNTIFS(Q_SS_EXPORT_data,F_Q_SS_EXPORT_crit,INDIRECT(F_Custom1_resolved_column),F_Custom1_crit,INDIRECT(F_Custom2_resolved_column),F_Custom2_crit,INDIRECT(Q_MS_EXPORT_F_resolved_column),Q_MS_EXPORT_F_crit,Q_MS_EXPORTr1_data,"Selected",INDIRECT(Q_MS_EXPORT_CT &amp; "_data"),K$6))</f>
        <v/>
      </c>
      <c r="L7">
        <f>IF(Q_MS_EXPORT_CT="(None)","",COUNTIFS(Q_SS_EXPORT_data,F_Q_SS_EXPORT_crit,INDIRECT(F_Custom1_resolved_column),F_Custom1_crit,INDIRECT(F_Custom2_resolved_column),F_Custom2_crit,INDIRECT(Q_MS_EXPORT_F_resolved_column),Q_MS_EXPORT_F_crit,Q_MS_EXPORTr1_data,"Selected",INDIRECT(Q_MS_EXPORT_CT &amp; "_data"),L$6))</f>
        <v/>
      </c>
      <c r="M7">
        <f>IF(Q_MS_EXPORT_CT="(None)","",COUNTIFS(Q_SS_EXPORT_data,F_Q_SS_EXPORT_crit,INDIRECT(F_Custom1_resolved_column),F_Custom1_crit,INDIRECT(F_Custom2_resolved_column),F_Custom2_crit,INDIRECT(Q_MS_EXPORT_F_resolved_column),Q_MS_EXPORT_F_crit,Q_MS_EXPORTr1_data,"Selected",INDIRECT(Q_MS_EXPORT_CT &amp; "_data"),M$6))</f>
        <v/>
      </c>
      <c r="N7">
        <f>IF(Q_MS_EXPORT_CT="(None)","",COUNTIFS(Q_SS_EXPORT_data,F_Q_SS_EXPORT_crit,INDIRECT(F_Custom1_resolved_column),F_Custom1_crit,INDIRECT(F_Custom2_resolved_column),F_Custom2_crit,INDIRECT(Q_MS_EXPORT_F_resolved_column),Q_MS_EXPORT_F_crit,Q_MS_EXPORTr1_data,"Selected",INDIRECT(Q_MS_EXPORT_CT &amp; "_data"),N$6))</f>
        <v/>
      </c>
      <c r="O7">
        <f>SUM(G7:N7)</f>
        <v/>
      </c>
    </row>
    <row r="8">
      <c r="A8" t="inlineStr">
        <is>
          <t>Second</t>
        </is>
      </c>
      <c r="B8">
        <f>COUNTIFS(Q_SS_EXPORT_data,F_Q_SS_EXPORT_crit,INDIRECT(F_Custom1_resolved_column),F_Custom1_crit,INDIRECT(F_Custom2_resolved_column),F_Custom2_crit,INDIRECT(Q_MS_EXPORT_F_resolved_column),Q_MS_EXPORT_F_crit,Q_MS_EXPORTr2_data,"Selected")</f>
        <v/>
      </c>
      <c r="C8" s="6">
        <f>IFERROR(B8/SUBTOTAL(9,B7:B8),0)</f>
        <v/>
      </c>
      <c r="D8" s="11">
        <f>SUBTOTAL(9,B7:B8)</f>
        <v/>
      </c>
      <c r="F8" t="inlineStr">
        <is>
          <t>Second</t>
        </is>
      </c>
      <c r="G8">
        <f>IF(Q_MS_EXPORT_CT="(None)","",COUNTIFS(Q_SS_EXPORT_data,F_Q_SS_EXPORT_crit,INDIRECT(F_Custom1_resolved_column),F_Custom1_crit,INDIRECT(F_Custom2_resolved_column),F_Custom2_crit,INDIRECT(Q_MS_EXPORT_F_resolved_column),Q_MS_EXPORT_F_crit,Q_MS_EXPORTr2_data,"Selected",INDIRECT(Q_MS_EXPORT_CT &amp; "_data"),G$6))</f>
        <v/>
      </c>
      <c r="H8">
        <f>IF(Q_MS_EXPORT_CT="(None)","",COUNTIFS(Q_SS_EXPORT_data,F_Q_SS_EXPORT_crit,INDIRECT(F_Custom1_resolved_column),F_Custom1_crit,INDIRECT(F_Custom2_resolved_column),F_Custom2_crit,INDIRECT(Q_MS_EXPORT_F_resolved_column),Q_MS_EXPORT_F_crit,Q_MS_EXPORTr2_data,"Selected",INDIRECT(Q_MS_EXPORT_CT &amp; "_data"),H$6))</f>
        <v/>
      </c>
      <c r="I8">
        <f>IF(Q_MS_EXPORT_CT="(None)","",COUNTIFS(Q_SS_EXPORT_data,F_Q_SS_EXPORT_crit,INDIRECT(F_Custom1_resolved_column),F_Custom1_crit,INDIRECT(F_Custom2_resolved_column),F_Custom2_crit,INDIRECT(Q_MS_EXPORT_F_resolved_column),Q_MS_EXPORT_F_crit,Q_MS_EXPORTr2_data,"Selected",INDIRECT(Q_MS_EXPORT_CT &amp; "_data"),I$6))</f>
        <v/>
      </c>
      <c r="J8">
        <f>IF(Q_MS_EXPORT_CT="(None)","",COUNTIFS(Q_SS_EXPORT_data,F_Q_SS_EXPORT_crit,INDIRECT(F_Custom1_resolved_column),F_Custom1_crit,INDIRECT(F_Custom2_resolved_column),F_Custom2_crit,INDIRECT(Q_MS_EXPORT_F_resolved_column),Q_MS_EXPORT_F_crit,Q_MS_EXPORTr2_data,"Selected",INDIRECT(Q_MS_EXPORT_CT &amp; "_data"),J$6))</f>
        <v/>
      </c>
      <c r="K8">
        <f>IF(Q_MS_EXPORT_CT="(None)","",COUNTIFS(Q_SS_EXPORT_data,F_Q_SS_EXPORT_crit,INDIRECT(F_Custom1_resolved_column),F_Custom1_crit,INDIRECT(F_Custom2_resolved_column),F_Custom2_crit,INDIRECT(Q_MS_EXPORT_F_resolved_column),Q_MS_EXPORT_F_crit,Q_MS_EXPORTr2_data,"Selected",INDIRECT(Q_MS_EXPORT_CT &amp; "_data"),K$6))</f>
        <v/>
      </c>
      <c r="L8">
        <f>IF(Q_MS_EXPORT_CT="(None)","",COUNTIFS(Q_SS_EXPORT_data,F_Q_SS_EXPORT_crit,INDIRECT(F_Custom1_resolved_column),F_Custom1_crit,INDIRECT(F_Custom2_resolved_column),F_Custom2_crit,INDIRECT(Q_MS_EXPORT_F_resolved_column),Q_MS_EXPORT_F_crit,Q_MS_EXPORTr2_data,"Selected",INDIRECT(Q_MS_EXPORT_CT &amp; "_data"),L$6))</f>
        <v/>
      </c>
      <c r="M8">
        <f>IF(Q_MS_EXPORT_CT="(None)","",COUNTIFS(Q_SS_EXPORT_data,F_Q_SS_EXPORT_crit,INDIRECT(F_Custom1_resolved_column),F_Custom1_crit,INDIRECT(F_Custom2_resolved_column),F_Custom2_crit,INDIRECT(Q_MS_EXPORT_F_resolved_column),Q_MS_EXPORT_F_crit,Q_MS_EXPORTr2_data,"Selected",INDIRECT(Q_MS_EXPORT_CT &amp; "_data"),M$6))</f>
        <v/>
      </c>
      <c r="N8">
        <f>IF(Q_MS_EXPORT_CT="(None)","",COUNTIFS(Q_SS_EXPORT_data,F_Q_SS_EXPORT_crit,INDIRECT(F_Custom1_resolved_column),F_Custom1_crit,INDIRECT(F_Custom2_resolved_column),F_Custom2_crit,INDIRECT(Q_MS_EXPORT_F_resolved_column),Q_MS_EXPORT_F_crit,Q_MS_EXPORTr2_data,"Selected",INDIRECT(Q_M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Q_NUM_EXPORT - Numeric export question</t>
        </is>
      </c>
    </row>
    <row r="13">
      <c r="A13" s="3" t="inlineStr">
        <is>
          <t>Metric</t>
        </is>
      </c>
      <c r="B13" s="3" t="inlineStr">
        <is>
          <t>Value</t>
        </is>
      </c>
      <c r="C13" s="3" t="inlineStr">
        <is>
          <t>Note</t>
        </is>
      </c>
      <c r="D13" s="3" t="inlineStr">
        <is>
          <t>Denominator</t>
        </is>
      </c>
    </row>
    <row r="14">
      <c r="A14" t="inlineStr">
        <is>
          <t>Mean</t>
        </is>
      </c>
      <c r="B14">
        <f>IFERROR(AVERAGEIFS(Q_NUM_EXPORT_data,Q_SS_EXPORT_data,F_Q_SS_EXPORT_crit,INDIRECT(F_Custom1_resolved_column),F_Custom1_crit,INDIRECT(F_Custom2_resolved_column),F_Custom2_crit,INDIRECT(Q_NUM_EXPORT_F_resolved_column),Q_NUM_EXPORT_F_crit,Q_NUM_EXPORT_data,"&lt;&gt;"),0)</f>
        <v/>
      </c>
      <c r="D14">
        <f>COUNTIFS(Q_SS_EXPORT_data,F_Q_SS_EXPORT_crit,INDIRECT(F_Custom1_resolved_column),F_Custom1_crit,INDIRECT(F_Custom2_resolved_column),F_Custom2_crit,INDIRECT(Q_NUM_EXPORT_F_resolved_column),Q_NUM_EXPORT_F_crit,Q_NUM_EXPORT_data,"&lt;&gt;")</f>
        <v/>
      </c>
    </row>
    <row r="15">
      <c r="A15" t="inlineStr">
        <is>
          <t>Min</t>
        </is>
      </c>
      <c r="B15">
        <f>IFERROR(MINIFS(Q_NUM_EXPORT_data,Q_SS_EXPORT_data,F_Q_SS_EXPORT_crit,INDIRECT(F_Custom1_resolved_column),F_Custom1_crit,INDIRECT(F_Custom2_resolved_column),F_Custom2_crit,INDIRECT(Q_NUM_EXPORT_F_resolved_column),Q_NUM_EXPORT_F_crit,Q_NUM_EXPORT_data,"&lt;&gt;"),0)</f>
        <v/>
      </c>
      <c r="D15">
        <f>COUNTIFS(Q_SS_EXPORT_data,F_Q_SS_EXPORT_crit,INDIRECT(F_Custom1_resolved_column),F_Custom1_crit,INDIRECT(F_Custom2_resolved_column),F_Custom2_crit,INDIRECT(Q_NUM_EXPORT_F_resolved_column),Q_NUM_EXPORT_F_crit,Q_NUM_EXPORT_data,"&lt;&gt;")</f>
        <v/>
      </c>
    </row>
    <row r="16">
      <c r="A16" t="inlineStr">
        <is>
          <t>Max</t>
        </is>
      </c>
      <c r="B16">
        <f>IFERROR(MAXIFS(Q_NUM_EXPORT_data,Q_SS_EXPORT_data,F_Q_SS_EXPORT_crit,INDIRECT(F_Custom1_resolved_column),F_Custom1_crit,INDIRECT(F_Custom2_resolved_column),F_Custom2_crit,INDIRECT(Q_NUM_EXPORT_F_resolved_column),Q_NUM_EXPORT_F_crit,Q_NUM_EXPORT_data,"&lt;&gt;"),0)</f>
        <v/>
      </c>
      <c r="D16">
        <f>COUNTIFS(Q_SS_EXPORT_data,F_Q_SS_EXPORT_crit,INDIRECT(F_Custom1_resolved_column),F_Custom1_crit,INDIRECT(F_Custom2_resolved_column),F_Custom2_crit,INDIRECT(Q_NUM_EXPORT_F_resolved_column),Q_NUM_EXPORT_F_crit,Q_NUM_EXPORT_data,"&lt;&gt;")</f>
        <v/>
      </c>
    </row>
    <row r="17">
      <c r="A17" t="inlineStr">
        <is>
          <t>Std</t>
        </is>
      </c>
      <c r="B17" t="n">
        <v>2.9</v>
      </c>
      <c r="C17" t="inlineStr">
        <is>
          <t>static baseline</t>
        </is>
      </c>
      <c r="D17">
        <f>COUNTIFS(Q_SS_EXPORT_data,F_Q_SS_EXPORT_crit,INDIRECT(F_Custom1_resolved_column),F_Custom1_crit,INDIRECT(F_Custom2_resolved_column),F_Custom2_crit,INDIRECT(Q_NUM_EXPORT_F_resolved_column),Q_NUM_EXPORT_F_crit,Q_NUM_EXPORT_data,"&lt;&gt;")</f>
        <v/>
      </c>
    </row>
    <row r="18">
      <c r="A18" s="12" t="inlineStr">
        <is>
          <t>Median not available in filtered view - see static baseline in audit log.</t>
        </is>
      </c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A21" s="10" t="inlineStr">
        <is>
          <t>Q_GRID_EXPORT - Grid export question</t>
        </is>
      </c>
    </row>
    <row r="23">
      <c r="A23" s="3" t="inlineStr">
        <is>
          <t>Option</t>
        </is>
      </c>
      <c r="B23" s="3" t="inlineStr">
        <is>
          <t>Count</t>
        </is>
      </c>
      <c r="C23" s="3" t="inlineStr">
        <is>
          <t>%</t>
        </is>
      </c>
      <c r="D23" s="3" t="inlineStr">
        <is>
          <t>Denominator</t>
        </is>
      </c>
      <c r="F23" s="4" t="inlineStr">
        <is>
          <t>Option \ Cross-tab</t>
        </is>
      </c>
      <c r="G23">
        <f>IFERROR(INDEX(INDIRECT(Q_GRID_EXPORT_CT &amp; "_options"),2),"")</f>
        <v/>
      </c>
      <c r="H23">
        <f>IFERROR(INDEX(INDIRECT(Q_GRID_EXPORT_CT &amp; "_options"),3),"")</f>
        <v/>
      </c>
      <c r="I23">
        <f>IFERROR(INDEX(INDIRECT(Q_GRID_EXPORT_CT &amp; "_options"),4),"")</f>
        <v/>
      </c>
      <c r="J23">
        <f>IFERROR(INDEX(INDIRECT(Q_GRID_EXPORT_CT &amp; "_options"),5),"")</f>
        <v/>
      </c>
      <c r="K23">
        <f>IFERROR(INDEX(INDIRECT(Q_GRID_EXPORT_CT &amp; "_options"),6),"")</f>
        <v/>
      </c>
      <c r="L23">
        <f>IFERROR(INDEX(INDIRECT(Q_GRID_EXPORT_CT &amp; "_options"),7),"")</f>
        <v/>
      </c>
      <c r="M23">
        <f>IFERROR(INDEX(INDIRECT(Q_GRID_EXPORT_CT &amp; "_options"),8),"")</f>
        <v/>
      </c>
      <c r="N23">
        <f>IFERROR(INDEX(INDIRECT(Q_GRID_EXPORT_CT &amp; "_options"),9),"")</f>
        <v/>
      </c>
      <c r="O23" s="4" t="inlineStr">
        <is>
          <t>TOTAL</t>
        </is>
      </c>
    </row>
    <row r="24">
      <c r="A24" t="inlineStr">
        <is>
          <t>Grid first row</t>
        </is>
      </c>
      <c r="B24">
        <f>COUNTIFS(Q_SS_EXPORT_data,F_Q_SS_EXPORT_crit,INDIRECT(F_Custom1_resolved_column),F_Custom1_crit,INDIRECT(F_Custom2_resolved_column),F_Custom2_crit,INDIRECT(Q_GRID_EXPORT_F_resolved_column),Q_GRID_EXPORT_F_crit,Q_GRID_EXPORTr1_data,"Selected")</f>
        <v/>
      </c>
      <c r="C24" s="6">
        <f>IFERROR(B24/SUBTOTAL(9,B24:B25),0)</f>
        <v/>
      </c>
      <c r="D24" s="11">
        <f>SUBTOTAL(9,B24:B25)</f>
        <v/>
      </c>
      <c r="F24" t="inlineStr">
        <is>
          <t>Grid first row</t>
        </is>
      </c>
      <c r="G24">
        <f>IF(Q_GRID_EXPORT_CT="(None)","",COUNTIFS(Q_SS_EXPORT_data,F_Q_SS_EXPORT_crit,INDIRECT(F_Custom1_resolved_column),F_Custom1_crit,INDIRECT(F_Custom2_resolved_column),F_Custom2_crit,INDIRECT(Q_GRID_EXPORT_F_resolved_column),Q_GRID_EXPORT_F_crit,Q_GRID_EXPORTr1_data,"Selected",INDIRECT(Q_GRID_EXPORT_CT &amp; "_data"),G$23))</f>
        <v/>
      </c>
      <c r="H24">
        <f>IF(Q_GRID_EXPORT_CT="(None)","",COUNTIFS(Q_SS_EXPORT_data,F_Q_SS_EXPORT_crit,INDIRECT(F_Custom1_resolved_column),F_Custom1_crit,INDIRECT(F_Custom2_resolved_column),F_Custom2_crit,INDIRECT(Q_GRID_EXPORT_F_resolved_column),Q_GRID_EXPORT_F_crit,Q_GRID_EXPORTr1_data,"Selected",INDIRECT(Q_GRID_EXPORT_CT &amp; "_data"),H$23))</f>
        <v/>
      </c>
      <c r="I24">
        <f>IF(Q_GRID_EXPORT_CT="(None)","",COUNTIFS(Q_SS_EXPORT_data,F_Q_SS_EXPORT_crit,INDIRECT(F_Custom1_resolved_column),F_Custom1_crit,INDIRECT(F_Custom2_resolved_column),F_Custom2_crit,INDIRECT(Q_GRID_EXPORT_F_resolved_column),Q_GRID_EXPORT_F_crit,Q_GRID_EXPORTr1_data,"Selected",INDIRECT(Q_GRID_EXPORT_CT &amp; "_data"),I$23))</f>
        <v/>
      </c>
      <c r="J24">
        <f>IF(Q_GRID_EXPORT_CT="(None)","",COUNTIFS(Q_SS_EXPORT_data,F_Q_SS_EXPORT_crit,INDIRECT(F_Custom1_resolved_column),F_Custom1_crit,INDIRECT(F_Custom2_resolved_column),F_Custom2_crit,INDIRECT(Q_GRID_EXPORT_F_resolved_column),Q_GRID_EXPORT_F_crit,Q_GRID_EXPORTr1_data,"Selected",INDIRECT(Q_GRID_EXPORT_CT &amp; "_data"),J$23))</f>
        <v/>
      </c>
      <c r="K24">
        <f>IF(Q_GRID_EXPORT_CT="(None)","",COUNTIFS(Q_SS_EXPORT_data,F_Q_SS_EXPORT_crit,INDIRECT(F_Custom1_resolved_column),F_Custom1_crit,INDIRECT(F_Custom2_resolved_column),F_Custom2_crit,INDIRECT(Q_GRID_EXPORT_F_resolved_column),Q_GRID_EXPORT_F_crit,Q_GRID_EXPORTr1_data,"Selected",INDIRECT(Q_GRID_EXPORT_CT &amp; "_data"),K$23))</f>
        <v/>
      </c>
      <c r="L24">
        <f>IF(Q_GRID_EXPORT_CT="(None)","",COUNTIFS(Q_SS_EXPORT_data,F_Q_SS_EXPORT_crit,INDIRECT(F_Custom1_resolved_column),F_Custom1_crit,INDIRECT(F_Custom2_resolved_column),F_Custom2_crit,INDIRECT(Q_GRID_EXPORT_F_resolved_column),Q_GRID_EXPORT_F_crit,Q_GRID_EXPORTr1_data,"Selected",INDIRECT(Q_GRID_EXPORT_CT &amp; "_data"),L$23))</f>
        <v/>
      </c>
      <c r="M24">
        <f>IF(Q_GRID_EXPORT_CT="(None)","",COUNTIFS(Q_SS_EXPORT_data,F_Q_SS_EXPORT_crit,INDIRECT(F_Custom1_resolved_column),F_Custom1_crit,INDIRECT(F_Custom2_resolved_column),F_Custom2_crit,INDIRECT(Q_GRID_EXPORT_F_resolved_column),Q_GRID_EXPORT_F_crit,Q_GRID_EXPORTr1_data,"Selected",INDIRECT(Q_GRID_EXPORT_CT &amp; "_data"),M$23))</f>
        <v/>
      </c>
      <c r="N24">
        <f>IF(Q_GRID_EXPORT_CT="(None)","",COUNTIFS(Q_SS_EXPORT_data,F_Q_SS_EXPORT_crit,INDIRECT(F_Custom1_resolved_column),F_Custom1_crit,INDIRECT(F_Custom2_resolved_column),F_Custom2_crit,INDIRECT(Q_GRID_EXPORT_F_resolved_column),Q_GRID_EXPORT_F_crit,Q_GRID_EXPORTr1_data,"Selected",INDIRECT(Q_GRID_EXPORT_CT &amp; "_data"),N$23))</f>
        <v/>
      </c>
      <c r="O24">
        <f>SUM(G24:N24)</f>
        <v/>
      </c>
    </row>
    <row r="25">
      <c r="A25" t="inlineStr">
        <is>
          <t>Grid second row</t>
        </is>
      </c>
      <c r="B25">
        <f>COUNTIFS(Q_SS_EXPORT_data,F_Q_SS_EXPORT_crit,INDIRECT(F_Custom1_resolved_column),F_Custom1_crit,INDIRECT(F_Custom2_resolved_column),F_Custom2_crit,INDIRECT(Q_GRID_EXPORT_F_resolved_column),Q_GRID_EXPORT_F_crit,Q_GRID_EXPORTr2_data,"Selected")</f>
        <v/>
      </c>
      <c r="C25" s="6">
        <f>IFERROR(B25/SUBTOTAL(9,B24:B25),0)</f>
        <v/>
      </c>
      <c r="D25" s="11">
        <f>SUBTOTAL(9,B24:B25)</f>
        <v/>
      </c>
      <c r="F25" t="inlineStr">
        <is>
          <t>Grid second row</t>
        </is>
      </c>
      <c r="G25">
        <f>IF(Q_GRID_EXPORT_CT="(None)","",COUNTIFS(Q_SS_EXPORT_data,F_Q_SS_EXPORT_crit,INDIRECT(F_Custom1_resolved_column),F_Custom1_crit,INDIRECT(F_Custom2_resolved_column),F_Custom2_crit,INDIRECT(Q_GRID_EXPORT_F_resolved_column),Q_GRID_EXPORT_F_crit,Q_GRID_EXPORTr2_data,"Selected",INDIRECT(Q_GRID_EXPORT_CT &amp; "_data"),G$23))</f>
        <v/>
      </c>
      <c r="H25">
        <f>IF(Q_GRID_EXPORT_CT="(None)","",COUNTIFS(Q_SS_EXPORT_data,F_Q_SS_EXPORT_crit,INDIRECT(F_Custom1_resolved_column),F_Custom1_crit,INDIRECT(F_Custom2_resolved_column),F_Custom2_crit,INDIRECT(Q_GRID_EXPORT_F_resolved_column),Q_GRID_EXPORT_F_crit,Q_GRID_EXPORTr2_data,"Selected",INDIRECT(Q_GRID_EXPORT_CT &amp; "_data"),H$23))</f>
        <v/>
      </c>
      <c r="I25">
        <f>IF(Q_GRID_EXPORT_CT="(None)","",COUNTIFS(Q_SS_EXPORT_data,F_Q_SS_EXPORT_crit,INDIRECT(F_Custom1_resolved_column),F_Custom1_crit,INDIRECT(F_Custom2_resolved_column),F_Custom2_crit,INDIRECT(Q_GRID_EXPORT_F_resolved_column),Q_GRID_EXPORT_F_crit,Q_GRID_EXPORTr2_data,"Selected",INDIRECT(Q_GRID_EXPORT_CT &amp; "_data"),I$23))</f>
        <v/>
      </c>
      <c r="J25">
        <f>IF(Q_GRID_EXPORT_CT="(None)","",COUNTIFS(Q_SS_EXPORT_data,F_Q_SS_EXPORT_crit,INDIRECT(F_Custom1_resolved_column),F_Custom1_crit,INDIRECT(F_Custom2_resolved_column),F_Custom2_crit,INDIRECT(Q_GRID_EXPORT_F_resolved_column),Q_GRID_EXPORT_F_crit,Q_GRID_EXPORTr2_data,"Selected",INDIRECT(Q_GRID_EXPORT_CT &amp; "_data"),J$23))</f>
        <v/>
      </c>
      <c r="K25">
        <f>IF(Q_GRID_EXPORT_CT="(None)","",COUNTIFS(Q_SS_EXPORT_data,F_Q_SS_EXPORT_crit,INDIRECT(F_Custom1_resolved_column),F_Custom1_crit,INDIRECT(F_Custom2_resolved_column),F_Custom2_crit,INDIRECT(Q_GRID_EXPORT_F_resolved_column),Q_GRID_EXPORT_F_crit,Q_GRID_EXPORTr2_data,"Selected",INDIRECT(Q_GRID_EXPORT_CT &amp; "_data"),K$23))</f>
        <v/>
      </c>
      <c r="L25">
        <f>IF(Q_GRID_EXPORT_CT="(None)","",COUNTIFS(Q_SS_EXPORT_data,F_Q_SS_EXPORT_crit,INDIRECT(F_Custom1_resolved_column),F_Custom1_crit,INDIRECT(F_Custom2_resolved_column),F_Custom2_crit,INDIRECT(Q_GRID_EXPORT_F_resolved_column),Q_GRID_EXPORT_F_crit,Q_GRID_EXPORTr2_data,"Selected",INDIRECT(Q_GRID_EXPORT_CT &amp; "_data"),L$23))</f>
        <v/>
      </c>
      <c r="M25">
        <f>IF(Q_GRID_EXPORT_CT="(None)","",COUNTIFS(Q_SS_EXPORT_data,F_Q_SS_EXPORT_crit,INDIRECT(F_Custom1_resolved_column),F_Custom1_crit,INDIRECT(F_Custom2_resolved_column),F_Custom2_crit,INDIRECT(Q_GRID_EXPORT_F_resolved_column),Q_GRID_EXPORT_F_crit,Q_GRID_EXPORTr2_data,"Selected",INDIRECT(Q_GRID_EXPORT_CT &amp; "_data"),M$23))</f>
        <v/>
      </c>
      <c r="N25">
        <f>IF(Q_GRID_EXPORT_CT="(None)","",COUNTIFS(Q_SS_EXPORT_data,F_Q_SS_EXPORT_crit,INDIRECT(F_Custom1_resolved_column),F_Custom1_crit,INDIRECT(F_Custom2_resolved_column),F_Custom2_crit,INDIRECT(Q_GRID_EXPORT_F_resolved_column),Q_GRID_EXPORT_F_crit,Q_GRID_EXPORTr2_data,"Selected",INDIRECT(Q_GRID_EXPORT_CT &amp; "_data"),N$23))</f>
        <v/>
      </c>
      <c r="O25">
        <f>SUM(G25:N25)</f>
        <v/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Q_VERY_LONG_SINGLE_SELECT_EXPORT_NAME - Long sheet name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IFERROR(INDEX(INDIRECT(Q_VERY_LONG_SINGLE_SELECT_EXPORT_NAME_CT &amp; "_options"),2),"")</f>
        <v/>
      </c>
      <c r="H30">
        <f>IFERROR(INDEX(INDIRECT(Q_VERY_LONG_SINGLE_SELECT_EXPORT_NAME_CT &amp; "_options"),3),"")</f>
        <v/>
      </c>
      <c r="I30">
        <f>IFERROR(INDEX(INDIRECT(Q_VERY_LONG_SINGLE_SELECT_EXPORT_NAME_CT &amp; "_options"),4),"")</f>
        <v/>
      </c>
      <c r="J30">
        <f>IFERROR(INDEX(INDIRECT(Q_VERY_LONG_SINGLE_SELECT_EXPORT_NAME_CT &amp; "_options"),5),"")</f>
        <v/>
      </c>
      <c r="K30">
        <f>IFERROR(INDEX(INDIRECT(Q_VERY_LONG_SINGLE_SELECT_EXPORT_NAME_CT &amp; "_options"),6),"")</f>
        <v/>
      </c>
      <c r="L30">
        <f>IFERROR(INDEX(INDIRECT(Q_VERY_LONG_SINGLE_SELECT_EXPORT_NAME_CT &amp; "_options"),7),"")</f>
        <v/>
      </c>
      <c r="M30">
        <f>IFERROR(INDEX(INDIRECT(Q_VERY_LONG_SINGLE_SELECT_EXPORT_NAME_CT &amp; "_options"),8),"")</f>
        <v/>
      </c>
      <c r="N30">
        <f>IFERROR(INDEX(INDIRECT(Q_VERY_LONG_SINGLE_SELECT_EXPORT_NAME_CT &amp; "_options"),9),"")</f>
        <v/>
      </c>
      <c r="O30" s="4" t="inlineStr">
        <is>
          <t>TOTAL</t>
        </is>
      </c>
    </row>
    <row r="31">
      <c r="A31" t="inlineStr">
        <is>
          <t>A</t>
        </is>
      </c>
      <c r="B31">
        <f>COUNTIFS(Q_SS_EXPORT_data,F_Q_SS_EXPORT_crit,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1" s="6">
        <f>IFERROR(B31/SUBTOTAL(9,B31:B32),0)</f>
        <v/>
      </c>
      <c r="D31" s="11">
        <f>SUBTOTAL(9,B31:B32)</f>
        <v/>
      </c>
      <c r="F31" t="inlineStr">
        <is>
          <t>A</t>
        </is>
      </c>
      <c r="G31">
        <f>IF(Q_VERY_LONG_SINGLE_SELECT_EXPORT_NAME_CT="(None)","",COUNTIFS(Q_SS_EXPORT_data,F_Q_SS_EXPORT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"_data"),G$30))</f>
        <v/>
      </c>
      <c r="H31">
        <f>IF(Q_VERY_LONG_SINGLE_SELECT_EXPORT_NAME_CT="(None)","",COUNTIFS(Q_SS_EXPORT_data,F_Q_SS_EXPORT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"_data"),H$30))</f>
        <v/>
      </c>
      <c r="I31">
        <f>IF(Q_VERY_LONG_SINGLE_SELECT_EXPORT_NAME_CT="(None)","",COUNTIFS(Q_SS_EXPORT_data,F_Q_SS_EXPORT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"_data"),I$30))</f>
        <v/>
      </c>
      <c r="J31">
        <f>IF(Q_VERY_LONG_SINGLE_SELECT_EXPORT_NAME_CT="(None)","",COUNTIFS(Q_SS_EXPORT_data,F_Q_SS_EXPORT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"_data"),J$30))</f>
        <v/>
      </c>
      <c r="K31">
        <f>IF(Q_VERY_LONG_SINGLE_SELECT_EXPORT_NAME_CT="(None)","",COUNTIFS(Q_SS_EXPORT_data,F_Q_SS_EXPORT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"_data"),K$30))</f>
        <v/>
      </c>
      <c r="L31">
        <f>IF(Q_VERY_LONG_SINGLE_SELECT_EXPORT_NAME_CT="(None)","",COUNTIFS(Q_SS_EXPORT_data,F_Q_SS_EXPORT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"_data"),L$30))</f>
        <v/>
      </c>
      <c r="M31">
        <f>IF(Q_VERY_LONG_SINGLE_SELECT_EXPORT_NAME_CT="(None)","",COUNTIFS(Q_SS_EXPORT_data,F_Q_SS_EXPORT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"_data"),M$30))</f>
        <v/>
      </c>
      <c r="N31">
        <f>IF(Q_VERY_LONG_SINGLE_SELECT_EXPORT_NAME_CT="(None)","",COUNTIFS(Q_SS_EXPORT_data,F_Q_SS_EXPORT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"_data"),N$30))</f>
        <v/>
      </c>
      <c r="O31">
        <f>SUM(G31:N31)</f>
        <v/>
      </c>
    </row>
    <row r="32">
      <c r="A32" t="inlineStr">
        <is>
          <t>B</t>
        </is>
      </c>
      <c r="B32">
        <f>COUNTIFS(Q_SS_EXPORT_data,F_Q_SS_EXPORT_crit,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2" s="6">
        <f>IFERROR(B32/SUBTOTAL(9,B31:B32),0)</f>
        <v/>
      </c>
      <c r="D32" s="11">
        <f>SUBTOTAL(9,B31:B32)</f>
        <v/>
      </c>
      <c r="F32" t="inlineStr">
        <is>
          <t>B</t>
        </is>
      </c>
      <c r="G32">
        <f>IF(Q_VERY_LONG_SINGLE_SELECT_EXPORT_NAME_CT="(None)","",COUNTIFS(Q_SS_EXPORT_data,F_Q_SS_EXPORT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"_data"),G$30))</f>
        <v/>
      </c>
      <c r="H32">
        <f>IF(Q_VERY_LONG_SINGLE_SELECT_EXPORT_NAME_CT="(None)","",COUNTIFS(Q_SS_EXPORT_data,F_Q_SS_EXPORT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"_data"),H$30))</f>
        <v/>
      </c>
      <c r="I32">
        <f>IF(Q_VERY_LONG_SINGLE_SELECT_EXPORT_NAME_CT="(None)","",COUNTIFS(Q_SS_EXPORT_data,F_Q_SS_EXPORT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"_data"),I$30))</f>
        <v/>
      </c>
      <c r="J32">
        <f>IF(Q_VERY_LONG_SINGLE_SELECT_EXPORT_NAME_CT="(None)","",COUNTIFS(Q_SS_EXPORT_data,F_Q_SS_EXPORT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"_data"),J$30))</f>
        <v/>
      </c>
      <c r="K32">
        <f>IF(Q_VERY_LONG_SINGLE_SELECT_EXPORT_NAME_CT="(None)","",COUNTIFS(Q_SS_EXPORT_data,F_Q_SS_EXPORT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"_data"),K$30))</f>
        <v/>
      </c>
      <c r="L32">
        <f>IF(Q_VERY_LONG_SINGLE_SELECT_EXPORT_NAME_CT="(None)","",COUNTIFS(Q_SS_EXPORT_data,F_Q_SS_EXPORT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"_data"),L$30))</f>
        <v/>
      </c>
      <c r="M32">
        <f>IF(Q_VERY_LONG_SINGLE_SELECT_EXPORT_NAME_CT="(None)","",COUNTIFS(Q_SS_EXPORT_data,F_Q_SS_EXPORT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"_data"),M$30))</f>
        <v/>
      </c>
      <c r="N32">
        <f>IF(Q_VERY_LONG_SINGLE_SELECT_EXPORT_NAME_CT="(None)","",COUNTIFS(Q_SS_EXPORT_data,F_Q_SS_EXPORT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"_data"),N$30))</f>
        <v/>
      </c>
      <c r="O32">
        <f>SUM(G32:N32)</f>
        <v/>
      </c>
    </row>
  </sheetData>
  <mergeCells count="5">
    <mergeCell ref="A1:J1"/>
    <mergeCell ref="A21:J21"/>
    <mergeCell ref="A4:J4"/>
    <mergeCell ref="A28:J28"/>
    <mergeCell ref="A11:J11"/>
  </mergeCell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2026-05-13T19:23:22Z</dcterms:created>
  <dcterms:modified xmlns:dcterms="http://purl.org/dc/terms/" xmlns:xsi="http://www.w3.org/2001/XMLSchema-instance" xsi:type="dcterms:W3CDTF">2026-05-13T19:23:22Z</dcterms:modified>
</cp:coreProperties>
</file>