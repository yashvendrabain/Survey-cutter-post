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resolved_criteria">'All Questions'!$H$81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resolved_criteria">'All Questions'!$H$92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resolved_criteria">'All Questions'!$H$103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H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H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H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Mixed Block Question 2</t>
        </is>
      </c>
      <c r="B8" t="inlineStr">
        <is>
          <t>Q_EXTRA_1 -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Mixed Block Question 3</t>
        </is>
      </c>
      <c r="B9" t="inlineStr">
        <is>
          <t>Q_EXTRA_2 -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81" t="str">
        <f>"|" &amp; SUBSTITUTE(All_Questions_Q_EXTRA_1_F_V, ", ", "|") &amp; "|"</f>
        <v>|(All)|</v>
      </c>
      <c r="H81" t="str">
        <f>IFERROR(INDEX(All_Questions_Value_Criteria,MATCH(All_Questions_Q_EXTRA_1_F_Q&amp;"|"&amp;All_Questions_Q_EXTRA_1_F_V,All_Questions_Value_Keys,0)),All_Questions_Q_EXTRA_1_F_V)</f>
        <v>(All)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IF(All_Questions_Q_EXTRA_1_CT="(None)","",IFERROR(INDEX(INDIRECT(IFERROR(INDEX(Cross_Tab_Questions_Options_Names,MATCH(All_Questions_Q_EXTRA_1_CT,Cross_Tab_Questions,0)),"'_Options'!$E$2:$E$2")),2),""))</f>
        <v/>
      </c>
      <c r="H84" s="2" t="str">
        <f>IF(All_Questions_Q_EXTRA_1_CT="(None)","",IFERROR(INDEX(INDIRECT(IFERROR(INDEX(Cross_Tab_Questions_Options_Names,MATCH(All_Questions_Q_EXTRA_1_CT,Cross_Tab_Questions,0)),"'_Options'!$E$2:$E$2")),3),""))</f>
        <v/>
      </c>
      <c r="I84" s="2" t="str">
        <f>IF(All_Questions_Q_EXTRA_1_CT="(None)","",IFERROR(INDEX(INDIRECT(IFERROR(INDEX(Cross_Tab_Questions_Options_Names,MATCH(All_Questions_Q_EXTRA_1_CT,Cross_Tab_Questions,0)),"'_Options'!$E$2:$E$2")),4),""))</f>
        <v/>
      </c>
      <c r="J84" s="2" t="str">
        <f>IF(All_Questions_Q_EXTRA_1_CT="(None)","",IFERROR(INDEX(INDIRECT(IFERROR(INDEX(Cross_Tab_Questions_Options_Names,MATCH(All_Questions_Q_EXTRA_1_CT,Cross_Tab_Questions,0)),"'_Options'!$E$2:$E$2")),5),""))</f>
        <v/>
      </c>
      <c r="K84" s="2" t="str">
        <f>IF(All_Questions_Q_EXTRA_1_CT="(None)","",IFERROR(INDEX(INDIRECT(IFERROR(INDEX(Cross_Tab_Questions_Options_Names,MATCH(All_Questions_Q_EXTRA_1_CT,Cross_Tab_Questions,0)),"'_Options'!$E$2:$E$2")),6),""))</f>
        <v/>
      </c>
      <c r="L84" s="2" t="str">
        <f>IF(All_Questions_Q_EXTRA_1_CT="(None)","",IFERROR(INDEX(INDIRECT(IFERROR(INDEX(Cross_Tab_Questions_Options_Names,MATCH(All_Questions_Q_EXTRA_1_CT,Cross_Tab_Questions,0)),"'_Options'!$E$2:$E$2")),7),""))</f>
        <v/>
      </c>
      <c r="M84" s="2" t="str">
        <f>IF(All_Questions_Q_EXTRA_1_CT="(None)","",IFERROR(INDEX(INDIRECT(IFERROR(INDEX(Cross_Tab_Questions_Options_Names,MATCH(All_Questions_Q_EXTRA_1_CT,Cross_Tab_Questions,0)),"'_Options'!$E$2:$E$2")),8),""))</f>
        <v/>
      </c>
      <c r="N84" s="2" t="str">
        <f>IF(All_Questions_Q_EXTRA_1_CT="(None)","",IFERROR(INDEX(INDIRECT(IFERROR(INDEX(Cross_Tab_Questions_Options_Names,MATCH(All_Questions_Q_EXTRA_1_CT,Cross_Tab_Questions,0)),"'_Options'!$E$2:$E$2")),9),""))</f>
        <v/>
      </c>
      <c r="O84" s="2" t="str">
        <f>IF(All_Questions_Q_EXTRA_1_CT="(None)","",IFERROR(INDEX(INDIRECT(IFERROR(INDEX(Cross_Tab_Questions_Options_Names,MATCH(All_Questions_Q_EXTRA_1_CT,Cross_Tab_Questions,0)),"'_Options'!$E$2:$E$2")),10),""))</f>
        <v/>
      </c>
      <c r="P84" s="2" t="str">
        <f>IF(All_Questions_Q_EXTRA_1_CT="(None)","",IFERROR(INDEX(INDIRECT(IFERROR(INDEX(Cross_Tab_Questions_Options_Names,MATCH(All_Questions_Q_EXTRA_1_CT,Cross_Tab_Questions,0)),"'_Options'!$E$2:$E$2")),11),""))</f>
        <v/>
      </c>
      <c r="Q84" s="2" t="str">
        <f>IF(All_Questions_Q_EXTRA_1_CT="(None)","",IFERROR(INDEX(INDIRECT(IFERROR(INDEX(Cross_Tab_Questions_Options_Names,MATCH(All_Questions_Q_EXTRA_1_CT,Cross_Tab_Questions,0)),"'_Options'!$E$2:$E$2")),12),""))</f>
        <v/>
      </c>
      <c r="R84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92" t="str">
        <f>"|" &amp; SUBSTITUTE(All_Questions_Q_EXTRA_2_F_V, ", ", "|") &amp; "|"</f>
        <v>|(All)|</v>
      </c>
      <c r="H92" t="str">
        <f>IFERROR(INDEX(All_Questions_Value_Criteria,MATCH(All_Questions_Q_EXTRA_2_F_Q&amp;"|"&amp;All_Questions_Q_EXTRA_2_F_V,All_Questions_Value_Keys,0)),All_Questions_Q_EXTRA_2_F_V)</f>
        <v>(All)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IF(All_Questions_Q_EXTRA_2_CT="(None)","",IFERROR(INDEX(INDIRECT(IFERROR(INDEX(Cross_Tab_Questions_Options_Names,MATCH(All_Questions_Q_EXTRA_2_CT,Cross_Tab_Questions,0)),"'_Options'!$E$2:$E$2")),2),""))</f>
        <v/>
      </c>
      <c r="H95" s="2" t="str">
        <f>IF(All_Questions_Q_EXTRA_2_CT="(None)","",IFERROR(INDEX(INDIRECT(IFERROR(INDEX(Cross_Tab_Questions_Options_Names,MATCH(All_Questions_Q_EXTRA_2_CT,Cross_Tab_Questions,0)),"'_Options'!$E$2:$E$2")),3),""))</f>
        <v/>
      </c>
      <c r="I95" s="2" t="str">
        <f>IF(All_Questions_Q_EXTRA_2_CT="(None)","",IFERROR(INDEX(INDIRECT(IFERROR(INDEX(Cross_Tab_Questions_Options_Names,MATCH(All_Questions_Q_EXTRA_2_CT,Cross_Tab_Questions,0)),"'_Options'!$E$2:$E$2")),4),""))</f>
        <v/>
      </c>
      <c r="J95" s="2" t="str">
        <f>IF(All_Questions_Q_EXTRA_2_CT="(None)","",IFERROR(INDEX(INDIRECT(IFERROR(INDEX(Cross_Tab_Questions_Options_Names,MATCH(All_Questions_Q_EXTRA_2_CT,Cross_Tab_Questions,0)),"'_Options'!$E$2:$E$2")),5),""))</f>
        <v/>
      </c>
      <c r="K95" s="2" t="str">
        <f>IF(All_Questions_Q_EXTRA_2_CT="(None)","",IFERROR(INDEX(INDIRECT(IFERROR(INDEX(Cross_Tab_Questions_Options_Names,MATCH(All_Questions_Q_EXTRA_2_CT,Cross_Tab_Questions,0)),"'_Options'!$E$2:$E$2")),6),""))</f>
        <v/>
      </c>
      <c r="L95" s="2" t="str">
        <f>IF(All_Questions_Q_EXTRA_2_CT="(None)","",IFERROR(INDEX(INDIRECT(IFERROR(INDEX(Cross_Tab_Questions_Options_Names,MATCH(All_Questions_Q_EXTRA_2_CT,Cross_Tab_Questions,0)),"'_Options'!$E$2:$E$2")),7),""))</f>
        <v/>
      </c>
      <c r="M95" s="2" t="str">
        <f>IF(All_Questions_Q_EXTRA_2_CT="(None)","",IFERROR(INDEX(INDIRECT(IFERROR(INDEX(Cross_Tab_Questions_Options_Names,MATCH(All_Questions_Q_EXTRA_2_CT,Cross_Tab_Questions,0)),"'_Options'!$E$2:$E$2")),8),""))</f>
        <v/>
      </c>
      <c r="N95" s="2" t="str">
        <f>IF(All_Questions_Q_EXTRA_2_CT="(None)","",IFERROR(INDEX(INDIRECT(IFERROR(INDEX(Cross_Tab_Questions_Options_Names,MATCH(All_Questions_Q_EXTRA_2_CT,Cross_Tab_Questions,0)),"'_Options'!$E$2:$E$2")),9),""))</f>
        <v/>
      </c>
      <c r="O95" s="2" t="str">
        <f>IF(All_Questions_Q_EXTRA_2_CT="(None)","",IFERROR(INDEX(INDIRECT(IFERROR(INDEX(Cross_Tab_Questions_Options_Names,MATCH(All_Questions_Q_EXTRA_2_CT,Cross_Tab_Questions,0)),"'_Options'!$E$2:$E$2")),10),""))</f>
        <v/>
      </c>
      <c r="P95" s="2" t="str">
        <f>IF(All_Questions_Q_EXTRA_2_CT="(None)","",IFERROR(INDEX(INDIRECT(IFERROR(INDEX(Cross_Tab_Questions_Options_Names,MATCH(All_Questions_Q_EXTRA_2_CT,Cross_Tab_Questions,0)),"'_Options'!$E$2:$E$2")),11),""))</f>
        <v/>
      </c>
      <c r="Q95" s="2" t="str">
        <f>IF(All_Questions_Q_EXTRA_2_CT="(None)","",IFERROR(INDEX(INDIRECT(IFERROR(INDEX(Cross_Tab_Questions_Options_Names,MATCH(All_Questions_Q_EXTRA_2_CT,Cross_Tab_Questions,0)),"'_Options'!$E$2:$E$2")),12),""))</f>
        <v/>
      </c>
      <c r="R95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03" t="str">
        <f>"|" &amp; SUBSTITUTE(All_Questions_Q_EXTRA_3_F_V, ", ", "|") &amp; "|"</f>
        <v>|(All)|</v>
      </c>
      <c r="H103" t="str">
        <f>IFERROR(INDEX(All_Questions_Value_Criteria,MATCH(All_Questions_Q_EXTRA_3_F_Q&amp;"|"&amp;All_Questions_Q_EXTRA_3_F_V,All_Questions_Value_Keys,0)),All_Questions_Q_EXTRA_3_F_V)</f>
        <v>(All)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IF(All_Questions_Q_EXTRA_3_CT="(None)","",IFERROR(INDEX(INDIRECT(IFERROR(INDEX(Cross_Tab_Questions_Options_Names,MATCH(All_Questions_Q_EXTRA_3_CT,Cross_Tab_Questions,0)),"'_Options'!$E$2:$E$2")),2),""))</f>
        <v/>
      </c>
      <c r="H106" s="2" t="str">
        <f>IF(All_Questions_Q_EXTRA_3_CT="(None)","",IFERROR(INDEX(INDIRECT(IFERROR(INDEX(Cross_Tab_Questions_Options_Names,MATCH(All_Questions_Q_EXTRA_3_CT,Cross_Tab_Questions,0)),"'_Options'!$E$2:$E$2")),3),""))</f>
        <v/>
      </c>
      <c r="I106" s="2" t="str">
        <f>IF(All_Questions_Q_EXTRA_3_CT="(None)","",IFERROR(INDEX(INDIRECT(IFERROR(INDEX(Cross_Tab_Questions_Options_Names,MATCH(All_Questions_Q_EXTRA_3_CT,Cross_Tab_Questions,0)),"'_Options'!$E$2:$E$2")),4),""))</f>
        <v/>
      </c>
      <c r="J106" s="2" t="str">
        <f>IF(All_Questions_Q_EXTRA_3_CT="(None)","",IFERROR(INDEX(INDIRECT(IFERROR(INDEX(Cross_Tab_Questions_Options_Names,MATCH(All_Questions_Q_EXTRA_3_CT,Cross_Tab_Questions,0)),"'_Options'!$E$2:$E$2")),5),""))</f>
        <v/>
      </c>
      <c r="K106" s="2" t="str">
        <f>IF(All_Questions_Q_EXTRA_3_CT="(None)","",IFERROR(INDEX(INDIRECT(IFERROR(INDEX(Cross_Tab_Questions_Options_Names,MATCH(All_Questions_Q_EXTRA_3_CT,Cross_Tab_Questions,0)),"'_Options'!$E$2:$E$2")),6),""))</f>
        <v/>
      </c>
      <c r="L106" s="2" t="str">
        <f>IF(All_Questions_Q_EXTRA_3_CT="(None)","",IFERROR(INDEX(INDIRECT(IFERROR(INDEX(Cross_Tab_Questions_Options_Names,MATCH(All_Questions_Q_EXTRA_3_CT,Cross_Tab_Questions,0)),"'_Options'!$E$2:$E$2")),7),""))</f>
        <v/>
      </c>
      <c r="M106" s="2" t="str">
        <f>IF(All_Questions_Q_EXTRA_3_CT="(None)","",IFERROR(INDEX(INDIRECT(IFERROR(INDEX(Cross_Tab_Questions_Options_Names,MATCH(All_Questions_Q_EXTRA_3_CT,Cross_Tab_Questions,0)),"'_Options'!$E$2:$E$2")),8),""))</f>
        <v/>
      </c>
      <c r="N106" s="2" t="str">
        <f>IF(All_Questions_Q_EXTRA_3_CT="(None)","",IFERROR(INDEX(INDIRECT(IFERROR(INDEX(Cross_Tab_Questions_Options_Names,MATCH(All_Questions_Q_EXTRA_3_CT,Cross_Tab_Questions,0)),"'_Options'!$E$2:$E$2")),9),""))</f>
        <v/>
      </c>
      <c r="O106" s="2" t="str">
        <f>IF(All_Questions_Q_EXTRA_3_CT="(None)","",IFERROR(INDEX(INDIRECT(IFERROR(INDEX(Cross_Tab_Questions_Options_Names,MATCH(All_Questions_Q_EXTRA_3_CT,Cross_Tab_Questions,0)),"'_Options'!$E$2:$E$2")),10),""))</f>
        <v/>
      </c>
      <c r="P106" s="2" t="str">
        <f>IF(All_Questions_Q_EXTRA_3_CT="(None)","",IFERROR(INDEX(INDIRECT(IFERROR(INDEX(Cross_Tab_Questions_Options_Names,MATCH(All_Questions_Q_EXTRA_3_CT,Cross_Tab_Questions,0)),"'_Options'!$E$2:$E$2")),11),""))</f>
        <v/>
      </c>
      <c r="Q106" s="2" t="str">
        <f>IF(All_Questions_Q_EXTRA_3_CT="(None)","",IFERROR(INDEX(INDIRECT(IFERROR(INDEX(Cross_Tab_Questions_Options_Names,MATCH(All_Questions_Q_EXTRA_3_CT,Cross_Tab_Questions,0)),"'_Options'!$E$2:$E$2")),12),""))</f>
        <v/>
      </c>
      <c r="R106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=Cross_Tab_Questions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=Cross_Tab_Questions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2026-06-08T13:46:25.175931+00:00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2026-06-08T13:46:25.176028+00:00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2026-06-08T13:46:25.176075+00:00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2026-06-08T13:46:25.176117+00:00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2026-06-08T13:46:25.176158+00:00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2026-06-08T13:46:25.176198+00:00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2026-06-08T13:46:25.176239+00:00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2026-06-08T13:46:25.176314+00:00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2026-06-08T13:46:25.176363+00:00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2026-06-08T13:46:25.176406+00:00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2026-06-08T13:46:25.176448+00:00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2026-06-08T13:46:25.176503+00:00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2026-06-08T13:46:25.176580+00:00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2026-06-08T13:46:25.176622+00:00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2026-06-08T13:46:25.176662+00:00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2026-06-08T13:46:25.176723+00:00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2026-06-08T13:46:25.176776+00:00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2026-06-08T13:46:25.176819+00:00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2026-06-08T13:46:25.176860+00:00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2026-06-08T13:46:25.176901+00:00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2026-06-08T13:46:25.176959+00:00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2026-06-08T13:46:25.177014+00:00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2026-06-08T13:46:25.177059+00:00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2026-06-08T13:46:25.177109+00:00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2026-06-08T13:46:25.181894+00:00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2026-06-08T13:46:25.181963+00:00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2026-06-08T13:46:25.182005+00:00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2026-06-08T13:46:25.182037+00:00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2026-06-08T13:46:25.182067+00:00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2026-06-08T13:46:25.182094+00:00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2026-06-08T13:46:25.182121+00:00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2026-06-08T13:46:25.182146+00:00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2026-06-08T13:46:25.182171+00:00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2026-06-08T13:46:25.182195+00:00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2026-06-08T13:46:25.182222+00:00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2026-06-08T13:46:25.182259+00:00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2026-06-08T13:46:21Z</dcterms:created>
  <dcterms:modified xmlns:dcterms="http://purl.org/dc/terms/" xmlns:xsi="http://www.w3.org/2001/XMLSchema-instance" xsi:type="dcterms:W3CDTF">2026-06-08T13:46:25Z</dcterms:modified>
</cp:coreProperties>
</file>