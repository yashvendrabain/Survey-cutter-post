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NK_A_data">'_RawData'!$B$2:$B$5</definedName>
    <definedName name="Q_RANK_B_data">'_RawData'!$C$2:$C$5</definedName>
    <definedName name="All_Questions">'_Options'!$A$2:$A$2</definedName>
    <definedName name="All_Questions_Local">'_Options'!$B$2:$B$3</definedName>
    <definedName name="Cross_Tab_Questions">'_Options'!$J$2:$J$2</definedName>
    <definedName name="Cross_Tab_Questions_Data_Names">'_Options'!$K$2:$K$2</definedName>
    <definedName name="None_options">'_Options'!$E$2:$E$2</definedName>
    <definedName name="Q_RANK_A_options">'_Options'!$F$2:$F$2</definedName>
    <definedName name="Q_RANK_A_local_options">'_Options'!$H$2:$H$3</definedName>
    <definedName name="Q_RANK_B_options">'_Options'!$G$2:$G$2</definedName>
    <definedName name="Q_RANK_B_local_options">'_Options'!$I$2:$I$3</definedName>
    <definedName name="All_Questions_Data_Names">'_Options'!$C$2:$C$2</definedName>
    <definedName name="All_Questions_Options_Names">'_Options'!$D$2:$D$2</definedName>
    <definedName name="Cross_Tab_Questions_Options_Names">'_Options'!$L$2:$L$2</definedName>
    <definedName name="All_Questions_Value_Keys">'_Options'!$N$2:$N$2</definedName>
    <definedName name="All_Questions_Value_Data_Names">'_Options'!$O$2:$O$2</definedName>
    <definedName name="All_Questions_Value_Criteria">'_Options'!$P$2:$P$2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'_RawData'!$H$2:$H$5</definedName>
    <definedName name="All_Questions_Q_RANK_F_Q">'All Questions'!$C$13</definedName>
    <definedName name="All_Questions_Q_RANK_F_V">'All Questions'!$E$13</definedName>
    <definedName name="All_Questions_Q_RANK_F_resolved_column">'All Questions'!$F$13</definedName>
    <definedName name="All_Questions_Q_RANK_F_wrapped">'All Questions'!$G$13</definedName>
    <definedName name="All_Questions_Q_RANK_F_resolved_criteria">'All Questions'!$H$13</definedName>
    <definedName name="All_Questions_Q_RANK_F_passes_per_q_filter_data">'_RawData'!$I$2:$I$5</definedName>
    <definedName name="All_Questions_Q_RANK_CT">'All Questions'!$C$14</definedName>
    <definedName name="All_Questions_Q_RANK_RM">'All Questions'!$V$24</definedName>
    <definedName name="All_Questions_Q_RANK_RP">'All Questions'!$V$25</definedName>
    <definedName name="All_Questions_Q_RANK_W">'All Questions'!$V$28:$V$31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18" i="7"/>
  <c r="D18" i="7"/>
  <c r="E18" i="7"/>
  <c r="F18" i="7"/>
  <c r="G18" i="7"/>
  <c r="H18" i="7"/>
  <c r="I18" i="7"/>
  <c r="J18" i="7"/>
  <c r="K18" i="7"/>
  <c r="C19" i="7"/>
  <c r="D19" i="7"/>
  <c r="E19" i="7"/>
  <c r="F19" i="7"/>
  <c r="G19" i="7"/>
  <c r="H19" i="7"/>
  <c r="I19" i="7"/>
  <c r="J19" i="7"/>
  <c r="K19" i="7"/>
  <c r="B20" i="7"/>
  <c r="B21" i="7"/>
  <c r="C22" i="7"/>
  <c r="G24" i="7"/>
  <c r="H24" i="7"/>
  <c r="I24" i="7"/>
  <c r="J24" i="7"/>
  <c r="K24" i="7"/>
  <c r="L24" i="7"/>
  <c r="M24" i="7"/>
  <c r="N24" i="7"/>
  <c r="O24" i="7"/>
  <c r="P24" i="7"/>
  <c r="Q24" i="7"/>
  <c r="R24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S28" i="7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6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  <fill>
      <patternFill patternType="solid">
        <fgColor rgb="00F7F7F7"/>
        <bgColor rgb="00F7F7F7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22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  <xf numFmtId="0" fontId="8" fillId="5" borderId="0" pivotButton="0" quotePrefix="0" xfId="0"/>
    <xf numFmtId="0" fontId="0" fillId="5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Q_RANK_A</t>
        </is>
      </c>
      <c r="C1" t="inlineStr">
        <is>
          <t>Q_RANK_B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All_Questions_Q_RANK_F_passes_per_q_filter</t>
        </is>
      </c>
    </row>
    <row r="2">
      <c r="A2" t="n">
        <v>1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G2">
        <f>E2*F2*1</f>
        <v>1</v>
      </c>
      <c r="H2">
        <f>1</f>
        <v>1</v>
      </c>
      <c r="I2">
        <f>IF(OR(All_Questions_Q_RANK_F_Q="(None)",All_Questions_Q_RANK_F_Q="",ISBLANK(All_Questions_Q_RANK_F_Q),All_Questions_Q_RANK_F_V="(All)",All_Questions_Q_RANK_F_V="",ISBLANK(All_Questions_Q_RANK_F_V)),1,IFERROR(IF(ISNUMBER(SEARCH("|"&amp;INDEX(INDIRECT(All_Questions_Q_RANK_F_resolved_column),1)&amp;"|",("|" &amp; SUBSTITUTE(All_Questions_Q_RANK_F_resolved_criteria, ", ", "|") &amp; "|"))),1,0),0))*1</f>
        <v>1</v>
      </c>
    </row>
    <row r="3">
      <c r="A3" t="n">
        <v>2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G3">
        <f>E3*F3*1</f>
        <v>1</v>
      </c>
      <c r="H3">
        <f>1</f>
        <v>1</v>
      </c>
      <c r="I3">
        <f>IF(OR(All_Questions_Q_RANK_F_Q="(None)",All_Questions_Q_RANK_F_Q="",ISBLANK(All_Questions_Q_RANK_F_Q),All_Questions_Q_RANK_F_V="(All)",All_Questions_Q_RANK_F_V="",ISBLANK(All_Questions_Q_RANK_F_V)),1,IFERROR(IF(ISNUMBER(SEARCH("|"&amp;INDEX(INDIRECT(All_Questions_Q_RANK_F_resolved_column),2)&amp;"|",("|" &amp; SUBSTITUTE(All_Questions_Q_RANK_F_resolved_criteria, ", ", "|") &amp; "|"))),1,0),0))*1</f>
        <v>1</v>
      </c>
    </row>
    <row r="4">
      <c r="A4" t="n">
        <v>3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G4">
        <f>E4*F4*1</f>
        <v>1</v>
      </c>
      <c r="H4">
        <f>1</f>
        <v>1</v>
      </c>
      <c r="I4">
        <f>IF(OR(All_Questions_Q_RANK_F_Q="(None)",All_Questions_Q_RANK_F_Q="",ISBLANK(All_Questions_Q_RANK_F_Q),All_Questions_Q_RANK_F_V="(All)",All_Questions_Q_RANK_F_V="",ISBLANK(All_Questions_Q_RANK_F_V)),1,IFERROR(IF(ISNUMBER(SEARCH("|"&amp;INDEX(INDIRECT(All_Questions_Q_RANK_F_resolved_column),3)&amp;"|",("|" &amp; SUBSTITUTE(All_Questions_Q_RANK_F_resolved_criteria, ", ", "|") &amp; "|"))),1,0),0))*1</f>
        <v>1</v>
      </c>
    </row>
    <row r="5">
      <c r="A5" t="n">
        <v>4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G5">
        <f>E5*F5*1</f>
        <v>1</v>
      </c>
      <c r="H5">
        <f>1</f>
        <v>1</v>
      </c>
      <c r="I5">
        <f>IF(OR(All_Questions_Q_RANK_F_Q="(None)",All_Questions_Q_RANK_F_Q="",ISBLANK(All_Questions_Q_RANK_F_Q),All_Questions_Q_RANK_F_V="(All)",All_Questions_Q_RANK_F_V="",ISBLANK(All_Questions_Q_RANK_F_V)),1,IFERROR(IF(ISNUMBER(SEARCH("|"&amp;INDEX(INDIRECT(All_Questions_Q_RANK_F_resolved_column),4)&amp;"|",("|" &amp; SUBSTITUTE(All_Questions_Q_RANK_F_resolved_criteria,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Q_RANK_A_options</t>
        </is>
      </c>
      <c r="G1" t="inlineStr">
        <is>
          <t>Q_RANK_B_options</t>
        </is>
      </c>
      <c r="H1" t="inlineStr">
        <is>
          <t>Q_RANK_A_local_options</t>
        </is>
      </c>
      <c r="I1" t="inlineStr">
        <is>
          <t>Q_RANK_B_local_options</t>
        </is>
      </c>
      <c r="J1" t="inlineStr">
        <is>
          <t>Cross_Tab_Questions</t>
        </is>
      </c>
      <c r="K1" t="inlineStr">
        <is>
          <t>Cross_Tab_Questions_Data_Names</t>
        </is>
      </c>
      <c r="L1" t="inlineStr">
        <is>
          <t>Cross_Tab_Questions_Options_Names</t>
        </is>
      </c>
      <c r="N1" t="inlineStr">
        <is>
          <t>All_Questions_Value_Keys</t>
        </is>
      </c>
      <c r="O1" t="inlineStr">
        <is>
          <t>All_Questions_Value_Data_Names</t>
        </is>
      </c>
      <c r="P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  <c r="J2" t="inlineStr">
        <is>
          <t>(None)</t>
        </is>
      </c>
      <c r="K2" t="inlineStr">
        <is>
          <t>'_RawData'!$A$2:$A$5</t>
        </is>
      </c>
      <c r="L2" t="inlineStr">
        <is>
          <t>'_Options'!$E$2:$E$2</t>
        </is>
      </c>
    </row>
    <row r="3">
      <c r="B3" t="inlineStr">
        <is>
          <t>(None)</t>
        </is>
      </c>
      <c r="H3" t="inlineStr">
        <is>
          <t>(All)</t>
        </is>
      </c>
      <c r="I3" t="inlineStr">
        <is>
          <t>(All)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2" customWidth="1" min="4" max="4"/>
    <col width="2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[Q_RANK]</t>
        </is>
      </c>
      <c r="B2" t="inlineStr">
        <is>
          <t>Q_RANK</t>
        </is>
      </c>
      <c r="C2" t="inlineStr">
        <is>
          <t>Rank vendors</t>
        </is>
      </c>
      <c r="D2" t="inlineStr">
        <is>
          <t>RANK_ORDER</t>
        </is>
      </c>
      <c r="E2" t="inlineStr">
        <is>
          <t>Q_RANK_A, Q_RANK_B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Q_RANK</t>
        </is>
      </c>
      <c r="B2" t="inlineStr">
        <is>
          <t>Q_RANK</t>
        </is>
      </c>
      <c r="C2" t="inlineStr">
        <is>
          <t>RANK_ORDER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Q_RANK - Rank vendors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IFERROR(INDEX(All_Questions_Value_Data_Names,MATCH(All_Questions_Q_RANK_F_Q&amp;"|"&amp;All_Questions_Q_RANK_F_V,All_Questions_Value_Keys,0)),IFERROR(INDEX(All_Questions_Data_Names,MATCH(All_Questions_Q_RANK_F_Q,All_Questions,0)),"'_RawData'!$A:$A"))</f>
        <v>respondent_id_data</v>
      </c>
      <c r="G13" t="str">
        <f>"|" &amp; SUBSTITUTE(All_Questions_Q_RANK_F_V, ", ", "|") &amp; "|"</f>
        <v>|(All)|</v>
      </c>
      <c r="H13" t="str">
        <f>IFERROR(INDEX(All_Questions_Value_Criteria,MATCH(All_Questions_Q_RANK_F_Q&amp;"|"&amp;All_Questions_Q_RANK_F_V,All_Questions_Value_Keys,0)),All_Questions_Q_RANK_F_V)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 ID</t>
        </is>
      </c>
      <c r="B16" s="4" t="inlineStr">
        <is>
          <t>Option</t>
        </is>
      </c>
      <c r="C16" s="4" t="inlineStr">
        <is>
          <t>Net Rank Score</t>
        </is>
      </c>
      <c r="D16" s="4" t="inlineStr">
        <is>
          <t>1</t>
        </is>
      </c>
      <c r="E16" s="2" t="n"/>
      <c r="F16" s="4" t="inlineStr">
        <is>
          <t>2</t>
        </is>
      </c>
      <c r="G16" s="2" t="n"/>
      <c r="H16" s="4" t="inlineStr">
        <is>
          <t>3</t>
        </is>
      </c>
      <c r="I16" s="2" t="n"/>
      <c r="J16" s="4" t="inlineStr">
        <is>
          <t>4</t>
        </is>
      </c>
      <c r="K16" s="2" t="n"/>
    </row>
    <row r="17">
      <c r="A17" s="2" t="n"/>
      <c r="B17" s="2" t="n"/>
      <c r="C17" s="4" t="inlineStr">
        <is>
          <t>0-100</t>
        </is>
      </c>
      <c r="D17" s="4" t="inlineStr">
        <is>
          <t># of respondents</t>
        </is>
      </c>
      <c r="E17" s="4" t="inlineStr">
        <is>
          <t>% of respondents</t>
        </is>
      </c>
      <c r="F17" s="4" t="inlineStr">
        <is>
          <t># of respondents</t>
        </is>
      </c>
      <c r="G17" s="4" t="inlineStr">
        <is>
          <t>% of respondents</t>
        </is>
      </c>
      <c r="H17" s="4" t="inlineStr">
        <is>
          <t># of respondents</t>
        </is>
      </c>
      <c r="I17" s="4" t="inlineStr">
        <is>
          <t>% of respondents</t>
        </is>
      </c>
      <c r="J17" s="4" t="inlineStr">
        <is>
          <t># of respondents</t>
        </is>
      </c>
      <c r="K17" s="4" t="inlineStr">
        <is>
          <t>% of respondents</t>
        </is>
      </c>
    </row>
    <row r="18">
      <c r="A18" s="14" t="inlineStr">
        <is>
          <t>Q_RANK_A</t>
        </is>
      </c>
      <c r="B18" t="inlineStr">
        <is>
          <t>Vendor A</t>
        </is>
      </c>
      <c r="C18" s="15">
        <f>IFERROR((SUM(D18*4,F18*3,H18*2,J18*1)/(4*$B$20))*100,0)</f>
        <v>62.5</v>
      </c>
      <c r="D18" s="16">
        <f>COUNTIFS(Q_RANK_A_data,"1",passes_workbook_filters_data,1,passes_workbook_custom_filters_data,1,All_Questions_passes_local_filters_data,1,All_Questions_Q_RANK_F_passes_per_q_filter_data,1)</f>
        <v>1</v>
      </c>
      <c r="E18" s="7">
        <f>IFERROR(D18/$B$20,0)</f>
        <v>0.25</v>
      </c>
      <c r="F18" s="16">
        <f>COUNTIFS(Q_RANK_A_data,"2",passes_workbook_filters_data,1,passes_workbook_custom_filters_data,1,All_Questions_passes_local_filters_data,1,All_Questions_Q_RANK_F_passes_per_q_filter_data,1)</f>
        <v>1</v>
      </c>
      <c r="G18" s="7">
        <f>IFERROR(F18/$B$20,0)</f>
        <v>0.25</v>
      </c>
      <c r="H18" s="16">
        <f>COUNTIFS(Q_RANK_A_data,"3",passes_workbook_filters_data,1,passes_workbook_custom_filters_data,1,All_Questions_passes_local_filters_data,1,All_Questions_Q_RANK_F_passes_per_q_filter_data,1)</f>
        <v>1</v>
      </c>
      <c r="I18" s="7">
        <f>IFERROR(H18/$B$20,0)</f>
        <v>0.25</v>
      </c>
      <c r="J18" s="16">
        <f>COUNTIFS(Q_RANK_A_data,"4",passes_workbook_filters_data,1,passes_workbook_custom_filters_data,1,All_Questions_passes_local_filters_data,1,All_Questions_Q_RANK_F_passes_per_q_filter_data,1)</f>
        <v>1</v>
      </c>
      <c r="K18" s="7">
        <f>IFERROR(J18/$B$20,0)</f>
        <v>0.25</v>
      </c>
    </row>
    <row r="19">
      <c r="A19" s="14" t="inlineStr">
        <is>
          <t>Q_RANK_B</t>
        </is>
      </c>
      <c r="B19" t="inlineStr">
        <is>
          <t>Vendor B</t>
        </is>
      </c>
      <c r="C19" s="15">
        <f>IFERROR((SUM(D19*4,F19*3,H19*2,J19*1)/(4*$B$20))*100,0)</f>
        <v>37.5</v>
      </c>
      <c r="D19" s="16">
        <f>COUNTIFS(Q_RANK_B_data,"1",passes_workbook_filters_data,1,passes_workbook_custom_filters_data,1,All_Questions_passes_local_filters_data,1,All_Questions_Q_RANK_F_passes_per_q_filter_data,1)</f>
        <v>0</v>
      </c>
      <c r="E19" s="7">
        <f>IFERROR(D19/$B$20,0)</f>
        <v>0.0</v>
      </c>
      <c r="F19" s="16">
        <f>COUNTIFS(Q_RANK_B_data,"2",passes_workbook_filters_data,1,passes_workbook_custom_filters_data,1,All_Questions_passes_local_filters_data,1,All_Questions_Q_RANK_F_passes_per_q_filter_data,1)</f>
        <v>2</v>
      </c>
      <c r="G19" s="7">
        <f>IFERROR(F19/$B$20,0)</f>
        <v>0.5</v>
      </c>
      <c r="H19" s="16">
        <f>COUNTIFS(Q_RANK_B_data,"3",passes_workbook_filters_data,1,passes_workbook_custom_filters_data,1,All_Questions_passes_local_filters_data,1,All_Questions_Q_RANK_F_passes_per_q_filter_data,1)</f>
        <v>0</v>
      </c>
      <c r="I19" s="7">
        <f>IFERROR(H19/$B$20,0)</f>
        <v>0.0</v>
      </c>
      <c r="J19" s="16">
        <f>COUNTIFS(Q_RANK_B_data,"4",passes_workbook_filters_data,1,passes_workbook_custom_filters_data,1,All_Questions_passes_local_filters_data,1,All_Questions_Q_RANK_F_passes_per_q_filter_data,1)</f>
        <v>0</v>
      </c>
      <c r="K19" s="7">
        <f>IFERROR(J19/$B$20,0)</f>
        <v>0.0</v>
      </c>
    </row>
    <row r="20">
      <c r="A20" s="17" t="inlineStr">
        <is>
          <t>Total respondents</t>
        </is>
      </c>
      <c r="B20" s="18">
        <f>COUNTIFS(Q_RANK_A_data,"&lt;&gt;",passes_workbook_filters_data,1,passes_workbook_custom_filters_data,1,All_Questions_passes_local_filters_data,1,All_Questions_Q_RANK_F_passes_per_q_filter_data,1)</f>
        <v>4</v>
      </c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</row>
    <row r="21">
      <c r="A21" s="4" t="inlineStr">
        <is>
          <t>Total responses</t>
        </is>
      </c>
      <c r="B21" s="19">
        <f>SUM(D18,F18,H18,J18,D19,F19,H19,J19)</f>
        <v>6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B22" s="5" t="inlineStr">
        <is>
          <t>QC check</t>
        </is>
      </c>
      <c r="C22">
        <f>B21=SUM(D18,F18,H18,J18,D19,F19,H19,J19)</f>
        <v>1</v>
      </c>
    </row>
    <row r="23"/>
    <row r="24">
      <c r="F24" s="4" t="inlineStr">
        <is>
          <t>Option</t>
        </is>
      </c>
      <c r="G24" s="2" t="str">
        <f>IF(All_Questions_Q_RANK_CT="(None)","",IFERROR(INDEX(INDIRECT(IFERROR(INDEX(Cross_Tab_Questions_Options_Names,MATCH(All_Questions_Q_RANK_CT,Cross_Tab_Questions,0)),"'_Options'!$E$2:$E$2")),2),""))</f>
        <v/>
      </c>
      <c r="H24" s="2" t="str">
        <f>IF(All_Questions_Q_RANK_CT="(None)","",IFERROR(INDEX(INDIRECT(IFERROR(INDEX(Cross_Tab_Questions_Options_Names,MATCH(All_Questions_Q_RANK_CT,Cross_Tab_Questions,0)),"'_Options'!$E$2:$E$2")),3),""))</f>
        <v/>
      </c>
      <c r="I24" s="2" t="str">
        <f>IF(All_Questions_Q_RANK_CT="(None)","",IFERROR(INDEX(INDIRECT(IFERROR(INDEX(Cross_Tab_Questions_Options_Names,MATCH(All_Questions_Q_RANK_CT,Cross_Tab_Questions,0)),"'_Options'!$E$2:$E$2")),4),""))</f>
        <v/>
      </c>
      <c r="J24" s="2" t="str">
        <f>IF(All_Questions_Q_RANK_CT="(None)","",IFERROR(INDEX(INDIRECT(IFERROR(INDEX(Cross_Tab_Questions_Options_Names,MATCH(All_Questions_Q_RANK_CT,Cross_Tab_Questions,0)),"'_Options'!$E$2:$E$2")),5),""))</f>
        <v/>
      </c>
      <c r="K24" s="2" t="str">
        <f>IF(All_Questions_Q_RANK_CT="(None)","",IFERROR(INDEX(INDIRECT(IFERROR(INDEX(Cross_Tab_Questions_Options_Names,MATCH(All_Questions_Q_RANK_CT,Cross_Tab_Questions,0)),"'_Options'!$E$2:$E$2")),6),""))</f>
        <v/>
      </c>
      <c r="L24" s="2" t="str">
        <f>IF(All_Questions_Q_RANK_CT="(None)","",IFERROR(INDEX(INDIRECT(IFERROR(INDEX(Cross_Tab_Questions_Options_Names,MATCH(All_Questions_Q_RANK_CT,Cross_Tab_Questions,0)),"'_Options'!$E$2:$E$2")),7),""))</f>
        <v/>
      </c>
      <c r="M24" s="2" t="str">
        <f>IF(All_Questions_Q_RANK_CT="(None)","",IFERROR(INDEX(INDIRECT(IFERROR(INDEX(Cross_Tab_Questions_Options_Names,MATCH(All_Questions_Q_RANK_CT,Cross_Tab_Questions,0)),"'_Options'!$E$2:$E$2")),8),""))</f>
        <v/>
      </c>
      <c r="N24" s="2" t="str">
        <f>IF(All_Questions_Q_RANK_CT="(None)","",IFERROR(INDEX(INDIRECT(IFERROR(INDEX(Cross_Tab_Questions_Options_Names,MATCH(All_Questions_Q_RANK_CT,Cross_Tab_Questions,0)),"'_Options'!$E$2:$E$2")),9),""))</f>
        <v/>
      </c>
      <c r="O24" s="2" t="str">
        <f>IF(All_Questions_Q_RANK_CT="(None)","",IFERROR(INDEX(INDIRECT(IFERROR(INDEX(Cross_Tab_Questions_Options_Names,MATCH(All_Questions_Q_RANK_CT,Cross_Tab_Questions,0)),"'_Options'!$E$2:$E$2")),10),""))</f>
        <v/>
      </c>
      <c r="P24" s="2" t="str">
        <f>IF(All_Questions_Q_RANK_CT="(None)","",IFERROR(INDEX(INDIRECT(IFERROR(INDEX(Cross_Tab_Questions_Options_Names,MATCH(All_Questions_Q_RANK_CT,Cross_Tab_Questions,0)),"'_Options'!$E$2:$E$2")),11),""))</f>
        <v/>
      </c>
      <c r="Q24" s="2" t="str">
        <f>IF(All_Questions_Q_RANK_CT="(None)","",IFERROR(INDEX(INDIRECT(IFERROR(INDEX(Cross_Tab_Questions_Options_Names,MATCH(All_Questions_Q_RANK_CT,Cross_Tab_Questions,0)),"'_Options'!$E$2:$E$2")),12),""))</f>
        <v/>
      </c>
      <c r="R24" s="2" t="str">
        <f>IF(All_Questions_Q_RANK_CT="(None)","",IF(COUNTA(INDIRECT(IFERROR(INDEX(Cross_Tab_Questions_Options_Names,MATCH(All_Questions_Q_RANK_CT,Cross_Tab_Questions,0)),"'_Options'!$E$2:$E$2")))-1&gt;11,"Other",IFERROR(INDEX(INDIRECT(IFERROR(INDEX(Cross_Tab_Questions_Options_Names,MATCH(All_Questions_Q_RANK_CT,Cross_Tab_Questions,0)),"'_Options'!$E$2:$E$2")),13),"")))</f>
        <v/>
      </c>
      <c r="S24" s="4" t="inlineStr">
        <is>
          <t>Total</t>
        </is>
      </c>
      <c r="U24" s="20" t="inlineStr">
        <is>
          <t>Rank metric</t>
        </is>
      </c>
      <c r="V24" s="21" t="inlineStr">
        <is>
          <t>Weighted average</t>
        </is>
      </c>
    </row>
    <row r="25">
      <c r="F25" s="4" t="inlineStr"/>
      <c r="G25" s="4" t="str">
        <f>IF(All_Questions_Q_RANK_RM="Weighted average","Weighted average",IF(All_Questions_Q_RANK_RM="Sum of ranks","Sum of ranks",IF(All_Questions_Q_RANK_RM="Rank position count","Rank position count","Net Rank Score")))</f>
        <v>Weighted average</v>
      </c>
      <c r="H25" s="4" t="str">
        <f>IF(All_Questions_Q_RANK_RM="Weighted average","Weighted average",IF(All_Questions_Q_RANK_RM="Sum of ranks","Sum of ranks",IF(All_Questions_Q_RANK_RM="Rank position count","Rank position count","Net Rank Score")))</f>
        <v>Weighted average</v>
      </c>
      <c r="I25" s="4" t="str">
        <f>IF(All_Questions_Q_RANK_RM="Weighted average","Weighted average",IF(All_Questions_Q_RANK_RM="Sum of ranks","Sum of ranks",IF(All_Questions_Q_RANK_RM="Rank position count","Rank position count","Net Rank Score")))</f>
        <v>Weighted average</v>
      </c>
      <c r="J25" s="4" t="str">
        <f>IF(All_Questions_Q_RANK_RM="Weighted average","Weighted average",IF(All_Questions_Q_RANK_RM="Sum of ranks","Sum of ranks",IF(All_Questions_Q_RANK_RM="Rank position count","Rank position count","Net Rank Score")))</f>
        <v>Weighted average</v>
      </c>
      <c r="K25" s="4" t="str">
        <f>IF(All_Questions_Q_RANK_RM="Weighted average","Weighted average",IF(All_Questions_Q_RANK_RM="Sum of ranks","Sum of ranks",IF(All_Questions_Q_RANK_RM="Rank position count","Rank position count","Net Rank Score")))</f>
        <v>Weighted average</v>
      </c>
      <c r="L25" s="4" t="str">
        <f>IF(All_Questions_Q_RANK_RM="Weighted average","Weighted average",IF(All_Questions_Q_RANK_RM="Sum of ranks","Sum of ranks",IF(All_Questions_Q_RANK_RM="Rank position count","Rank position count","Net Rank Score")))</f>
        <v>Weighted average</v>
      </c>
      <c r="M25" s="4" t="str">
        <f>IF(All_Questions_Q_RANK_RM="Weighted average","Weighted average",IF(All_Questions_Q_RANK_RM="Sum of ranks","Sum of ranks",IF(All_Questions_Q_RANK_RM="Rank position count","Rank position count","Net Rank Score")))</f>
        <v>Weighted average</v>
      </c>
      <c r="N25" s="4" t="str">
        <f>IF(All_Questions_Q_RANK_RM="Weighted average","Weighted average",IF(All_Questions_Q_RANK_RM="Sum of ranks","Sum of ranks",IF(All_Questions_Q_RANK_RM="Rank position count","Rank position count","Net Rank Score")))</f>
        <v>Weighted average</v>
      </c>
      <c r="O25" s="4" t="str">
        <f>IF(All_Questions_Q_RANK_RM="Weighted average","Weighted average",IF(All_Questions_Q_RANK_RM="Sum of ranks","Sum of ranks",IF(All_Questions_Q_RANK_RM="Rank position count","Rank position count","Net Rank Score")))</f>
        <v>Weighted average</v>
      </c>
      <c r="P25" s="4" t="str">
        <f>IF(All_Questions_Q_RANK_RM="Weighted average","Weighted average",IF(All_Questions_Q_RANK_RM="Sum of ranks","Sum of ranks",IF(All_Questions_Q_RANK_RM="Rank position count","Rank position count","Net Rank Score")))</f>
        <v>Weighted average</v>
      </c>
      <c r="Q25" s="4" t="str">
        <f>IF(All_Questions_Q_RANK_RM="Weighted average","Weighted average",IF(All_Questions_Q_RANK_RM="Sum of ranks","Sum of ranks",IF(All_Questions_Q_RANK_RM="Rank position count","Rank position count","Net Rank Score")))</f>
        <v>Weighted average</v>
      </c>
      <c r="R25" s="4" t="str">
        <f>IF(All_Questions_Q_RANK_RM="Weighted average","Weighted average",IF(All_Questions_Q_RANK_RM="Sum of ranks","Sum of ranks",IF(All_Questions_Q_RANK_RM="Rank position count","Rank position count","Net Rank Score")))</f>
        <v>Weighted average</v>
      </c>
      <c r="S25" s="4" t="str">
        <f>IF(All_Questions_Q_RANK_RM="Weighted average","Weighted average",IF(All_Questions_Q_RANK_RM="Sum of ranks","Sum of ranks",IF(All_Questions_Q_RANK_RM="Rank position count","Rank position count","Net Rank Score")))</f>
        <v>Weighted average</v>
      </c>
      <c r="U25" s="20" t="inlineStr">
        <is>
          <t>Rank position</t>
        </is>
      </c>
      <c r="V25" s="21" t="n">
        <v>2</v>
      </c>
    </row>
    <row r="26">
      <c r="F26" t="inlineStr">
        <is>
          <t>Vendor A</t>
        </is>
      </c>
      <c r="G26">
        <f>IF(OR(All_Questions_Q_RANK_CT="(None)",G$24=""),"",IF(G$24="Other","",IF(All_Questions_Q_RANK_RM="Weighted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G$24)))*100,""))))))</f>
        <v>62.5</v>
      </c>
      <c r="H26">
        <f>IF(OR(All_Questions_Q_RANK_CT="(None)",H$24=""),"",IF(H$24="Other","",IF(All_Questions_Q_RANK_RM="Weighted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H$24)))*100,""))))))</f>
        <v>62.5</v>
      </c>
      <c r="I26">
        <f>IF(OR(All_Questions_Q_RANK_CT="(None)",I$24=""),"",IF(I$24="Other","",IF(All_Questions_Q_RANK_RM="Weighted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I$24)))*100,""))))))</f>
        <v>62.5</v>
      </c>
      <c r="J26">
        <f>IF(OR(All_Questions_Q_RANK_CT="(None)",J$24=""),"",IF(J$24="Other","",IF(All_Questions_Q_RANK_RM="Weighted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J$24)))*100,""))))))</f>
        <v>62.5</v>
      </c>
      <c r="K26">
        <f>IF(OR(All_Questions_Q_RANK_CT="(None)",K$24=""),"",IF(K$24="Other","",IF(All_Questions_Q_RANK_RM="Weighted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K$24)))*100,""))))))</f>
        <v>62.5</v>
      </c>
      <c r="L26">
        <f>IF(OR(All_Questions_Q_RANK_CT="(None)",L$24=""),"",IF(L$24="Other","",IF(All_Questions_Q_RANK_RM="Weighted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L$24)))*100,""))))))</f>
        <v>62.5</v>
      </c>
      <c r="M26">
        <f>IF(OR(All_Questions_Q_RANK_CT="(None)",M$24=""),"",IF(M$24="Other","",IF(All_Questions_Q_RANK_RM="Weighted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M$24)))*100,""))))))</f>
        <v>62.5</v>
      </c>
      <c r="N26">
        <f>IF(OR(All_Questions_Q_RANK_CT="(None)",N$24=""),"",IF(N$24="Other","",IF(All_Questions_Q_RANK_RM="Weighted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N$24)))*100,""))))))</f>
        <v>62.5</v>
      </c>
      <c r="O26">
        <f>IF(OR(All_Questions_Q_RANK_CT="(None)",O$24=""),"",IF(O$24="Other","",IF(All_Questions_Q_RANK_RM="Weighted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O$24)))*100,""))))))</f>
        <v>62.5</v>
      </c>
      <c r="P26">
        <f>IF(OR(All_Questions_Q_RANK_CT="(None)",P$24=""),"",IF(P$24="Other","",IF(All_Questions_Q_RANK_RM="Weighted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P$24)))*100,""))))))</f>
        <v>62.5</v>
      </c>
      <c r="Q26">
        <f>IF(OR(All_Questions_Q_RANK_CT="(None)",Q$24=""),"",IF(Q$24="Other","",IF(All_Questions_Q_RANK_RM="Weighted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Q$24)))*100,""))))))</f>
        <v>62.5</v>
      </c>
      <c r="R26">
        <f>IF(OR(All_Questions_Q_RANK_CT="(None)",R$24=""),"",IF(R$24="Other","",IF(All_Questions_Q_RANK_RM="Weighted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R$24)))*100,""))))))</f>
        <v>62.5</v>
      </c>
      <c r="S26">
        <f>IF(All_Questions_Q_RANK_CT="(None)","",IF(All_Questions_Q_RANK_RM="Weighted average",IFERROR((INDEX(All_Questions_Q_RANK_W,1)*COUNTIFS(Q_RANK_A_data,1,passes_workbook_filters_data,1,passes_workbook_custom_filters_data,1,All_Questions_passes_local_filters_data,1,All_Questions_Q_RANK_F_passes_per_q_filter_data,1) + INDEX(All_Questions_Q_RANK_W,2)*COUNTIFS(Q_RANK_A_data,2,passes_workbook_filters_data,1,passes_workbook_custom_filters_data,1,All_Questions_passes_local_filters_data,1,All_Questions_Q_RANK_F_passes_per_q_filter_data,1) + INDEX(All_Questions_Q_RANK_W,3)*COUNTIFS(Q_RANK_A_data,3,passes_workbook_filters_data,1,passes_workbook_custom_filters_data,1,All_Questions_passes_local_filters_data,1,All_Questions_Q_RANK_F_passes_per_q_filter_data,1) + INDEX(All_Questions_Q_RANK_W,4)*COUNTIFS(Q_RANK_A_data,4,passes_workbook_filters_data,1,passes_workbook_custom_filters_data,1,All_Questions_passes_local_filters_data,1,All_Questions_Q_RANK_F_passes_per_q_filter_data,1))/COUNTIFS(Q_RANK_A_data,"&gt;=1",passes_workbook_filters_data,1,passes_workbook_custom_filters_data,1,All_Questions_passes_local_filters_data,1,All_Questions_Q_RANK_F_passes_per_q_filter_data,1),""),IF(All_Questions_Q_RANK_RM="Sum of ranks",IFERROR(SUMIFS(Q_RANK_A_data,Q_RANK_A_data,"&gt;=1",passes_workbook_filters_data,1,passes_workbook_custom_filters_data,1,All_Questions_passes_local_filters_data,1,All_Questions_Q_RANK_F_passes_per_q_filter_data,1),""),IF(All_Questions_Q_RANK_RM="Rank position count",IFERROR(COUNTIFS(Q_RANK_A_data,All_Questions_Q_RANK_RP,passes_workbook_filters_data,1,passes_workbook_custom_filters_data,1,All_Questions_passes_local_filters_data,1,All_Questions_Q_RANK_F_passes_per_q_filter_data,1),""),IFERROR((((5)*COUNTIFS(Q_RANK_A_data,"&gt;=1",passes_workbook_filters_data,1,passes_workbook_custom_filters_data,1,All_Questions_passes_local_filters_data,1,All_Questions_Q_RANK_F_passes_per_q_filter_data,1))-SUMIFS(Q_RANK_A_data,Q_RANK_A_data,"&gt;=1",passes_workbook_filters_data,1,passes_workbook_custom_filters_data,1,All_Questions_passes_local_filters_data,1,All_Questions_Q_RANK_F_passes_per_q_filter_data,1))/(4*SUMPRODUCT(--((--(Q_RANK_A_data&lt;&gt;"")+--(Q_RANK_B_data&lt;&gt;""))&gt;0),--(passes_workbook_filters_data=1),--(passes_workbook_custom_filters_data=1),--(All_Questions_passes_local_filters_data=1),--(All_Questions_Q_RANK_F_passes_per_q_filter_data=1)))*100,"")))))</f>
        <v>62.5</v>
      </c>
      <c r="U26" s="21" t="n"/>
      <c r="V26" s="21" t="n"/>
    </row>
    <row r="27">
      <c r="F27" t="inlineStr">
        <is>
          <t>Vendor B</t>
        </is>
      </c>
      <c r="G27">
        <f>IF(OR(All_Questions_Q_RANK_CT="(None)",G$24=""),"",IF(G$24="Other","",IF(All_Questions_Q_RANK_RM="Weighted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G$24)))*100,""))))))</f>
        <v>37.5</v>
      </c>
      <c r="H27">
        <f>IF(OR(All_Questions_Q_RANK_CT="(None)",H$24=""),"",IF(H$24="Other","",IF(All_Questions_Q_RANK_RM="Weighted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H$24)))*100,""))))))</f>
        <v>37.5</v>
      </c>
      <c r="I27">
        <f>IF(OR(All_Questions_Q_RANK_CT="(None)",I$24=""),"",IF(I$24="Other","",IF(All_Questions_Q_RANK_RM="Weighted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I$24)))*100,""))))))</f>
        <v>37.5</v>
      </c>
      <c r="J27">
        <f>IF(OR(All_Questions_Q_RANK_CT="(None)",J$24=""),"",IF(J$24="Other","",IF(All_Questions_Q_RANK_RM="Weighted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J$24)))*100,""))))))</f>
        <v>37.5</v>
      </c>
      <c r="K27">
        <f>IF(OR(All_Questions_Q_RANK_CT="(None)",K$24=""),"",IF(K$24="Other","",IF(All_Questions_Q_RANK_RM="Weighted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K$24)))*100,""))))))</f>
        <v>37.5</v>
      </c>
      <c r="L27">
        <f>IF(OR(All_Questions_Q_RANK_CT="(None)",L$24=""),"",IF(L$24="Other","",IF(All_Questions_Q_RANK_RM="Weighted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L$24)))*100,""))))))</f>
        <v>37.5</v>
      </c>
      <c r="M27">
        <f>IF(OR(All_Questions_Q_RANK_CT="(None)",M$24=""),"",IF(M$24="Other","",IF(All_Questions_Q_RANK_RM="Weighted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M$24)))*100,""))))))</f>
        <v>37.5</v>
      </c>
      <c r="N27">
        <f>IF(OR(All_Questions_Q_RANK_CT="(None)",N$24=""),"",IF(N$24="Other","",IF(All_Questions_Q_RANK_RM="Weighted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N$24)))*100,""))))))</f>
        <v>37.5</v>
      </c>
      <c r="O27">
        <f>IF(OR(All_Questions_Q_RANK_CT="(None)",O$24=""),"",IF(O$24="Other","",IF(All_Questions_Q_RANK_RM="Weighted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O$24)))*100,""))))))</f>
        <v>37.5</v>
      </c>
      <c r="P27">
        <f>IF(OR(All_Questions_Q_RANK_CT="(None)",P$24=""),"",IF(P$24="Other","",IF(All_Questions_Q_RANK_RM="Weighted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P$24)))*100,""))))))</f>
        <v>37.5</v>
      </c>
      <c r="Q27">
        <f>IF(OR(All_Questions_Q_RANK_CT="(None)",Q$24=""),"",IF(Q$24="Other","",IF(All_Questions_Q_RANK_RM="Weighted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Q$24)))*100,""))))))</f>
        <v>37.5</v>
      </c>
      <c r="R27">
        <f>IF(OR(All_Questions_Q_RANK_CT="(None)",R$24=""),"",IF(R$24="Other","",IF(All_Questions_Q_RANK_RM="Weighted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R$24)))*100,""))))))</f>
        <v>37.5</v>
      </c>
      <c r="S27">
        <f>IF(All_Questions_Q_RANK_CT="(None)","",IF(All_Questions_Q_RANK_RM="Weighted average",IFERROR((INDEX(All_Questions_Q_RANK_W,1)*COUNTIFS(Q_RANK_B_data,1,passes_workbook_filters_data,1,passes_workbook_custom_filters_data,1,All_Questions_passes_local_filters_data,1,All_Questions_Q_RANK_F_passes_per_q_filter_data,1) + INDEX(All_Questions_Q_RANK_W,2)*COUNTIFS(Q_RANK_B_data,2,passes_workbook_filters_data,1,passes_workbook_custom_filters_data,1,All_Questions_passes_local_filters_data,1,All_Questions_Q_RANK_F_passes_per_q_filter_data,1) + INDEX(All_Questions_Q_RANK_W,3)*COUNTIFS(Q_RANK_B_data,3,passes_workbook_filters_data,1,passes_workbook_custom_filters_data,1,All_Questions_passes_local_filters_data,1,All_Questions_Q_RANK_F_passes_per_q_filter_data,1) + INDEX(All_Questions_Q_RANK_W,4)*COUNTIFS(Q_RANK_B_data,4,passes_workbook_filters_data,1,passes_workbook_custom_filters_data,1,All_Questions_passes_local_filters_data,1,All_Questions_Q_RANK_F_passes_per_q_filter_data,1))/COUNTIFS(Q_RANK_B_data,"&gt;=1",passes_workbook_filters_data,1,passes_workbook_custom_filters_data,1,All_Questions_passes_local_filters_data,1,All_Questions_Q_RANK_F_passes_per_q_filter_data,1),""),IF(All_Questions_Q_RANK_RM="Sum of ranks",IFERROR(SUMIFS(Q_RANK_B_data,Q_RANK_B_data,"&gt;=1",passes_workbook_filters_data,1,passes_workbook_custom_filters_data,1,All_Questions_passes_local_filters_data,1,All_Questions_Q_RANK_F_passes_per_q_filter_data,1),""),IF(All_Questions_Q_RANK_RM="Rank position count",IFERROR(COUNTIFS(Q_RANK_B_data,All_Questions_Q_RANK_RP,passes_workbook_filters_data,1,passes_workbook_custom_filters_data,1,All_Questions_passes_local_filters_data,1,All_Questions_Q_RANK_F_passes_per_q_filter_data,1),""),IFERROR((((5)*COUNTIFS(Q_RANK_B_data,"&gt;=1",passes_workbook_filters_data,1,passes_workbook_custom_filters_data,1,All_Questions_passes_local_filters_data,1,All_Questions_Q_RANK_F_passes_per_q_filter_data,1))-SUMIFS(Q_RANK_B_data,Q_RANK_B_data,"&gt;=1",passes_workbook_filters_data,1,passes_workbook_custom_filters_data,1,All_Questions_passes_local_filters_data,1,All_Questions_Q_RANK_F_passes_per_q_filter_data,1))/(4*SUMPRODUCT(--((--(Q_RANK_A_data&lt;&gt;"")+--(Q_RANK_B_data&lt;&gt;""))&gt;0),--(passes_workbook_filters_data=1),--(passes_workbook_custom_filters_data=1),--(All_Questions_passes_local_filters_data=1),--(All_Questions_Q_RANK_F_passes_per_q_filter_data=1)))*100,"")))))</f>
        <v>37.5</v>
      </c>
      <c r="U27" s="20" t="inlineStr">
        <is>
          <t>Rank weights</t>
        </is>
      </c>
      <c r="V27" s="20" t="inlineStr">
        <is>
          <t>Weight</t>
        </is>
      </c>
    </row>
    <row r="28">
      <c r="F28" s="4" t="inlineStr">
        <is>
          <t>Total respondents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>
        <f>IF(All_Questions_Q_RANK_CT="(None)","",COUNTIFS(respondent_id_data,"&lt;&gt;",passes_workbook_filters_data,1,passes_workbook_custom_filters_data,1,All_Questions_passes_local_filters_data,1,All_Questions_Q_RANK_F_passes_per_q_filter_data,1))</f>
        <v>0</v>
      </c>
      <c r="U28" s="21" t="inlineStr">
        <is>
          <t>Rank 1</t>
        </is>
      </c>
      <c r="V28" s="21" t="n">
        <v>10</v>
      </c>
    </row>
    <row r="29">
      <c r="U29" s="21" t="inlineStr">
        <is>
          <t>Rank 2</t>
        </is>
      </c>
      <c r="V29" s="21" t="n">
        <v>6</v>
      </c>
    </row>
    <row r="30">
      <c r="U30" s="21" t="inlineStr">
        <is>
          <t>Rank 3</t>
        </is>
      </c>
      <c r="V30" s="21" t="n">
        <v>3</v>
      </c>
    </row>
    <row r="31">
      <c r="U31" s="21" t="inlineStr">
        <is>
          <t>Rank 4</t>
        </is>
      </c>
      <c r="V31" s="21" t="n">
        <v>0</v>
      </c>
    </row>
  </sheetData>
  <mergeCells count="5">
    <mergeCell ref="A1:J1"/>
    <mergeCell ref="D16:E16"/>
    <mergeCell ref="H16:I16"/>
    <mergeCell ref="F16:G16"/>
    <mergeCell ref="J16:K16"/>
  </mergeCells>
  <conditionalFormatting sqref="E18:E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=INDIRECT(IFERROR(INDEX(All_Questions_Options_Names,MATCH(All_Questions_Q_RANK_F_Q,All_Questions,0)),"'_Options'!$E$2:$E$2"))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V24" showDropDown="0" showInputMessage="0" showErrorMessage="0" allowBlank="0" type="list">
      <formula1>"Net Rank Score,Weighted average,Sum of ranks,Rank position count"</formula1>
    </dataValidation>
    <dataValidation sqref="V25" showDropDown="0" showInputMessage="0" showErrorMessage="0" allowBlank="0" type="list">
      <formula1>"1,2,3,4"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17" customWidth="1" min="3" max="3"/>
    <col width="16" customWidth="1" min="4" max="4"/>
    <col width="32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cross_tab_by_net_rank</t>
        </is>
      </c>
      <c r="C2" t="inlineStr">
        <is>
          <t>Q_RANK</t>
        </is>
      </c>
      <c r="D2" t="inlineStr">
        <is>
          <t>Q_RANK_A</t>
        </is>
      </c>
      <c r="E2" t="inlineStr">
        <is>
          <t>All_Questions_Q_RANK_CT = G$24</t>
        </is>
      </c>
      <c r="H2">
        <f>IF(OR(All_Questions_Q_RANK_CT="(None)",G$24=""),"",IF(G$24="Other","",IF(All_Questions_Q_RANK_RM="Weighted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G$24)))*100,""))))))</f>
        <v>0</v>
      </c>
      <c r="I2" t="n">
        <v>62.5</v>
      </c>
      <c r="J2" t="n">
        <v>0</v>
      </c>
      <c r="K2" t="n">
        <v>0</v>
      </c>
      <c r="L2" t="inlineStr">
        <is>
          <t>2026-06-08T13:47:30.902217+00:00</t>
        </is>
      </c>
    </row>
    <row r="3">
      <c r="A3" t="inlineStr">
        <is>
          <t>All Questions</t>
        </is>
      </c>
      <c r="B3" t="inlineStr">
        <is>
          <t>cross_tab_by_rank_weighted_average</t>
        </is>
      </c>
      <c r="C3" t="inlineStr">
        <is>
          <t>Q_RANK</t>
        </is>
      </c>
      <c r="D3" t="inlineStr">
        <is>
          <t>Q_RANK_A</t>
        </is>
      </c>
      <c r="E3" t="inlineStr">
        <is>
          <t>All_Questions_Q_RANK_CT = G$24</t>
        </is>
      </c>
      <c r="H3">
        <f>IF(OR(All_Questions_Q_RANK_CT="(None)",G$24=""),"",IF(G$24="Other","",IF(All_Questions_Q_RANK_RM="Weighted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G$24)))*100,""))))))</f>
        <v>0</v>
      </c>
      <c r="I3" t="n">
        <v>62.5</v>
      </c>
      <c r="J3" t="n">
        <v>0</v>
      </c>
      <c r="K3" t="n">
        <v>0</v>
      </c>
      <c r="L3" t="inlineStr">
        <is>
          <t>2026-06-08T13:47:30.902249+00:00</t>
        </is>
      </c>
    </row>
    <row r="4">
      <c r="A4" t="inlineStr">
        <is>
          <t>All Questions</t>
        </is>
      </c>
      <c r="B4" t="inlineStr">
        <is>
          <t>cross_tab_by_rank_sum_of_ranks</t>
        </is>
      </c>
      <c r="C4" t="inlineStr">
        <is>
          <t>Q_RANK</t>
        </is>
      </c>
      <c r="D4" t="inlineStr">
        <is>
          <t>Q_RANK_A</t>
        </is>
      </c>
      <c r="E4" t="inlineStr">
        <is>
          <t>All_Questions_Q_RANK_CT = G$24</t>
        </is>
      </c>
      <c r="H4">
        <f>IF(OR(All_Questions_Q_RANK_CT="(None)",G$24=""),"",IF(G$24="Other","",IF(All_Questions_Q_RANK_RM="Weighted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G$24)))*100,""))))))</f>
        <v>0</v>
      </c>
      <c r="I4" t="n">
        <v>62.5</v>
      </c>
      <c r="J4" t="n">
        <v>0</v>
      </c>
      <c r="K4" t="n">
        <v>0</v>
      </c>
      <c r="L4" t="inlineStr">
        <is>
          <t>2026-06-08T13:47:30.902257+00:00</t>
        </is>
      </c>
    </row>
    <row r="5">
      <c r="A5" t="inlineStr">
        <is>
          <t>All Questions</t>
        </is>
      </c>
      <c r="B5" t="inlineStr">
        <is>
          <t>cross_tab_by_rank_position_count</t>
        </is>
      </c>
      <c r="C5" t="inlineStr">
        <is>
          <t>Q_RANK</t>
        </is>
      </c>
      <c r="D5" t="inlineStr">
        <is>
          <t>Q_RANK_A</t>
        </is>
      </c>
      <c r="E5" t="inlineStr">
        <is>
          <t>All_Questions_Q_RANK_CT = G$24</t>
        </is>
      </c>
      <c r="H5">
        <f>IF(OR(All_Questions_Q_RANK_CT="(None)",G$24=""),"",IF(G$24="Other","",IF(All_Questions_Q_RANK_RM="Weighted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G$24)))*100,""))))))</f>
        <v>0</v>
      </c>
      <c r="I5" t="n">
        <v>62.5</v>
      </c>
      <c r="J5" t="n">
        <v>0</v>
      </c>
      <c r="K5" t="n">
        <v>0</v>
      </c>
      <c r="L5" t="inlineStr">
        <is>
          <t>2026-06-08T13:47:30.902287+00:00</t>
        </is>
      </c>
    </row>
    <row r="6">
      <c r="A6" t="inlineStr">
        <is>
          <t>All Questions</t>
        </is>
      </c>
      <c r="B6" t="inlineStr">
        <is>
          <t>cross_tab_by_net_rank</t>
        </is>
      </c>
      <c r="C6" t="inlineStr">
        <is>
          <t>Q_RANK</t>
        </is>
      </c>
      <c r="D6" t="inlineStr">
        <is>
          <t>Q_RANK_A</t>
        </is>
      </c>
      <c r="E6" t="inlineStr">
        <is>
          <t>All_Questions_Q_RANK_CT = H$24</t>
        </is>
      </c>
      <c r="H6">
        <f>IF(OR(All_Questions_Q_RANK_CT="(None)",H$24=""),"",IF(H$24="Other","",IF(All_Questions_Q_RANK_RM="Weighted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H$24)))*100,""))))))</f>
        <v>0</v>
      </c>
      <c r="I6" t="n">
        <v>62.5</v>
      </c>
      <c r="J6" t="n">
        <v>0</v>
      </c>
      <c r="K6" t="n">
        <v>0</v>
      </c>
      <c r="L6" t="inlineStr">
        <is>
          <t>2026-06-08T13:47:30.902371+00:00</t>
        </is>
      </c>
    </row>
    <row r="7">
      <c r="A7" t="inlineStr">
        <is>
          <t>All Questions</t>
        </is>
      </c>
      <c r="B7" t="inlineStr">
        <is>
          <t>cross_tab_by_rank_weighted_average</t>
        </is>
      </c>
      <c r="C7" t="inlineStr">
        <is>
          <t>Q_RANK</t>
        </is>
      </c>
      <c r="D7" t="inlineStr">
        <is>
          <t>Q_RANK_A</t>
        </is>
      </c>
      <c r="E7" t="inlineStr">
        <is>
          <t>All_Questions_Q_RANK_CT = H$24</t>
        </is>
      </c>
      <c r="H7">
        <f>IF(OR(All_Questions_Q_RANK_CT="(None)",H$24=""),"",IF(H$24="Other","",IF(All_Questions_Q_RANK_RM="Weighted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H$24)))*100,""))))))</f>
        <v>0</v>
      </c>
      <c r="I7" t="n">
        <v>62.5</v>
      </c>
      <c r="J7" t="n">
        <v>0</v>
      </c>
      <c r="K7" t="n">
        <v>0</v>
      </c>
      <c r="L7" t="inlineStr">
        <is>
          <t>2026-06-08T13:47:30.902379+00:00</t>
        </is>
      </c>
    </row>
    <row r="8">
      <c r="A8" t="inlineStr">
        <is>
          <t>All Questions</t>
        </is>
      </c>
      <c r="B8" t="inlineStr">
        <is>
          <t>cross_tab_by_rank_sum_of_ranks</t>
        </is>
      </c>
      <c r="C8" t="inlineStr">
        <is>
          <t>Q_RANK</t>
        </is>
      </c>
      <c r="D8" t="inlineStr">
        <is>
          <t>Q_RANK_A</t>
        </is>
      </c>
      <c r="E8" t="inlineStr">
        <is>
          <t>All_Questions_Q_RANK_CT = H$24</t>
        </is>
      </c>
      <c r="H8">
        <f>IF(OR(All_Questions_Q_RANK_CT="(None)",H$24=""),"",IF(H$24="Other","",IF(All_Questions_Q_RANK_RM="Weighted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H$24)))*100,""))))))</f>
        <v>0</v>
      </c>
      <c r="I8" t="n">
        <v>62.5</v>
      </c>
      <c r="J8" t="n">
        <v>0</v>
      </c>
      <c r="K8" t="n">
        <v>0</v>
      </c>
      <c r="L8" t="inlineStr">
        <is>
          <t>2026-06-08T13:47:30.902386+00:00</t>
        </is>
      </c>
    </row>
    <row r="9">
      <c r="A9" t="inlineStr">
        <is>
          <t>All Questions</t>
        </is>
      </c>
      <c r="B9" t="inlineStr">
        <is>
          <t>cross_tab_by_rank_position_count</t>
        </is>
      </c>
      <c r="C9" t="inlineStr">
        <is>
          <t>Q_RANK</t>
        </is>
      </c>
      <c r="D9" t="inlineStr">
        <is>
          <t>Q_RANK_A</t>
        </is>
      </c>
      <c r="E9" t="inlineStr">
        <is>
          <t>All_Questions_Q_RANK_CT = H$24</t>
        </is>
      </c>
      <c r="H9">
        <f>IF(OR(All_Questions_Q_RANK_CT="(None)",H$24=""),"",IF(H$24="Other","",IF(All_Questions_Q_RANK_RM="Weighted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H$24)))*100,""))))))</f>
        <v>0</v>
      </c>
      <c r="I9" t="n">
        <v>62.5</v>
      </c>
      <c r="J9" t="n">
        <v>0</v>
      </c>
      <c r="K9" t="n">
        <v>0</v>
      </c>
      <c r="L9" t="inlineStr">
        <is>
          <t>2026-06-08T13:47:30.902392+00:00</t>
        </is>
      </c>
    </row>
    <row r="10">
      <c r="A10" t="inlineStr">
        <is>
          <t>All Questions</t>
        </is>
      </c>
      <c r="B10" t="inlineStr">
        <is>
          <t>cross_tab_by_net_rank</t>
        </is>
      </c>
      <c r="C10" t="inlineStr">
        <is>
          <t>Q_RANK</t>
        </is>
      </c>
      <c r="D10" t="inlineStr">
        <is>
          <t>Q_RANK_A</t>
        </is>
      </c>
      <c r="E10" t="inlineStr">
        <is>
          <t>All_Questions_Q_RANK_CT = I$24</t>
        </is>
      </c>
      <c r="H10">
        <f>IF(OR(All_Questions_Q_RANK_CT="(None)",I$24=""),"",IF(I$24="Other","",IF(All_Questions_Q_RANK_RM="Weighted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I$24)))*100,""))))))</f>
        <v>0</v>
      </c>
      <c r="I10" t="n">
        <v>62.5</v>
      </c>
      <c r="J10" t="n">
        <v>0</v>
      </c>
      <c r="K10" t="n">
        <v>0</v>
      </c>
      <c r="L10" t="inlineStr">
        <is>
          <t>2026-06-08T13:47:30.902462+00:00</t>
        </is>
      </c>
    </row>
    <row r="11">
      <c r="A11" t="inlineStr">
        <is>
          <t>All Questions</t>
        </is>
      </c>
      <c r="B11" t="inlineStr">
        <is>
          <t>cross_tab_by_rank_weighted_average</t>
        </is>
      </c>
      <c r="C11" t="inlineStr">
        <is>
          <t>Q_RANK</t>
        </is>
      </c>
      <c r="D11" t="inlineStr">
        <is>
          <t>Q_RANK_A</t>
        </is>
      </c>
      <c r="E11" t="inlineStr">
        <is>
          <t>All_Questions_Q_RANK_CT = I$24</t>
        </is>
      </c>
      <c r="H11">
        <f>IF(OR(All_Questions_Q_RANK_CT="(None)",I$24=""),"",IF(I$24="Other","",IF(All_Questions_Q_RANK_RM="Weighted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I$24)))*100,""))))))</f>
        <v>0</v>
      </c>
      <c r="I11" t="n">
        <v>62.5</v>
      </c>
      <c r="J11" t="n">
        <v>0</v>
      </c>
      <c r="K11" t="n">
        <v>0</v>
      </c>
      <c r="L11" t="inlineStr">
        <is>
          <t>2026-06-08T13:47:30.902469+00:00</t>
        </is>
      </c>
    </row>
    <row r="12">
      <c r="A12" t="inlineStr">
        <is>
          <t>All Questions</t>
        </is>
      </c>
      <c r="B12" t="inlineStr">
        <is>
          <t>cross_tab_by_rank_sum_of_ranks</t>
        </is>
      </c>
      <c r="C12" t="inlineStr">
        <is>
          <t>Q_RANK</t>
        </is>
      </c>
      <c r="D12" t="inlineStr">
        <is>
          <t>Q_RANK_A</t>
        </is>
      </c>
      <c r="E12" t="inlineStr">
        <is>
          <t>All_Questions_Q_RANK_CT = I$24</t>
        </is>
      </c>
      <c r="H12">
        <f>IF(OR(All_Questions_Q_RANK_CT="(None)",I$24=""),"",IF(I$24="Other","",IF(All_Questions_Q_RANK_RM="Weighted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I$24)))*100,""))))))</f>
        <v>0</v>
      </c>
      <c r="I12" t="n">
        <v>62.5</v>
      </c>
      <c r="J12" t="n">
        <v>0</v>
      </c>
      <c r="K12" t="n">
        <v>0</v>
      </c>
      <c r="L12" t="inlineStr">
        <is>
          <t>2026-06-08T13:47:30.902475+00:00</t>
        </is>
      </c>
    </row>
    <row r="13">
      <c r="A13" t="inlineStr">
        <is>
          <t>All Questions</t>
        </is>
      </c>
      <c r="B13" t="inlineStr">
        <is>
          <t>cross_tab_by_rank_position_count</t>
        </is>
      </c>
      <c r="C13" t="inlineStr">
        <is>
          <t>Q_RANK</t>
        </is>
      </c>
      <c r="D13" t="inlineStr">
        <is>
          <t>Q_RANK_A</t>
        </is>
      </c>
      <c r="E13" t="inlineStr">
        <is>
          <t>All_Questions_Q_RANK_CT = I$24</t>
        </is>
      </c>
      <c r="H13">
        <f>IF(OR(All_Questions_Q_RANK_CT="(None)",I$24=""),"",IF(I$24="Other","",IF(All_Questions_Q_RANK_RM="Weighted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I$24)))*100,""))))))</f>
        <v>0</v>
      </c>
      <c r="I13" t="n">
        <v>62.5</v>
      </c>
      <c r="J13" t="n">
        <v>0</v>
      </c>
      <c r="K13" t="n">
        <v>0</v>
      </c>
      <c r="L13" t="inlineStr">
        <is>
          <t>2026-06-08T13:47:30.902480+00:00</t>
        </is>
      </c>
    </row>
    <row r="14">
      <c r="A14" t="inlineStr">
        <is>
          <t>All Questions</t>
        </is>
      </c>
      <c r="B14" t="inlineStr">
        <is>
          <t>cross_tab_by_net_rank</t>
        </is>
      </c>
      <c r="C14" t="inlineStr">
        <is>
          <t>Q_RANK</t>
        </is>
      </c>
      <c r="D14" t="inlineStr">
        <is>
          <t>Q_RANK_A</t>
        </is>
      </c>
      <c r="E14" t="inlineStr">
        <is>
          <t>All_Questions_Q_RANK_CT = J$24</t>
        </is>
      </c>
      <c r="H14">
        <f>IF(OR(All_Questions_Q_RANK_CT="(None)",J$24=""),"",IF(J$24="Other","",IF(All_Questions_Q_RANK_RM="Weighted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J$24)))*100,""))))))</f>
        <v>0</v>
      </c>
      <c r="I14" t="n">
        <v>62.5</v>
      </c>
      <c r="J14" t="n">
        <v>0</v>
      </c>
      <c r="K14" t="n">
        <v>0</v>
      </c>
      <c r="L14" t="inlineStr">
        <is>
          <t>2026-06-08T13:47:30.902550+00:00</t>
        </is>
      </c>
    </row>
    <row r="15">
      <c r="A15" t="inlineStr">
        <is>
          <t>All Questions</t>
        </is>
      </c>
      <c r="B15" t="inlineStr">
        <is>
          <t>cross_tab_by_rank_weighted_average</t>
        </is>
      </c>
      <c r="C15" t="inlineStr">
        <is>
          <t>Q_RANK</t>
        </is>
      </c>
      <c r="D15" t="inlineStr">
        <is>
          <t>Q_RANK_A</t>
        </is>
      </c>
      <c r="E15" t="inlineStr">
        <is>
          <t>All_Questions_Q_RANK_CT = J$24</t>
        </is>
      </c>
      <c r="H15">
        <f>IF(OR(All_Questions_Q_RANK_CT="(None)",J$24=""),"",IF(J$24="Other","",IF(All_Questions_Q_RANK_RM="Weighted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J$24)))*100,""))))))</f>
        <v>0</v>
      </c>
      <c r="I15" t="n">
        <v>62.5</v>
      </c>
      <c r="J15" t="n">
        <v>0</v>
      </c>
      <c r="K15" t="n">
        <v>0</v>
      </c>
      <c r="L15" t="inlineStr">
        <is>
          <t>2026-06-08T13:47:30.902558+00:00</t>
        </is>
      </c>
    </row>
    <row r="16">
      <c r="A16" t="inlineStr">
        <is>
          <t>All Questions</t>
        </is>
      </c>
      <c r="B16" t="inlineStr">
        <is>
          <t>cross_tab_by_rank_sum_of_ranks</t>
        </is>
      </c>
      <c r="C16" t="inlineStr">
        <is>
          <t>Q_RANK</t>
        </is>
      </c>
      <c r="D16" t="inlineStr">
        <is>
          <t>Q_RANK_A</t>
        </is>
      </c>
      <c r="E16" t="inlineStr">
        <is>
          <t>All_Questions_Q_RANK_CT = J$24</t>
        </is>
      </c>
      <c r="H16">
        <f>IF(OR(All_Questions_Q_RANK_CT="(None)",J$24=""),"",IF(J$24="Other","",IF(All_Questions_Q_RANK_RM="Weighted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J$24)))*100,""))))))</f>
        <v>0</v>
      </c>
      <c r="I16" t="n">
        <v>62.5</v>
      </c>
      <c r="J16" t="n">
        <v>0</v>
      </c>
      <c r="K16" t="n">
        <v>0</v>
      </c>
      <c r="L16" t="inlineStr">
        <is>
          <t>2026-06-08T13:47:30.902564+00:00</t>
        </is>
      </c>
    </row>
    <row r="17">
      <c r="A17" t="inlineStr">
        <is>
          <t>All Questions</t>
        </is>
      </c>
      <c r="B17" t="inlineStr">
        <is>
          <t>cross_tab_by_rank_position_count</t>
        </is>
      </c>
      <c r="C17" t="inlineStr">
        <is>
          <t>Q_RANK</t>
        </is>
      </c>
      <c r="D17" t="inlineStr">
        <is>
          <t>Q_RANK_A</t>
        </is>
      </c>
      <c r="E17" t="inlineStr">
        <is>
          <t>All_Questions_Q_RANK_CT = J$24</t>
        </is>
      </c>
      <c r="H17">
        <f>IF(OR(All_Questions_Q_RANK_CT="(None)",J$24=""),"",IF(J$24="Other","",IF(All_Questions_Q_RANK_RM="Weighted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J$24)))*100,""))))))</f>
        <v>0</v>
      </c>
      <c r="I17" t="n">
        <v>62.5</v>
      </c>
      <c r="J17" t="n">
        <v>0</v>
      </c>
      <c r="K17" t="n">
        <v>0</v>
      </c>
      <c r="L17" t="inlineStr">
        <is>
          <t>2026-06-08T13:47:30.902571+00:00</t>
        </is>
      </c>
    </row>
    <row r="18">
      <c r="A18" t="inlineStr">
        <is>
          <t>All Questions</t>
        </is>
      </c>
      <c r="B18" t="inlineStr">
        <is>
          <t>cross_tab_by_net_rank</t>
        </is>
      </c>
      <c r="C18" t="inlineStr">
        <is>
          <t>Q_RANK</t>
        </is>
      </c>
      <c r="D18" t="inlineStr">
        <is>
          <t>Q_RANK_A</t>
        </is>
      </c>
      <c r="E18" t="inlineStr">
        <is>
          <t>All_Questions_Q_RANK_CT = K$24</t>
        </is>
      </c>
      <c r="H18">
        <f>IF(OR(All_Questions_Q_RANK_CT="(None)",K$24=""),"",IF(K$24="Other","",IF(All_Questions_Q_RANK_RM="Weighted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K$24)))*100,""))))))</f>
        <v>0</v>
      </c>
      <c r="I18" t="n">
        <v>62.5</v>
      </c>
      <c r="J18" t="n">
        <v>0</v>
      </c>
      <c r="K18" t="n">
        <v>0</v>
      </c>
      <c r="L18" t="inlineStr">
        <is>
          <t>2026-06-08T13:47:30.902640+00:00</t>
        </is>
      </c>
    </row>
    <row r="19">
      <c r="A19" t="inlineStr">
        <is>
          <t>All Questions</t>
        </is>
      </c>
      <c r="B19" t="inlineStr">
        <is>
          <t>cross_tab_by_rank_weighted_average</t>
        </is>
      </c>
      <c r="C19" t="inlineStr">
        <is>
          <t>Q_RANK</t>
        </is>
      </c>
      <c r="D19" t="inlineStr">
        <is>
          <t>Q_RANK_A</t>
        </is>
      </c>
      <c r="E19" t="inlineStr">
        <is>
          <t>All_Questions_Q_RANK_CT = K$24</t>
        </is>
      </c>
      <c r="H19">
        <f>IF(OR(All_Questions_Q_RANK_CT="(None)",K$24=""),"",IF(K$24="Other","",IF(All_Questions_Q_RANK_RM="Weighted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K$24)))*100,""))))))</f>
        <v>0</v>
      </c>
      <c r="I19" t="n">
        <v>62.5</v>
      </c>
      <c r="J19" t="n">
        <v>0</v>
      </c>
      <c r="K19" t="n">
        <v>0</v>
      </c>
      <c r="L19" t="inlineStr">
        <is>
          <t>2026-06-08T13:47:30.902647+00:00</t>
        </is>
      </c>
    </row>
    <row r="20">
      <c r="A20" t="inlineStr">
        <is>
          <t>All Questions</t>
        </is>
      </c>
      <c r="B20" t="inlineStr">
        <is>
          <t>cross_tab_by_rank_sum_of_ranks</t>
        </is>
      </c>
      <c r="C20" t="inlineStr">
        <is>
          <t>Q_RANK</t>
        </is>
      </c>
      <c r="D20" t="inlineStr">
        <is>
          <t>Q_RANK_A</t>
        </is>
      </c>
      <c r="E20" t="inlineStr">
        <is>
          <t>All_Questions_Q_RANK_CT = K$24</t>
        </is>
      </c>
      <c r="H20">
        <f>IF(OR(All_Questions_Q_RANK_CT="(None)",K$24=""),"",IF(K$24="Other","",IF(All_Questions_Q_RANK_RM="Weighted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K$24)))*100,""))))))</f>
        <v>0</v>
      </c>
      <c r="I20" t="n">
        <v>62.5</v>
      </c>
      <c r="J20" t="n">
        <v>0</v>
      </c>
      <c r="K20" t="n">
        <v>0</v>
      </c>
      <c r="L20" t="inlineStr">
        <is>
          <t>2026-06-08T13:47:30.902652+00:00</t>
        </is>
      </c>
    </row>
    <row r="21">
      <c r="A21" t="inlineStr">
        <is>
          <t>All Questions</t>
        </is>
      </c>
      <c r="B21" t="inlineStr">
        <is>
          <t>cross_tab_by_rank_position_count</t>
        </is>
      </c>
      <c r="C21" t="inlineStr">
        <is>
          <t>Q_RANK</t>
        </is>
      </c>
      <c r="D21" t="inlineStr">
        <is>
          <t>Q_RANK_A</t>
        </is>
      </c>
      <c r="E21" t="inlineStr">
        <is>
          <t>All_Questions_Q_RANK_CT = K$24</t>
        </is>
      </c>
      <c r="H21">
        <f>IF(OR(All_Questions_Q_RANK_CT="(None)",K$24=""),"",IF(K$24="Other","",IF(All_Questions_Q_RANK_RM="Weighted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K$24)))*100,""))))))</f>
        <v>0</v>
      </c>
      <c r="I21" t="n">
        <v>62.5</v>
      </c>
      <c r="J21" t="n">
        <v>0</v>
      </c>
      <c r="K21" t="n">
        <v>0</v>
      </c>
      <c r="L21" t="inlineStr">
        <is>
          <t>2026-06-08T13:47:30.902658+00:00</t>
        </is>
      </c>
    </row>
    <row r="22">
      <c r="A22" t="inlineStr">
        <is>
          <t>All Questions</t>
        </is>
      </c>
      <c r="B22" t="inlineStr">
        <is>
          <t>cross_tab_by_net_rank</t>
        </is>
      </c>
      <c r="C22" t="inlineStr">
        <is>
          <t>Q_RANK</t>
        </is>
      </c>
      <c r="D22" t="inlineStr">
        <is>
          <t>Q_RANK_A</t>
        </is>
      </c>
      <c r="E22" t="inlineStr">
        <is>
          <t>All_Questions_Q_RANK_CT = L$24</t>
        </is>
      </c>
      <c r="H22">
        <f>IF(OR(All_Questions_Q_RANK_CT="(None)",L$24=""),"",IF(L$24="Other","",IF(All_Questions_Q_RANK_RM="Weighted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L$24)))*100,""))))))</f>
        <v>0</v>
      </c>
      <c r="I22" t="n">
        <v>62.5</v>
      </c>
      <c r="J22" t="n">
        <v>0</v>
      </c>
      <c r="K22" t="n">
        <v>0</v>
      </c>
      <c r="L22" t="inlineStr">
        <is>
          <t>2026-06-08T13:47:30.902726+00:00</t>
        </is>
      </c>
    </row>
    <row r="23">
      <c r="A23" t="inlineStr">
        <is>
          <t>All Questions</t>
        </is>
      </c>
      <c r="B23" t="inlineStr">
        <is>
          <t>cross_tab_by_rank_weighted_average</t>
        </is>
      </c>
      <c r="C23" t="inlineStr">
        <is>
          <t>Q_RANK</t>
        </is>
      </c>
      <c r="D23" t="inlineStr">
        <is>
          <t>Q_RANK_A</t>
        </is>
      </c>
      <c r="E23" t="inlineStr">
        <is>
          <t>All_Questions_Q_RANK_CT = L$24</t>
        </is>
      </c>
      <c r="H23">
        <f>IF(OR(All_Questions_Q_RANK_CT="(None)",L$24=""),"",IF(L$24="Other","",IF(All_Questions_Q_RANK_RM="Weighted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L$24)))*100,""))))))</f>
        <v>0</v>
      </c>
      <c r="I23" t="n">
        <v>62.5</v>
      </c>
      <c r="J23" t="n">
        <v>0</v>
      </c>
      <c r="K23" t="n">
        <v>0</v>
      </c>
      <c r="L23" t="inlineStr">
        <is>
          <t>2026-06-08T13:47:30.902732+00:00</t>
        </is>
      </c>
    </row>
    <row r="24">
      <c r="A24" t="inlineStr">
        <is>
          <t>All Questions</t>
        </is>
      </c>
      <c r="B24" t="inlineStr">
        <is>
          <t>cross_tab_by_rank_sum_of_ranks</t>
        </is>
      </c>
      <c r="C24" t="inlineStr">
        <is>
          <t>Q_RANK</t>
        </is>
      </c>
      <c r="D24" t="inlineStr">
        <is>
          <t>Q_RANK_A</t>
        </is>
      </c>
      <c r="E24" t="inlineStr">
        <is>
          <t>All_Questions_Q_RANK_CT = L$24</t>
        </is>
      </c>
      <c r="H24">
        <f>IF(OR(All_Questions_Q_RANK_CT="(None)",L$24=""),"",IF(L$24="Other","",IF(All_Questions_Q_RANK_RM="Weighted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L$24)))*100,""))))))</f>
        <v>0</v>
      </c>
      <c r="I24" t="n">
        <v>62.5</v>
      </c>
      <c r="J24" t="n">
        <v>0</v>
      </c>
      <c r="K24" t="n">
        <v>0</v>
      </c>
      <c r="L24" t="inlineStr">
        <is>
          <t>2026-06-08T13:47:30.902738+00:00</t>
        </is>
      </c>
    </row>
    <row r="25">
      <c r="A25" t="inlineStr">
        <is>
          <t>All Questions</t>
        </is>
      </c>
      <c r="B25" t="inlineStr">
        <is>
          <t>cross_tab_by_rank_position_count</t>
        </is>
      </c>
      <c r="C25" t="inlineStr">
        <is>
          <t>Q_RANK</t>
        </is>
      </c>
      <c r="D25" t="inlineStr">
        <is>
          <t>Q_RANK_A</t>
        </is>
      </c>
      <c r="E25" t="inlineStr">
        <is>
          <t>All_Questions_Q_RANK_CT = L$24</t>
        </is>
      </c>
      <c r="H25">
        <f>IF(OR(All_Questions_Q_RANK_CT="(None)",L$24=""),"",IF(L$24="Other","",IF(All_Questions_Q_RANK_RM="Weighted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L$24)))*100,""))))))</f>
        <v>0</v>
      </c>
      <c r="I25" t="n">
        <v>62.5</v>
      </c>
      <c r="J25" t="n">
        <v>0</v>
      </c>
      <c r="K25" t="n">
        <v>0</v>
      </c>
      <c r="L25" t="inlineStr">
        <is>
          <t>2026-06-08T13:47:30.902743+00:00</t>
        </is>
      </c>
    </row>
    <row r="26">
      <c r="A26" t="inlineStr">
        <is>
          <t>All Questions</t>
        </is>
      </c>
      <c r="B26" t="inlineStr">
        <is>
          <t>cross_tab_by_net_rank</t>
        </is>
      </c>
      <c r="C26" t="inlineStr">
        <is>
          <t>Q_RANK</t>
        </is>
      </c>
      <c r="D26" t="inlineStr">
        <is>
          <t>Q_RANK_A</t>
        </is>
      </c>
      <c r="E26" t="inlineStr">
        <is>
          <t>All_Questions_Q_RANK_CT = M$24</t>
        </is>
      </c>
      <c r="H26">
        <f>IF(OR(All_Questions_Q_RANK_CT="(None)",M$24=""),"",IF(M$24="Other","",IF(All_Questions_Q_RANK_RM="Weighted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M$24)))*100,""))))))</f>
        <v>0</v>
      </c>
      <c r="I26" t="n">
        <v>62.5</v>
      </c>
      <c r="J26" t="n">
        <v>0</v>
      </c>
      <c r="K26" t="n">
        <v>0</v>
      </c>
      <c r="L26" t="inlineStr">
        <is>
          <t>2026-06-08T13:47:30.902812+00:00</t>
        </is>
      </c>
    </row>
    <row r="27">
      <c r="A27" t="inlineStr">
        <is>
          <t>All Questions</t>
        </is>
      </c>
      <c r="B27" t="inlineStr">
        <is>
          <t>cross_tab_by_rank_weighted_average</t>
        </is>
      </c>
      <c r="C27" t="inlineStr">
        <is>
          <t>Q_RANK</t>
        </is>
      </c>
      <c r="D27" t="inlineStr">
        <is>
          <t>Q_RANK_A</t>
        </is>
      </c>
      <c r="E27" t="inlineStr">
        <is>
          <t>All_Questions_Q_RANK_CT = M$24</t>
        </is>
      </c>
      <c r="H27">
        <f>IF(OR(All_Questions_Q_RANK_CT="(None)",M$24=""),"",IF(M$24="Other","",IF(All_Questions_Q_RANK_RM="Weighted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M$24)))*100,""))))))</f>
        <v>0</v>
      </c>
      <c r="I27" t="n">
        <v>62.5</v>
      </c>
      <c r="J27" t="n">
        <v>0</v>
      </c>
      <c r="K27" t="n">
        <v>0</v>
      </c>
      <c r="L27" t="inlineStr">
        <is>
          <t>2026-06-08T13:47:30.902819+00:00</t>
        </is>
      </c>
    </row>
    <row r="28">
      <c r="A28" t="inlineStr">
        <is>
          <t>All Questions</t>
        </is>
      </c>
      <c r="B28" t="inlineStr">
        <is>
          <t>cross_tab_by_rank_sum_of_ranks</t>
        </is>
      </c>
      <c r="C28" t="inlineStr">
        <is>
          <t>Q_RANK</t>
        </is>
      </c>
      <c r="D28" t="inlineStr">
        <is>
          <t>Q_RANK_A</t>
        </is>
      </c>
      <c r="E28" t="inlineStr">
        <is>
          <t>All_Questions_Q_RANK_CT = M$24</t>
        </is>
      </c>
      <c r="H28">
        <f>IF(OR(All_Questions_Q_RANK_CT="(None)",M$24=""),"",IF(M$24="Other","",IF(All_Questions_Q_RANK_RM="Weighted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M$24)))*100,""))))))</f>
        <v>0</v>
      </c>
      <c r="I28" t="n">
        <v>62.5</v>
      </c>
      <c r="J28" t="n">
        <v>0</v>
      </c>
      <c r="K28" t="n">
        <v>0</v>
      </c>
      <c r="L28" t="inlineStr">
        <is>
          <t>2026-06-08T13:47:30.902825+00:00</t>
        </is>
      </c>
    </row>
    <row r="29">
      <c r="A29" t="inlineStr">
        <is>
          <t>All Questions</t>
        </is>
      </c>
      <c r="B29" t="inlineStr">
        <is>
          <t>cross_tab_by_rank_position_count</t>
        </is>
      </c>
      <c r="C29" t="inlineStr">
        <is>
          <t>Q_RANK</t>
        </is>
      </c>
      <c r="D29" t="inlineStr">
        <is>
          <t>Q_RANK_A</t>
        </is>
      </c>
      <c r="E29" t="inlineStr">
        <is>
          <t>All_Questions_Q_RANK_CT = M$24</t>
        </is>
      </c>
      <c r="H29">
        <f>IF(OR(All_Questions_Q_RANK_CT="(None)",M$24=""),"",IF(M$24="Other","",IF(All_Questions_Q_RANK_RM="Weighted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M$24)))*100,""))))))</f>
        <v>0</v>
      </c>
      <c r="I29" t="n">
        <v>62.5</v>
      </c>
      <c r="J29" t="n">
        <v>0</v>
      </c>
      <c r="K29" t="n">
        <v>0</v>
      </c>
      <c r="L29" t="inlineStr">
        <is>
          <t>2026-06-08T13:47:30.902831+00:00</t>
        </is>
      </c>
    </row>
    <row r="30">
      <c r="A30" t="inlineStr">
        <is>
          <t>All Questions</t>
        </is>
      </c>
      <c r="B30" t="inlineStr">
        <is>
          <t>cross_tab_by_net_rank</t>
        </is>
      </c>
      <c r="C30" t="inlineStr">
        <is>
          <t>Q_RANK</t>
        </is>
      </c>
      <c r="D30" t="inlineStr">
        <is>
          <t>Q_RANK_A</t>
        </is>
      </c>
      <c r="E30" t="inlineStr">
        <is>
          <t>All_Questions_Q_RANK_CT = N$24</t>
        </is>
      </c>
      <c r="H30">
        <f>IF(OR(All_Questions_Q_RANK_CT="(None)",N$24=""),"",IF(N$24="Other","",IF(All_Questions_Q_RANK_RM="Weighted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N$24)))*100,""))))))</f>
        <v>0</v>
      </c>
      <c r="I30" t="n">
        <v>62.5</v>
      </c>
      <c r="J30" t="n">
        <v>0</v>
      </c>
      <c r="K30" t="n">
        <v>0</v>
      </c>
      <c r="L30" t="inlineStr">
        <is>
          <t>2026-06-08T13:47:30.902898+00:00</t>
        </is>
      </c>
    </row>
    <row r="31">
      <c r="A31" t="inlineStr">
        <is>
          <t>All Questions</t>
        </is>
      </c>
      <c r="B31" t="inlineStr">
        <is>
          <t>cross_tab_by_rank_weighted_average</t>
        </is>
      </c>
      <c r="C31" t="inlineStr">
        <is>
          <t>Q_RANK</t>
        </is>
      </c>
      <c r="D31" t="inlineStr">
        <is>
          <t>Q_RANK_A</t>
        </is>
      </c>
      <c r="E31" t="inlineStr">
        <is>
          <t>All_Questions_Q_RANK_CT = N$24</t>
        </is>
      </c>
      <c r="H31">
        <f>IF(OR(All_Questions_Q_RANK_CT="(None)",N$24=""),"",IF(N$24="Other","",IF(All_Questions_Q_RANK_RM="Weighted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N$24)))*100,""))))))</f>
        <v>0</v>
      </c>
      <c r="I31" t="n">
        <v>62.5</v>
      </c>
      <c r="J31" t="n">
        <v>0</v>
      </c>
      <c r="K31" t="n">
        <v>0</v>
      </c>
      <c r="L31" t="inlineStr">
        <is>
          <t>2026-06-08T13:47:30.902905+00:00</t>
        </is>
      </c>
    </row>
    <row r="32">
      <c r="A32" t="inlineStr">
        <is>
          <t>All Questions</t>
        </is>
      </c>
      <c r="B32" t="inlineStr">
        <is>
          <t>cross_tab_by_rank_sum_of_ranks</t>
        </is>
      </c>
      <c r="C32" t="inlineStr">
        <is>
          <t>Q_RANK</t>
        </is>
      </c>
      <c r="D32" t="inlineStr">
        <is>
          <t>Q_RANK_A</t>
        </is>
      </c>
      <c r="E32" t="inlineStr">
        <is>
          <t>All_Questions_Q_RANK_CT = N$24</t>
        </is>
      </c>
      <c r="H32">
        <f>IF(OR(All_Questions_Q_RANK_CT="(None)",N$24=""),"",IF(N$24="Other","",IF(All_Questions_Q_RANK_RM="Weighted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N$24)))*100,""))))))</f>
        <v>0</v>
      </c>
      <c r="I32" t="n">
        <v>62.5</v>
      </c>
      <c r="J32" t="n">
        <v>0</v>
      </c>
      <c r="K32" t="n">
        <v>0</v>
      </c>
      <c r="L32" t="inlineStr">
        <is>
          <t>2026-06-08T13:47:30.902911+00:00</t>
        </is>
      </c>
    </row>
    <row r="33">
      <c r="A33" t="inlineStr">
        <is>
          <t>All Questions</t>
        </is>
      </c>
      <c r="B33" t="inlineStr">
        <is>
          <t>cross_tab_by_rank_position_count</t>
        </is>
      </c>
      <c r="C33" t="inlineStr">
        <is>
          <t>Q_RANK</t>
        </is>
      </c>
      <c r="D33" t="inlineStr">
        <is>
          <t>Q_RANK_A</t>
        </is>
      </c>
      <c r="E33" t="inlineStr">
        <is>
          <t>All_Questions_Q_RANK_CT = N$24</t>
        </is>
      </c>
      <c r="H33">
        <f>IF(OR(All_Questions_Q_RANK_CT="(None)",N$24=""),"",IF(N$24="Other","",IF(All_Questions_Q_RANK_RM="Weighted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N$24)))*100,""))))))</f>
        <v>0</v>
      </c>
      <c r="I33" t="n">
        <v>62.5</v>
      </c>
      <c r="J33" t="n">
        <v>0</v>
      </c>
      <c r="K33" t="n">
        <v>0</v>
      </c>
      <c r="L33" t="inlineStr">
        <is>
          <t>2026-06-08T13:47:30.902917+00:00</t>
        </is>
      </c>
    </row>
    <row r="34">
      <c r="A34" t="inlineStr">
        <is>
          <t>All Questions</t>
        </is>
      </c>
      <c r="B34" t="inlineStr">
        <is>
          <t>cross_tab_by_net_rank</t>
        </is>
      </c>
      <c r="C34" t="inlineStr">
        <is>
          <t>Q_RANK</t>
        </is>
      </c>
      <c r="D34" t="inlineStr">
        <is>
          <t>Q_RANK_A</t>
        </is>
      </c>
      <c r="E34" t="inlineStr">
        <is>
          <t>All_Questions_Q_RANK_CT = O$24</t>
        </is>
      </c>
      <c r="H34">
        <f>IF(OR(All_Questions_Q_RANK_CT="(None)",O$24=""),"",IF(O$24="Other","",IF(All_Questions_Q_RANK_RM="Weighted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O$24)))*100,""))))))</f>
        <v>0</v>
      </c>
      <c r="I34" t="n">
        <v>62.5</v>
      </c>
      <c r="J34" t="n">
        <v>0</v>
      </c>
      <c r="K34" t="n">
        <v>0</v>
      </c>
      <c r="L34" t="inlineStr">
        <is>
          <t>2026-06-08T13:47:30.903011+00:00</t>
        </is>
      </c>
    </row>
    <row r="35">
      <c r="A35" t="inlineStr">
        <is>
          <t>All Questions</t>
        </is>
      </c>
      <c r="B35" t="inlineStr">
        <is>
          <t>cross_tab_by_rank_weighted_average</t>
        </is>
      </c>
      <c r="C35" t="inlineStr">
        <is>
          <t>Q_RANK</t>
        </is>
      </c>
      <c r="D35" t="inlineStr">
        <is>
          <t>Q_RANK_A</t>
        </is>
      </c>
      <c r="E35" t="inlineStr">
        <is>
          <t>All_Questions_Q_RANK_CT = O$24</t>
        </is>
      </c>
      <c r="H35">
        <f>IF(OR(All_Questions_Q_RANK_CT="(None)",O$24=""),"",IF(O$24="Other","",IF(All_Questions_Q_RANK_RM="Weighted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O$24)))*100,""))))))</f>
        <v>0</v>
      </c>
      <c r="I35" t="n">
        <v>62.5</v>
      </c>
      <c r="J35" t="n">
        <v>0</v>
      </c>
      <c r="K35" t="n">
        <v>0</v>
      </c>
      <c r="L35" t="inlineStr">
        <is>
          <t>2026-06-08T13:47:30.903022+00:00</t>
        </is>
      </c>
    </row>
    <row r="36">
      <c r="A36" t="inlineStr">
        <is>
          <t>All Questions</t>
        </is>
      </c>
      <c r="B36" t="inlineStr">
        <is>
          <t>cross_tab_by_rank_sum_of_ranks</t>
        </is>
      </c>
      <c r="C36" t="inlineStr">
        <is>
          <t>Q_RANK</t>
        </is>
      </c>
      <c r="D36" t="inlineStr">
        <is>
          <t>Q_RANK_A</t>
        </is>
      </c>
      <c r="E36" t="inlineStr">
        <is>
          <t>All_Questions_Q_RANK_CT = O$24</t>
        </is>
      </c>
      <c r="H36">
        <f>IF(OR(All_Questions_Q_RANK_CT="(None)",O$24=""),"",IF(O$24="Other","",IF(All_Questions_Q_RANK_RM="Weighted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O$24)))*100,""))))))</f>
        <v>0</v>
      </c>
      <c r="I36" t="n">
        <v>62.5</v>
      </c>
      <c r="J36" t="n">
        <v>0</v>
      </c>
      <c r="K36" t="n">
        <v>0</v>
      </c>
      <c r="L36" t="inlineStr">
        <is>
          <t>2026-06-08T13:47:30.903029+00:00</t>
        </is>
      </c>
    </row>
    <row r="37">
      <c r="A37" t="inlineStr">
        <is>
          <t>All Questions</t>
        </is>
      </c>
      <c r="B37" t="inlineStr">
        <is>
          <t>cross_tab_by_rank_position_count</t>
        </is>
      </c>
      <c r="C37" t="inlineStr">
        <is>
          <t>Q_RANK</t>
        </is>
      </c>
      <c r="D37" t="inlineStr">
        <is>
          <t>Q_RANK_A</t>
        </is>
      </c>
      <c r="E37" t="inlineStr">
        <is>
          <t>All_Questions_Q_RANK_CT = O$24</t>
        </is>
      </c>
      <c r="H37">
        <f>IF(OR(All_Questions_Q_RANK_CT="(None)",O$24=""),"",IF(O$24="Other","",IF(All_Questions_Q_RANK_RM="Weighted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O$24)))*100,""))))))</f>
        <v>0</v>
      </c>
      <c r="I37" t="n">
        <v>62.5</v>
      </c>
      <c r="J37" t="n">
        <v>0</v>
      </c>
      <c r="K37" t="n">
        <v>0</v>
      </c>
      <c r="L37" t="inlineStr">
        <is>
          <t>2026-06-08T13:47:30.903035+00:00</t>
        </is>
      </c>
    </row>
    <row r="38">
      <c r="A38" t="inlineStr">
        <is>
          <t>All Questions</t>
        </is>
      </c>
      <c r="B38" t="inlineStr">
        <is>
          <t>cross_tab_by_net_rank</t>
        </is>
      </c>
      <c r="C38" t="inlineStr">
        <is>
          <t>Q_RANK</t>
        </is>
      </c>
      <c r="D38" t="inlineStr">
        <is>
          <t>Q_RANK_A</t>
        </is>
      </c>
      <c r="E38" t="inlineStr">
        <is>
          <t>All_Questions_Q_RANK_CT = P$24</t>
        </is>
      </c>
      <c r="H38">
        <f>IF(OR(All_Questions_Q_RANK_CT="(None)",P$24=""),"",IF(P$24="Other","",IF(All_Questions_Q_RANK_RM="Weighted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P$24)))*100,""))))))</f>
        <v>0</v>
      </c>
      <c r="I38" t="n">
        <v>62.5</v>
      </c>
      <c r="J38" t="n">
        <v>0</v>
      </c>
      <c r="K38" t="n">
        <v>0</v>
      </c>
      <c r="L38" t="inlineStr">
        <is>
          <t>2026-06-08T13:47:30.903110+00:00</t>
        </is>
      </c>
    </row>
    <row r="39">
      <c r="A39" t="inlineStr">
        <is>
          <t>All Questions</t>
        </is>
      </c>
      <c r="B39" t="inlineStr">
        <is>
          <t>cross_tab_by_rank_weighted_average</t>
        </is>
      </c>
      <c r="C39" t="inlineStr">
        <is>
          <t>Q_RANK</t>
        </is>
      </c>
      <c r="D39" t="inlineStr">
        <is>
          <t>Q_RANK_A</t>
        </is>
      </c>
      <c r="E39" t="inlineStr">
        <is>
          <t>All_Questions_Q_RANK_CT = P$24</t>
        </is>
      </c>
      <c r="H39">
        <f>IF(OR(All_Questions_Q_RANK_CT="(None)",P$24=""),"",IF(P$24="Other","",IF(All_Questions_Q_RANK_RM="Weighted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P$24)))*100,""))))))</f>
        <v>0</v>
      </c>
      <c r="I39" t="n">
        <v>62.5</v>
      </c>
      <c r="J39" t="n">
        <v>0</v>
      </c>
      <c r="K39" t="n">
        <v>0</v>
      </c>
      <c r="L39" t="inlineStr">
        <is>
          <t>2026-06-08T13:47:30.903119+00:00</t>
        </is>
      </c>
    </row>
    <row r="40">
      <c r="A40" t="inlineStr">
        <is>
          <t>All Questions</t>
        </is>
      </c>
      <c r="B40" t="inlineStr">
        <is>
          <t>cross_tab_by_rank_sum_of_ranks</t>
        </is>
      </c>
      <c r="C40" t="inlineStr">
        <is>
          <t>Q_RANK</t>
        </is>
      </c>
      <c r="D40" t="inlineStr">
        <is>
          <t>Q_RANK_A</t>
        </is>
      </c>
      <c r="E40" t="inlineStr">
        <is>
          <t>All_Questions_Q_RANK_CT = P$24</t>
        </is>
      </c>
      <c r="H40">
        <f>IF(OR(All_Questions_Q_RANK_CT="(None)",P$24=""),"",IF(P$24="Other","",IF(All_Questions_Q_RANK_RM="Weighted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P$24)))*100,""))))))</f>
        <v>0</v>
      </c>
      <c r="I40" t="n">
        <v>62.5</v>
      </c>
      <c r="J40" t="n">
        <v>0</v>
      </c>
      <c r="K40" t="n">
        <v>0</v>
      </c>
      <c r="L40" t="inlineStr">
        <is>
          <t>2026-06-08T13:47:30.903125+00:00</t>
        </is>
      </c>
    </row>
    <row r="41">
      <c r="A41" t="inlineStr">
        <is>
          <t>All Questions</t>
        </is>
      </c>
      <c r="B41" t="inlineStr">
        <is>
          <t>cross_tab_by_rank_position_count</t>
        </is>
      </c>
      <c r="C41" t="inlineStr">
        <is>
          <t>Q_RANK</t>
        </is>
      </c>
      <c r="D41" t="inlineStr">
        <is>
          <t>Q_RANK_A</t>
        </is>
      </c>
      <c r="E41" t="inlineStr">
        <is>
          <t>All_Questions_Q_RANK_CT = P$24</t>
        </is>
      </c>
      <c r="H41">
        <f>IF(OR(All_Questions_Q_RANK_CT="(None)",P$24=""),"",IF(P$24="Other","",IF(All_Questions_Q_RANK_RM="Weighted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P$24)))*100,""))))))</f>
        <v>0</v>
      </c>
      <c r="I41" t="n">
        <v>62.5</v>
      </c>
      <c r="J41" t="n">
        <v>0</v>
      </c>
      <c r="K41" t="n">
        <v>0</v>
      </c>
      <c r="L41" t="inlineStr">
        <is>
          <t>2026-06-08T13:47:30.903130+00:00</t>
        </is>
      </c>
    </row>
    <row r="42">
      <c r="A42" t="inlineStr">
        <is>
          <t>All Questions</t>
        </is>
      </c>
      <c r="B42" t="inlineStr">
        <is>
          <t>cross_tab_by_net_rank</t>
        </is>
      </c>
      <c r="C42" t="inlineStr">
        <is>
          <t>Q_RANK</t>
        </is>
      </c>
      <c r="D42" t="inlineStr">
        <is>
          <t>Q_RANK_A</t>
        </is>
      </c>
      <c r="E42" t="inlineStr">
        <is>
          <t>All_Questions_Q_RANK_CT = Q$24</t>
        </is>
      </c>
      <c r="H42">
        <f>IF(OR(All_Questions_Q_RANK_CT="(None)",Q$24=""),"",IF(Q$24="Other","",IF(All_Questions_Q_RANK_RM="Weighted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Q$24)))*100,""))))))</f>
        <v>0</v>
      </c>
      <c r="I42" t="n">
        <v>62.5</v>
      </c>
      <c r="J42" t="n">
        <v>0</v>
      </c>
      <c r="K42" t="n">
        <v>0</v>
      </c>
      <c r="L42" t="inlineStr">
        <is>
          <t>2026-06-08T13:47:30.903202+00:00</t>
        </is>
      </c>
    </row>
    <row r="43">
      <c r="A43" t="inlineStr">
        <is>
          <t>All Questions</t>
        </is>
      </c>
      <c r="B43" t="inlineStr">
        <is>
          <t>cross_tab_by_rank_weighted_average</t>
        </is>
      </c>
      <c r="C43" t="inlineStr">
        <is>
          <t>Q_RANK</t>
        </is>
      </c>
      <c r="D43" t="inlineStr">
        <is>
          <t>Q_RANK_A</t>
        </is>
      </c>
      <c r="E43" t="inlineStr">
        <is>
          <t>All_Questions_Q_RANK_CT = Q$24</t>
        </is>
      </c>
      <c r="H43">
        <f>IF(OR(All_Questions_Q_RANK_CT="(None)",Q$24=""),"",IF(Q$24="Other","",IF(All_Questions_Q_RANK_RM="Weighted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Q$24)))*100,""))))))</f>
        <v>0</v>
      </c>
      <c r="I43" t="n">
        <v>62.5</v>
      </c>
      <c r="J43" t="n">
        <v>0</v>
      </c>
      <c r="K43" t="n">
        <v>0</v>
      </c>
      <c r="L43" t="inlineStr">
        <is>
          <t>2026-06-08T13:47:30.903210+00:00</t>
        </is>
      </c>
    </row>
    <row r="44">
      <c r="A44" t="inlineStr">
        <is>
          <t>All Questions</t>
        </is>
      </c>
      <c r="B44" t="inlineStr">
        <is>
          <t>cross_tab_by_rank_sum_of_ranks</t>
        </is>
      </c>
      <c r="C44" t="inlineStr">
        <is>
          <t>Q_RANK</t>
        </is>
      </c>
      <c r="D44" t="inlineStr">
        <is>
          <t>Q_RANK_A</t>
        </is>
      </c>
      <c r="E44" t="inlineStr">
        <is>
          <t>All_Questions_Q_RANK_CT = Q$24</t>
        </is>
      </c>
      <c r="H44">
        <f>IF(OR(All_Questions_Q_RANK_CT="(None)",Q$24=""),"",IF(Q$24="Other","",IF(All_Questions_Q_RANK_RM="Weighted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Q$24)))*100,""))))))</f>
        <v>0</v>
      </c>
      <c r="I44" t="n">
        <v>62.5</v>
      </c>
      <c r="J44" t="n">
        <v>0</v>
      </c>
      <c r="K44" t="n">
        <v>0</v>
      </c>
      <c r="L44" t="inlineStr">
        <is>
          <t>2026-06-08T13:47:30.903216+00:00</t>
        </is>
      </c>
    </row>
    <row r="45">
      <c r="A45" t="inlineStr">
        <is>
          <t>All Questions</t>
        </is>
      </c>
      <c r="B45" t="inlineStr">
        <is>
          <t>cross_tab_by_rank_position_count</t>
        </is>
      </c>
      <c r="C45" t="inlineStr">
        <is>
          <t>Q_RANK</t>
        </is>
      </c>
      <c r="D45" t="inlineStr">
        <is>
          <t>Q_RANK_A</t>
        </is>
      </c>
      <c r="E45" t="inlineStr">
        <is>
          <t>All_Questions_Q_RANK_CT = Q$24</t>
        </is>
      </c>
      <c r="H45">
        <f>IF(OR(All_Questions_Q_RANK_CT="(None)",Q$24=""),"",IF(Q$24="Other","",IF(All_Questions_Q_RANK_RM="Weighted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Q$24)))*100,""))))))</f>
        <v>0</v>
      </c>
      <c r="I45" t="n">
        <v>62.5</v>
      </c>
      <c r="J45" t="n">
        <v>0</v>
      </c>
      <c r="K45" t="n">
        <v>0</v>
      </c>
      <c r="L45" t="inlineStr">
        <is>
          <t>2026-06-08T13:47:30.903223+00:00</t>
        </is>
      </c>
    </row>
    <row r="46">
      <c r="A46" t="inlineStr">
        <is>
          <t>All Questions</t>
        </is>
      </c>
      <c r="B46" t="inlineStr">
        <is>
          <t>cross_tab_by_net_rank</t>
        </is>
      </c>
      <c r="C46" t="inlineStr">
        <is>
          <t>Q_RANK</t>
        </is>
      </c>
      <c r="D46" t="inlineStr">
        <is>
          <t>Q_RANK_A</t>
        </is>
      </c>
      <c r="E46" t="inlineStr">
        <is>
          <t>All_Questions_Q_RANK_CT = R$24</t>
        </is>
      </c>
      <c r="H46">
        <f>IF(OR(All_Questions_Q_RANK_CT="(None)",R$24=""),"",IF(R$24="Other","",IF(All_Questions_Q_RANK_RM="Weighted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R$24)))*100,""))))))</f>
        <v>0</v>
      </c>
      <c r="I46" t="n">
        <v>62.5</v>
      </c>
      <c r="J46" t="n">
        <v>0</v>
      </c>
      <c r="K46" t="n">
        <v>0</v>
      </c>
      <c r="L46" t="inlineStr">
        <is>
          <t>2026-06-08T13:47:30.903326+00:00</t>
        </is>
      </c>
    </row>
    <row r="47">
      <c r="A47" t="inlineStr">
        <is>
          <t>All Questions</t>
        </is>
      </c>
      <c r="B47" t="inlineStr">
        <is>
          <t>cross_tab_by_rank_weighted_average</t>
        </is>
      </c>
      <c r="C47" t="inlineStr">
        <is>
          <t>Q_RANK</t>
        </is>
      </c>
      <c r="D47" t="inlineStr">
        <is>
          <t>Q_RANK_A</t>
        </is>
      </c>
      <c r="E47" t="inlineStr">
        <is>
          <t>All_Questions_Q_RANK_CT = R$24</t>
        </is>
      </c>
      <c r="H47">
        <f>IF(OR(All_Questions_Q_RANK_CT="(None)",R$24=""),"",IF(R$24="Other","",IF(All_Questions_Q_RANK_RM="Weighted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R$24)))*100,""))))))</f>
        <v>0</v>
      </c>
      <c r="I47" t="n">
        <v>62.5</v>
      </c>
      <c r="J47" t="n">
        <v>0</v>
      </c>
      <c r="K47" t="n">
        <v>0</v>
      </c>
      <c r="L47" t="inlineStr">
        <is>
          <t>2026-06-08T13:47:30.903335+00:00</t>
        </is>
      </c>
    </row>
    <row r="48">
      <c r="A48" t="inlineStr">
        <is>
          <t>All Questions</t>
        </is>
      </c>
      <c r="B48" t="inlineStr">
        <is>
          <t>cross_tab_by_rank_sum_of_ranks</t>
        </is>
      </c>
      <c r="C48" t="inlineStr">
        <is>
          <t>Q_RANK</t>
        </is>
      </c>
      <c r="D48" t="inlineStr">
        <is>
          <t>Q_RANK_A</t>
        </is>
      </c>
      <c r="E48" t="inlineStr">
        <is>
          <t>All_Questions_Q_RANK_CT = R$24</t>
        </is>
      </c>
      <c r="H48">
        <f>IF(OR(All_Questions_Q_RANK_CT="(None)",R$24=""),"",IF(R$24="Other","",IF(All_Questions_Q_RANK_RM="Weighted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R$24)))*100,""))))))</f>
        <v>0</v>
      </c>
      <c r="I48" t="n">
        <v>62.5</v>
      </c>
      <c r="J48" t="n">
        <v>0</v>
      </c>
      <c r="K48" t="n">
        <v>0</v>
      </c>
      <c r="L48" t="inlineStr">
        <is>
          <t>2026-06-08T13:47:30.903341+00:00</t>
        </is>
      </c>
    </row>
    <row r="49">
      <c r="A49" t="inlineStr">
        <is>
          <t>All Questions</t>
        </is>
      </c>
      <c r="B49" t="inlineStr">
        <is>
          <t>cross_tab_by_rank_position_count</t>
        </is>
      </c>
      <c r="C49" t="inlineStr">
        <is>
          <t>Q_RANK</t>
        </is>
      </c>
      <c r="D49" t="inlineStr">
        <is>
          <t>Q_RANK_A</t>
        </is>
      </c>
      <c r="E49" t="inlineStr">
        <is>
          <t>All_Questions_Q_RANK_CT = R$24</t>
        </is>
      </c>
      <c r="H49">
        <f>IF(OR(All_Questions_Q_RANK_CT="(None)",R$24=""),"",IF(R$24="Other","",IF(All_Questions_Q_RANK_RM="Weighted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R$24)))*100,""))))))</f>
        <v>0</v>
      </c>
      <c r="I49" t="n">
        <v>62.5</v>
      </c>
      <c r="J49" t="n">
        <v>0</v>
      </c>
      <c r="K49" t="n">
        <v>0</v>
      </c>
      <c r="L49" t="inlineStr">
        <is>
          <t>2026-06-08T13:47:30.903347+00:00</t>
        </is>
      </c>
    </row>
    <row r="50">
      <c r="A50" t="inlineStr">
        <is>
          <t>All Questions</t>
        </is>
      </c>
      <c r="B50" t="inlineStr">
        <is>
          <t>cross_tab_by_net_rank</t>
        </is>
      </c>
      <c r="C50" t="inlineStr">
        <is>
          <t>Q_RANK</t>
        </is>
      </c>
      <c r="D50" t="inlineStr">
        <is>
          <t>Q_RANK_B</t>
        </is>
      </c>
      <c r="E50" t="inlineStr">
        <is>
          <t>All_Questions_Q_RANK_CT = G$24</t>
        </is>
      </c>
      <c r="H50">
        <f>IF(OR(All_Questions_Q_RANK_CT="(None)",G$24=""),"",IF(G$24="Other","",IF(All_Questions_Q_RANK_RM="Weighted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G$24)))*100,""))))))</f>
        <v>0</v>
      </c>
      <c r="I50" t="n">
        <v>37.5</v>
      </c>
      <c r="J50" t="n">
        <v>0</v>
      </c>
      <c r="K50" t="n">
        <v>0</v>
      </c>
      <c r="L50" t="inlineStr">
        <is>
          <t>2026-06-08T13:47:30.903476+00:00</t>
        </is>
      </c>
    </row>
    <row r="51">
      <c r="A51" t="inlineStr">
        <is>
          <t>All Questions</t>
        </is>
      </c>
      <c r="B51" t="inlineStr">
        <is>
          <t>cross_tab_by_rank_weighted_average</t>
        </is>
      </c>
      <c r="C51" t="inlineStr">
        <is>
          <t>Q_RANK</t>
        </is>
      </c>
      <c r="D51" t="inlineStr">
        <is>
          <t>Q_RANK_B</t>
        </is>
      </c>
      <c r="E51" t="inlineStr">
        <is>
          <t>All_Questions_Q_RANK_CT = G$24</t>
        </is>
      </c>
      <c r="H51">
        <f>IF(OR(All_Questions_Q_RANK_CT="(None)",G$24=""),"",IF(G$24="Other","",IF(All_Questions_Q_RANK_RM="Weighted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G$24)))*100,""))))))</f>
        <v>0</v>
      </c>
      <c r="I51" t="n">
        <v>37.5</v>
      </c>
      <c r="J51" t="n">
        <v>0</v>
      </c>
      <c r="K51" t="n">
        <v>0</v>
      </c>
      <c r="L51" t="inlineStr">
        <is>
          <t>2026-06-08T13:47:30.903484+00:00</t>
        </is>
      </c>
    </row>
    <row r="52">
      <c r="A52" t="inlineStr">
        <is>
          <t>All Questions</t>
        </is>
      </c>
      <c r="B52" t="inlineStr">
        <is>
          <t>cross_tab_by_rank_sum_of_ranks</t>
        </is>
      </c>
      <c r="C52" t="inlineStr">
        <is>
          <t>Q_RANK</t>
        </is>
      </c>
      <c r="D52" t="inlineStr">
        <is>
          <t>Q_RANK_B</t>
        </is>
      </c>
      <c r="E52" t="inlineStr">
        <is>
          <t>All_Questions_Q_RANK_CT = G$24</t>
        </is>
      </c>
      <c r="H52">
        <f>IF(OR(All_Questions_Q_RANK_CT="(None)",G$24=""),"",IF(G$24="Other","",IF(All_Questions_Q_RANK_RM="Weighted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G$24)))*100,""))))))</f>
        <v>0</v>
      </c>
      <c r="I52" t="n">
        <v>37.5</v>
      </c>
      <c r="J52" t="n">
        <v>0</v>
      </c>
      <c r="K52" t="n">
        <v>0</v>
      </c>
      <c r="L52" t="inlineStr">
        <is>
          <t>2026-06-08T13:47:30.903490+00:00</t>
        </is>
      </c>
    </row>
    <row r="53">
      <c r="A53" t="inlineStr">
        <is>
          <t>All Questions</t>
        </is>
      </c>
      <c r="B53" t="inlineStr">
        <is>
          <t>cross_tab_by_rank_position_count</t>
        </is>
      </c>
      <c r="C53" t="inlineStr">
        <is>
          <t>Q_RANK</t>
        </is>
      </c>
      <c r="D53" t="inlineStr">
        <is>
          <t>Q_RANK_B</t>
        </is>
      </c>
      <c r="E53" t="inlineStr">
        <is>
          <t>All_Questions_Q_RANK_CT = G$24</t>
        </is>
      </c>
      <c r="H53">
        <f>IF(OR(All_Questions_Q_RANK_CT="(None)",G$24=""),"",IF(G$24="Other","",IF(All_Questions_Q_RANK_RM="Weighted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G$24)))*100,""))))))</f>
        <v>0</v>
      </c>
      <c r="I53" t="n">
        <v>37.5</v>
      </c>
      <c r="J53" t="n">
        <v>0</v>
      </c>
      <c r="K53" t="n">
        <v>0</v>
      </c>
      <c r="L53" t="inlineStr">
        <is>
          <t>2026-06-08T13:47:30.903495+00:00</t>
        </is>
      </c>
    </row>
    <row r="54">
      <c r="A54" t="inlineStr">
        <is>
          <t>All Questions</t>
        </is>
      </c>
      <c r="B54" t="inlineStr">
        <is>
          <t>cross_tab_by_net_rank</t>
        </is>
      </c>
      <c r="C54" t="inlineStr">
        <is>
          <t>Q_RANK</t>
        </is>
      </c>
      <c r="D54" t="inlineStr">
        <is>
          <t>Q_RANK_B</t>
        </is>
      </c>
      <c r="E54" t="inlineStr">
        <is>
          <t>All_Questions_Q_RANK_CT = H$24</t>
        </is>
      </c>
      <c r="H54">
        <f>IF(OR(All_Questions_Q_RANK_CT="(None)",H$24=""),"",IF(H$24="Other","",IF(All_Questions_Q_RANK_RM="Weighted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H$24)))*100,""))))))</f>
        <v>0</v>
      </c>
      <c r="I54" t="n">
        <v>37.5</v>
      </c>
      <c r="J54" t="n">
        <v>0</v>
      </c>
      <c r="K54" t="n">
        <v>0</v>
      </c>
      <c r="L54" t="inlineStr">
        <is>
          <t>2026-06-08T13:47:30.903565+00:00</t>
        </is>
      </c>
    </row>
    <row r="55">
      <c r="A55" t="inlineStr">
        <is>
          <t>All Questions</t>
        </is>
      </c>
      <c r="B55" t="inlineStr">
        <is>
          <t>cross_tab_by_rank_weighted_average</t>
        </is>
      </c>
      <c r="C55" t="inlineStr">
        <is>
          <t>Q_RANK</t>
        </is>
      </c>
      <c r="D55" t="inlineStr">
        <is>
          <t>Q_RANK_B</t>
        </is>
      </c>
      <c r="E55" t="inlineStr">
        <is>
          <t>All_Questions_Q_RANK_CT = H$24</t>
        </is>
      </c>
      <c r="H55">
        <f>IF(OR(All_Questions_Q_RANK_CT="(None)",H$24=""),"",IF(H$24="Other","",IF(All_Questions_Q_RANK_RM="Weighted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H$24)))*100,""))))))</f>
        <v>0</v>
      </c>
      <c r="I55" t="n">
        <v>37.5</v>
      </c>
      <c r="J55" t="n">
        <v>0</v>
      </c>
      <c r="K55" t="n">
        <v>0</v>
      </c>
      <c r="L55" t="inlineStr">
        <is>
          <t>2026-06-08T13:47:30.903572+00:00</t>
        </is>
      </c>
    </row>
    <row r="56">
      <c r="A56" t="inlineStr">
        <is>
          <t>All Questions</t>
        </is>
      </c>
      <c r="B56" t="inlineStr">
        <is>
          <t>cross_tab_by_rank_sum_of_ranks</t>
        </is>
      </c>
      <c r="C56" t="inlineStr">
        <is>
          <t>Q_RANK</t>
        </is>
      </c>
      <c r="D56" t="inlineStr">
        <is>
          <t>Q_RANK_B</t>
        </is>
      </c>
      <c r="E56" t="inlineStr">
        <is>
          <t>All_Questions_Q_RANK_CT = H$24</t>
        </is>
      </c>
      <c r="H56">
        <f>IF(OR(All_Questions_Q_RANK_CT="(None)",H$24=""),"",IF(H$24="Other","",IF(All_Questions_Q_RANK_RM="Weighted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H$24)))*100,""))))))</f>
        <v>0</v>
      </c>
      <c r="I56" t="n">
        <v>37.5</v>
      </c>
      <c r="J56" t="n">
        <v>0</v>
      </c>
      <c r="K56" t="n">
        <v>0</v>
      </c>
      <c r="L56" t="inlineStr">
        <is>
          <t>2026-06-08T13:47:30.903577+00:00</t>
        </is>
      </c>
    </row>
    <row r="57">
      <c r="A57" t="inlineStr">
        <is>
          <t>All Questions</t>
        </is>
      </c>
      <c r="B57" t="inlineStr">
        <is>
          <t>cross_tab_by_rank_position_count</t>
        </is>
      </c>
      <c r="C57" t="inlineStr">
        <is>
          <t>Q_RANK</t>
        </is>
      </c>
      <c r="D57" t="inlineStr">
        <is>
          <t>Q_RANK_B</t>
        </is>
      </c>
      <c r="E57" t="inlineStr">
        <is>
          <t>All_Questions_Q_RANK_CT = H$24</t>
        </is>
      </c>
      <c r="H57">
        <f>IF(OR(All_Questions_Q_RANK_CT="(None)",H$24=""),"",IF(H$24="Other","",IF(All_Questions_Q_RANK_RM="Weighted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H$24)))*100,""))))))</f>
        <v>0</v>
      </c>
      <c r="I57" t="n">
        <v>37.5</v>
      </c>
      <c r="J57" t="n">
        <v>0</v>
      </c>
      <c r="K57" t="n">
        <v>0</v>
      </c>
      <c r="L57" t="inlineStr">
        <is>
          <t>2026-06-08T13:47:30.903583+00:00</t>
        </is>
      </c>
    </row>
    <row r="58">
      <c r="A58" t="inlineStr">
        <is>
          <t>All Questions</t>
        </is>
      </c>
      <c r="B58" t="inlineStr">
        <is>
          <t>cross_tab_by_net_rank</t>
        </is>
      </c>
      <c r="C58" t="inlineStr">
        <is>
          <t>Q_RANK</t>
        </is>
      </c>
      <c r="D58" t="inlineStr">
        <is>
          <t>Q_RANK_B</t>
        </is>
      </c>
      <c r="E58" t="inlineStr">
        <is>
          <t>All_Questions_Q_RANK_CT = I$24</t>
        </is>
      </c>
      <c r="H58">
        <f>IF(OR(All_Questions_Q_RANK_CT="(None)",I$24=""),"",IF(I$24="Other","",IF(All_Questions_Q_RANK_RM="Weighted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I$24)))*100,""))))))</f>
        <v>0</v>
      </c>
      <c r="I58" t="n">
        <v>37.5</v>
      </c>
      <c r="J58" t="n">
        <v>0</v>
      </c>
      <c r="K58" t="n">
        <v>0</v>
      </c>
      <c r="L58" t="inlineStr">
        <is>
          <t>2026-06-08T13:47:30.903652+00:00</t>
        </is>
      </c>
    </row>
    <row r="59">
      <c r="A59" t="inlineStr">
        <is>
          <t>All Questions</t>
        </is>
      </c>
      <c r="B59" t="inlineStr">
        <is>
          <t>cross_tab_by_rank_weighted_average</t>
        </is>
      </c>
      <c r="C59" t="inlineStr">
        <is>
          <t>Q_RANK</t>
        </is>
      </c>
      <c r="D59" t="inlineStr">
        <is>
          <t>Q_RANK_B</t>
        </is>
      </c>
      <c r="E59" t="inlineStr">
        <is>
          <t>All_Questions_Q_RANK_CT = I$24</t>
        </is>
      </c>
      <c r="H59">
        <f>IF(OR(All_Questions_Q_RANK_CT="(None)",I$24=""),"",IF(I$24="Other","",IF(All_Questions_Q_RANK_RM="Weighted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I$24)))*100,""))))))</f>
        <v>0</v>
      </c>
      <c r="I59" t="n">
        <v>37.5</v>
      </c>
      <c r="J59" t="n">
        <v>0</v>
      </c>
      <c r="K59" t="n">
        <v>0</v>
      </c>
      <c r="L59" t="inlineStr">
        <is>
          <t>2026-06-08T13:47:30.903658+00:00</t>
        </is>
      </c>
    </row>
    <row r="60">
      <c r="A60" t="inlineStr">
        <is>
          <t>All Questions</t>
        </is>
      </c>
      <c r="B60" t="inlineStr">
        <is>
          <t>cross_tab_by_rank_sum_of_ranks</t>
        </is>
      </c>
      <c r="C60" t="inlineStr">
        <is>
          <t>Q_RANK</t>
        </is>
      </c>
      <c r="D60" t="inlineStr">
        <is>
          <t>Q_RANK_B</t>
        </is>
      </c>
      <c r="E60" t="inlineStr">
        <is>
          <t>All_Questions_Q_RANK_CT = I$24</t>
        </is>
      </c>
      <c r="H60">
        <f>IF(OR(All_Questions_Q_RANK_CT="(None)",I$24=""),"",IF(I$24="Other","",IF(All_Questions_Q_RANK_RM="Weighted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I$24)))*100,""))))))</f>
        <v>0</v>
      </c>
      <c r="I60" t="n">
        <v>37.5</v>
      </c>
      <c r="J60" t="n">
        <v>0</v>
      </c>
      <c r="K60" t="n">
        <v>0</v>
      </c>
      <c r="L60" t="inlineStr">
        <is>
          <t>2026-06-08T13:47:30.903664+00:00</t>
        </is>
      </c>
    </row>
    <row r="61">
      <c r="A61" t="inlineStr">
        <is>
          <t>All Questions</t>
        </is>
      </c>
      <c r="B61" t="inlineStr">
        <is>
          <t>cross_tab_by_rank_position_count</t>
        </is>
      </c>
      <c r="C61" t="inlineStr">
        <is>
          <t>Q_RANK</t>
        </is>
      </c>
      <c r="D61" t="inlineStr">
        <is>
          <t>Q_RANK_B</t>
        </is>
      </c>
      <c r="E61" t="inlineStr">
        <is>
          <t>All_Questions_Q_RANK_CT = I$24</t>
        </is>
      </c>
      <c r="H61">
        <f>IF(OR(All_Questions_Q_RANK_CT="(None)",I$24=""),"",IF(I$24="Other","",IF(All_Questions_Q_RANK_RM="Weighted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I$24)))*100,""))))))</f>
        <v>0</v>
      </c>
      <c r="I61" t="n">
        <v>37.5</v>
      </c>
      <c r="J61" t="n">
        <v>0</v>
      </c>
      <c r="K61" t="n">
        <v>0</v>
      </c>
      <c r="L61" t="inlineStr">
        <is>
          <t>2026-06-08T13:47:30.903669+00:00</t>
        </is>
      </c>
    </row>
    <row r="62">
      <c r="A62" t="inlineStr">
        <is>
          <t>All Questions</t>
        </is>
      </c>
      <c r="B62" t="inlineStr">
        <is>
          <t>cross_tab_by_net_rank</t>
        </is>
      </c>
      <c r="C62" t="inlineStr">
        <is>
          <t>Q_RANK</t>
        </is>
      </c>
      <c r="D62" t="inlineStr">
        <is>
          <t>Q_RANK_B</t>
        </is>
      </c>
      <c r="E62" t="inlineStr">
        <is>
          <t>All_Questions_Q_RANK_CT = J$24</t>
        </is>
      </c>
      <c r="H62">
        <f>IF(OR(All_Questions_Q_RANK_CT="(None)",J$24=""),"",IF(J$24="Other","",IF(All_Questions_Q_RANK_RM="Weighted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J$24)))*100,""))))))</f>
        <v>0</v>
      </c>
      <c r="I62" t="n">
        <v>37.5</v>
      </c>
      <c r="J62" t="n">
        <v>0</v>
      </c>
      <c r="K62" t="n">
        <v>0</v>
      </c>
      <c r="L62" t="inlineStr">
        <is>
          <t>2026-06-08T13:47:30.903737+00:00</t>
        </is>
      </c>
    </row>
    <row r="63">
      <c r="A63" t="inlineStr">
        <is>
          <t>All Questions</t>
        </is>
      </c>
      <c r="B63" t="inlineStr">
        <is>
          <t>cross_tab_by_rank_weighted_average</t>
        </is>
      </c>
      <c r="C63" t="inlineStr">
        <is>
          <t>Q_RANK</t>
        </is>
      </c>
      <c r="D63" t="inlineStr">
        <is>
          <t>Q_RANK_B</t>
        </is>
      </c>
      <c r="E63" t="inlineStr">
        <is>
          <t>All_Questions_Q_RANK_CT = J$24</t>
        </is>
      </c>
      <c r="H63">
        <f>IF(OR(All_Questions_Q_RANK_CT="(None)",J$24=""),"",IF(J$24="Other","",IF(All_Questions_Q_RANK_RM="Weighted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J$24)))*100,""))))))</f>
        <v>0</v>
      </c>
      <c r="I63" t="n">
        <v>37.5</v>
      </c>
      <c r="J63" t="n">
        <v>0</v>
      </c>
      <c r="K63" t="n">
        <v>0</v>
      </c>
      <c r="L63" t="inlineStr">
        <is>
          <t>2026-06-08T13:47:30.903744+00:00</t>
        </is>
      </c>
    </row>
    <row r="64">
      <c r="A64" t="inlineStr">
        <is>
          <t>All Questions</t>
        </is>
      </c>
      <c r="B64" t="inlineStr">
        <is>
          <t>cross_tab_by_rank_sum_of_ranks</t>
        </is>
      </c>
      <c r="C64" t="inlineStr">
        <is>
          <t>Q_RANK</t>
        </is>
      </c>
      <c r="D64" t="inlineStr">
        <is>
          <t>Q_RANK_B</t>
        </is>
      </c>
      <c r="E64" t="inlineStr">
        <is>
          <t>All_Questions_Q_RANK_CT = J$24</t>
        </is>
      </c>
      <c r="H64">
        <f>IF(OR(All_Questions_Q_RANK_CT="(None)",J$24=""),"",IF(J$24="Other","",IF(All_Questions_Q_RANK_RM="Weighted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J$24)))*100,""))))))</f>
        <v>0</v>
      </c>
      <c r="I64" t="n">
        <v>37.5</v>
      </c>
      <c r="J64" t="n">
        <v>0</v>
      </c>
      <c r="K64" t="n">
        <v>0</v>
      </c>
      <c r="L64" t="inlineStr">
        <is>
          <t>2026-06-08T13:47:30.903749+00:00</t>
        </is>
      </c>
    </row>
    <row r="65">
      <c r="A65" t="inlineStr">
        <is>
          <t>All Questions</t>
        </is>
      </c>
      <c r="B65" t="inlineStr">
        <is>
          <t>cross_tab_by_rank_position_count</t>
        </is>
      </c>
      <c r="C65" t="inlineStr">
        <is>
          <t>Q_RANK</t>
        </is>
      </c>
      <c r="D65" t="inlineStr">
        <is>
          <t>Q_RANK_B</t>
        </is>
      </c>
      <c r="E65" t="inlineStr">
        <is>
          <t>All_Questions_Q_RANK_CT = J$24</t>
        </is>
      </c>
      <c r="H65">
        <f>IF(OR(All_Questions_Q_RANK_CT="(None)",J$24=""),"",IF(J$24="Other","",IF(All_Questions_Q_RANK_RM="Weighted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J$24)))*100,""))))))</f>
        <v>0</v>
      </c>
      <c r="I65" t="n">
        <v>37.5</v>
      </c>
      <c r="J65" t="n">
        <v>0</v>
      </c>
      <c r="K65" t="n">
        <v>0</v>
      </c>
      <c r="L65" t="inlineStr">
        <is>
          <t>2026-06-08T13:47:30.903755+00:00</t>
        </is>
      </c>
    </row>
    <row r="66">
      <c r="A66" t="inlineStr">
        <is>
          <t>All Questions</t>
        </is>
      </c>
      <c r="B66" t="inlineStr">
        <is>
          <t>cross_tab_by_net_rank</t>
        </is>
      </c>
      <c r="C66" t="inlineStr">
        <is>
          <t>Q_RANK</t>
        </is>
      </c>
      <c r="D66" t="inlineStr">
        <is>
          <t>Q_RANK_B</t>
        </is>
      </c>
      <c r="E66" t="inlineStr">
        <is>
          <t>All_Questions_Q_RANK_CT = K$24</t>
        </is>
      </c>
      <c r="H66">
        <f>IF(OR(All_Questions_Q_RANK_CT="(None)",K$24=""),"",IF(K$24="Other","",IF(All_Questions_Q_RANK_RM="Weighted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K$24)))*100,""))))))</f>
        <v>0</v>
      </c>
      <c r="I66" t="n">
        <v>37.5</v>
      </c>
      <c r="J66" t="n">
        <v>0</v>
      </c>
      <c r="K66" t="n">
        <v>0</v>
      </c>
      <c r="L66" t="inlineStr">
        <is>
          <t>2026-06-08T13:47:30.903822+00:00</t>
        </is>
      </c>
    </row>
    <row r="67">
      <c r="A67" t="inlineStr">
        <is>
          <t>All Questions</t>
        </is>
      </c>
      <c r="B67" t="inlineStr">
        <is>
          <t>cross_tab_by_rank_weighted_average</t>
        </is>
      </c>
      <c r="C67" t="inlineStr">
        <is>
          <t>Q_RANK</t>
        </is>
      </c>
      <c r="D67" t="inlineStr">
        <is>
          <t>Q_RANK_B</t>
        </is>
      </c>
      <c r="E67" t="inlineStr">
        <is>
          <t>All_Questions_Q_RANK_CT = K$24</t>
        </is>
      </c>
      <c r="H67">
        <f>IF(OR(All_Questions_Q_RANK_CT="(None)",K$24=""),"",IF(K$24="Other","",IF(All_Questions_Q_RANK_RM="Weighted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K$24)))*100,""))))))</f>
        <v>0</v>
      </c>
      <c r="I67" t="n">
        <v>37.5</v>
      </c>
      <c r="J67" t="n">
        <v>0</v>
      </c>
      <c r="K67" t="n">
        <v>0</v>
      </c>
      <c r="L67" t="inlineStr">
        <is>
          <t>2026-06-08T13:47:30.903830+00:00</t>
        </is>
      </c>
    </row>
    <row r="68">
      <c r="A68" t="inlineStr">
        <is>
          <t>All Questions</t>
        </is>
      </c>
      <c r="B68" t="inlineStr">
        <is>
          <t>cross_tab_by_rank_sum_of_ranks</t>
        </is>
      </c>
      <c r="C68" t="inlineStr">
        <is>
          <t>Q_RANK</t>
        </is>
      </c>
      <c r="D68" t="inlineStr">
        <is>
          <t>Q_RANK_B</t>
        </is>
      </c>
      <c r="E68" t="inlineStr">
        <is>
          <t>All_Questions_Q_RANK_CT = K$24</t>
        </is>
      </c>
      <c r="H68">
        <f>IF(OR(All_Questions_Q_RANK_CT="(None)",K$24=""),"",IF(K$24="Other","",IF(All_Questions_Q_RANK_RM="Weighted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K$24)))*100,""))))))</f>
        <v>0</v>
      </c>
      <c r="I68" t="n">
        <v>37.5</v>
      </c>
      <c r="J68" t="n">
        <v>0</v>
      </c>
      <c r="K68" t="n">
        <v>0</v>
      </c>
      <c r="L68" t="inlineStr">
        <is>
          <t>2026-06-08T13:47:30.903835+00:00</t>
        </is>
      </c>
    </row>
    <row r="69">
      <c r="A69" t="inlineStr">
        <is>
          <t>All Questions</t>
        </is>
      </c>
      <c r="B69" t="inlineStr">
        <is>
          <t>cross_tab_by_rank_position_count</t>
        </is>
      </c>
      <c r="C69" t="inlineStr">
        <is>
          <t>Q_RANK</t>
        </is>
      </c>
      <c r="D69" t="inlineStr">
        <is>
          <t>Q_RANK_B</t>
        </is>
      </c>
      <c r="E69" t="inlineStr">
        <is>
          <t>All_Questions_Q_RANK_CT = K$24</t>
        </is>
      </c>
      <c r="H69">
        <f>IF(OR(All_Questions_Q_RANK_CT="(None)",K$24=""),"",IF(K$24="Other","",IF(All_Questions_Q_RANK_RM="Weighted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K$24)))*100,""))))))</f>
        <v>0</v>
      </c>
      <c r="I69" t="n">
        <v>37.5</v>
      </c>
      <c r="J69" t="n">
        <v>0</v>
      </c>
      <c r="K69" t="n">
        <v>0</v>
      </c>
      <c r="L69" t="inlineStr">
        <is>
          <t>2026-06-08T13:47:30.903840+00:00</t>
        </is>
      </c>
    </row>
    <row r="70">
      <c r="A70" t="inlineStr">
        <is>
          <t>All Questions</t>
        </is>
      </c>
      <c r="B70" t="inlineStr">
        <is>
          <t>cross_tab_by_net_rank</t>
        </is>
      </c>
      <c r="C70" t="inlineStr">
        <is>
          <t>Q_RANK</t>
        </is>
      </c>
      <c r="D70" t="inlineStr">
        <is>
          <t>Q_RANK_B</t>
        </is>
      </c>
      <c r="E70" t="inlineStr">
        <is>
          <t>All_Questions_Q_RANK_CT = L$24</t>
        </is>
      </c>
      <c r="H70">
        <f>IF(OR(All_Questions_Q_RANK_CT="(None)",L$24=""),"",IF(L$24="Other","",IF(All_Questions_Q_RANK_RM="Weighted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L$24)))*100,""))))))</f>
        <v>0</v>
      </c>
      <c r="I70" t="n">
        <v>37.5</v>
      </c>
      <c r="J70" t="n">
        <v>0</v>
      </c>
      <c r="K70" t="n">
        <v>0</v>
      </c>
      <c r="L70" t="inlineStr">
        <is>
          <t>2026-06-08T13:47:30.903906+00:00</t>
        </is>
      </c>
    </row>
    <row r="71">
      <c r="A71" t="inlineStr">
        <is>
          <t>All Questions</t>
        </is>
      </c>
      <c r="B71" t="inlineStr">
        <is>
          <t>cross_tab_by_rank_weighted_average</t>
        </is>
      </c>
      <c r="C71" t="inlineStr">
        <is>
          <t>Q_RANK</t>
        </is>
      </c>
      <c r="D71" t="inlineStr">
        <is>
          <t>Q_RANK_B</t>
        </is>
      </c>
      <c r="E71" t="inlineStr">
        <is>
          <t>All_Questions_Q_RANK_CT = L$24</t>
        </is>
      </c>
      <c r="H71">
        <f>IF(OR(All_Questions_Q_RANK_CT="(None)",L$24=""),"",IF(L$24="Other","",IF(All_Questions_Q_RANK_RM="Weighted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L$24)))*100,""))))))</f>
        <v>0</v>
      </c>
      <c r="I71" t="n">
        <v>37.5</v>
      </c>
      <c r="J71" t="n">
        <v>0</v>
      </c>
      <c r="K71" t="n">
        <v>0</v>
      </c>
      <c r="L71" t="inlineStr">
        <is>
          <t>2026-06-08T13:47:30.903912+00:00</t>
        </is>
      </c>
    </row>
    <row r="72">
      <c r="A72" t="inlineStr">
        <is>
          <t>All Questions</t>
        </is>
      </c>
      <c r="B72" t="inlineStr">
        <is>
          <t>cross_tab_by_rank_sum_of_ranks</t>
        </is>
      </c>
      <c r="C72" t="inlineStr">
        <is>
          <t>Q_RANK</t>
        </is>
      </c>
      <c r="D72" t="inlineStr">
        <is>
          <t>Q_RANK_B</t>
        </is>
      </c>
      <c r="E72" t="inlineStr">
        <is>
          <t>All_Questions_Q_RANK_CT = L$24</t>
        </is>
      </c>
      <c r="H72">
        <f>IF(OR(All_Questions_Q_RANK_CT="(None)",L$24=""),"",IF(L$24="Other","",IF(All_Questions_Q_RANK_RM="Weighted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L$24)))*100,""))))))</f>
        <v>0</v>
      </c>
      <c r="I72" t="n">
        <v>37.5</v>
      </c>
      <c r="J72" t="n">
        <v>0</v>
      </c>
      <c r="K72" t="n">
        <v>0</v>
      </c>
      <c r="L72" t="inlineStr">
        <is>
          <t>2026-06-08T13:47:30.903918+00:00</t>
        </is>
      </c>
    </row>
    <row r="73">
      <c r="A73" t="inlineStr">
        <is>
          <t>All Questions</t>
        </is>
      </c>
      <c r="B73" t="inlineStr">
        <is>
          <t>cross_tab_by_rank_position_count</t>
        </is>
      </c>
      <c r="C73" t="inlineStr">
        <is>
          <t>Q_RANK</t>
        </is>
      </c>
      <c r="D73" t="inlineStr">
        <is>
          <t>Q_RANK_B</t>
        </is>
      </c>
      <c r="E73" t="inlineStr">
        <is>
          <t>All_Questions_Q_RANK_CT = L$24</t>
        </is>
      </c>
      <c r="H73">
        <f>IF(OR(All_Questions_Q_RANK_CT="(None)",L$24=""),"",IF(L$24="Other","",IF(All_Questions_Q_RANK_RM="Weighted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L$24)))*100,""))))))</f>
        <v>0</v>
      </c>
      <c r="I73" t="n">
        <v>37.5</v>
      </c>
      <c r="J73" t="n">
        <v>0</v>
      </c>
      <c r="K73" t="n">
        <v>0</v>
      </c>
      <c r="L73" t="inlineStr">
        <is>
          <t>2026-06-08T13:47:30.903923+00:00</t>
        </is>
      </c>
    </row>
    <row r="74">
      <c r="A74" t="inlineStr">
        <is>
          <t>All Questions</t>
        </is>
      </c>
      <c r="B74" t="inlineStr">
        <is>
          <t>cross_tab_by_net_rank</t>
        </is>
      </c>
      <c r="C74" t="inlineStr">
        <is>
          <t>Q_RANK</t>
        </is>
      </c>
      <c r="D74" t="inlineStr">
        <is>
          <t>Q_RANK_B</t>
        </is>
      </c>
      <c r="E74" t="inlineStr">
        <is>
          <t>All_Questions_Q_RANK_CT = M$24</t>
        </is>
      </c>
      <c r="H74">
        <f>IF(OR(All_Questions_Q_RANK_CT="(None)",M$24=""),"",IF(M$24="Other","",IF(All_Questions_Q_RANK_RM="Weighted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M$24)))*100,""))))))</f>
        <v>0</v>
      </c>
      <c r="I74" t="n">
        <v>37.5</v>
      </c>
      <c r="J74" t="n">
        <v>0</v>
      </c>
      <c r="K74" t="n">
        <v>0</v>
      </c>
      <c r="L74" t="inlineStr">
        <is>
          <t>2026-06-08T13:47:30.904016+00:00</t>
        </is>
      </c>
    </row>
    <row r="75">
      <c r="A75" t="inlineStr">
        <is>
          <t>All Questions</t>
        </is>
      </c>
      <c r="B75" t="inlineStr">
        <is>
          <t>cross_tab_by_rank_weighted_average</t>
        </is>
      </c>
      <c r="C75" t="inlineStr">
        <is>
          <t>Q_RANK</t>
        </is>
      </c>
      <c r="D75" t="inlineStr">
        <is>
          <t>Q_RANK_B</t>
        </is>
      </c>
      <c r="E75" t="inlineStr">
        <is>
          <t>All_Questions_Q_RANK_CT = M$24</t>
        </is>
      </c>
      <c r="H75">
        <f>IF(OR(All_Questions_Q_RANK_CT="(None)",M$24=""),"",IF(M$24="Other","",IF(All_Questions_Q_RANK_RM="Weighted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M$24)))*100,""))))))</f>
        <v>0</v>
      </c>
      <c r="I75" t="n">
        <v>37.5</v>
      </c>
      <c r="J75" t="n">
        <v>0</v>
      </c>
      <c r="K75" t="n">
        <v>0</v>
      </c>
      <c r="L75" t="inlineStr">
        <is>
          <t>2026-06-08T13:47:30.904025+00:00</t>
        </is>
      </c>
    </row>
    <row r="76">
      <c r="A76" t="inlineStr">
        <is>
          <t>All Questions</t>
        </is>
      </c>
      <c r="B76" t="inlineStr">
        <is>
          <t>cross_tab_by_rank_sum_of_ranks</t>
        </is>
      </c>
      <c r="C76" t="inlineStr">
        <is>
          <t>Q_RANK</t>
        </is>
      </c>
      <c r="D76" t="inlineStr">
        <is>
          <t>Q_RANK_B</t>
        </is>
      </c>
      <c r="E76" t="inlineStr">
        <is>
          <t>All_Questions_Q_RANK_CT = M$24</t>
        </is>
      </c>
      <c r="H76">
        <f>IF(OR(All_Questions_Q_RANK_CT="(None)",M$24=""),"",IF(M$24="Other","",IF(All_Questions_Q_RANK_RM="Weighted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M$24)))*100,""))))))</f>
        <v>0</v>
      </c>
      <c r="I76" t="n">
        <v>37.5</v>
      </c>
      <c r="J76" t="n">
        <v>0</v>
      </c>
      <c r="K76" t="n">
        <v>0</v>
      </c>
      <c r="L76" t="inlineStr">
        <is>
          <t>2026-06-08T13:47:30.904031+00:00</t>
        </is>
      </c>
    </row>
    <row r="77">
      <c r="A77" t="inlineStr">
        <is>
          <t>All Questions</t>
        </is>
      </c>
      <c r="B77" t="inlineStr">
        <is>
          <t>cross_tab_by_rank_position_count</t>
        </is>
      </c>
      <c r="C77" t="inlineStr">
        <is>
          <t>Q_RANK</t>
        </is>
      </c>
      <c r="D77" t="inlineStr">
        <is>
          <t>Q_RANK_B</t>
        </is>
      </c>
      <c r="E77" t="inlineStr">
        <is>
          <t>All_Questions_Q_RANK_CT = M$24</t>
        </is>
      </c>
      <c r="H77">
        <f>IF(OR(All_Questions_Q_RANK_CT="(None)",M$24=""),"",IF(M$24="Other","",IF(All_Questions_Q_RANK_RM="Weighted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M$24)))*100,""))))))</f>
        <v>0</v>
      </c>
      <c r="I77" t="n">
        <v>37.5</v>
      </c>
      <c r="J77" t="n">
        <v>0</v>
      </c>
      <c r="K77" t="n">
        <v>0</v>
      </c>
      <c r="L77" t="inlineStr">
        <is>
          <t>2026-06-08T13:47:30.904036+00:00</t>
        </is>
      </c>
    </row>
    <row r="78">
      <c r="A78" t="inlineStr">
        <is>
          <t>All Questions</t>
        </is>
      </c>
      <c r="B78" t="inlineStr">
        <is>
          <t>cross_tab_by_net_rank</t>
        </is>
      </c>
      <c r="C78" t="inlineStr">
        <is>
          <t>Q_RANK</t>
        </is>
      </c>
      <c r="D78" t="inlineStr">
        <is>
          <t>Q_RANK_B</t>
        </is>
      </c>
      <c r="E78" t="inlineStr">
        <is>
          <t>All_Questions_Q_RANK_CT = N$24</t>
        </is>
      </c>
      <c r="H78">
        <f>IF(OR(All_Questions_Q_RANK_CT="(None)",N$24=""),"",IF(N$24="Other","",IF(All_Questions_Q_RANK_RM="Weighted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N$24)))*100,""))))))</f>
        <v>0</v>
      </c>
      <c r="I78" t="n">
        <v>37.5</v>
      </c>
      <c r="J78" t="n">
        <v>0</v>
      </c>
      <c r="K78" t="n">
        <v>0</v>
      </c>
      <c r="L78" t="inlineStr">
        <is>
          <t>2026-06-08T13:47:30.904107+00:00</t>
        </is>
      </c>
    </row>
    <row r="79">
      <c r="A79" t="inlineStr">
        <is>
          <t>All Questions</t>
        </is>
      </c>
      <c r="B79" t="inlineStr">
        <is>
          <t>cross_tab_by_rank_weighted_average</t>
        </is>
      </c>
      <c r="C79" t="inlineStr">
        <is>
          <t>Q_RANK</t>
        </is>
      </c>
      <c r="D79" t="inlineStr">
        <is>
          <t>Q_RANK_B</t>
        </is>
      </c>
      <c r="E79" t="inlineStr">
        <is>
          <t>All_Questions_Q_RANK_CT = N$24</t>
        </is>
      </c>
      <c r="H79">
        <f>IF(OR(All_Questions_Q_RANK_CT="(None)",N$24=""),"",IF(N$24="Other","",IF(All_Questions_Q_RANK_RM="Weighted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N$24)))*100,""))))))</f>
        <v>0</v>
      </c>
      <c r="I79" t="n">
        <v>37.5</v>
      </c>
      <c r="J79" t="n">
        <v>0</v>
      </c>
      <c r="K79" t="n">
        <v>0</v>
      </c>
      <c r="L79" t="inlineStr">
        <is>
          <t>2026-06-08T13:47:30.904114+00:00</t>
        </is>
      </c>
    </row>
    <row r="80">
      <c r="A80" t="inlineStr">
        <is>
          <t>All Questions</t>
        </is>
      </c>
      <c r="B80" t="inlineStr">
        <is>
          <t>cross_tab_by_rank_sum_of_ranks</t>
        </is>
      </c>
      <c r="C80" t="inlineStr">
        <is>
          <t>Q_RANK</t>
        </is>
      </c>
      <c r="D80" t="inlineStr">
        <is>
          <t>Q_RANK_B</t>
        </is>
      </c>
      <c r="E80" t="inlineStr">
        <is>
          <t>All_Questions_Q_RANK_CT = N$24</t>
        </is>
      </c>
      <c r="H80">
        <f>IF(OR(All_Questions_Q_RANK_CT="(None)",N$24=""),"",IF(N$24="Other","",IF(All_Questions_Q_RANK_RM="Weighted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N$24)))*100,""))))))</f>
        <v>0</v>
      </c>
      <c r="I80" t="n">
        <v>37.5</v>
      </c>
      <c r="J80" t="n">
        <v>0</v>
      </c>
      <c r="K80" t="n">
        <v>0</v>
      </c>
      <c r="L80" t="inlineStr">
        <is>
          <t>2026-06-08T13:47:30.904120+00:00</t>
        </is>
      </c>
    </row>
    <row r="81">
      <c r="A81" t="inlineStr">
        <is>
          <t>All Questions</t>
        </is>
      </c>
      <c r="B81" t="inlineStr">
        <is>
          <t>cross_tab_by_rank_position_count</t>
        </is>
      </c>
      <c r="C81" t="inlineStr">
        <is>
          <t>Q_RANK</t>
        </is>
      </c>
      <c r="D81" t="inlineStr">
        <is>
          <t>Q_RANK_B</t>
        </is>
      </c>
      <c r="E81" t="inlineStr">
        <is>
          <t>All_Questions_Q_RANK_CT = N$24</t>
        </is>
      </c>
      <c r="H81">
        <f>IF(OR(All_Questions_Q_RANK_CT="(None)",N$24=""),"",IF(N$24="Other","",IF(All_Questions_Q_RANK_RM="Weighted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N$24)))*100,""))))))</f>
        <v>0</v>
      </c>
      <c r="I81" t="n">
        <v>37.5</v>
      </c>
      <c r="J81" t="n">
        <v>0</v>
      </c>
      <c r="K81" t="n">
        <v>0</v>
      </c>
      <c r="L81" t="inlineStr">
        <is>
          <t>2026-06-08T13:47:30.904125+00:00</t>
        </is>
      </c>
    </row>
    <row r="82">
      <c r="A82" t="inlineStr">
        <is>
          <t>All Questions</t>
        </is>
      </c>
      <c r="B82" t="inlineStr">
        <is>
          <t>cross_tab_by_net_rank</t>
        </is>
      </c>
      <c r="C82" t="inlineStr">
        <is>
          <t>Q_RANK</t>
        </is>
      </c>
      <c r="D82" t="inlineStr">
        <is>
          <t>Q_RANK_B</t>
        </is>
      </c>
      <c r="E82" t="inlineStr">
        <is>
          <t>All_Questions_Q_RANK_CT = O$24</t>
        </is>
      </c>
      <c r="H82">
        <f>IF(OR(All_Questions_Q_RANK_CT="(None)",O$24=""),"",IF(O$24="Other","",IF(All_Questions_Q_RANK_RM="Weighted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O$24)))*100,""))))))</f>
        <v>0</v>
      </c>
      <c r="I82" t="n">
        <v>37.5</v>
      </c>
      <c r="J82" t="n">
        <v>0</v>
      </c>
      <c r="K82" t="n">
        <v>0</v>
      </c>
      <c r="L82" t="inlineStr">
        <is>
          <t>2026-06-08T13:47:30.904193+00:00</t>
        </is>
      </c>
    </row>
    <row r="83">
      <c r="A83" t="inlineStr">
        <is>
          <t>All Questions</t>
        </is>
      </c>
      <c r="B83" t="inlineStr">
        <is>
          <t>cross_tab_by_rank_weighted_average</t>
        </is>
      </c>
      <c r="C83" t="inlineStr">
        <is>
          <t>Q_RANK</t>
        </is>
      </c>
      <c r="D83" t="inlineStr">
        <is>
          <t>Q_RANK_B</t>
        </is>
      </c>
      <c r="E83" t="inlineStr">
        <is>
          <t>All_Questions_Q_RANK_CT = O$24</t>
        </is>
      </c>
      <c r="H83">
        <f>IF(OR(All_Questions_Q_RANK_CT="(None)",O$24=""),"",IF(O$24="Other","",IF(All_Questions_Q_RANK_RM="Weighted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O$24)))*100,""))))))</f>
        <v>0</v>
      </c>
      <c r="I83" t="n">
        <v>37.5</v>
      </c>
      <c r="J83" t="n">
        <v>0</v>
      </c>
      <c r="K83" t="n">
        <v>0</v>
      </c>
      <c r="L83" t="inlineStr">
        <is>
          <t>2026-06-08T13:47:30.904200+00:00</t>
        </is>
      </c>
    </row>
    <row r="84">
      <c r="A84" t="inlineStr">
        <is>
          <t>All Questions</t>
        </is>
      </c>
      <c r="B84" t="inlineStr">
        <is>
          <t>cross_tab_by_rank_sum_of_ranks</t>
        </is>
      </c>
      <c r="C84" t="inlineStr">
        <is>
          <t>Q_RANK</t>
        </is>
      </c>
      <c r="D84" t="inlineStr">
        <is>
          <t>Q_RANK_B</t>
        </is>
      </c>
      <c r="E84" t="inlineStr">
        <is>
          <t>All_Questions_Q_RANK_CT = O$24</t>
        </is>
      </c>
      <c r="H84">
        <f>IF(OR(All_Questions_Q_RANK_CT="(None)",O$24=""),"",IF(O$24="Other","",IF(All_Questions_Q_RANK_RM="Weighted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O$24)))*100,""))))))</f>
        <v>0</v>
      </c>
      <c r="I84" t="n">
        <v>37.5</v>
      </c>
      <c r="J84" t="n">
        <v>0</v>
      </c>
      <c r="K84" t="n">
        <v>0</v>
      </c>
      <c r="L84" t="inlineStr">
        <is>
          <t>2026-06-08T13:47:30.904206+00:00</t>
        </is>
      </c>
    </row>
    <row r="85">
      <c r="A85" t="inlineStr">
        <is>
          <t>All Questions</t>
        </is>
      </c>
      <c r="B85" t="inlineStr">
        <is>
          <t>cross_tab_by_rank_position_count</t>
        </is>
      </c>
      <c r="C85" t="inlineStr">
        <is>
          <t>Q_RANK</t>
        </is>
      </c>
      <c r="D85" t="inlineStr">
        <is>
          <t>Q_RANK_B</t>
        </is>
      </c>
      <c r="E85" t="inlineStr">
        <is>
          <t>All_Questions_Q_RANK_CT = O$24</t>
        </is>
      </c>
      <c r="H85">
        <f>IF(OR(All_Questions_Q_RANK_CT="(None)",O$24=""),"",IF(O$24="Other","",IF(All_Questions_Q_RANK_RM="Weighted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O$24)))*100,""))))))</f>
        <v>0</v>
      </c>
      <c r="I85" t="n">
        <v>37.5</v>
      </c>
      <c r="J85" t="n">
        <v>0</v>
      </c>
      <c r="K85" t="n">
        <v>0</v>
      </c>
      <c r="L85" t="inlineStr">
        <is>
          <t>2026-06-08T13:47:30.904211+00:00</t>
        </is>
      </c>
    </row>
    <row r="86">
      <c r="A86" t="inlineStr">
        <is>
          <t>All Questions</t>
        </is>
      </c>
      <c r="B86" t="inlineStr">
        <is>
          <t>cross_tab_by_net_rank</t>
        </is>
      </c>
      <c r="C86" t="inlineStr">
        <is>
          <t>Q_RANK</t>
        </is>
      </c>
      <c r="D86" t="inlineStr">
        <is>
          <t>Q_RANK_B</t>
        </is>
      </c>
      <c r="E86" t="inlineStr">
        <is>
          <t>All_Questions_Q_RANK_CT = P$24</t>
        </is>
      </c>
      <c r="H86">
        <f>IF(OR(All_Questions_Q_RANK_CT="(None)",P$24=""),"",IF(P$24="Other","",IF(All_Questions_Q_RANK_RM="Weighted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P$24)))*100,""))))))</f>
        <v>0</v>
      </c>
      <c r="I86" t="n">
        <v>37.5</v>
      </c>
      <c r="J86" t="n">
        <v>0</v>
      </c>
      <c r="K86" t="n">
        <v>0</v>
      </c>
      <c r="L86" t="inlineStr">
        <is>
          <t>2026-06-08T13:47:30.904302+00:00</t>
        </is>
      </c>
    </row>
    <row r="87">
      <c r="A87" t="inlineStr">
        <is>
          <t>All Questions</t>
        </is>
      </c>
      <c r="B87" t="inlineStr">
        <is>
          <t>cross_tab_by_rank_weighted_average</t>
        </is>
      </c>
      <c r="C87" t="inlineStr">
        <is>
          <t>Q_RANK</t>
        </is>
      </c>
      <c r="D87" t="inlineStr">
        <is>
          <t>Q_RANK_B</t>
        </is>
      </c>
      <c r="E87" t="inlineStr">
        <is>
          <t>All_Questions_Q_RANK_CT = P$24</t>
        </is>
      </c>
      <c r="H87">
        <f>IF(OR(All_Questions_Q_RANK_CT="(None)",P$24=""),"",IF(P$24="Other","",IF(All_Questions_Q_RANK_RM="Weighted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P$24)))*100,""))))))</f>
        <v>0</v>
      </c>
      <c r="I87" t="n">
        <v>37.5</v>
      </c>
      <c r="J87" t="n">
        <v>0</v>
      </c>
      <c r="K87" t="n">
        <v>0</v>
      </c>
      <c r="L87" t="inlineStr">
        <is>
          <t>2026-06-08T13:47:30.904311+00:00</t>
        </is>
      </c>
    </row>
    <row r="88">
      <c r="A88" t="inlineStr">
        <is>
          <t>All Questions</t>
        </is>
      </c>
      <c r="B88" t="inlineStr">
        <is>
          <t>cross_tab_by_rank_sum_of_ranks</t>
        </is>
      </c>
      <c r="C88" t="inlineStr">
        <is>
          <t>Q_RANK</t>
        </is>
      </c>
      <c r="D88" t="inlineStr">
        <is>
          <t>Q_RANK_B</t>
        </is>
      </c>
      <c r="E88" t="inlineStr">
        <is>
          <t>All_Questions_Q_RANK_CT = P$24</t>
        </is>
      </c>
      <c r="H88">
        <f>IF(OR(All_Questions_Q_RANK_CT="(None)",P$24=""),"",IF(P$24="Other","",IF(All_Questions_Q_RANK_RM="Weighted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P$24)))*100,""))))))</f>
        <v>0</v>
      </c>
      <c r="I88" t="n">
        <v>37.5</v>
      </c>
      <c r="J88" t="n">
        <v>0</v>
      </c>
      <c r="K88" t="n">
        <v>0</v>
      </c>
      <c r="L88" t="inlineStr">
        <is>
          <t>2026-06-08T13:47:30.904317+00:00</t>
        </is>
      </c>
    </row>
    <row r="89">
      <c r="A89" t="inlineStr">
        <is>
          <t>All Questions</t>
        </is>
      </c>
      <c r="B89" t="inlineStr">
        <is>
          <t>cross_tab_by_rank_position_count</t>
        </is>
      </c>
      <c r="C89" t="inlineStr">
        <is>
          <t>Q_RANK</t>
        </is>
      </c>
      <c r="D89" t="inlineStr">
        <is>
          <t>Q_RANK_B</t>
        </is>
      </c>
      <c r="E89" t="inlineStr">
        <is>
          <t>All_Questions_Q_RANK_CT = P$24</t>
        </is>
      </c>
      <c r="H89">
        <f>IF(OR(All_Questions_Q_RANK_CT="(None)",P$24=""),"",IF(P$24="Other","",IF(All_Questions_Q_RANK_RM="Weighted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P$24)))*100,""))))))</f>
        <v>0</v>
      </c>
      <c r="I89" t="n">
        <v>37.5</v>
      </c>
      <c r="J89" t="n">
        <v>0</v>
      </c>
      <c r="K89" t="n">
        <v>0</v>
      </c>
      <c r="L89" t="inlineStr">
        <is>
          <t>2026-06-08T13:47:30.904322+00:00</t>
        </is>
      </c>
    </row>
    <row r="90">
      <c r="A90" t="inlineStr">
        <is>
          <t>All Questions</t>
        </is>
      </c>
      <c r="B90" t="inlineStr">
        <is>
          <t>cross_tab_by_net_rank</t>
        </is>
      </c>
      <c r="C90" t="inlineStr">
        <is>
          <t>Q_RANK</t>
        </is>
      </c>
      <c r="D90" t="inlineStr">
        <is>
          <t>Q_RANK_B</t>
        </is>
      </c>
      <c r="E90" t="inlineStr">
        <is>
          <t>All_Questions_Q_RANK_CT = Q$24</t>
        </is>
      </c>
      <c r="H90">
        <f>IF(OR(All_Questions_Q_RANK_CT="(None)",Q$24=""),"",IF(Q$24="Other","",IF(All_Questions_Q_RANK_RM="Weighted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Q$24)))*100,""))))))</f>
        <v>0</v>
      </c>
      <c r="I90" t="n">
        <v>37.5</v>
      </c>
      <c r="J90" t="n">
        <v>0</v>
      </c>
      <c r="K90" t="n">
        <v>0</v>
      </c>
      <c r="L90" t="inlineStr">
        <is>
          <t>2026-06-08T13:47:30.904400+00:00</t>
        </is>
      </c>
    </row>
    <row r="91">
      <c r="A91" t="inlineStr">
        <is>
          <t>All Questions</t>
        </is>
      </c>
      <c r="B91" t="inlineStr">
        <is>
          <t>cross_tab_by_rank_weighted_average</t>
        </is>
      </c>
      <c r="C91" t="inlineStr">
        <is>
          <t>Q_RANK</t>
        </is>
      </c>
      <c r="D91" t="inlineStr">
        <is>
          <t>Q_RANK_B</t>
        </is>
      </c>
      <c r="E91" t="inlineStr">
        <is>
          <t>All_Questions_Q_RANK_CT = Q$24</t>
        </is>
      </c>
      <c r="H91">
        <f>IF(OR(All_Questions_Q_RANK_CT="(None)",Q$24=""),"",IF(Q$24="Other","",IF(All_Questions_Q_RANK_RM="Weighted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Q$24)))*100,""))))))</f>
        <v>0</v>
      </c>
      <c r="I91" t="n">
        <v>37.5</v>
      </c>
      <c r="J91" t="n">
        <v>0</v>
      </c>
      <c r="K91" t="n">
        <v>0</v>
      </c>
      <c r="L91" t="inlineStr">
        <is>
          <t>2026-06-08T13:47:30.904407+00:00</t>
        </is>
      </c>
    </row>
    <row r="92">
      <c r="A92" t="inlineStr">
        <is>
          <t>All Questions</t>
        </is>
      </c>
      <c r="B92" t="inlineStr">
        <is>
          <t>cross_tab_by_rank_sum_of_ranks</t>
        </is>
      </c>
      <c r="C92" t="inlineStr">
        <is>
          <t>Q_RANK</t>
        </is>
      </c>
      <c r="D92" t="inlineStr">
        <is>
          <t>Q_RANK_B</t>
        </is>
      </c>
      <c r="E92" t="inlineStr">
        <is>
          <t>All_Questions_Q_RANK_CT = Q$24</t>
        </is>
      </c>
      <c r="H92">
        <f>IF(OR(All_Questions_Q_RANK_CT="(None)",Q$24=""),"",IF(Q$24="Other","",IF(All_Questions_Q_RANK_RM="Weighted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Q$24)))*100,""))))))</f>
        <v>0</v>
      </c>
      <c r="I92" t="n">
        <v>37.5</v>
      </c>
      <c r="J92" t="n">
        <v>0</v>
      </c>
      <c r="K92" t="n">
        <v>0</v>
      </c>
      <c r="L92" t="inlineStr">
        <is>
          <t>2026-06-08T13:47:30.904413+00:00</t>
        </is>
      </c>
    </row>
    <row r="93">
      <c r="A93" t="inlineStr">
        <is>
          <t>All Questions</t>
        </is>
      </c>
      <c r="B93" t="inlineStr">
        <is>
          <t>cross_tab_by_rank_position_count</t>
        </is>
      </c>
      <c r="C93" t="inlineStr">
        <is>
          <t>Q_RANK</t>
        </is>
      </c>
      <c r="D93" t="inlineStr">
        <is>
          <t>Q_RANK_B</t>
        </is>
      </c>
      <c r="E93" t="inlineStr">
        <is>
          <t>All_Questions_Q_RANK_CT = Q$24</t>
        </is>
      </c>
      <c r="H93">
        <f>IF(OR(All_Questions_Q_RANK_CT="(None)",Q$24=""),"",IF(Q$24="Other","",IF(All_Questions_Q_RANK_RM="Weighted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Q$24)))*100,""))))))</f>
        <v>0</v>
      </c>
      <c r="I93" t="n">
        <v>37.5</v>
      </c>
      <c r="J93" t="n">
        <v>0</v>
      </c>
      <c r="K93" t="n">
        <v>0</v>
      </c>
      <c r="L93" t="inlineStr">
        <is>
          <t>2026-06-08T13:47:30.904418+00:00</t>
        </is>
      </c>
    </row>
    <row r="94">
      <c r="A94" t="inlineStr">
        <is>
          <t>All Questions</t>
        </is>
      </c>
      <c r="B94" t="inlineStr">
        <is>
          <t>cross_tab_by_net_rank</t>
        </is>
      </c>
      <c r="C94" t="inlineStr">
        <is>
          <t>Q_RANK</t>
        </is>
      </c>
      <c r="D94" t="inlineStr">
        <is>
          <t>Q_RANK_B</t>
        </is>
      </c>
      <c r="E94" t="inlineStr">
        <is>
          <t>All_Questions_Q_RANK_CT = R$24</t>
        </is>
      </c>
      <c r="H94">
        <f>IF(OR(All_Questions_Q_RANK_CT="(None)",R$24=""),"",IF(R$24="Other","",IF(All_Questions_Q_RANK_RM="Weighted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R$24)))*100,""))))))</f>
        <v>0</v>
      </c>
      <c r="I94" t="n">
        <v>37.5</v>
      </c>
      <c r="J94" t="n">
        <v>0</v>
      </c>
      <c r="K94" t="n">
        <v>0</v>
      </c>
      <c r="L94" t="inlineStr">
        <is>
          <t>2026-06-08T13:47:30.904493+00:00</t>
        </is>
      </c>
    </row>
    <row r="95">
      <c r="A95" t="inlineStr">
        <is>
          <t>All Questions</t>
        </is>
      </c>
      <c r="B95" t="inlineStr">
        <is>
          <t>cross_tab_by_rank_weighted_average</t>
        </is>
      </c>
      <c r="C95" t="inlineStr">
        <is>
          <t>Q_RANK</t>
        </is>
      </c>
      <c r="D95" t="inlineStr">
        <is>
          <t>Q_RANK_B</t>
        </is>
      </c>
      <c r="E95" t="inlineStr">
        <is>
          <t>All_Questions_Q_RANK_CT = R$24</t>
        </is>
      </c>
      <c r="H95">
        <f>IF(OR(All_Questions_Q_RANK_CT="(None)",R$24=""),"",IF(R$24="Other","",IF(All_Questions_Q_RANK_RM="Weighted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R$24)))*100,""))))))</f>
        <v>0</v>
      </c>
      <c r="I95" t="n">
        <v>37.5</v>
      </c>
      <c r="J95" t="n">
        <v>0</v>
      </c>
      <c r="K95" t="n">
        <v>0</v>
      </c>
      <c r="L95" t="inlineStr">
        <is>
          <t>2026-06-08T13:47:30.904501+00:00</t>
        </is>
      </c>
    </row>
    <row r="96">
      <c r="A96" t="inlineStr">
        <is>
          <t>All Questions</t>
        </is>
      </c>
      <c r="B96" t="inlineStr">
        <is>
          <t>cross_tab_by_rank_sum_of_ranks</t>
        </is>
      </c>
      <c r="C96" t="inlineStr">
        <is>
          <t>Q_RANK</t>
        </is>
      </c>
      <c r="D96" t="inlineStr">
        <is>
          <t>Q_RANK_B</t>
        </is>
      </c>
      <c r="E96" t="inlineStr">
        <is>
          <t>All_Questions_Q_RANK_CT = R$24</t>
        </is>
      </c>
      <c r="H96">
        <f>IF(OR(All_Questions_Q_RANK_CT="(None)",R$24=""),"",IF(R$24="Other","",IF(All_Questions_Q_RANK_RM="Weighted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R$24)))*100,""))))))</f>
        <v>0</v>
      </c>
      <c r="I96" t="n">
        <v>37.5</v>
      </c>
      <c r="J96" t="n">
        <v>0</v>
      </c>
      <c r="K96" t="n">
        <v>0</v>
      </c>
      <c r="L96" t="inlineStr">
        <is>
          <t>2026-06-08T13:47:30.904507+00:00</t>
        </is>
      </c>
    </row>
    <row r="97">
      <c r="A97" t="inlineStr">
        <is>
          <t>All Questions</t>
        </is>
      </c>
      <c r="B97" t="inlineStr">
        <is>
          <t>cross_tab_by_rank_position_count</t>
        </is>
      </c>
      <c r="C97" t="inlineStr">
        <is>
          <t>Q_RANK</t>
        </is>
      </c>
      <c r="D97" t="inlineStr">
        <is>
          <t>Q_RANK_B</t>
        </is>
      </c>
      <c r="E97" t="inlineStr">
        <is>
          <t>All_Questions_Q_RANK_CT = R$24</t>
        </is>
      </c>
      <c r="H97">
        <f>IF(OR(All_Questions_Q_RANK_CT="(None)",R$24=""),"",IF(R$24="Other","",IF(All_Questions_Q_RANK_RM="Weighted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R$24)))*100,""))))))</f>
        <v>0</v>
      </c>
      <c r="I97" t="n">
        <v>37.5</v>
      </c>
      <c r="J97" t="n">
        <v>0</v>
      </c>
      <c r="K97" t="n">
        <v>0</v>
      </c>
      <c r="L97" t="inlineStr">
        <is>
          <t>2026-06-08T13:47:30.904512+00:00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2026-06-08T13:47:30Z</dcterms:created>
  <dcterms:modified xmlns:dcterms="http://purl.org/dc/terms/" xmlns:xsi="http://www.w3.org/2001/XMLSchema-instance" xsi:type="dcterms:W3CDTF">2026-06-08T13:47:30Z</dcterms:modified>
</cp:coreProperties>
</file>