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  <c r="G22" i="7"/>
  <c r="H22" i="7"/>
  <c r="I22" i="7"/>
  <c r="J22" i="7"/>
  <c r="K22" i="7"/>
  <c r="L22" i="7"/>
  <c r="M22" i="7"/>
  <c r="N22" i="7"/>
  <c r="O22" i="7"/>
  <c r="P22" i="7"/>
  <c r="Q22" i="7"/>
  <c r="R22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S27" i="7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  <row r="21"/>
    <row r="22">
      <c r="F22" s="4" t="inlineStr">
        <is>
          <t>Option</t>
        </is>
      </c>
      <c r="G22" s="2" t="str">
        <f>IF(All_Questions_Q20_CT="(None)","",IFERROR(INDEX(INDIRECT(IFERROR(INDEX(All_Questions_Options_Names,MATCH(All_Questions_Q20_CT,All_Questions,0)),"'_Options'!$E$2:$E$2")),2),""))</f>
        <v/>
      </c>
      <c r="H22" s="2" t="str">
        <f>IF(All_Questions_Q20_CT="(None)","",IFERROR(INDEX(INDIRECT(IFERROR(INDEX(All_Questions_Options_Names,MATCH(All_Questions_Q20_CT,All_Questions,0)),"'_Options'!$E$2:$E$2")),3),""))</f>
        <v/>
      </c>
      <c r="I22" s="2" t="str">
        <f>IF(All_Questions_Q20_CT="(None)","",IFERROR(INDEX(INDIRECT(IFERROR(INDEX(All_Questions_Options_Names,MATCH(All_Questions_Q20_CT,All_Questions,0)),"'_Options'!$E$2:$E$2")),4),""))</f>
        <v/>
      </c>
      <c r="J22" s="2" t="str">
        <f>IF(All_Questions_Q20_CT="(None)","",IFERROR(INDEX(INDIRECT(IFERROR(INDEX(All_Questions_Options_Names,MATCH(All_Questions_Q20_CT,All_Questions,0)),"'_Options'!$E$2:$E$2")),5),""))</f>
        <v/>
      </c>
      <c r="K22" s="2" t="str">
        <f>IF(All_Questions_Q20_CT="(None)","",IFERROR(INDEX(INDIRECT(IFERROR(INDEX(All_Questions_Options_Names,MATCH(All_Questions_Q20_CT,All_Questions,0)),"'_Options'!$E$2:$E$2")),6),""))</f>
        <v/>
      </c>
      <c r="L22" s="2" t="str">
        <f>IF(All_Questions_Q20_CT="(None)","",IFERROR(INDEX(INDIRECT(IFERROR(INDEX(All_Questions_Options_Names,MATCH(All_Questions_Q20_CT,All_Questions,0)),"'_Options'!$E$2:$E$2")),7),""))</f>
        <v/>
      </c>
      <c r="M22" s="2" t="str">
        <f>IF(All_Questions_Q20_CT="(None)","",IFERROR(INDEX(INDIRECT(IFERROR(INDEX(All_Questions_Options_Names,MATCH(All_Questions_Q20_CT,All_Questions,0)),"'_Options'!$E$2:$E$2")),8),""))</f>
        <v/>
      </c>
      <c r="N22" s="2" t="str">
        <f>IF(All_Questions_Q20_CT="(None)","",IFERROR(INDEX(INDIRECT(IFERROR(INDEX(All_Questions_Options_Names,MATCH(All_Questions_Q20_CT,All_Questions,0)),"'_Options'!$E$2:$E$2")),9),""))</f>
        <v/>
      </c>
      <c r="O22" s="2" t="str">
        <f>IF(All_Questions_Q20_CT="(None)","",IFERROR(INDEX(INDIRECT(IFERROR(INDEX(All_Questions_Options_Names,MATCH(All_Questions_Q20_CT,All_Questions,0)),"'_Options'!$E$2:$E$2")),10),""))</f>
        <v/>
      </c>
      <c r="P22" s="2" t="str">
        <f>IF(All_Questions_Q20_CT="(None)","",IFERROR(INDEX(INDIRECT(IFERROR(INDEX(All_Questions_Options_Names,MATCH(All_Questions_Q20_CT,All_Questions,0)),"'_Options'!$E$2:$E$2")),11),""))</f>
        <v/>
      </c>
      <c r="Q22" s="2" t="str">
        <f>IF(All_Questions_Q20_CT="(None)","",IFERROR(INDEX(INDIRECT(IFERROR(INDEX(All_Questions_Options_Names,MATCH(All_Questions_Q20_CT,All_Questions,0)),"'_Options'!$E$2:$E$2")),12),""))</f>
        <v/>
      </c>
      <c r="R22" s="2" t="str">
        <f>IF(All_Questions_Q20_CT="(None)","",IF(COUNTA(INDIRECT(IFERROR(INDEX(All_Questions_Options_Names,MATCH(All_Questions_Q20_CT,All_Questions,0)),"'_Options'!$E$2:$E$2")))-1&gt;11,"Other",IFERROR(INDEX(INDIRECT(IFERROR(INDEX(All_Questions_Options_Names,MATCH(All_Questions_Q20_CT,All_Questions,0)),"'_Options'!$E$2:$E$2")),13),"")))</f>
        <v/>
      </c>
      <c r="S22" s="4" t="inlineStr">
        <is>
          <t>Total</t>
        </is>
      </c>
    </row>
    <row r="23">
      <c r="F23" s="4" t="inlineStr"/>
      <c r="G23" s="4" t="inlineStr">
        <is>
          <t>Mean</t>
        </is>
      </c>
      <c r="H23" s="4" t="inlineStr">
        <is>
          <t>Mean</t>
        </is>
      </c>
      <c r="I23" s="4" t="inlineStr">
        <is>
          <t>Mean</t>
        </is>
      </c>
      <c r="J23" s="4" t="inlineStr">
        <is>
          <t>Mean</t>
        </is>
      </c>
      <c r="K23" s="4" t="inlineStr">
        <is>
          <t>Mean</t>
        </is>
      </c>
      <c r="L23" s="4" t="inlineStr">
        <is>
          <t>Mean</t>
        </is>
      </c>
      <c r="M23" s="4" t="inlineStr">
        <is>
          <t>Mean</t>
        </is>
      </c>
      <c r="N23" s="4" t="inlineStr">
        <is>
          <t>Mean</t>
        </is>
      </c>
      <c r="O23" s="4" t="inlineStr">
        <is>
          <t>Mean</t>
        </is>
      </c>
      <c r="P23" s="4" t="inlineStr">
        <is>
          <t>Mean</t>
        </is>
      </c>
      <c r="Q23" s="4" t="inlineStr">
        <is>
          <t>Mean</t>
        </is>
      </c>
      <c r="R23" s="4" t="inlineStr">
        <is>
          <t>Mean</t>
        </is>
      </c>
      <c r="S23" s="4" t="inlineStr">
        <is>
          <t>Mean</t>
        </is>
      </c>
    </row>
    <row r="24">
      <c r="F24" t="inlineStr">
        <is>
          <t>Existing customers - net retention</t>
        </is>
      </c>
      <c r="G24" s="14">
        <f>IF(OR(All_Questions_Q20_CT="(None)",G$22=""),"",IF(G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G$22),"")))</f>
        <v>28.9</v>
      </c>
      <c r="H24" s="14">
        <f>IF(OR(All_Questions_Q20_CT="(None)",H$22=""),"",IF(H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H$22),"")))</f>
        <v>28.9</v>
      </c>
      <c r="I24" s="14">
        <f>IF(OR(All_Questions_Q20_CT="(None)",I$22=""),"",IF(I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I$22),"")))</f>
        <v>28.9</v>
      </c>
      <c r="J24" s="14">
        <f>IF(OR(All_Questions_Q20_CT="(None)",J$22=""),"",IF(J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J$22),"")))</f>
        <v>28.9</v>
      </c>
      <c r="K24" s="14">
        <f>IF(OR(All_Questions_Q20_CT="(None)",K$22=""),"",IF(K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K$22),"")))</f>
        <v>28.9</v>
      </c>
      <c r="L24" s="14">
        <f>IF(OR(All_Questions_Q20_CT="(None)",L$22=""),"",IF(L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L$22),"")))</f>
        <v>28.9</v>
      </c>
      <c r="M24" s="14">
        <f>IF(OR(All_Questions_Q20_CT="(None)",M$22=""),"",IF(M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M$22),"")))</f>
        <v>28.9</v>
      </c>
      <c r="N24" s="14">
        <f>IF(OR(All_Questions_Q20_CT="(None)",N$22=""),"",IF(N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N$22),"")))</f>
        <v>28.9</v>
      </c>
      <c r="O24" s="14">
        <f>IF(OR(All_Questions_Q20_CT="(None)",O$22=""),"",IF(O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O$22),"")))</f>
        <v>28.9</v>
      </c>
      <c r="P24" s="14">
        <f>IF(OR(All_Questions_Q20_CT="(None)",P$22=""),"",IF(P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P$22),"")))</f>
        <v>28.9</v>
      </c>
      <c r="Q24" s="14">
        <f>IF(OR(All_Questions_Q20_CT="(None)",Q$22=""),"",IF(Q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Q$22),"")))</f>
        <v>28.9</v>
      </c>
      <c r="R24" s="14">
        <f>IF(OR(All_Questions_Q20_CT="(None)",R$22=""),"",IF(R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R$22),"")))</f>
        <v>28.9</v>
      </c>
      <c r="S24" s="14">
        <f>IF(All_Questions_Q20_CT="(None)","",IFERROR(AVERAGEIFS(Q20r1_data,Q20r1_data,"&lt;&gt;",passes_workbook_filters_data,1,passes_workbook_custom_filters_data,1,All_Questions_passes_local_filters_data,1,All_Questions_Q20_F_passes_per_q_filter_data,1),""))</f>
        <v>28.9</v>
      </c>
    </row>
    <row r="25">
      <c r="F25" t="inlineStr">
        <is>
          <t>Existing customers - cross-sell / up-sell</t>
        </is>
      </c>
      <c r="G25" s="14">
        <f>IF(OR(All_Questions_Q20_CT="(None)",G$22=""),"",IF(G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G$22),"")))</f>
        <v>24.6</v>
      </c>
      <c r="H25" s="14">
        <f>IF(OR(All_Questions_Q20_CT="(None)",H$22=""),"",IF(H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H$22),"")))</f>
        <v>24.6</v>
      </c>
      <c r="I25" s="14">
        <f>IF(OR(All_Questions_Q20_CT="(None)",I$22=""),"",IF(I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I$22),"")))</f>
        <v>24.6</v>
      </c>
      <c r="J25" s="14">
        <f>IF(OR(All_Questions_Q20_CT="(None)",J$22=""),"",IF(J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J$22),"")))</f>
        <v>24.6</v>
      </c>
      <c r="K25" s="14">
        <f>IF(OR(All_Questions_Q20_CT="(None)",K$22=""),"",IF(K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K$22),"")))</f>
        <v>24.6</v>
      </c>
      <c r="L25" s="14">
        <f>IF(OR(All_Questions_Q20_CT="(None)",L$22=""),"",IF(L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L$22),"")))</f>
        <v>24.6</v>
      </c>
      <c r="M25" s="14">
        <f>IF(OR(All_Questions_Q20_CT="(None)",M$22=""),"",IF(M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M$22),"")))</f>
        <v>24.6</v>
      </c>
      <c r="N25" s="14">
        <f>IF(OR(All_Questions_Q20_CT="(None)",N$22=""),"",IF(N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N$22),"")))</f>
        <v>24.6</v>
      </c>
      <c r="O25" s="14">
        <f>IF(OR(All_Questions_Q20_CT="(None)",O$22=""),"",IF(O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O$22),"")))</f>
        <v>24.6</v>
      </c>
      <c r="P25" s="14">
        <f>IF(OR(All_Questions_Q20_CT="(None)",P$22=""),"",IF(P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P$22),"")))</f>
        <v>24.6</v>
      </c>
      <c r="Q25" s="14">
        <f>IF(OR(All_Questions_Q20_CT="(None)",Q$22=""),"",IF(Q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Q$22),"")))</f>
        <v>24.6</v>
      </c>
      <c r="R25" s="14">
        <f>IF(OR(All_Questions_Q20_CT="(None)",R$22=""),"",IF(R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R$22),"")))</f>
        <v>24.6</v>
      </c>
      <c r="S25" s="14">
        <f>IF(All_Questions_Q20_CT="(None)","",IFERROR(AVERAGEIFS(Q20r2_data,Q20r2_data,"&lt;&gt;",passes_workbook_filters_data,1,passes_workbook_custom_filters_data,1,All_Questions_passes_local_filters_data,1,All_Questions_Q20_F_passes_per_q_filter_data,1),""))</f>
        <v>24.6</v>
      </c>
    </row>
    <row r="26">
      <c r="F26" t="inlineStr">
        <is>
          <t>New customers - existing geographies</t>
        </is>
      </c>
      <c r="G26" s="14">
        <f>IF(OR(All_Questions_Q20_CT="(None)",G$22=""),"",IF(G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G$22),"")))</f>
        <v>22.9</v>
      </c>
      <c r="H26" s="14">
        <f>IF(OR(All_Questions_Q20_CT="(None)",H$22=""),"",IF(H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H$22),"")))</f>
        <v>22.9</v>
      </c>
      <c r="I26" s="14">
        <f>IF(OR(All_Questions_Q20_CT="(None)",I$22=""),"",IF(I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I$22),"")))</f>
        <v>22.9</v>
      </c>
      <c r="J26" s="14">
        <f>IF(OR(All_Questions_Q20_CT="(None)",J$22=""),"",IF(J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J$22),"")))</f>
        <v>22.9</v>
      </c>
      <c r="K26" s="14">
        <f>IF(OR(All_Questions_Q20_CT="(None)",K$22=""),"",IF(K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K$22),"")))</f>
        <v>22.9</v>
      </c>
      <c r="L26" s="14">
        <f>IF(OR(All_Questions_Q20_CT="(None)",L$22=""),"",IF(L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L$22),"")))</f>
        <v>22.9</v>
      </c>
      <c r="M26" s="14">
        <f>IF(OR(All_Questions_Q20_CT="(None)",M$22=""),"",IF(M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M$22),"")))</f>
        <v>22.9</v>
      </c>
      <c r="N26" s="14">
        <f>IF(OR(All_Questions_Q20_CT="(None)",N$22=""),"",IF(N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N$22),"")))</f>
        <v>22.9</v>
      </c>
      <c r="O26" s="14">
        <f>IF(OR(All_Questions_Q20_CT="(None)",O$22=""),"",IF(O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O$22),"")))</f>
        <v>22.9</v>
      </c>
      <c r="P26" s="14">
        <f>IF(OR(All_Questions_Q20_CT="(None)",P$22=""),"",IF(P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P$22),"")))</f>
        <v>22.9</v>
      </c>
      <c r="Q26" s="14">
        <f>IF(OR(All_Questions_Q20_CT="(None)",Q$22=""),"",IF(Q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Q$22),"")))</f>
        <v>22.9</v>
      </c>
      <c r="R26" s="14">
        <f>IF(OR(All_Questions_Q20_CT="(None)",R$22=""),"",IF(R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R$22),"")))</f>
        <v>22.9</v>
      </c>
      <c r="S26" s="14">
        <f>IF(All_Questions_Q20_CT="(None)","",IFERROR(AVERAGEIFS(Q20r3_data,Q20r3_data,"&lt;&gt;",passes_workbook_filters_data,1,passes_workbook_custom_filters_data,1,All_Questions_passes_local_filters_data,1,All_Questions_Q20_F_passes_per_q_filter_data,1),""))</f>
        <v>22.9</v>
      </c>
    </row>
    <row r="27">
      <c r="F27" s="4" t="inlineStr">
        <is>
          <t>Total respondents</t>
        </is>
      </c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>
        <f>IF(All_Questions_Q20_CT="(None)","",COUNTIFS(respondent_id_data,"&lt;&gt;",passes_workbook_filters_data,1,passes_workbook_custom_filters_data,1,All_Questions_passes_local_filters_data,1,All_Questions_Q20_F_passes_per_q_filter_data,1))</f>
        <v>0</v>
      </c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4:G2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4:H2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4:I2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4:J2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4:K2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4:L2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4:M2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4:N2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4:O2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4:P2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4:Q2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4:R2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7" customWidth="1" min="3" max="3"/>
    <col width="16" customWidth="1" min="4" max="4"/>
    <col width="29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  <row r="8">
      <c r="A8" t="inlineStr">
        <is>
          <t>All Questions</t>
        </is>
      </c>
      <c r="B8" t="inlineStr">
        <is>
          <t>cross_tab_by_mean</t>
        </is>
      </c>
      <c r="C8" t="inlineStr">
        <is>
          <t>Q20</t>
        </is>
      </c>
      <c r="D8" t="inlineStr">
        <is>
          <t>Q20r1</t>
        </is>
      </c>
      <c r="E8" t="inlineStr">
        <is>
          <t>All_Questions_Q20_CT = G$22</t>
        </is>
      </c>
      <c r="H8">
        <f>IF(OR(All_Questions_Q20_CT="(None)",G$22=""),"",IF(G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G$22),"")))</f>
        <v>0</v>
      </c>
      <c r="I8" t="n">
        <v>28.9</v>
      </c>
      <c r="J8" t="n">
        <v>0</v>
      </c>
      <c r="K8" t="n">
        <v>0</v>
      </c>
      <c r="L8" t="inlineStr">
        <is>
          <t>2026-06-08T08:49:46.027700+00:00</t>
        </is>
      </c>
    </row>
    <row r="9">
      <c r="A9" t="inlineStr">
        <is>
          <t>All Questions</t>
        </is>
      </c>
      <c r="B9" t="inlineStr">
        <is>
          <t>cross_tab_by_mean</t>
        </is>
      </c>
      <c r="C9" t="inlineStr">
        <is>
          <t>Q20</t>
        </is>
      </c>
      <c r="D9" t="inlineStr">
        <is>
          <t>Q20r1</t>
        </is>
      </c>
      <c r="E9" t="inlineStr">
        <is>
          <t>All_Questions_Q20_CT = H$22</t>
        </is>
      </c>
      <c r="H9">
        <f>IF(OR(All_Questions_Q20_CT="(None)",H$22=""),"",IF(H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H$22),"")))</f>
        <v>0</v>
      </c>
      <c r="I9" t="n">
        <v>28.9</v>
      </c>
      <c r="J9" t="n">
        <v>0</v>
      </c>
      <c r="K9" t="n">
        <v>0</v>
      </c>
      <c r="L9" t="inlineStr">
        <is>
          <t>2026-06-08T08:49:46.027877+00:00</t>
        </is>
      </c>
    </row>
    <row r="10">
      <c r="A10" t="inlineStr">
        <is>
          <t>All Questions</t>
        </is>
      </c>
      <c r="B10" t="inlineStr">
        <is>
          <t>cross_tab_by_mean</t>
        </is>
      </c>
      <c r="C10" t="inlineStr">
        <is>
          <t>Q20</t>
        </is>
      </c>
      <c r="D10" t="inlineStr">
        <is>
          <t>Q20r1</t>
        </is>
      </c>
      <c r="E10" t="inlineStr">
        <is>
          <t>All_Questions_Q20_CT = I$22</t>
        </is>
      </c>
      <c r="H10">
        <f>IF(OR(All_Questions_Q20_CT="(None)",I$22=""),"",IF(I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I$22),"")))</f>
        <v>0</v>
      </c>
      <c r="I10" t="n">
        <v>28.9</v>
      </c>
      <c r="J10" t="n">
        <v>0</v>
      </c>
      <c r="K10" t="n">
        <v>0</v>
      </c>
      <c r="L10" t="inlineStr">
        <is>
          <t>2026-06-08T08:49:46.028041+00:00</t>
        </is>
      </c>
    </row>
    <row r="11">
      <c r="A11" t="inlineStr">
        <is>
          <t>All Questions</t>
        </is>
      </c>
      <c r="B11" t="inlineStr">
        <is>
          <t>cross_tab_by_mean</t>
        </is>
      </c>
      <c r="C11" t="inlineStr">
        <is>
          <t>Q20</t>
        </is>
      </c>
      <c r="D11" t="inlineStr">
        <is>
          <t>Q20r1</t>
        </is>
      </c>
      <c r="E11" t="inlineStr">
        <is>
          <t>All_Questions_Q20_CT = J$22</t>
        </is>
      </c>
      <c r="H11">
        <f>IF(OR(All_Questions_Q20_CT="(None)",J$22=""),"",IF(J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J$22),"")))</f>
        <v>0</v>
      </c>
      <c r="I11" t="n">
        <v>28.9</v>
      </c>
      <c r="J11" t="n">
        <v>0</v>
      </c>
      <c r="K11" t="n">
        <v>0</v>
      </c>
      <c r="L11" t="inlineStr">
        <is>
          <t>2026-06-08T08:49:46.028210+00:00</t>
        </is>
      </c>
    </row>
    <row r="12">
      <c r="A12" t="inlineStr">
        <is>
          <t>All Questions</t>
        </is>
      </c>
      <c r="B12" t="inlineStr">
        <is>
          <t>cross_tab_by_mean</t>
        </is>
      </c>
      <c r="C12" t="inlineStr">
        <is>
          <t>Q20</t>
        </is>
      </c>
      <c r="D12" t="inlineStr">
        <is>
          <t>Q20r1</t>
        </is>
      </c>
      <c r="E12" t="inlineStr">
        <is>
          <t>All_Questions_Q20_CT = K$22</t>
        </is>
      </c>
      <c r="H12">
        <f>IF(OR(All_Questions_Q20_CT="(None)",K$22=""),"",IF(K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K$22),"")))</f>
        <v>0</v>
      </c>
      <c r="I12" t="n">
        <v>28.9</v>
      </c>
      <c r="J12" t="n">
        <v>0</v>
      </c>
      <c r="K12" t="n">
        <v>0</v>
      </c>
      <c r="L12" t="inlineStr">
        <is>
          <t>2026-06-08T08:49:46.028356+00:00</t>
        </is>
      </c>
    </row>
    <row r="13">
      <c r="A13" t="inlineStr">
        <is>
          <t>All Questions</t>
        </is>
      </c>
      <c r="B13" t="inlineStr">
        <is>
          <t>cross_tab_by_mean</t>
        </is>
      </c>
      <c r="C13" t="inlineStr">
        <is>
          <t>Q20</t>
        </is>
      </c>
      <c r="D13" t="inlineStr">
        <is>
          <t>Q20r1</t>
        </is>
      </c>
      <c r="E13" t="inlineStr">
        <is>
          <t>All_Questions_Q20_CT = L$22</t>
        </is>
      </c>
      <c r="H13">
        <f>IF(OR(All_Questions_Q20_CT="(None)",L$22=""),"",IF(L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L$22),"")))</f>
        <v>0</v>
      </c>
      <c r="I13" t="n">
        <v>28.9</v>
      </c>
      <c r="J13" t="n">
        <v>0</v>
      </c>
      <c r="K13" t="n">
        <v>0</v>
      </c>
      <c r="L13" t="inlineStr">
        <is>
          <t>2026-06-08T08:49:46.028491+00:00</t>
        </is>
      </c>
    </row>
    <row r="14">
      <c r="A14" t="inlineStr">
        <is>
          <t>All Questions</t>
        </is>
      </c>
      <c r="B14" t="inlineStr">
        <is>
          <t>cross_tab_by_mean</t>
        </is>
      </c>
      <c r="C14" t="inlineStr">
        <is>
          <t>Q20</t>
        </is>
      </c>
      <c r="D14" t="inlineStr">
        <is>
          <t>Q20r1</t>
        </is>
      </c>
      <c r="E14" t="inlineStr">
        <is>
          <t>All_Questions_Q20_CT = M$22</t>
        </is>
      </c>
      <c r="H14">
        <f>IF(OR(All_Questions_Q20_CT="(None)",M$22=""),"",IF(M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M$22),"")))</f>
        <v>0</v>
      </c>
      <c r="I14" t="n">
        <v>28.9</v>
      </c>
      <c r="J14" t="n">
        <v>0</v>
      </c>
      <c r="K14" t="n">
        <v>0</v>
      </c>
      <c r="L14" t="inlineStr">
        <is>
          <t>2026-06-08T08:49:46.028624+00:00</t>
        </is>
      </c>
    </row>
    <row r="15">
      <c r="A15" t="inlineStr">
        <is>
          <t>All Questions</t>
        </is>
      </c>
      <c r="B15" t="inlineStr">
        <is>
          <t>cross_tab_by_mean</t>
        </is>
      </c>
      <c r="C15" t="inlineStr">
        <is>
          <t>Q20</t>
        </is>
      </c>
      <c r="D15" t="inlineStr">
        <is>
          <t>Q20r1</t>
        </is>
      </c>
      <c r="E15" t="inlineStr">
        <is>
          <t>All_Questions_Q20_CT = N$22</t>
        </is>
      </c>
      <c r="H15">
        <f>IF(OR(All_Questions_Q20_CT="(None)",N$22=""),"",IF(N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N$22),"")))</f>
        <v>0</v>
      </c>
      <c r="I15" t="n">
        <v>28.9</v>
      </c>
      <c r="J15" t="n">
        <v>0</v>
      </c>
      <c r="K15" t="n">
        <v>0</v>
      </c>
      <c r="L15" t="inlineStr">
        <is>
          <t>2026-06-08T08:49:46.028755+00:00</t>
        </is>
      </c>
    </row>
    <row r="16">
      <c r="A16" t="inlineStr">
        <is>
          <t>All Questions</t>
        </is>
      </c>
      <c r="B16" t="inlineStr">
        <is>
          <t>cross_tab_by_mean</t>
        </is>
      </c>
      <c r="C16" t="inlineStr">
        <is>
          <t>Q20</t>
        </is>
      </c>
      <c r="D16" t="inlineStr">
        <is>
          <t>Q20r1</t>
        </is>
      </c>
      <c r="E16" t="inlineStr">
        <is>
          <t>All_Questions_Q20_CT = O$22</t>
        </is>
      </c>
      <c r="H16">
        <f>IF(OR(All_Questions_Q20_CT="(None)",O$22=""),"",IF(O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O$22),"")))</f>
        <v>0</v>
      </c>
      <c r="I16" t="n">
        <v>28.9</v>
      </c>
      <c r="J16" t="n">
        <v>0</v>
      </c>
      <c r="K16" t="n">
        <v>0</v>
      </c>
      <c r="L16" t="inlineStr">
        <is>
          <t>2026-06-08T08:49:46.028886+00:00</t>
        </is>
      </c>
    </row>
    <row r="17">
      <c r="A17" t="inlineStr">
        <is>
          <t>All Questions</t>
        </is>
      </c>
      <c r="B17" t="inlineStr">
        <is>
          <t>cross_tab_by_mean</t>
        </is>
      </c>
      <c r="C17" t="inlineStr">
        <is>
          <t>Q20</t>
        </is>
      </c>
      <c r="D17" t="inlineStr">
        <is>
          <t>Q20r1</t>
        </is>
      </c>
      <c r="E17" t="inlineStr">
        <is>
          <t>All_Questions_Q20_CT = P$22</t>
        </is>
      </c>
      <c r="H17">
        <f>IF(OR(All_Questions_Q20_CT="(None)",P$22=""),"",IF(P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P$22),"")))</f>
        <v>0</v>
      </c>
      <c r="I17" t="n">
        <v>28.9</v>
      </c>
      <c r="J17" t="n">
        <v>0</v>
      </c>
      <c r="K17" t="n">
        <v>0</v>
      </c>
      <c r="L17" t="inlineStr">
        <is>
          <t>2026-06-08T08:49:46.029042+00:00</t>
        </is>
      </c>
    </row>
    <row r="18">
      <c r="A18" t="inlineStr">
        <is>
          <t>All Questions</t>
        </is>
      </c>
      <c r="B18" t="inlineStr">
        <is>
          <t>cross_tab_by_mean</t>
        </is>
      </c>
      <c r="C18" t="inlineStr">
        <is>
          <t>Q20</t>
        </is>
      </c>
      <c r="D18" t="inlineStr">
        <is>
          <t>Q20r1</t>
        </is>
      </c>
      <c r="E18" t="inlineStr">
        <is>
          <t>All_Questions_Q20_CT = Q$22</t>
        </is>
      </c>
      <c r="H18">
        <f>IF(OR(All_Questions_Q20_CT="(None)",Q$22=""),"",IF(Q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Q$22),"")))</f>
        <v>0</v>
      </c>
      <c r="I18" t="n">
        <v>28.9</v>
      </c>
      <c r="J18" t="n">
        <v>0</v>
      </c>
      <c r="K18" t="n">
        <v>0</v>
      </c>
      <c r="L18" t="inlineStr">
        <is>
          <t>2026-06-08T08:49:46.029257+00:00</t>
        </is>
      </c>
    </row>
    <row r="19">
      <c r="A19" t="inlineStr">
        <is>
          <t>All Questions</t>
        </is>
      </c>
      <c r="B19" t="inlineStr">
        <is>
          <t>cross_tab_by_mean</t>
        </is>
      </c>
      <c r="C19" t="inlineStr">
        <is>
          <t>Q20</t>
        </is>
      </c>
      <c r="D19" t="inlineStr">
        <is>
          <t>Q20r1</t>
        </is>
      </c>
      <c r="E19" t="inlineStr">
        <is>
          <t>All_Questions_Q20_CT = R$22</t>
        </is>
      </c>
      <c r="H19">
        <f>IF(OR(All_Questions_Q20_CT="(None)",R$22=""),"",IF(R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R$22),"")))</f>
        <v>0</v>
      </c>
      <c r="I19" t="n">
        <v>28.9</v>
      </c>
      <c r="J19" t="n">
        <v>0</v>
      </c>
      <c r="K19" t="n">
        <v>0</v>
      </c>
      <c r="L19" t="inlineStr">
        <is>
          <t>2026-06-08T08:49:46.029456+00:00</t>
        </is>
      </c>
    </row>
    <row r="20">
      <c r="A20" t="inlineStr">
        <is>
          <t>All Questions</t>
        </is>
      </c>
      <c r="B20" t="inlineStr">
        <is>
          <t>cross_tab_by_mean</t>
        </is>
      </c>
      <c r="C20" t="inlineStr">
        <is>
          <t>Q20</t>
        </is>
      </c>
      <c r="D20" t="inlineStr">
        <is>
          <t>Q20r2</t>
        </is>
      </c>
      <c r="E20" t="inlineStr">
        <is>
          <t>All_Questions_Q20_CT = G$22</t>
        </is>
      </c>
      <c r="H20">
        <f>IF(OR(All_Questions_Q20_CT="(None)",G$22=""),"",IF(G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G$22),"")))</f>
        <v>0</v>
      </c>
      <c r="I20" t="n">
        <v>24.6</v>
      </c>
      <c r="J20" t="n">
        <v>0</v>
      </c>
      <c r="K20" t="n">
        <v>0</v>
      </c>
      <c r="L20" t="inlineStr">
        <is>
          <t>2026-06-08T08:49:46.029686+00:00</t>
        </is>
      </c>
    </row>
    <row r="21">
      <c r="A21" t="inlineStr">
        <is>
          <t>All Questions</t>
        </is>
      </c>
      <c r="B21" t="inlineStr">
        <is>
          <t>cross_tab_by_mean</t>
        </is>
      </c>
      <c r="C21" t="inlineStr">
        <is>
          <t>Q20</t>
        </is>
      </c>
      <c r="D21" t="inlineStr">
        <is>
          <t>Q20r2</t>
        </is>
      </c>
      <c r="E21" t="inlineStr">
        <is>
          <t>All_Questions_Q20_CT = H$22</t>
        </is>
      </c>
      <c r="H21">
        <f>IF(OR(All_Questions_Q20_CT="(None)",H$22=""),"",IF(H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H$22),"")))</f>
        <v>0</v>
      </c>
      <c r="I21" t="n">
        <v>24.6</v>
      </c>
      <c r="J21" t="n">
        <v>0</v>
      </c>
      <c r="K21" t="n">
        <v>0</v>
      </c>
      <c r="L21" t="inlineStr">
        <is>
          <t>2026-06-08T08:49:46.029820+00:00</t>
        </is>
      </c>
    </row>
    <row r="22">
      <c r="A22" t="inlineStr">
        <is>
          <t>All Questions</t>
        </is>
      </c>
      <c r="B22" t="inlineStr">
        <is>
          <t>cross_tab_by_mean</t>
        </is>
      </c>
      <c r="C22" t="inlineStr">
        <is>
          <t>Q20</t>
        </is>
      </c>
      <c r="D22" t="inlineStr">
        <is>
          <t>Q20r2</t>
        </is>
      </c>
      <c r="E22" t="inlineStr">
        <is>
          <t>All_Questions_Q20_CT = I$22</t>
        </is>
      </c>
      <c r="H22">
        <f>IF(OR(All_Questions_Q20_CT="(None)",I$22=""),"",IF(I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I$22),"")))</f>
        <v>0</v>
      </c>
      <c r="I22" t="n">
        <v>24.6</v>
      </c>
      <c r="J22" t="n">
        <v>0</v>
      </c>
      <c r="K22" t="n">
        <v>0</v>
      </c>
      <c r="L22" t="inlineStr">
        <is>
          <t>2026-06-08T08:49:46.029978+00:00</t>
        </is>
      </c>
    </row>
    <row r="23">
      <c r="A23" t="inlineStr">
        <is>
          <t>All Questions</t>
        </is>
      </c>
      <c r="B23" t="inlineStr">
        <is>
          <t>cross_tab_by_mean</t>
        </is>
      </c>
      <c r="C23" t="inlineStr">
        <is>
          <t>Q20</t>
        </is>
      </c>
      <c r="D23" t="inlineStr">
        <is>
          <t>Q20r2</t>
        </is>
      </c>
      <c r="E23" t="inlineStr">
        <is>
          <t>All_Questions_Q20_CT = J$22</t>
        </is>
      </c>
      <c r="H23">
        <f>IF(OR(All_Questions_Q20_CT="(None)",J$22=""),"",IF(J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J$22),"")))</f>
        <v>0</v>
      </c>
      <c r="I23" t="n">
        <v>24.6</v>
      </c>
      <c r="J23" t="n">
        <v>0</v>
      </c>
      <c r="K23" t="n">
        <v>0</v>
      </c>
      <c r="L23" t="inlineStr">
        <is>
          <t>2026-06-08T08:49:46.030140+00:00</t>
        </is>
      </c>
    </row>
    <row r="24">
      <c r="A24" t="inlineStr">
        <is>
          <t>All Questions</t>
        </is>
      </c>
      <c r="B24" t="inlineStr">
        <is>
          <t>cross_tab_by_mean</t>
        </is>
      </c>
      <c r="C24" t="inlineStr">
        <is>
          <t>Q20</t>
        </is>
      </c>
      <c r="D24" t="inlineStr">
        <is>
          <t>Q20r2</t>
        </is>
      </c>
      <c r="E24" t="inlineStr">
        <is>
          <t>All_Questions_Q20_CT = K$22</t>
        </is>
      </c>
      <c r="H24">
        <f>IF(OR(All_Questions_Q20_CT="(None)",K$22=""),"",IF(K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K$22),"")))</f>
        <v>0</v>
      </c>
      <c r="I24" t="n">
        <v>24.6</v>
      </c>
      <c r="J24" t="n">
        <v>0</v>
      </c>
      <c r="K24" t="n">
        <v>0</v>
      </c>
      <c r="L24" t="inlineStr">
        <is>
          <t>2026-06-08T08:49:46.030286+00:00</t>
        </is>
      </c>
    </row>
    <row r="25">
      <c r="A25" t="inlineStr">
        <is>
          <t>All Questions</t>
        </is>
      </c>
      <c r="B25" t="inlineStr">
        <is>
          <t>cross_tab_by_mean</t>
        </is>
      </c>
      <c r="C25" t="inlineStr">
        <is>
          <t>Q20</t>
        </is>
      </c>
      <c r="D25" t="inlineStr">
        <is>
          <t>Q20r2</t>
        </is>
      </c>
      <c r="E25" t="inlineStr">
        <is>
          <t>All_Questions_Q20_CT = L$22</t>
        </is>
      </c>
      <c r="H25">
        <f>IF(OR(All_Questions_Q20_CT="(None)",L$22=""),"",IF(L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L$22),"")))</f>
        <v>0</v>
      </c>
      <c r="I25" t="n">
        <v>24.6</v>
      </c>
      <c r="J25" t="n">
        <v>0</v>
      </c>
      <c r="K25" t="n">
        <v>0</v>
      </c>
      <c r="L25" t="inlineStr">
        <is>
          <t>2026-06-08T08:49:46.030424+00:00</t>
        </is>
      </c>
    </row>
    <row r="26">
      <c r="A26" t="inlineStr">
        <is>
          <t>All Questions</t>
        </is>
      </c>
      <c r="B26" t="inlineStr">
        <is>
          <t>cross_tab_by_mean</t>
        </is>
      </c>
      <c r="C26" t="inlineStr">
        <is>
          <t>Q20</t>
        </is>
      </c>
      <c r="D26" t="inlineStr">
        <is>
          <t>Q20r2</t>
        </is>
      </c>
      <c r="E26" t="inlineStr">
        <is>
          <t>All_Questions_Q20_CT = M$22</t>
        </is>
      </c>
      <c r="H26">
        <f>IF(OR(All_Questions_Q20_CT="(None)",M$22=""),"",IF(M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M$22),"")))</f>
        <v>0</v>
      </c>
      <c r="I26" t="n">
        <v>24.6</v>
      </c>
      <c r="J26" t="n">
        <v>0</v>
      </c>
      <c r="K26" t="n">
        <v>0</v>
      </c>
      <c r="L26" t="inlineStr">
        <is>
          <t>2026-06-08T08:49:46.030585+00:00</t>
        </is>
      </c>
    </row>
    <row r="27">
      <c r="A27" t="inlineStr">
        <is>
          <t>All Questions</t>
        </is>
      </c>
      <c r="B27" t="inlineStr">
        <is>
          <t>cross_tab_by_mean</t>
        </is>
      </c>
      <c r="C27" t="inlineStr">
        <is>
          <t>Q20</t>
        </is>
      </c>
      <c r="D27" t="inlineStr">
        <is>
          <t>Q20r2</t>
        </is>
      </c>
      <c r="E27" t="inlineStr">
        <is>
          <t>All_Questions_Q20_CT = N$22</t>
        </is>
      </c>
      <c r="H27">
        <f>IF(OR(All_Questions_Q20_CT="(None)",N$22=""),"",IF(N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N$22),"")))</f>
        <v>0</v>
      </c>
      <c r="I27" t="n">
        <v>24.6</v>
      </c>
      <c r="J27" t="n">
        <v>0</v>
      </c>
      <c r="K27" t="n">
        <v>0</v>
      </c>
      <c r="L27" t="inlineStr">
        <is>
          <t>2026-06-08T08:49:46.030725+00:00</t>
        </is>
      </c>
    </row>
    <row r="28">
      <c r="A28" t="inlineStr">
        <is>
          <t>All Questions</t>
        </is>
      </c>
      <c r="B28" t="inlineStr">
        <is>
          <t>cross_tab_by_mean</t>
        </is>
      </c>
      <c r="C28" t="inlineStr">
        <is>
          <t>Q20</t>
        </is>
      </c>
      <c r="D28" t="inlineStr">
        <is>
          <t>Q20r2</t>
        </is>
      </c>
      <c r="E28" t="inlineStr">
        <is>
          <t>All_Questions_Q20_CT = O$22</t>
        </is>
      </c>
      <c r="H28">
        <f>IF(OR(All_Questions_Q20_CT="(None)",O$22=""),"",IF(O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O$22),"")))</f>
        <v>0</v>
      </c>
      <c r="I28" t="n">
        <v>24.6</v>
      </c>
      <c r="J28" t="n">
        <v>0</v>
      </c>
      <c r="K28" t="n">
        <v>0</v>
      </c>
      <c r="L28" t="inlineStr">
        <is>
          <t>2026-06-08T08:49:46.030855+00:00</t>
        </is>
      </c>
    </row>
    <row r="29">
      <c r="A29" t="inlineStr">
        <is>
          <t>All Questions</t>
        </is>
      </c>
      <c r="B29" t="inlineStr">
        <is>
          <t>cross_tab_by_mean</t>
        </is>
      </c>
      <c r="C29" t="inlineStr">
        <is>
          <t>Q20</t>
        </is>
      </c>
      <c r="D29" t="inlineStr">
        <is>
          <t>Q20r2</t>
        </is>
      </c>
      <c r="E29" t="inlineStr">
        <is>
          <t>All_Questions_Q20_CT = P$22</t>
        </is>
      </c>
      <c r="H29">
        <f>IF(OR(All_Questions_Q20_CT="(None)",P$22=""),"",IF(P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P$22),"")))</f>
        <v>0</v>
      </c>
      <c r="I29" t="n">
        <v>24.6</v>
      </c>
      <c r="J29" t="n">
        <v>0</v>
      </c>
      <c r="K29" t="n">
        <v>0</v>
      </c>
      <c r="L29" t="inlineStr">
        <is>
          <t>2026-06-08T08:49:46.031017+00:00</t>
        </is>
      </c>
    </row>
    <row r="30">
      <c r="A30" t="inlineStr">
        <is>
          <t>All Questions</t>
        </is>
      </c>
      <c r="B30" t="inlineStr">
        <is>
          <t>cross_tab_by_mean</t>
        </is>
      </c>
      <c r="C30" t="inlineStr">
        <is>
          <t>Q20</t>
        </is>
      </c>
      <c r="D30" t="inlineStr">
        <is>
          <t>Q20r2</t>
        </is>
      </c>
      <c r="E30" t="inlineStr">
        <is>
          <t>All_Questions_Q20_CT = Q$22</t>
        </is>
      </c>
      <c r="H30">
        <f>IF(OR(All_Questions_Q20_CT="(None)",Q$22=""),"",IF(Q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Q$22),"")))</f>
        <v>0</v>
      </c>
      <c r="I30" t="n">
        <v>24.6</v>
      </c>
      <c r="J30" t="n">
        <v>0</v>
      </c>
      <c r="K30" t="n">
        <v>0</v>
      </c>
      <c r="L30" t="inlineStr">
        <is>
          <t>2026-06-08T08:49:46.031186+00:00</t>
        </is>
      </c>
    </row>
    <row r="31">
      <c r="A31" t="inlineStr">
        <is>
          <t>All Questions</t>
        </is>
      </c>
      <c r="B31" t="inlineStr">
        <is>
          <t>cross_tab_by_mean</t>
        </is>
      </c>
      <c r="C31" t="inlineStr">
        <is>
          <t>Q20</t>
        </is>
      </c>
      <c r="D31" t="inlineStr">
        <is>
          <t>Q20r2</t>
        </is>
      </c>
      <c r="E31" t="inlineStr">
        <is>
          <t>All_Questions_Q20_CT = R$22</t>
        </is>
      </c>
      <c r="H31">
        <f>IF(OR(All_Questions_Q20_CT="(None)",R$22=""),"",IF(R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R$22),"")))</f>
        <v>0</v>
      </c>
      <c r="I31" t="n">
        <v>24.6</v>
      </c>
      <c r="J31" t="n">
        <v>0</v>
      </c>
      <c r="K31" t="n">
        <v>0</v>
      </c>
      <c r="L31" t="inlineStr">
        <is>
          <t>2026-06-08T08:49:46.031384+00:00</t>
        </is>
      </c>
    </row>
    <row r="32">
      <c r="A32" t="inlineStr">
        <is>
          <t>All Questions</t>
        </is>
      </c>
      <c r="B32" t="inlineStr">
        <is>
          <t>cross_tab_by_mean</t>
        </is>
      </c>
      <c r="C32" t="inlineStr">
        <is>
          <t>Q20</t>
        </is>
      </c>
      <c r="D32" t="inlineStr">
        <is>
          <t>Q20r3</t>
        </is>
      </c>
      <c r="E32" t="inlineStr">
        <is>
          <t>All_Questions_Q20_CT = G$22</t>
        </is>
      </c>
      <c r="H32">
        <f>IF(OR(All_Questions_Q20_CT="(None)",G$22=""),"",IF(G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G$22),"")))</f>
        <v>0</v>
      </c>
      <c r="I32" t="n">
        <v>22.9</v>
      </c>
      <c r="J32" t="n">
        <v>0</v>
      </c>
      <c r="K32" t="n">
        <v>0</v>
      </c>
      <c r="L32" t="inlineStr">
        <is>
          <t>2026-06-08T08:49:46.031612+00:00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Q20</t>
        </is>
      </c>
      <c r="D33" t="inlineStr">
        <is>
          <t>Q20r3</t>
        </is>
      </c>
      <c r="E33" t="inlineStr">
        <is>
          <t>All_Questions_Q20_CT = H$22</t>
        </is>
      </c>
      <c r="H33">
        <f>IF(OR(All_Questions_Q20_CT="(None)",H$22=""),"",IF(H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H$22),"")))</f>
        <v>0</v>
      </c>
      <c r="I33" t="n">
        <v>22.9</v>
      </c>
      <c r="J33" t="n">
        <v>0</v>
      </c>
      <c r="K33" t="n">
        <v>0</v>
      </c>
      <c r="L33" t="inlineStr">
        <is>
          <t>2026-06-08T08:49:46.031743+00:00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Q20</t>
        </is>
      </c>
      <c r="D34" t="inlineStr">
        <is>
          <t>Q20r3</t>
        </is>
      </c>
      <c r="E34" t="inlineStr">
        <is>
          <t>All_Questions_Q20_CT = I$22</t>
        </is>
      </c>
      <c r="H34">
        <f>IF(OR(All_Questions_Q20_CT="(None)",I$22=""),"",IF(I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I$22),"")))</f>
        <v>0</v>
      </c>
      <c r="I34" t="n">
        <v>22.9</v>
      </c>
      <c r="J34" t="n">
        <v>0</v>
      </c>
      <c r="K34" t="n">
        <v>0</v>
      </c>
      <c r="L34" t="inlineStr">
        <is>
          <t>2026-06-08T08:49:46.031876+00:00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Q20</t>
        </is>
      </c>
      <c r="D35" t="inlineStr">
        <is>
          <t>Q20r3</t>
        </is>
      </c>
      <c r="E35" t="inlineStr">
        <is>
          <t>All_Questions_Q20_CT = J$22</t>
        </is>
      </c>
      <c r="H35">
        <f>IF(OR(All_Questions_Q20_CT="(None)",J$22=""),"",IF(J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J$22),"")))</f>
        <v>0</v>
      </c>
      <c r="I35" t="n">
        <v>22.9</v>
      </c>
      <c r="J35" t="n">
        <v>0</v>
      </c>
      <c r="K35" t="n">
        <v>0</v>
      </c>
      <c r="L35" t="inlineStr">
        <is>
          <t>2026-06-08T08:49:46.032033+00:00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Q20</t>
        </is>
      </c>
      <c r="D36" t="inlineStr">
        <is>
          <t>Q20r3</t>
        </is>
      </c>
      <c r="E36" t="inlineStr">
        <is>
          <t>All_Questions_Q20_CT = K$22</t>
        </is>
      </c>
      <c r="H36">
        <f>IF(OR(All_Questions_Q20_CT="(None)",K$22=""),"",IF(K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K$22),"")))</f>
        <v>0</v>
      </c>
      <c r="I36" t="n">
        <v>22.9</v>
      </c>
      <c r="J36" t="n">
        <v>0</v>
      </c>
      <c r="K36" t="n">
        <v>0</v>
      </c>
      <c r="L36" t="inlineStr">
        <is>
          <t>2026-06-08T08:49:46.032196+00:00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Q20</t>
        </is>
      </c>
      <c r="D37" t="inlineStr">
        <is>
          <t>Q20r3</t>
        </is>
      </c>
      <c r="E37" t="inlineStr">
        <is>
          <t>All_Questions_Q20_CT = L$22</t>
        </is>
      </c>
      <c r="H37">
        <f>IF(OR(All_Questions_Q20_CT="(None)",L$22=""),"",IF(L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L$22),"")))</f>
        <v>0</v>
      </c>
      <c r="I37" t="n">
        <v>22.9</v>
      </c>
      <c r="J37" t="n">
        <v>0</v>
      </c>
      <c r="K37" t="n">
        <v>0</v>
      </c>
      <c r="L37" t="inlineStr">
        <is>
          <t>2026-06-08T08:49:46.032334+00:00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Q20</t>
        </is>
      </c>
      <c r="D38" t="inlineStr">
        <is>
          <t>Q20r3</t>
        </is>
      </c>
      <c r="E38" t="inlineStr">
        <is>
          <t>All_Questions_Q20_CT = M$22</t>
        </is>
      </c>
      <c r="H38">
        <f>IF(OR(All_Questions_Q20_CT="(None)",M$22=""),"",IF(M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M$22),"")))</f>
        <v>0</v>
      </c>
      <c r="I38" t="n">
        <v>22.9</v>
      </c>
      <c r="J38" t="n">
        <v>0</v>
      </c>
      <c r="K38" t="n">
        <v>0</v>
      </c>
      <c r="L38" t="inlineStr">
        <is>
          <t>2026-06-08T08:49:46.032466+00:00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Q20</t>
        </is>
      </c>
      <c r="D39" t="inlineStr">
        <is>
          <t>Q20r3</t>
        </is>
      </c>
      <c r="E39" t="inlineStr">
        <is>
          <t>All_Questions_Q20_CT = N$22</t>
        </is>
      </c>
      <c r="H39">
        <f>IF(OR(All_Questions_Q20_CT="(None)",N$22=""),"",IF(N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N$22),"")))</f>
        <v>0</v>
      </c>
      <c r="I39" t="n">
        <v>22.9</v>
      </c>
      <c r="J39" t="n">
        <v>0</v>
      </c>
      <c r="K39" t="n">
        <v>0</v>
      </c>
      <c r="L39" t="inlineStr">
        <is>
          <t>2026-06-08T08:49:46.032603+00:00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Q20</t>
        </is>
      </c>
      <c r="D40" t="inlineStr">
        <is>
          <t>Q20r3</t>
        </is>
      </c>
      <c r="E40" t="inlineStr">
        <is>
          <t>All_Questions_Q20_CT = O$22</t>
        </is>
      </c>
      <c r="H40">
        <f>IF(OR(All_Questions_Q20_CT="(None)",O$22=""),"",IF(O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O$22),"")))</f>
        <v>0</v>
      </c>
      <c r="I40" t="n">
        <v>22.9</v>
      </c>
      <c r="J40" t="n">
        <v>0</v>
      </c>
      <c r="K40" t="n">
        <v>0</v>
      </c>
      <c r="L40" t="inlineStr">
        <is>
          <t>2026-06-08T08:49:46.032736+00:00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Q20</t>
        </is>
      </c>
      <c r="D41" t="inlineStr">
        <is>
          <t>Q20r3</t>
        </is>
      </c>
      <c r="E41" t="inlineStr">
        <is>
          <t>All_Questions_Q20_CT = P$22</t>
        </is>
      </c>
      <c r="H41">
        <f>IF(OR(All_Questions_Q20_CT="(None)",P$22=""),"",IF(P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P$22),"")))</f>
        <v>0</v>
      </c>
      <c r="I41" t="n">
        <v>22.9</v>
      </c>
      <c r="J41" t="n">
        <v>0</v>
      </c>
      <c r="K41" t="n">
        <v>0</v>
      </c>
      <c r="L41" t="inlineStr">
        <is>
          <t>2026-06-08T08:49:46.032866+00:00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Q20</t>
        </is>
      </c>
      <c r="D42" t="inlineStr">
        <is>
          <t>Q20r3</t>
        </is>
      </c>
      <c r="E42" t="inlineStr">
        <is>
          <t>All_Questions_Q20_CT = Q$22</t>
        </is>
      </c>
      <c r="H42">
        <f>IF(OR(All_Questions_Q20_CT="(None)",Q$22=""),"",IF(Q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Q$22),"")))</f>
        <v>0</v>
      </c>
      <c r="I42" t="n">
        <v>22.9</v>
      </c>
      <c r="J42" t="n">
        <v>0</v>
      </c>
      <c r="K42" t="n">
        <v>0</v>
      </c>
      <c r="L42" t="inlineStr">
        <is>
          <t>2026-06-08T08:49:46.033020+00:00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Q20</t>
        </is>
      </c>
      <c r="D43" t="inlineStr">
        <is>
          <t>Q20r3</t>
        </is>
      </c>
      <c r="E43" t="inlineStr">
        <is>
          <t>All_Questions_Q20_CT = R$22</t>
        </is>
      </c>
      <c r="H43">
        <f>IF(OR(All_Questions_Q20_CT="(None)",R$22=""),"",IF(R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R$22),"")))</f>
        <v>0</v>
      </c>
      <c r="I43" t="n">
        <v>22.9</v>
      </c>
      <c r="J43" t="n">
        <v>0</v>
      </c>
      <c r="K43" t="n">
        <v>0</v>
      </c>
      <c r="L43" t="inlineStr">
        <is>
          <t>2026-06-08T08:49:46.033243+00:00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2026-06-08T08:49:45Z</dcterms:created>
  <dcterms:modified xmlns:dcterms="http://purl.org/dc/terms/" xmlns:xsi="http://www.w3.org/2001/XMLSchema-instance" xsi:type="dcterms:W3CDTF">2026-06-08T08:49:46Z</dcterms:modified>
</cp:coreProperties>
</file>