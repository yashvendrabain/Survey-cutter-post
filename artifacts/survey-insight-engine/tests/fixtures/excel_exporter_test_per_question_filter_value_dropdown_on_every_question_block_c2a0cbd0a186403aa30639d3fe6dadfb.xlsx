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All_Questions_Data_Names">'_Options'!$C$2:$C$7</definedName>
    <definedName name="All_Questions_Options_Names">'_Options'!$D$2:$D$7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Q_EXTRA_1_data</t>
        </is>
      </c>
      <c r="D5" t="inlineStr">
        <is>
          <t>Q_EXTRA_1_options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Q_EXTRA_2_data</t>
        </is>
      </c>
      <c r="D6" t="inlineStr">
        <is>
          <t>Q_EXTRA_2_options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Q_EXTRA_3_data</t>
        </is>
      </c>
      <c r="D7" t="inlineStr">
        <is>
          <t>Q_EXTRA_3_options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XLOOKUP(All_Questions_Q_EXTRA_1_F_Q,All_Questions,All_Questions_Data_Names,"respondent_id_data")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IF(All_Questions_Q_EXTRA_1_CT="(None)","",IFERROR(INDEX(INDIRECT(XLOOKUP(All_Questions_Q_EXTRA_1_CT,All_Questions,All_Questions_Options_Names,"None_options")),2),""))</f>
        <v/>
      </c>
      <c r="H68" s="2" t="n"/>
      <c r="I68" s="2" t="str">
        <f>IF(All_Questions_Q_EXTRA_1_CT="(None)","",IFERROR(INDEX(INDIRECT(XLOOKUP(All_Questions_Q_EXTRA_1_CT,All_Questions,All_Questions_Options_Names,"None_options")),3),""))</f>
        <v/>
      </c>
      <c r="J68" s="2" t="n"/>
      <c r="K68" s="2" t="str">
        <f>IF(All_Questions_Q_EXTRA_1_CT="(None)","",IFERROR(INDEX(INDIRECT(XLOOKUP(All_Questions_Q_EXTRA_1_CT,All_Questions,All_Questions_Options_Names,"None_options")),4),""))</f>
        <v/>
      </c>
      <c r="L68" s="2" t="n"/>
      <c r="M68" s="2" t="str">
        <f>IF(All_Questions_Q_EXTRA_1_CT="(None)","",IFERROR(INDEX(INDIRECT(XLOOKUP(All_Questions_Q_EXTRA_1_CT,All_Questions,All_Questions_Options_Names,"None_options")),5),""))</f>
        <v/>
      </c>
      <c r="N68" s="2" t="n"/>
      <c r="O68" s="2" t="str">
        <f>IF(All_Questions_Q_EXTRA_1_CT="(None)","",IFERROR(INDEX(INDIRECT(XLOOKUP(All_Questions_Q_EXTRA_1_CT,All_Questions,All_Questions_Options_Names,"None_options")),6),""))</f>
        <v/>
      </c>
      <c r="P68" s="2" t="n"/>
      <c r="Q68" s="2" t="str">
        <f>IF(All_Questions_Q_EXTRA_1_CT="(None)","",IFERROR(INDEX(INDIRECT(XLOOKUP(All_Questions_Q_EXTRA_1_CT,All_Questions,All_Questions_Options_Names,"None_options")),7),""))</f>
        <v/>
      </c>
      <c r="R68" s="2" t="n"/>
      <c r="S68" s="2" t="str">
        <f>IF(All_Questions_Q_EXTRA_1_CT="(None)","",IFERROR(INDEX(INDIRECT(XLOOKUP(All_Questions_Q_EXTRA_1_CT,All_Questions,All_Questions_Options_Names,"None_options")),8),""))</f>
        <v/>
      </c>
      <c r="T68" s="2" t="n"/>
      <c r="U68" s="2" t="str">
        <f>IF(All_Questions_Q_EXTRA_1_CT="(None)","",IFERROR(INDEX(INDIRECT(XLOOKUP(All_Questions_Q_EXTRA_1_CT,All_Questions,All_Questions_Options_Names,"None_options")),9),""))</f>
        <v/>
      </c>
      <c r="V68" s="2" t="n"/>
      <c r="W68" s="2" t="str">
        <f>IF(All_Questions_Q_EXTRA_1_CT="(None)","",IFERROR(INDEX(INDIRECT(XLOOKUP(All_Questions_Q_EXTRA_1_CT,All_Questions,All_Questions_Options_Names,"None_options")),10),""))</f>
        <v/>
      </c>
      <c r="X68" s="2" t="n"/>
      <c r="Y68" s="2" t="str">
        <f>IF(All_Questions_Q_EXTRA_1_CT="(None)","",IFERROR(INDEX(INDIRECT(XLOOKUP(All_Questions_Q_EXTRA_1_CT,All_Questions,All_Questions_Options_Names,"None_options")),11),""))</f>
        <v/>
      </c>
      <c r="Z68" s="2" t="n"/>
      <c r="AA68" s="2" t="str">
        <f>IF(All_Questions_Q_EXTRA_1_CT="(None)","",IFERROR(INDEX(INDIRECT(XLOOKUP(All_Questions_Q_EXTRA_1_CT,All_Questions,All_Questions_Options_Names,"None_options")),12),""))</f>
        <v/>
      </c>
      <c r="AB68" s="2" t="n"/>
      <c r="AC68" s="2" t="str">
        <f>IF(All_Questions_Q_EXTRA_1_CT="(None)","",IF(COUNTA(INDIRECT(XLOOKUP(All_Questions_Q_EXTRA_1_CT,All_Questions,All_Questions_Options_Names,"None_options")))-1&gt;11,"Other",IFERROR(INDEX(INDIRECT(XLOOKUP(All_Questions_Q_EXTRA_1_CT,All_Questions,All_Questions_Options_Names,"None_options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XLOOKUP(All_Questions_Q_EXTRA_2_F_Q,All_Questions,All_Questions_Data_Names,"respondent_id_data")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IF(All_Questions_Q_EXTRA_2_CT="(None)","",IFERROR(INDEX(INDIRECT(XLOOKUP(All_Questions_Q_EXTRA_2_CT,All_Questions,All_Questions_Options_Names,"None_options")),2),""))</f>
        <v/>
      </c>
      <c r="H78" s="2" t="n"/>
      <c r="I78" s="2" t="str">
        <f>IF(All_Questions_Q_EXTRA_2_CT="(None)","",IFERROR(INDEX(INDIRECT(XLOOKUP(All_Questions_Q_EXTRA_2_CT,All_Questions,All_Questions_Options_Names,"None_options")),3),""))</f>
        <v/>
      </c>
      <c r="J78" s="2" t="n"/>
      <c r="K78" s="2" t="str">
        <f>IF(All_Questions_Q_EXTRA_2_CT="(None)","",IFERROR(INDEX(INDIRECT(XLOOKUP(All_Questions_Q_EXTRA_2_CT,All_Questions,All_Questions_Options_Names,"None_options")),4),""))</f>
        <v/>
      </c>
      <c r="L78" s="2" t="n"/>
      <c r="M78" s="2" t="str">
        <f>IF(All_Questions_Q_EXTRA_2_CT="(None)","",IFERROR(INDEX(INDIRECT(XLOOKUP(All_Questions_Q_EXTRA_2_CT,All_Questions,All_Questions_Options_Names,"None_options")),5),""))</f>
        <v/>
      </c>
      <c r="N78" s="2" t="n"/>
      <c r="O78" s="2" t="str">
        <f>IF(All_Questions_Q_EXTRA_2_CT="(None)","",IFERROR(INDEX(INDIRECT(XLOOKUP(All_Questions_Q_EXTRA_2_CT,All_Questions,All_Questions_Options_Names,"None_options")),6),""))</f>
        <v/>
      </c>
      <c r="P78" s="2" t="n"/>
      <c r="Q78" s="2" t="str">
        <f>IF(All_Questions_Q_EXTRA_2_CT="(None)","",IFERROR(INDEX(INDIRECT(XLOOKUP(All_Questions_Q_EXTRA_2_CT,All_Questions,All_Questions_Options_Names,"None_options")),7),""))</f>
        <v/>
      </c>
      <c r="R78" s="2" t="n"/>
      <c r="S78" s="2" t="str">
        <f>IF(All_Questions_Q_EXTRA_2_CT="(None)","",IFERROR(INDEX(INDIRECT(XLOOKUP(All_Questions_Q_EXTRA_2_CT,All_Questions,All_Questions_Options_Names,"None_options")),8),""))</f>
        <v/>
      </c>
      <c r="T78" s="2" t="n"/>
      <c r="U78" s="2" t="str">
        <f>IF(All_Questions_Q_EXTRA_2_CT="(None)","",IFERROR(INDEX(INDIRECT(XLOOKUP(All_Questions_Q_EXTRA_2_CT,All_Questions,All_Questions_Options_Names,"None_options")),9),""))</f>
        <v/>
      </c>
      <c r="V78" s="2" t="n"/>
      <c r="W78" s="2" t="str">
        <f>IF(All_Questions_Q_EXTRA_2_CT="(None)","",IFERROR(INDEX(INDIRECT(XLOOKUP(All_Questions_Q_EXTRA_2_CT,All_Questions,All_Questions_Options_Names,"None_options")),10),""))</f>
        <v/>
      </c>
      <c r="X78" s="2" t="n"/>
      <c r="Y78" s="2" t="str">
        <f>IF(All_Questions_Q_EXTRA_2_CT="(None)","",IFERROR(INDEX(INDIRECT(XLOOKUP(All_Questions_Q_EXTRA_2_CT,All_Questions,All_Questions_Options_Names,"None_options")),11),""))</f>
        <v/>
      </c>
      <c r="Z78" s="2" t="n"/>
      <c r="AA78" s="2" t="str">
        <f>IF(All_Questions_Q_EXTRA_2_CT="(None)","",IFERROR(INDEX(INDIRECT(XLOOKUP(All_Questions_Q_EXTRA_2_CT,All_Questions,All_Questions_Options_Names,"None_options")),12),""))</f>
        <v/>
      </c>
      <c r="AB78" s="2" t="n"/>
      <c r="AC78" s="2" t="str">
        <f>IF(All_Questions_Q_EXTRA_2_CT="(None)","",IF(COUNTA(INDIRECT(XLOOKUP(All_Questions_Q_EXTRA_2_CT,All_Questions,All_Questions_Options_Names,"None_options")))-1&gt;11,"Other",IFERROR(INDEX(INDIRECT(XLOOKUP(All_Questions_Q_EXTRA_2_CT,All_Questions,All_Questions_Options_Names,"None_options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XLOOKUP(All_Questions_Q_EXTRA_3_F_Q,All_Questions,All_Questions_Data_Names,"respondent_id_data")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IF(All_Questions_Q_EXTRA_3_CT="(None)","",IFERROR(INDEX(INDIRECT(XLOOKUP(All_Questions_Q_EXTRA_3_CT,All_Questions,All_Questions_Options_Names,"None_options")),2),""))</f>
        <v/>
      </c>
      <c r="H88" s="2" t="n"/>
      <c r="I88" s="2" t="str">
        <f>IF(All_Questions_Q_EXTRA_3_CT="(None)","",IFERROR(INDEX(INDIRECT(XLOOKUP(All_Questions_Q_EXTRA_3_CT,All_Questions,All_Questions_Options_Names,"None_options")),3),""))</f>
        <v/>
      </c>
      <c r="J88" s="2" t="n"/>
      <c r="K88" s="2" t="str">
        <f>IF(All_Questions_Q_EXTRA_3_CT="(None)","",IFERROR(INDEX(INDIRECT(XLOOKUP(All_Questions_Q_EXTRA_3_CT,All_Questions,All_Questions_Options_Names,"None_options")),4),""))</f>
        <v/>
      </c>
      <c r="L88" s="2" t="n"/>
      <c r="M88" s="2" t="str">
        <f>IF(All_Questions_Q_EXTRA_3_CT="(None)","",IFERROR(INDEX(INDIRECT(XLOOKUP(All_Questions_Q_EXTRA_3_CT,All_Questions,All_Questions_Options_Names,"None_options")),5),""))</f>
        <v/>
      </c>
      <c r="N88" s="2" t="n"/>
      <c r="O88" s="2" t="str">
        <f>IF(All_Questions_Q_EXTRA_3_CT="(None)","",IFERROR(INDEX(INDIRECT(XLOOKUP(All_Questions_Q_EXTRA_3_CT,All_Questions,All_Questions_Options_Names,"None_options")),6),""))</f>
        <v/>
      </c>
      <c r="P88" s="2" t="n"/>
      <c r="Q88" s="2" t="str">
        <f>IF(All_Questions_Q_EXTRA_3_CT="(None)","",IFERROR(INDEX(INDIRECT(XLOOKUP(All_Questions_Q_EXTRA_3_CT,All_Questions,All_Questions_Options_Names,"None_options")),7),""))</f>
        <v/>
      </c>
      <c r="R88" s="2" t="n"/>
      <c r="S88" s="2" t="str">
        <f>IF(All_Questions_Q_EXTRA_3_CT="(None)","",IFERROR(INDEX(INDIRECT(XLOOKUP(All_Questions_Q_EXTRA_3_CT,All_Questions,All_Questions_Options_Names,"None_options")),8),""))</f>
        <v/>
      </c>
      <c r="T88" s="2" t="n"/>
      <c r="U88" s="2" t="str">
        <f>IF(All_Questions_Q_EXTRA_3_CT="(None)","",IFERROR(INDEX(INDIRECT(XLOOKUP(All_Questions_Q_EXTRA_3_CT,All_Questions,All_Questions_Options_Names,"None_options")),9),""))</f>
        <v/>
      </c>
      <c r="V88" s="2" t="n"/>
      <c r="W88" s="2" t="str">
        <f>IF(All_Questions_Q_EXTRA_3_CT="(None)","",IFERROR(INDEX(INDIRECT(XLOOKUP(All_Questions_Q_EXTRA_3_CT,All_Questions,All_Questions_Options_Names,"None_options")),10),""))</f>
        <v/>
      </c>
      <c r="X88" s="2" t="n"/>
      <c r="Y88" s="2" t="str">
        <f>IF(All_Questions_Q_EXTRA_3_CT="(None)","",IFERROR(INDEX(INDIRECT(XLOOKUP(All_Questions_Q_EXTRA_3_CT,All_Questions,All_Questions_Options_Names,"None_options")),11),""))</f>
        <v/>
      </c>
      <c r="Z88" s="2" t="n"/>
      <c r="AA88" s="2" t="str">
        <f>IF(All_Questions_Q_EXTRA_3_CT="(None)","",IFERROR(INDEX(INDIRECT(XLOOKUP(All_Questions_Q_EXTRA_3_CT,All_Questions,All_Questions_Options_Names,"None_options")),12),""))</f>
        <v/>
      </c>
      <c r="AB88" s="2" t="n"/>
      <c r="AC88" s="2" t="str">
        <f>IF(All_Questions_Q_EXTRA_3_CT="(None)","",IF(COUNTA(INDIRECT(XLOOKUP(All_Questions_Q_EXTRA_3_CT,All_Questions,All_Questions_Options_Names,"None_options")))-1&gt;11,"Other",IFERROR(INDEX(INDIRECT(XLOOKUP(All_Questions_Q_EXTRA_3_CT,All_Questions,All_Questions_Options_Names,"None_options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=INDIRECT(XLOOKUP(All_Questions_Q_EXTRA_1_F_Q,All_Questions,All_Questions_Options_Names,"None_options"))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=INDIRECT(XLOOKUP(All_Questions_Q_EXTRA_2_F_Q,All_Questions,All_Questions_Options_Names,"None_options"))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=INDIRECT(XLOOKUP(All_Questions_Q_EXTRA_3_F_Q,All_Questions,All_Questions_Options_Names,"None_options"))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2026-05-18T10:55:10Z</dcterms:created>
  <dcterms:modified xmlns:dcterms="http://purl.org/dc/terms/" xmlns:xsi="http://www.w3.org/2001/XMLSchema-instance" xsi:type="dcterms:W3CDTF">2026-05-18T10:55:14Z</dcterms:modified>
</cp:coreProperties>
</file>