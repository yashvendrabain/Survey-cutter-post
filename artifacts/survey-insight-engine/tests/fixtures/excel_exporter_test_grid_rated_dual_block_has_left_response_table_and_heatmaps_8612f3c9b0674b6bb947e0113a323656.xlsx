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'_Options'!$A$2:$A$3</definedName>
    <definedName name="All_Questions_Local">'_Options'!$B$2:$B$4</definedName>
    <definedName name="Cross_Tab_Questions">'_Options'!$R$2:$R$2</definedName>
    <definedName name="Cross_Tab_Questions_Data_Names">'_Options'!$S$2:$S$2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Q_RATED_filter_values_options">'_Options'!$U$2:$U$32</definedName>
    <definedName name="Q_RATED_filter_values_local_options">'_Options'!$V$2:$V$33</definedName>
    <definedName name="All_Questions_Data_Names">'_Options'!$C$2:$C$3</definedName>
    <definedName name="All_Questions_Options_Names">'_Options'!$D$2:$D$3</definedName>
    <definedName name="Cross_Tab_Questions_Options_Names">'_Options'!$T$2:$T$2</definedName>
    <definedName name="All_Questions_Value_Keys">'_Options'!$X$2:$X$61</definedName>
    <definedName name="All_Questions_Value_Data_Names">'_Options'!$Y$2:$Y$61</definedName>
    <definedName name="All_Questions_Value_Criteria">'_Options'!$Z$2:$Z$61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resolved_criteria">'All Questions'!$H$13</definedName>
    <definedName name="All_Questions_Q_RATED_F_passes_per_q_filter_data">'_RawData'!$M$2:$M$5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7" i="7"/>
  <c r="D17" i="7"/>
  <c r="F17" i="7"/>
  <c r="H17" i="7"/>
  <c r="J17" i="7"/>
  <c r="K17" i="7"/>
  <c r="C18" i="7"/>
  <c r="D18" i="7"/>
  <c r="F18" i="7"/>
  <c r="H18" i="7"/>
  <c r="J18" i="7"/>
  <c r="K18" i="7"/>
  <c r="C19" i="7"/>
  <c r="D19" i="7"/>
  <c r="F19" i="7"/>
  <c r="H19" i="7"/>
  <c r="J19" i="7"/>
  <c r="K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("|" &amp; SUBSTITUTE(All_Questions_Q_RATED_F_resolved_criteria, ", ", "|") &amp; "|"))),1,0),0))*1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("|" &amp; SUBSTITUTE(All_Questions_Q_RATED_F_resolved_criteria, ", ", "|") &amp; "|"))),1,0),0))*1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("|" &amp; SUBSTITUTE(All_Questions_Q_RATED_F_resolved_criteria, ", ", "|") &amp; "|"))),1,0),0))*1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("|" &amp; SUBSTITUTE(All_Questions_Q_RATED_F_resolved_criteria,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  <c r="R1" t="inlineStr">
        <is>
          <t>Cross_Tab_Questions</t>
        </is>
      </c>
      <c r="S1" t="inlineStr">
        <is>
          <t>Cross_Tab_Questions_Data_Names</t>
        </is>
      </c>
      <c r="T1" t="inlineStr">
        <is>
          <t>Cross_Tab_Questions_Options_Names</t>
        </is>
      </c>
      <c r="U1" t="inlineStr">
        <is>
          <t>Q_RATED_filter_values_options</t>
        </is>
      </c>
      <c r="V1" t="inlineStr">
        <is>
          <t>Q_RATED_filter_values_local_options</t>
        </is>
      </c>
      <c r="X1" t="inlineStr">
        <is>
          <t>All_Questions_Value_Keys</t>
        </is>
      </c>
      <c r="Y1" t="inlineStr">
        <is>
          <t>All_Questions_Value_Data_Names</t>
        </is>
      </c>
      <c r="Z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(None)</t>
        </is>
      </c>
      <c r="S2" t="inlineStr">
        <is>
          <t>'_RawData'!$A$2:$A$5</t>
        </is>
      </c>
      <c r="T2" t="inlineStr">
        <is>
          <t>'_Options'!$E$2:$E$2</t>
        </is>
      </c>
      <c r="U2" t="inlineStr">
        <is>
          <t>(All)</t>
        </is>
      </c>
      <c r="V2" t="inlineStr">
        <is>
          <t>(Inherit)</t>
        </is>
      </c>
      <c r="X2" t="inlineStr">
        <is>
          <t>Q_RATED - Q_Rated - Rate Each Vendor Attribute|Implementation speed: 1</t>
        </is>
      </c>
      <c r="Y2" t="inlineStr">
        <is>
          <t>'_RawData'!$B$2:$B$5</t>
        </is>
      </c>
      <c r="Z2" t="inlineStr">
        <is>
          <t>1</t>
        </is>
      </c>
    </row>
    <row r="3">
      <c r="A3" t="inlineStr">
        <is>
          <t>Q_RATED - Q_Rated - Rate Each Vendor Attribute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'_Options'!$U$2:$U$32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U3" t="inlineStr">
        <is>
          <t>Implementation speed: 1</t>
        </is>
      </c>
      <c r="V3" t="inlineStr">
        <is>
          <t>(All)</t>
        </is>
      </c>
      <c r="X3" t="inlineStr">
        <is>
          <t>Q_RATED - Q_Rated - Rate Each Vendor Attribute|Implementation speed: 2</t>
        </is>
      </c>
      <c r="Y3" t="inlineStr">
        <is>
          <t>'_RawData'!$B$2:$B$5</t>
        </is>
      </c>
      <c r="Z3" t="inlineStr">
        <is>
          <t>2</t>
        </is>
      </c>
    </row>
    <row r="4">
      <c r="B4" t="inlineStr">
        <is>
          <t>Q_RATED - Q_Rated - Rate Each Vendor Attribute</t>
        </is>
      </c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  <c r="U4" t="inlineStr">
        <is>
          <t>Implementation speed: 2</t>
        </is>
      </c>
      <c r="V4" t="inlineStr">
        <is>
          <t>Implementation speed: 1</t>
        </is>
      </c>
      <c r="X4" t="inlineStr">
        <is>
          <t>Q_RATED - Q_Rated - Rate Each Vendor Attribute|Implementation speed: 3</t>
        </is>
      </c>
      <c r="Y4" t="inlineStr">
        <is>
          <t>'_RawData'!$B$2:$B$5</t>
        </is>
      </c>
      <c r="Z4" t="inlineStr">
        <is>
          <t>3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  <c r="U5" t="inlineStr">
        <is>
          <t>Implementation speed: 3</t>
        </is>
      </c>
      <c r="V5" t="inlineStr">
        <is>
          <t>Implementation speed: 2</t>
        </is>
      </c>
      <c r="X5" t="inlineStr">
        <is>
          <t>Q_RATED - Q_Rated - Rate Each Vendor Attribute|Implementation speed: 4</t>
        </is>
      </c>
      <c r="Y5" t="inlineStr">
        <is>
          <t>'_RawData'!$B$2:$B$5</t>
        </is>
      </c>
      <c r="Z5" t="inlineStr">
        <is>
          <t>4</t>
        </is>
      </c>
    </row>
    <row r="6">
      <c r="U6" t="inlineStr">
        <is>
          <t>Implementation speed: 4</t>
        </is>
      </c>
      <c r="V6" t="inlineStr">
        <is>
          <t>Implementation speed: 3</t>
        </is>
      </c>
      <c r="X6" t="inlineStr">
        <is>
          <t>Q_RATED - Q_Rated - Rate Each Vendor Attribute|Implementation speed: 5</t>
        </is>
      </c>
      <c r="Y6" t="inlineStr">
        <is>
          <t>'_RawData'!$B$2:$B$5</t>
        </is>
      </c>
      <c r="Z6" t="inlineStr">
        <is>
          <t>5</t>
        </is>
      </c>
    </row>
    <row r="7">
      <c r="U7" t="inlineStr">
        <is>
          <t>Implementation speed: 5</t>
        </is>
      </c>
      <c r="V7" t="inlineStr">
        <is>
          <t>Implementation speed: 4</t>
        </is>
      </c>
      <c r="X7" t="inlineStr">
        <is>
          <t>Q_RATED - Q_Rated - Rate Each Vendor Attribute|Implementation speed: 6</t>
        </is>
      </c>
      <c r="Y7" t="inlineStr">
        <is>
          <t>'_RawData'!$B$2:$B$5</t>
        </is>
      </c>
      <c r="Z7" t="inlineStr">
        <is>
          <t>6</t>
        </is>
      </c>
    </row>
    <row r="8">
      <c r="U8" t="inlineStr">
        <is>
          <t>Implementation speed: 6</t>
        </is>
      </c>
      <c r="V8" t="inlineStr">
        <is>
          <t>Implementation speed: 5</t>
        </is>
      </c>
      <c r="X8" t="inlineStr">
        <is>
          <t>Q_RATED - Q_Rated - Rate Each Vendor Attribute|Implementation speed: 7</t>
        </is>
      </c>
      <c r="Y8" t="inlineStr">
        <is>
          <t>'_RawData'!$B$2:$B$5</t>
        </is>
      </c>
      <c r="Z8" t="inlineStr">
        <is>
          <t>7</t>
        </is>
      </c>
    </row>
    <row r="9">
      <c r="U9" t="inlineStr">
        <is>
          <t>Implementation speed: 7</t>
        </is>
      </c>
      <c r="V9" t="inlineStr">
        <is>
          <t>Implementation speed: 6</t>
        </is>
      </c>
      <c r="X9" t="inlineStr">
        <is>
          <t>Q_RATED - Q_Rated - Rate Each Vendor Attribute|Implementation speed: 8</t>
        </is>
      </c>
      <c r="Y9" t="inlineStr">
        <is>
          <t>'_RawData'!$B$2:$B$5</t>
        </is>
      </c>
      <c r="Z9" t="inlineStr">
        <is>
          <t>8</t>
        </is>
      </c>
    </row>
    <row r="10">
      <c r="U10" t="inlineStr">
        <is>
          <t>Implementation speed: 8</t>
        </is>
      </c>
      <c r="V10" t="inlineStr">
        <is>
          <t>Implementation speed: 7</t>
        </is>
      </c>
      <c r="X10" t="inlineStr">
        <is>
          <t>Q_RATED - Q_Rated - Rate Each Vendor Attribute|Implementation speed: 9</t>
        </is>
      </c>
      <c r="Y10" t="inlineStr">
        <is>
          <t>'_RawData'!$B$2:$B$5</t>
        </is>
      </c>
      <c r="Z10" t="inlineStr">
        <is>
          <t>9</t>
        </is>
      </c>
    </row>
    <row r="11">
      <c r="U11" t="inlineStr">
        <is>
          <t>Implementation speed: 9</t>
        </is>
      </c>
      <c r="V11" t="inlineStr">
        <is>
          <t>Implementation speed: 8</t>
        </is>
      </c>
      <c r="X11" t="inlineStr">
        <is>
          <t>Q_RATED - Q_Rated - Rate Each Vendor Attribute|Implementation speed: 10</t>
        </is>
      </c>
      <c r="Y11" t="inlineStr">
        <is>
          <t>'_RawData'!$B$2:$B$5</t>
        </is>
      </c>
      <c r="Z11" t="inlineStr">
        <is>
          <t>10</t>
        </is>
      </c>
    </row>
    <row r="12">
      <c r="U12" t="inlineStr">
        <is>
          <t>Implementation speed: 10</t>
        </is>
      </c>
      <c r="V12" t="inlineStr">
        <is>
          <t>Implementation speed: 9</t>
        </is>
      </c>
      <c r="X12" t="inlineStr">
        <is>
          <t>Q_RATED - Q_Rated - Rate Each Vendor Attribute|Implementation speed: 1</t>
        </is>
      </c>
      <c r="Y12" t="inlineStr">
        <is>
          <t>'_RawData'!$C$2:$C$5</t>
        </is>
      </c>
      <c r="Z12" t="inlineStr">
        <is>
          <t>1</t>
        </is>
      </c>
    </row>
    <row r="13">
      <c r="U13" t="inlineStr">
        <is>
          <t>Integration fit: 1</t>
        </is>
      </c>
      <c r="V13" t="inlineStr">
        <is>
          <t>Implementation speed: 10</t>
        </is>
      </c>
      <c r="X13" t="inlineStr">
        <is>
          <t>Q_RATED - Q_Rated - Rate Each Vendor Attribute|Implementation speed: 2</t>
        </is>
      </c>
      <c r="Y13" t="inlineStr">
        <is>
          <t>'_RawData'!$C$2:$C$5</t>
        </is>
      </c>
      <c r="Z13" t="inlineStr">
        <is>
          <t>2</t>
        </is>
      </c>
    </row>
    <row r="14">
      <c r="U14" t="inlineStr">
        <is>
          <t>Integration fit: 2</t>
        </is>
      </c>
      <c r="V14" t="inlineStr">
        <is>
          <t>Integration fit: 1</t>
        </is>
      </c>
      <c r="X14" t="inlineStr">
        <is>
          <t>Q_RATED - Q_Rated - Rate Each Vendor Attribute|Implementation speed: 3</t>
        </is>
      </c>
      <c r="Y14" t="inlineStr">
        <is>
          <t>'_RawData'!$C$2:$C$5</t>
        </is>
      </c>
      <c r="Z14" t="inlineStr">
        <is>
          <t>3</t>
        </is>
      </c>
    </row>
    <row r="15">
      <c r="U15" t="inlineStr">
        <is>
          <t>Integration fit: 3</t>
        </is>
      </c>
      <c r="V15" t="inlineStr">
        <is>
          <t>Integration fit: 2</t>
        </is>
      </c>
      <c r="X15" t="inlineStr">
        <is>
          <t>Q_RATED - Q_Rated - Rate Each Vendor Attribute|Implementation speed: 4</t>
        </is>
      </c>
      <c r="Y15" t="inlineStr">
        <is>
          <t>'_RawData'!$C$2:$C$5</t>
        </is>
      </c>
      <c r="Z15" t="inlineStr">
        <is>
          <t>4</t>
        </is>
      </c>
    </row>
    <row r="16">
      <c r="U16" t="inlineStr">
        <is>
          <t>Integration fit: 4</t>
        </is>
      </c>
      <c r="V16" t="inlineStr">
        <is>
          <t>Integration fit: 3</t>
        </is>
      </c>
      <c r="X16" t="inlineStr">
        <is>
          <t>Q_RATED - Q_Rated - Rate Each Vendor Attribute|Implementation speed: 5</t>
        </is>
      </c>
      <c r="Y16" t="inlineStr">
        <is>
          <t>'_RawData'!$C$2:$C$5</t>
        </is>
      </c>
      <c r="Z16" t="inlineStr">
        <is>
          <t>5</t>
        </is>
      </c>
    </row>
    <row r="17">
      <c r="U17" t="inlineStr">
        <is>
          <t>Integration fit: 5</t>
        </is>
      </c>
      <c r="V17" t="inlineStr">
        <is>
          <t>Integration fit: 4</t>
        </is>
      </c>
      <c r="X17" t="inlineStr">
        <is>
          <t>Q_RATED - Q_Rated - Rate Each Vendor Attribute|Implementation speed: 6</t>
        </is>
      </c>
      <c r="Y17" t="inlineStr">
        <is>
          <t>'_RawData'!$C$2:$C$5</t>
        </is>
      </c>
      <c r="Z17" t="inlineStr">
        <is>
          <t>6</t>
        </is>
      </c>
    </row>
    <row r="18">
      <c r="U18" t="inlineStr">
        <is>
          <t>Integration fit: 6</t>
        </is>
      </c>
      <c r="V18" t="inlineStr">
        <is>
          <t>Integration fit: 5</t>
        </is>
      </c>
      <c r="X18" t="inlineStr">
        <is>
          <t>Q_RATED - Q_Rated - Rate Each Vendor Attribute|Implementation speed: 7</t>
        </is>
      </c>
      <c r="Y18" t="inlineStr">
        <is>
          <t>'_RawData'!$C$2:$C$5</t>
        </is>
      </c>
      <c r="Z18" t="inlineStr">
        <is>
          <t>7</t>
        </is>
      </c>
    </row>
    <row r="19">
      <c r="U19" t="inlineStr">
        <is>
          <t>Integration fit: 7</t>
        </is>
      </c>
      <c r="V19" t="inlineStr">
        <is>
          <t>Integration fit: 6</t>
        </is>
      </c>
      <c r="X19" t="inlineStr">
        <is>
          <t>Q_RATED - Q_Rated - Rate Each Vendor Attribute|Implementation speed: 8</t>
        </is>
      </c>
      <c r="Y19" t="inlineStr">
        <is>
          <t>'_RawData'!$C$2:$C$5</t>
        </is>
      </c>
      <c r="Z19" t="inlineStr">
        <is>
          <t>8</t>
        </is>
      </c>
    </row>
    <row r="20">
      <c r="U20" t="inlineStr">
        <is>
          <t>Integration fit: 8</t>
        </is>
      </c>
      <c r="V20" t="inlineStr">
        <is>
          <t>Integration fit: 7</t>
        </is>
      </c>
      <c r="X20" t="inlineStr">
        <is>
          <t>Q_RATED - Q_Rated - Rate Each Vendor Attribute|Implementation speed: 9</t>
        </is>
      </c>
      <c r="Y20" t="inlineStr">
        <is>
          <t>'_RawData'!$C$2:$C$5</t>
        </is>
      </c>
      <c r="Z20" t="inlineStr">
        <is>
          <t>9</t>
        </is>
      </c>
    </row>
    <row r="21">
      <c r="U21" t="inlineStr">
        <is>
          <t>Integration fit: 9</t>
        </is>
      </c>
      <c r="V21" t="inlineStr">
        <is>
          <t>Integration fit: 8</t>
        </is>
      </c>
      <c r="X21" t="inlineStr">
        <is>
          <t>Q_RATED - Q_Rated - Rate Each Vendor Attribute|Implementation speed: 10</t>
        </is>
      </c>
      <c r="Y21" t="inlineStr">
        <is>
          <t>'_RawData'!$C$2:$C$5</t>
        </is>
      </c>
      <c r="Z21" t="inlineStr">
        <is>
          <t>10</t>
        </is>
      </c>
    </row>
    <row r="22">
      <c r="U22" t="inlineStr">
        <is>
          <t>Integration fit: 10</t>
        </is>
      </c>
      <c r="V22" t="inlineStr">
        <is>
          <t>Integration fit: 9</t>
        </is>
      </c>
      <c r="X22" t="inlineStr">
        <is>
          <t>Q_RATED - Q_Rated - Rate Each Vendor Attribute|Integration fit: 1</t>
        </is>
      </c>
      <c r="Y22" t="inlineStr">
        <is>
          <t>'_RawData'!$D$2:$D$5</t>
        </is>
      </c>
      <c r="Z22" t="inlineStr">
        <is>
          <t>1</t>
        </is>
      </c>
    </row>
    <row r="23">
      <c r="U23" t="inlineStr">
        <is>
          <t>Efficiency gains: 1</t>
        </is>
      </c>
      <c r="V23" t="inlineStr">
        <is>
          <t>Integration fit: 10</t>
        </is>
      </c>
      <c r="X23" t="inlineStr">
        <is>
          <t>Q_RATED - Q_Rated - Rate Each Vendor Attribute|Integration fit: 2</t>
        </is>
      </c>
      <c r="Y23" t="inlineStr">
        <is>
          <t>'_RawData'!$D$2:$D$5</t>
        </is>
      </c>
      <c r="Z23" t="inlineStr">
        <is>
          <t>2</t>
        </is>
      </c>
    </row>
    <row r="24">
      <c r="U24" t="inlineStr">
        <is>
          <t>Efficiency gains: 2</t>
        </is>
      </c>
      <c r="V24" t="inlineStr">
        <is>
          <t>Efficiency gains: 1</t>
        </is>
      </c>
      <c r="X24" t="inlineStr">
        <is>
          <t>Q_RATED - Q_Rated - Rate Each Vendor Attribute|Integration fit: 3</t>
        </is>
      </c>
      <c r="Y24" t="inlineStr">
        <is>
          <t>'_RawData'!$D$2:$D$5</t>
        </is>
      </c>
      <c r="Z24" t="inlineStr">
        <is>
          <t>3</t>
        </is>
      </c>
    </row>
    <row r="25">
      <c r="U25" t="inlineStr">
        <is>
          <t>Efficiency gains: 3</t>
        </is>
      </c>
      <c r="V25" t="inlineStr">
        <is>
          <t>Efficiency gains: 2</t>
        </is>
      </c>
      <c r="X25" t="inlineStr">
        <is>
          <t>Q_RATED - Q_Rated - Rate Each Vendor Attribute|Integration fit: 4</t>
        </is>
      </c>
      <c r="Y25" t="inlineStr">
        <is>
          <t>'_RawData'!$D$2:$D$5</t>
        </is>
      </c>
      <c r="Z25" t="inlineStr">
        <is>
          <t>4</t>
        </is>
      </c>
    </row>
    <row r="26">
      <c r="U26" t="inlineStr">
        <is>
          <t>Efficiency gains: 4</t>
        </is>
      </c>
      <c r="V26" t="inlineStr">
        <is>
          <t>Efficiency gains: 3</t>
        </is>
      </c>
      <c r="X26" t="inlineStr">
        <is>
          <t>Q_RATED - Q_Rated - Rate Each Vendor Attribute|Integration fit: 5</t>
        </is>
      </c>
      <c r="Y26" t="inlineStr">
        <is>
          <t>'_RawData'!$D$2:$D$5</t>
        </is>
      </c>
      <c r="Z26" t="inlineStr">
        <is>
          <t>5</t>
        </is>
      </c>
    </row>
    <row r="27">
      <c r="U27" t="inlineStr">
        <is>
          <t>Efficiency gains: 5</t>
        </is>
      </c>
      <c r="V27" t="inlineStr">
        <is>
          <t>Efficiency gains: 4</t>
        </is>
      </c>
      <c r="X27" t="inlineStr">
        <is>
          <t>Q_RATED - Q_Rated - Rate Each Vendor Attribute|Integration fit: 6</t>
        </is>
      </c>
      <c r="Y27" t="inlineStr">
        <is>
          <t>'_RawData'!$D$2:$D$5</t>
        </is>
      </c>
      <c r="Z27" t="inlineStr">
        <is>
          <t>6</t>
        </is>
      </c>
    </row>
    <row r="28">
      <c r="U28" t="inlineStr">
        <is>
          <t>Efficiency gains: 6</t>
        </is>
      </c>
      <c r="V28" t="inlineStr">
        <is>
          <t>Efficiency gains: 5</t>
        </is>
      </c>
      <c r="X28" t="inlineStr">
        <is>
          <t>Q_RATED - Q_Rated - Rate Each Vendor Attribute|Integration fit: 7</t>
        </is>
      </c>
      <c r="Y28" t="inlineStr">
        <is>
          <t>'_RawData'!$D$2:$D$5</t>
        </is>
      </c>
      <c r="Z28" t="inlineStr">
        <is>
          <t>7</t>
        </is>
      </c>
    </row>
    <row r="29">
      <c r="U29" t="inlineStr">
        <is>
          <t>Efficiency gains: 7</t>
        </is>
      </c>
      <c r="V29" t="inlineStr">
        <is>
          <t>Efficiency gains: 6</t>
        </is>
      </c>
      <c r="X29" t="inlineStr">
        <is>
          <t>Q_RATED - Q_Rated - Rate Each Vendor Attribute|Integration fit: 8</t>
        </is>
      </c>
      <c r="Y29" t="inlineStr">
        <is>
          <t>'_RawData'!$D$2:$D$5</t>
        </is>
      </c>
      <c r="Z29" t="inlineStr">
        <is>
          <t>8</t>
        </is>
      </c>
    </row>
    <row r="30">
      <c r="U30" t="inlineStr">
        <is>
          <t>Efficiency gains: 8</t>
        </is>
      </c>
      <c r="V30" t="inlineStr">
        <is>
          <t>Efficiency gains: 7</t>
        </is>
      </c>
      <c r="X30" t="inlineStr">
        <is>
          <t>Q_RATED - Q_Rated - Rate Each Vendor Attribute|Integration fit: 9</t>
        </is>
      </c>
      <c r="Y30" t="inlineStr">
        <is>
          <t>'_RawData'!$D$2:$D$5</t>
        </is>
      </c>
      <c r="Z30" t="inlineStr">
        <is>
          <t>9</t>
        </is>
      </c>
    </row>
    <row r="31">
      <c r="U31" t="inlineStr">
        <is>
          <t>Efficiency gains: 9</t>
        </is>
      </c>
      <c r="V31" t="inlineStr">
        <is>
          <t>Efficiency gains: 8</t>
        </is>
      </c>
      <c r="X31" t="inlineStr">
        <is>
          <t>Q_RATED - Q_Rated - Rate Each Vendor Attribute|Integration fit: 10</t>
        </is>
      </c>
      <c r="Y31" t="inlineStr">
        <is>
          <t>'_RawData'!$D$2:$D$5</t>
        </is>
      </c>
      <c r="Z31" t="inlineStr">
        <is>
          <t>10</t>
        </is>
      </c>
    </row>
    <row r="32">
      <c r="U32" t="inlineStr">
        <is>
          <t>Efficiency gains: 10</t>
        </is>
      </c>
      <c r="V32" t="inlineStr">
        <is>
          <t>Efficiency gains: 9</t>
        </is>
      </c>
      <c r="X32" t="inlineStr">
        <is>
          <t>Q_RATED - Q_Rated - Rate Each Vendor Attribute|Integration fit: 1</t>
        </is>
      </c>
      <c r="Y32" t="inlineStr">
        <is>
          <t>'_RawData'!$E$2:$E$5</t>
        </is>
      </c>
      <c r="Z32" t="inlineStr">
        <is>
          <t>1</t>
        </is>
      </c>
    </row>
    <row r="33">
      <c r="V33" t="inlineStr">
        <is>
          <t>Efficiency gains: 10</t>
        </is>
      </c>
      <c r="X33" t="inlineStr">
        <is>
          <t>Q_RATED - Q_Rated - Rate Each Vendor Attribute|Integration fit: 2</t>
        </is>
      </c>
      <c r="Y33" t="inlineStr">
        <is>
          <t>'_RawData'!$E$2:$E$5</t>
        </is>
      </c>
      <c r="Z33" t="inlineStr">
        <is>
          <t>2</t>
        </is>
      </c>
    </row>
    <row r="34">
      <c r="X34" t="inlineStr">
        <is>
          <t>Q_RATED - Q_Rated - Rate Each Vendor Attribute|Integration fit: 3</t>
        </is>
      </c>
      <c r="Y34" t="inlineStr">
        <is>
          <t>'_RawData'!$E$2:$E$5</t>
        </is>
      </c>
      <c r="Z34" t="inlineStr">
        <is>
          <t>3</t>
        </is>
      </c>
    </row>
    <row r="35">
      <c r="X35" t="inlineStr">
        <is>
          <t>Q_RATED - Q_Rated - Rate Each Vendor Attribute|Integration fit: 4</t>
        </is>
      </c>
      <c r="Y35" t="inlineStr">
        <is>
          <t>'_RawData'!$E$2:$E$5</t>
        </is>
      </c>
      <c r="Z35" t="inlineStr">
        <is>
          <t>4</t>
        </is>
      </c>
    </row>
    <row r="36">
      <c r="X36" t="inlineStr">
        <is>
          <t>Q_RATED - Q_Rated - Rate Each Vendor Attribute|Integration fit: 5</t>
        </is>
      </c>
      <c r="Y36" t="inlineStr">
        <is>
          <t>'_RawData'!$E$2:$E$5</t>
        </is>
      </c>
      <c r="Z36" t="inlineStr">
        <is>
          <t>5</t>
        </is>
      </c>
    </row>
    <row r="37">
      <c r="X37" t="inlineStr">
        <is>
          <t>Q_RATED - Q_Rated - Rate Each Vendor Attribute|Integration fit: 6</t>
        </is>
      </c>
      <c r="Y37" t="inlineStr">
        <is>
          <t>'_RawData'!$E$2:$E$5</t>
        </is>
      </c>
      <c r="Z37" t="inlineStr">
        <is>
          <t>6</t>
        </is>
      </c>
    </row>
    <row r="38">
      <c r="X38" t="inlineStr">
        <is>
          <t>Q_RATED - Q_Rated - Rate Each Vendor Attribute|Integration fit: 7</t>
        </is>
      </c>
      <c r="Y38" t="inlineStr">
        <is>
          <t>'_RawData'!$E$2:$E$5</t>
        </is>
      </c>
      <c r="Z38" t="inlineStr">
        <is>
          <t>7</t>
        </is>
      </c>
    </row>
    <row r="39">
      <c r="X39" t="inlineStr">
        <is>
          <t>Q_RATED - Q_Rated - Rate Each Vendor Attribute|Integration fit: 8</t>
        </is>
      </c>
      <c r="Y39" t="inlineStr">
        <is>
          <t>'_RawData'!$E$2:$E$5</t>
        </is>
      </c>
      <c r="Z39" t="inlineStr">
        <is>
          <t>8</t>
        </is>
      </c>
    </row>
    <row r="40">
      <c r="X40" t="inlineStr">
        <is>
          <t>Q_RATED - Q_Rated - Rate Each Vendor Attribute|Integration fit: 9</t>
        </is>
      </c>
      <c r="Y40" t="inlineStr">
        <is>
          <t>'_RawData'!$E$2:$E$5</t>
        </is>
      </c>
      <c r="Z40" t="inlineStr">
        <is>
          <t>9</t>
        </is>
      </c>
    </row>
    <row r="41">
      <c r="X41" t="inlineStr">
        <is>
          <t>Q_RATED - Q_Rated - Rate Each Vendor Attribute|Integration fit: 10</t>
        </is>
      </c>
      <c r="Y41" t="inlineStr">
        <is>
          <t>'_RawData'!$E$2:$E$5</t>
        </is>
      </c>
      <c r="Z41" t="inlineStr">
        <is>
          <t>10</t>
        </is>
      </c>
    </row>
    <row r="42">
      <c r="X42" t="inlineStr">
        <is>
          <t>Q_RATED - Q_Rated - Rate Each Vendor Attribute|Efficiency gains: 1</t>
        </is>
      </c>
      <c r="Y42" t="inlineStr">
        <is>
          <t>'_RawData'!$F$2:$F$5</t>
        </is>
      </c>
      <c r="Z42" t="inlineStr">
        <is>
          <t>1</t>
        </is>
      </c>
    </row>
    <row r="43">
      <c r="X43" t="inlineStr">
        <is>
          <t>Q_RATED - Q_Rated - Rate Each Vendor Attribute|Efficiency gains: 2</t>
        </is>
      </c>
      <c r="Y43" t="inlineStr">
        <is>
          <t>'_RawData'!$F$2:$F$5</t>
        </is>
      </c>
      <c r="Z43" t="inlineStr">
        <is>
          <t>2</t>
        </is>
      </c>
    </row>
    <row r="44">
      <c r="X44" t="inlineStr">
        <is>
          <t>Q_RATED - Q_Rated - Rate Each Vendor Attribute|Efficiency gains: 3</t>
        </is>
      </c>
      <c r="Y44" t="inlineStr">
        <is>
          <t>'_RawData'!$F$2:$F$5</t>
        </is>
      </c>
      <c r="Z44" t="inlineStr">
        <is>
          <t>3</t>
        </is>
      </c>
    </row>
    <row r="45">
      <c r="X45" t="inlineStr">
        <is>
          <t>Q_RATED - Q_Rated - Rate Each Vendor Attribute|Efficiency gains: 4</t>
        </is>
      </c>
      <c r="Y45" t="inlineStr">
        <is>
          <t>'_RawData'!$F$2:$F$5</t>
        </is>
      </c>
      <c r="Z45" t="inlineStr">
        <is>
          <t>4</t>
        </is>
      </c>
    </row>
    <row r="46">
      <c r="X46" t="inlineStr">
        <is>
          <t>Q_RATED - Q_Rated - Rate Each Vendor Attribute|Efficiency gains: 5</t>
        </is>
      </c>
      <c r="Y46" t="inlineStr">
        <is>
          <t>'_RawData'!$F$2:$F$5</t>
        </is>
      </c>
      <c r="Z46" t="inlineStr">
        <is>
          <t>5</t>
        </is>
      </c>
    </row>
    <row r="47">
      <c r="X47" t="inlineStr">
        <is>
          <t>Q_RATED - Q_Rated - Rate Each Vendor Attribute|Efficiency gains: 6</t>
        </is>
      </c>
      <c r="Y47" t="inlineStr">
        <is>
          <t>'_RawData'!$F$2:$F$5</t>
        </is>
      </c>
      <c r="Z47" t="inlineStr">
        <is>
          <t>6</t>
        </is>
      </c>
    </row>
    <row r="48">
      <c r="X48" t="inlineStr">
        <is>
          <t>Q_RATED - Q_Rated - Rate Each Vendor Attribute|Efficiency gains: 7</t>
        </is>
      </c>
      <c r="Y48" t="inlineStr">
        <is>
          <t>'_RawData'!$F$2:$F$5</t>
        </is>
      </c>
      <c r="Z48" t="inlineStr">
        <is>
          <t>7</t>
        </is>
      </c>
    </row>
    <row r="49">
      <c r="X49" t="inlineStr">
        <is>
          <t>Q_RATED - Q_Rated - Rate Each Vendor Attribute|Efficiency gains: 8</t>
        </is>
      </c>
      <c r="Y49" t="inlineStr">
        <is>
          <t>'_RawData'!$F$2:$F$5</t>
        </is>
      </c>
      <c r="Z49" t="inlineStr">
        <is>
          <t>8</t>
        </is>
      </c>
    </row>
    <row r="50">
      <c r="X50" t="inlineStr">
        <is>
          <t>Q_RATED - Q_Rated - Rate Each Vendor Attribute|Efficiency gains: 9</t>
        </is>
      </c>
      <c r="Y50" t="inlineStr">
        <is>
          <t>'_RawData'!$F$2:$F$5</t>
        </is>
      </c>
      <c r="Z50" t="inlineStr">
        <is>
          <t>9</t>
        </is>
      </c>
    </row>
    <row r="51">
      <c r="X51" t="inlineStr">
        <is>
          <t>Q_RATED - Q_Rated - Rate Each Vendor Attribute|Efficiency gains: 10</t>
        </is>
      </c>
      <c r="Y51" t="inlineStr">
        <is>
          <t>'_RawData'!$F$2:$F$5</t>
        </is>
      </c>
      <c r="Z51" t="inlineStr">
        <is>
          <t>10</t>
        </is>
      </c>
    </row>
    <row r="52">
      <c r="X52" t="inlineStr">
        <is>
          <t>Q_RATED - Q_Rated - Rate Each Vendor Attribute|Efficiency gains: 1</t>
        </is>
      </c>
      <c r="Y52" t="inlineStr">
        <is>
          <t>'_RawData'!$G$2:$G$5</t>
        </is>
      </c>
      <c r="Z52" t="inlineStr">
        <is>
          <t>1</t>
        </is>
      </c>
    </row>
    <row r="53">
      <c r="X53" t="inlineStr">
        <is>
          <t>Q_RATED - Q_Rated - Rate Each Vendor Attribute|Efficiency gains: 2</t>
        </is>
      </c>
      <c r="Y53" t="inlineStr">
        <is>
          <t>'_RawData'!$G$2:$G$5</t>
        </is>
      </c>
      <c r="Z53" t="inlineStr">
        <is>
          <t>2</t>
        </is>
      </c>
    </row>
    <row r="54">
      <c r="X54" t="inlineStr">
        <is>
          <t>Q_RATED - Q_Rated - Rate Each Vendor Attribute|Efficiency gains: 3</t>
        </is>
      </c>
      <c r="Y54" t="inlineStr">
        <is>
          <t>'_RawData'!$G$2:$G$5</t>
        </is>
      </c>
      <c r="Z54" t="inlineStr">
        <is>
          <t>3</t>
        </is>
      </c>
    </row>
    <row r="55">
      <c r="X55" t="inlineStr">
        <is>
          <t>Q_RATED - Q_Rated - Rate Each Vendor Attribute|Efficiency gains: 4</t>
        </is>
      </c>
      <c r="Y55" t="inlineStr">
        <is>
          <t>'_RawData'!$G$2:$G$5</t>
        </is>
      </c>
      <c r="Z55" t="inlineStr">
        <is>
          <t>4</t>
        </is>
      </c>
    </row>
    <row r="56">
      <c r="X56" t="inlineStr">
        <is>
          <t>Q_RATED - Q_Rated - Rate Each Vendor Attribute|Efficiency gains: 5</t>
        </is>
      </c>
      <c r="Y56" t="inlineStr">
        <is>
          <t>'_RawData'!$G$2:$G$5</t>
        </is>
      </c>
      <c r="Z56" t="inlineStr">
        <is>
          <t>5</t>
        </is>
      </c>
    </row>
    <row r="57">
      <c r="X57" t="inlineStr">
        <is>
          <t>Q_RATED - Q_Rated - Rate Each Vendor Attribute|Efficiency gains: 6</t>
        </is>
      </c>
      <c r="Y57" t="inlineStr">
        <is>
          <t>'_RawData'!$G$2:$G$5</t>
        </is>
      </c>
      <c r="Z57" t="inlineStr">
        <is>
          <t>6</t>
        </is>
      </c>
    </row>
    <row r="58">
      <c r="X58" t="inlineStr">
        <is>
          <t>Q_RATED - Q_Rated - Rate Each Vendor Attribute|Efficiency gains: 7</t>
        </is>
      </c>
      <c r="Y58" t="inlineStr">
        <is>
          <t>'_RawData'!$G$2:$G$5</t>
        </is>
      </c>
      <c r="Z58" t="inlineStr">
        <is>
          <t>7</t>
        </is>
      </c>
    </row>
    <row r="59">
      <c r="X59" t="inlineStr">
        <is>
          <t>Q_RATED - Q_Rated - Rate Each Vendor Attribute|Efficiency gains: 8</t>
        </is>
      </c>
      <c r="Y59" t="inlineStr">
        <is>
          <t>'_RawData'!$G$2:$G$5</t>
        </is>
      </c>
      <c r="Z59" t="inlineStr">
        <is>
          <t>8</t>
        </is>
      </c>
    </row>
    <row r="60">
      <c r="X60" t="inlineStr">
        <is>
          <t>Q_RATED - Q_Rated - Rate Each Vendor Attribute|Efficiency gains: 9</t>
        </is>
      </c>
      <c r="Y60" t="inlineStr">
        <is>
          <t>'_RawData'!$G$2:$G$5</t>
        </is>
      </c>
      <c r="Z60" t="inlineStr">
        <is>
          <t>9</t>
        </is>
      </c>
    </row>
    <row r="61">
      <c r="X61" t="inlineStr">
        <is>
          <t>Q_RATED - Q_Rated - Rate Each Vendor Attribute|Efficiency gains: 10</t>
        </is>
      </c>
      <c r="Y61" t="inlineStr">
        <is>
          <t>'_RawData'!$G$2:$G$5</t>
        </is>
      </c>
      <c r="Z61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IFERROR(INDEX(All_Questions_Value_Data_Names,MATCH(All_Questions_Q_RATED_F_Q&amp;"|"&amp;All_Questions_Q_RATED_F_V,All_Questions_Value_Keys,0)),IFERROR(INDEX(All_Questions_Data_Names,MATCH(All_Questions_Q_RATED_F_Q,All_Questions,0)),"'_RawData'!$A:$A"))</f>
        <v>respondent_id_data</v>
      </c>
      <c r="G13" t="str">
        <f>"|" &amp; SUBSTITUTE(All_Questions_Q_RATED_F_V, ", ", "|") &amp; "|"</f>
        <v>|(All)|</v>
      </c>
      <c r="H13" t="str">
        <f>IFERROR(INDEX(All_Questions_Value_Criteria,MATCH(All_Questions_Q_RATED_F_Q&amp;"|"&amp;All_Questions_Q_RATED_F_V,All_Questions_Value_Keys,0)),All_Questions_Q_RATED_F_V)</f>
        <v>(All)</v>
      </c>
    </row>
    <row r="14"/>
    <row r="15">
      <c r="A15" s="4" t="inlineStr">
        <is>
          <t>Sub-question ID</t>
        </is>
      </c>
      <c r="B15" s="4" t="inlineStr">
        <is>
          <t>Sub-question</t>
        </is>
      </c>
      <c r="C15" s="4" t="inlineStr">
        <is>
          <t># of respondents</t>
        </is>
      </c>
      <c r="D15" s="4" t="inlineStr">
        <is>
          <t>% of respondents</t>
        </is>
      </c>
      <c r="E15" s="2" t="n"/>
      <c r="F15" s="4" t="inlineStr">
        <is>
          <t>Winner - All</t>
        </is>
      </c>
      <c r="G15" s="2" t="n"/>
      <c r="H15" s="4" t="inlineStr">
        <is>
          <t>Other considered vendor</t>
        </is>
      </c>
      <c r="I15" s="2" t="n"/>
      <c r="J15" s="4" t="inlineStr">
        <is>
          <t>Delta</t>
        </is>
      </c>
      <c r="K15" s="2" t="n"/>
    </row>
    <row r="16">
      <c r="A16" s="2" t="inlineStr"/>
      <c r="B16" s="2" t="inlineStr"/>
      <c r="C16" s="2" t="inlineStr"/>
      <c r="D16" s="2" t="inlineStr"/>
      <c r="E16" s="2" t="n"/>
      <c r="F16" s="4" t="inlineStr">
        <is>
          <t>Mean</t>
        </is>
      </c>
      <c r="G16" s="4" t="inlineStr">
        <is>
          <t>Median</t>
        </is>
      </c>
      <c r="H16" s="4" t="inlineStr">
        <is>
          <t>Mean</t>
        </is>
      </c>
      <c r="I16" s="4" t="inlineStr">
        <is>
          <t>Median</t>
        </is>
      </c>
      <c r="J16" s="4" t="inlineStr">
        <is>
          <t>Mean</t>
        </is>
      </c>
      <c r="K16" s="4" t="inlineStr">
        <is>
          <t>Median</t>
        </is>
      </c>
    </row>
    <row r="17">
      <c r="A17" s="14" t="inlineStr">
        <is>
          <t>Q_RATEDr1</t>
        </is>
      </c>
      <c r="B17" t="inlineStr">
        <is>
          <t>Implementation speed</t>
        </is>
      </c>
      <c r="C17">
        <f>COUNTIFS(Q_RATEDr1c1_data,"&lt;&gt;",passes_workbook_filters_data,1,passes_workbook_custom_filters_data,1,All_Questions_passes_local_filters_data,1,All_Questions_Q_RATED_F_passes_per_q_filter_data,1)</f>
        <v>4</v>
      </c>
      <c r="D17" s="7">
        <f>IFERROR(C17/COUNTIFS(respondent_id_data,"&lt;&gt;",passes_workbook_filters_data,1,passes_workbook_custom_filters_data,1,All_Questions_passes_local_filters_data,1,All_Questions_Q_RATED_F_passes_per_q_filter_data,1),0)</f>
        <v>1.0</v>
      </c>
      <c r="F17" s="15">
        <f>IFERROR(AVERAGEIFS(Q_RATEDr1c1_data,passes_workbook_filters_data,1,passes_workbook_custom_filters_data,1,All_Questions_passes_local_filters_data,1,All_Questions_Q_RATED_F_passes_per_q_filter_data,1),0)</f>
        <v>8.5</v>
      </c>
      <c r="G17" s="15" t="n">
        <v>8.5</v>
      </c>
      <c r="H17" s="15">
        <f>IFERROR(AVERAGEIFS(Q_RATEDr1c2_data,passes_workbook_filters_data,1,passes_workbook_custom_filters_data,1,All_Questions_passes_local_filters_data,1,All_Questions_Q_RATED_F_passes_per_q_filter_data,1),0)</f>
        <v>6.5</v>
      </c>
      <c r="I17" s="15" t="n">
        <v>6.5</v>
      </c>
      <c r="J17" s="15">
        <f>ROUND(F17-H17,1)</f>
        <v>2.0</v>
      </c>
      <c r="K17" s="15">
        <f>ROUND(G17-I17,1)</f>
        <v>2.0</v>
      </c>
    </row>
    <row r="18">
      <c r="A18" s="14" t="inlineStr">
        <is>
          <t>Q_RATEDr2</t>
        </is>
      </c>
      <c r="B18" t="inlineStr">
        <is>
          <t>Integration fit</t>
        </is>
      </c>
      <c r="C18">
        <f>COUNTIFS(Q_RATEDr2c1_data,"&lt;&gt;",passes_workbook_filters_data,1,passes_workbook_custom_filters_data,1,All_Questions_passes_local_filters_data,1,All_Questions_Q_RATED_F_passes_per_q_filter_data,1)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IFERROR(AVERAGEIFS(Q_RATEDr2c1_data,passes_workbook_filters_data,1,passes_workbook_custom_filters_data,1,All_Questions_passes_local_filters_data,1,All_Questions_Q_RATED_F_passes_per_q_filter_data,1),0)</f>
        <v>8.8</v>
      </c>
      <c r="G18" s="15" t="n">
        <v>9</v>
      </c>
      <c r="H18" s="15">
        <f>IFERROR(AVERAGEIFS(Q_RATEDr2c2_data,passes_workbook_filters_data,1,passes_workbook_custom_filters_data,1,All_Questions_passes_local_filters_data,1,All_Questions_Q_RATED_F_passes_per_q_filter_data,1),0)</f>
        <v>6.8</v>
      </c>
      <c r="I18" s="15" t="n">
        <v>7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Q_RATEDr3</t>
        </is>
      </c>
      <c r="B19" t="inlineStr">
        <is>
          <t>Efficiency gains</t>
        </is>
      </c>
      <c r="C19">
        <f>COUNTIFS(Q_RATEDr3c1_data,"&lt;&gt;",passes_workbook_filters_data,1,passes_workbook_custom_filters_data,1,All_Questions_passes_local_filters_data,1,All_Questions_Q_RATED_F_passes_per_q_filter_data,1)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IFERROR(AVERAGEIFS(Q_RATEDr3c1_data,passes_workbook_filters_data,1,passes_workbook_custom_filters_data,1,All_Questions_passes_local_filters_data,1,All_Questions_Q_RATED_F_passes_per_q_filter_data,1),0)</f>
        <v>7.5</v>
      </c>
      <c r="G19" s="15" t="n">
        <v>7.5</v>
      </c>
      <c r="H19" s="15">
        <f>IFERROR(AVERAGEIFS(Q_RATEDr3c2_data,passes_workbook_filters_data,1,passes_workbook_custom_filters_data,1,All_Questions_passes_local_filters_data,1,All_Questions_Q_RATED_F_passes_per_q_filter_data,1),0)</f>
        <v>5.5</v>
      </c>
      <c r="I19" s="15" t="n">
        <v>5.5</v>
      </c>
      <c r="J19" s="15">
        <f>ROUND(F19-H19,1)</f>
        <v>2.0</v>
      </c>
      <c r="K19" s="15">
        <f>ROUND(G19-I19,1)</f>
        <v>2.0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</row>
  </sheetData>
  <mergeCells count="4">
    <mergeCell ref="F15:G15"/>
    <mergeCell ref="A1:J1"/>
    <mergeCell ref="J15:K15"/>
    <mergeCell ref="H15:I15"/>
  </mergeCells>
  <conditionalFormatting sqref="D17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7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7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7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6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2026-06-09T11:30:30Z</dcterms:created>
  <dcterms:modified xmlns:dcterms="http://purl.org/dc/terms/" xmlns:xsi="http://www.w3.org/2001/XMLSchema-instance" xsi:type="dcterms:W3CDTF">2026-06-09T11:30:31Z</dcterms:modified>
</cp:coreProperties>
</file>