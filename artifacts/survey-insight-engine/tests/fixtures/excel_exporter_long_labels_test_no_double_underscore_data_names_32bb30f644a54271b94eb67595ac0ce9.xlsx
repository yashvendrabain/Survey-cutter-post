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Cross_Tab_Questions">'_Options'!$L$2:$L$5</definedName>
    <definedName name="Cross_Tab_Questions_Data_Names">'_Options'!$M$2:$M$5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Cross_Tab_Questions_Options_Names">'_Options'!$N$2:$N$5</definedName>
    <definedName name="All_Questions_Value_Keys">'_Options'!$V$2:$V$2</definedName>
    <definedName name="All_Questions_Value_Data_Names">'_Options'!$W$2:$W$2</definedName>
    <definedName name="All_Questions_Value_Criteria">'_Options'!$X$2:$X$2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resolved_criteria">'All Questions'!$H$13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Questions'!$C$29</definedName>
    <definedName name="All_Questions_Q56_Expected_2025_Gross_margin_growth_outlook_F_V">'All Questions'!$E$29</definedName>
    <definedName name="All_Questions_Q56_Expected_2025_Gross_margin_growth_outlook_F_resolved_column">'All Questions'!$F$29</definedName>
    <definedName name="All_Questions_Q56_Expected_2025_Gross_margin_growth_outlook_F_wrapped">'All Questions'!$G$29</definedName>
    <definedName name="All_Questions_Q56_Expected_2025_Gross_margin_growth_outlook_F_resolved_criteria">'All Questions'!$H$29</definedName>
    <definedName name="All_Questions_Q56_Expected_2025_Gross_margin_growth_outlook_F_passes_per_q_filter_data">'_RawData'!$K$2:$K$7</definedName>
    <definedName name="All_Questions_Q56_Expected_2025_Gross_margin_growth_outlook_CT">'All Questions'!$C$30</definedName>
    <definedName name="All_Questions_Q102_Expected_2025_EBITDA_margin_growth_outlook_F_Q">'All Questions'!$C$45</definedName>
    <definedName name="All_Questions_Q102_Expected_2025_EBITDA_margin_growth_outlook_F_V">'All Questions'!$E$45</definedName>
    <definedName name="All_Questions_Q102_Expected_2025_EBITDA_margin_growth_outlook_F_resolved_column">'All Questions'!$F$45</definedName>
    <definedName name="All_Questions_Q102_Expected_2025_EBITDA_margin_growth_outlook_F_wrapped">'All Questions'!$G$45</definedName>
    <definedName name="All_Questions_Q102_Expected_2025_EBITDA_margin_growth_outlook_F_resolved_criteria">'All Questions'!$H$45</definedName>
    <definedName name="All_Questions_Q102_Expected_2025_EBITDA_margin_growth_outlook_F_passes_per_q_filter_data">'_RawData'!$L$2:$L$7</definedName>
    <definedName name="All_Questions_Q102_Expected_2025_EBITDA_margin_growth_outlook_CT">'All Questions'!$C$46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7" i="7"/>
  <c r="C37" i="7"/>
  <c r="D37" i="7"/>
  <c r="E37" i="7"/>
  <c r="F37" i="7"/>
  <c r="G37" i="7"/>
  <c r="H37" i="7"/>
  <c r="I37" i="7"/>
  <c r="J37" i="7"/>
  <c r="K37" i="7"/>
  <c r="L37" i="7"/>
  <c r="M37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N41" i="7"/>
  <c r="F45" i="7"/>
  <c r="G45" i="7"/>
  <c r="H45" i="7"/>
  <c r="B49" i="7"/>
  <c r="C49" i="7"/>
  <c r="D49" i="7"/>
  <c r="B50" i="7"/>
  <c r="C50" i="7"/>
  <c r="D50" i="7"/>
  <c r="B53" i="7"/>
  <c r="C53" i="7"/>
  <c r="D53" i="7"/>
  <c r="E53" i="7"/>
  <c r="F53" i="7"/>
  <c r="G53" i="7"/>
  <c r="H53" i="7"/>
  <c r="I53" i="7"/>
  <c r="J53" i="7"/>
  <c r="K53" i="7"/>
  <c r="L53" i="7"/>
  <c r="M53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N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5" headerRowCount="1">
  <autoFilter ref="A32:D3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("|" &amp; SUBSTITUTE(All_Questions_Q14_Expected_2025_Gross_margin_growth_outlook_F_resolved_criteria, ", ", "|") &amp; "|"))),1,0),0))*1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("|" &amp; SUBSTITUTE(All_Questions_Q56_Expected_2025_Gross_margin_growth_outlook_F_resolved_criteria, ", ", "|") &amp; "|"))),1,0),0))*1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("|" &amp; SUBSTITUTE(All_Questions_Q102_Expected_2025_EBITDA_margin_growth_outlook_F_resolved_criteria, ", ", "|") &amp; "|"))),1,0),0))*1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("|" &amp; SUBSTITUTE(All_Questions_Q14_Expected_2025_Gross_margin_growth_outlook_F_resolved_criteria, ", ", "|") &amp; "|"))),1,0),0))*1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("|" &amp; SUBSTITUTE(All_Questions_Q56_Expected_2025_Gross_margin_growth_outlook_F_resolved_criteria, ", ", "|") &amp; "|"))),1,0),0))*1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("|" &amp; SUBSTITUTE(All_Questions_Q102_Expected_2025_EBITDA_margin_growth_outlook_F_resolved_criteria, ", ", "|") &amp; "|"))),1,0),0))*1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("|" &amp; SUBSTITUTE(All_Questions_Q14_Expected_2025_Gross_margin_growth_outlook_F_resolved_criteria, ", ", "|") &amp; "|"))),1,0),0))*1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("|" &amp; SUBSTITUTE(All_Questions_Q56_Expected_2025_Gross_margin_growth_outlook_F_resolved_criteria, ", ", "|") &amp; "|"))),1,0),0))*1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("|" &amp; SUBSTITUTE(All_Questions_Q102_Expected_2025_EBITDA_margin_growth_outlook_F_resolved_criteria, ", ", "|") &amp; "|"))),1,0),0))*1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("|" &amp; SUBSTITUTE(All_Questions_Q14_Expected_2025_Gross_margin_growth_outlook_F_resolved_criteria, ", ", "|") &amp; "|"))),1,0),0))*1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("|" &amp; SUBSTITUTE(All_Questions_Q56_Expected_2025_Gross_margin_growth_outlook_F_resolved_criteria, ", ", "|") &amp; "|"))),1,0),0))*1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("|" &amp; SUBSTITUTE(All_Questions_Q102_Expected_2025_EBITDA_margin_growth_outlook_F_resolved_criteria, ", ", "|") &amp; "|"))),1,0),0))*1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("|" &amp; SUBSTITUTE(All_Questions_Q14_Expected_2025_Gross_margin_growth_outlook_F_resolved_criteria, ", ", "|") &amp; "|"))),1,0),0))*1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("|" &amp; SUBSTITUTE(All_Questions_Q56_Expected_2025_Gross_margin_growth_outlook_F_resolved_criteria, ", ", "|") &amp; "|"))),1,0),0))*1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("|" &amp; SUBSTITUTE(All_Questions_Q102_Expected_2025_EBITDA_margin_growth_outlook_F_resolved_criteria, ", ", "|") &amp; "|"))),1,0),0))*1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("|" &amp; SUBSTITUTE(All_Questions_Q14_Expected_2025_Gross_margin_growth_outlook_F_resolved_criteria, ", ", "|") &amp; "|"))),1,0),0))*1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("|" &amp; SUBSTITUTE(All_Questions_Q56_Expected_2025_Gross_margin_growth_outlook_F_resolved_criteria, ", ", "|") &amp; "|"))),1,0),0))*1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("|" &amp; SUBSTITUTE(All_Questions_Q102_Expected_2025_EBITDA_margin_growth_outlook_F_resolved_criteria,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V1" t="inlineStr">
        <is>
          <t>All_Questions_Value_Keys</t>
        </is>
      </c>
      <c r="W1" t="inlineStr">
        <is>
          <t>All_Questions_Value_Data_Names</t>
        </is>
      </c>
      <c r="X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'_RawData'!$A$2:$A$7</t>
        </is>
      </c>
      <c r="N2" t="inlineStr">
        <is>
          <t>'_Options'!$E$2:$E$2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L3" t="inlineStr">
        <is>
          <t>Q14 Expected 2025 Gross margin growth outlook - Expected 2025 Gross Margin Growth Outlook Question Text</t>
        </is>
      </c>
      <c r="M3" t="inlineStr">
        <is>
          <t>'_RawData'!$B$2:$B$7</t>
        </is>
      </c>
      <c r="N3" t="inlineStr">
        <is>
          <t>'_Options'!$F$2:$F$4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  <c r="L4" t="inlineStr">
        <is>
          <t>Q56 Expected 2025 Gross margin growth outlook - Expected 2025 Gross Margin Growth Outlook Question Text</t>
        </is>
      </c>
      <c r="M4" t="inlineStr">
        <is>
          <t>'_RawData'!$C$2:$C$7</t>
        </is>
      </c>
      <c r="N4" t="inlineStr">
        <is>
          <t>'_Options'!$G$2:$G$4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  <c r="L5" t="inlineStr">
        <is>
          <t>Q102 Expected 2025 EBITDA margin growth outlook - Expected 2025 Ebitda Margin Growth ...</t>
        </is>
      </c>
      <c r="M5" t="inlineStr">
        <is>
          <t>'_RawData'!$D$2:$D$7</t>
        </is>
      </c>
      <c r="N5" t="inlineStr">
        <is>
          <t>'_Options'!$H$2:$H$4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14_Expected_2025_Gross_margin_growth_outlook_F_Q&amp;"|"&amp;All_Questions_Q14_Expected_2025_Gross_margin_growth_outlook_F_V,All_Questions_Value_Keys,0)),IFERROR(INDEX(All_Questions_Data_Names,MATCH(All_Questions_Q14_Expected_2025_Gross_margin_growth_outlook_F_Q,All_Questions,0)),"'_RawData'!$A:$A"))</f>
        <v>respondent_id_data</v>
      </c>
      <c r="G13" t="str">
        <f>"|" &amp; SUBSTITUTE(All_Questions_Q14_Expected_2025_Gross_margin_growth_outlook_F_V, ", ", "|") &amp; "|"</f>
        <v>|(All)|</v>
      </c>
      <c r="H13" t="str">
        <f>IFERROR(INDEX(All_Questions_Value_Criteria,MATCH(All_Questions_Q14_Expected_2025_Gross_margin_growth_outlook_F_Q&amp;"|"&amp;All_Questions_Q14_Expected_2025_Gross_margin_growth_outlook_F_V,All_Questions_Value_Keys,0)),All_Questions_Q14_Expected_2025_Gross_margin_growth_outlook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IF(All_Questions_Q14_Expected_2025_Gross_margin_growth_outlook_CT="(None)","",IFERROR(INDEX(INDIRECT(IFERROR(INDEX(Cross_Tab_Questions_Options_Names,MATCH(All_Questions_Q14_Expected_2025_Gross_margin_growth_outlook_CT,Cross_Tab_Questions,0)),"'_Options'!$E$2:$E$2")),2),""))</f>
        <v/>
      </c>
      <c r="C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IF(All_Questions_Q14_Expected_2025_Gross_margin_growth_outlook_CT="(None)","",IFERROR(INDEX(INDIRECT(IFERROR(INDEX(Cross_Tab_Questions_Options_Names,MATCH(All_Questions_Q14_Expected_2025_Gross_margin_growth_outlook_CT,Cross_Tab_Questions,0)),"'_Options'!$E$2:$E$2")),3),""))</f>
        <v/>
      </c>
      <c r="D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IF(All_Questions_Q14_Expected_2025_Gross_margin_growth_outlook_CT="(None)","",IFERROR(INDEX(INDIRECT(IFERROR(INDEX(Cross_Tab_Questions_Options_Names,MATCH(All_Questions_Q14_Expected_2025_Gross_margin_growth_outlook_CT,Cross_Tab_Questions,0)),"'_Options'!$E$2:$E$2")),4),""))</f>
        <v/>
      </c>
      <c r="E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IF(All_Questions_Q14_Expected_2025_Gross_margin_growth_outlook_CT="(None)","",IFERROR(INDEX(INDIRECT(IFERROR(INDEX(Cross_Tab_Questions_Options_Names,MATCH(All_Questions_Q14_Expected_2025_Gross_margin_growth_outlook_CT,Cross_Tab_Questions,0)),"'_Options'!$E$2:$E$2")),5),""))</f>
        <v/>
      </c>
      <c r="F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IF(All_Questions_Q14_Expected_2025_Gross_margin_growth_outlook_CT="(None)","",IFERROR(INDEX(INDIRECT(IFERROR(INDEX(Cross_Tab_Questions_Options_Names,MATCH(All_Questions_Q14_Expected_2025_Gross_margin_growth_outlook_CT,Cross_Tab_Questions,0)),"'_Options'!$E$2:$E$2")),6),""))</f>
        <v/>
      </c>
      <c r="G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IF(All_Questions_Q14_Expected_2025_Gross_margin_growth_outlook_CT="(None)","",IFERROR(INDEX(INDIRECT(IFERROR(INDEX(Cross_Tab_Questions_Options_Names,MATCH(All_Questions_Q14_Expected_2025_Gross_margin_growth_outlook_CT,Cross_Tab_Questions,0)),"'_Options'!$E$2:$E$2")),7),""))</f>
        <v/>
      </c>
      <c r="H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IF(All_Questions_Q14_Expected_2025_Gross_margin_growth_outlook_CT="(None)","",IFERROR(INDEX(INDIRECT(IFERROR(INDEX(Cross_Tab_Questions_Options_Names,MATCH(All_Questions_Q14_Expected_2025_Gross_margin_growth_outlook_CT,Cross_Tab_Questions,0)),"'_Options'!$E$2:$E$2")),8),""))</f>
        <v/>
      </c>
      <c r="I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IF(All_Questions_Q14_Expected_2025_Gross_margin_growth_outlook_CT="(None)","",IFERROR(INDEX(INDIRECT(IFERROR(INDEX(Cross_Tab_Questions_Options_Names,MATCH(All_Questions_Q14_Expected_2025_Gross_margin_growth_outlook_CT,Cross_Tab_Questions,0)),"'_Options'!$E$2:$E$2")),9),""))</f>
        <v/>
      </c>
      <c r="J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IF(All_Questions_Q14_Expected_2025_Gross_margin_growth_outlook_CT="(None)","",IFERROR(INDEX(INDIRECT(IFERROR(INDEX(Cross_Tab_Questions_Options_Names,MATCH(All_Questions_Q14_Expected_2025_Gross_margin_growth_outlook_CT,Cross_Tab_Questions,0)),"'_Options'!$E$2:$E$2")),10),""))</f>
        <v/>
      </c>
      <c r="K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IF(All_Questions_Q14_Expected_2025_Gross_margin_growth_outlook_CT="(None)","",IFERROR(INDEX(INDIRECT(IFERROR(INDEX(Cross_Tab_Questions_Options_Names,MATCH(All_Questions_Q14_Expected_2025_Gross_margin_growth_outlook_CT,Cross_Tab_Questions,0)),"'_Options'!$E$2:$E$2")),11),""))</f>
        <v/>
      </c>
      <c r="L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IF(All_Questions_Q14_Expected_2025_Gross_margin_growth_outlook_CT="(None)","",IFERROR(INDEX(INDIRECT(IFERROR(INDEX(Cross_Tab_Questions_Options_Names,MATCH(All_Questions_Q14_Expected_2025_Gross_margin_growth_outlook_CT,Cross_Tab_Questions,0)),"'_Options'!$E$2:$E$2")),12),""))</f>
        <v/>
      </c>
      <c r="M21" s="2" t="str">
        <f>IF(All_Questions_Q14_Expected_2025_Gross_margin_growth_outlook_CT="(None)","",IF(COUNTA(INDIRECT(IFERROR(INDEX(Cross_Tab_Questions_Options_Names,MATCH(All_Questions_Q14_Expected_2025_Gross_margin_growth_outlook_CT,Cross_Tab_Questions,0)),"'_Options'!$E$2:$E$2")))-1&gt;11,"Other",IFERROR(INDEX(INDIRECT(IFERROR(INDEX(Cross_Tab_Questions_Options_Names,MATCH(All_Questions_Q14_Expected_2025_Gross_margin_growth_outlook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Higher</t>
        </is>
      </c>
      <c r="B23" s="14">
        <f>IF(OR(All_Questions_Q14_Expected_2025_Gross_margin_growth_outlook_CT="(None)",B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B$21))</f>
        <v>0</v>
      </c>
      <c r="C23" s="14">
        <f>IF(OR(All_Questions_Q14_Expected_2025_Gross_margin_growth_outlook_CT="(None)",C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C$21))</f>
        <v>0</v>
      </c>
      <c r="D23" s="14">
        <f>IF(OR(All_Questions_Q14_Expected_2025_Gross_margin_growth_outlook_CT="(None)",D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D$21))</f>
        <v>0</v>
      </c>
      <c r="E23" s="14">
        <f>IF(OR(All_Questions_Q14_Expected_2025_Gross_margin_growth_outlook_CT="(None)",E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E$21))</f>
        <v>0</v>
      </c>
      <c r="F23" s="14">
        <f>IF(OR(All_Questions_Q14_Expected_2025_Gross_margin_growth_outlook_CT="(None)",F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F$21))</f>
        <v>0</v>
      </c>
      <c r="G23" s="14">
        <f>IF(OR(All_Questions_Q14_Expected_2025_Gross_margin_growth_outlook_CT="(None)",G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G$21))</f>
        <v>0</v>
      </c>
      <c r="H23" s="14">
        <f>IF(OR(All_Questions_Q14_Expected_2025_Gross_margin_growth_outlook_CT="(None)",H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H$21))</f>
        <v>0</v>
      </c>
      <c r="I23" s="14">
        <f>IF(OR(All_Questions_Q14_Expected_2025_Gross_margin_growth_outlook_CT="(None)",I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I$21))</f>
        <v>0</v>
      </c>
      <c r="J23" s="14">
        <f>IF(OR(All_Questions_Q14_Expected_2025_Gross_margin_growth_outlook_CT="(None)",J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J$21))</f>
        <v>0</v>
      </c>
      <c r="K23" s="14">
        <f>IF(OR(All_Questions_Q14_Expected_2025_Gross_margin_growth_outlook_CT="(None)",K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K$21))</f>
        <v>0</v>
      </c>
      <c r="L23" s="14">
        <f>IF(OR(All_Questions_Q14_Expected_2025_Gross_margin_growth_outlook_CT="(None)",L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L$21))</f>
        <v>0</v>
      </c>
      <c r="M23" s="14">
        <f>IF(OR(All_Questions_Q14_Expected_2025_Gross_margin_growth_outlook_CT="(None)",M$21=""),"",IF(M$21="Other",COUNTIFS(Q14_Expected_2025_Gross_margin_data,"Higher",passes_workbook_filters_data,1,passes_workbook_custom_filters_data,1,All_Questions_passes_local_filters_data,1,All_Questions_Q14_Expected_2025_Gross_margin_growth_outlook_F_passes_per_q_filter_data,1)-SUM(B23,C23,D23,E23,F23,G23,H23,I23,J23,K23,L23)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M$21)))</f>
        <v>0</v>
      </c>
      <c r="N23" s="14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24">
      <c r="A24" t="inlineStr">
        <is>
          <t>Lower</t>
        </is>
      </c>
      <c r="B24" s="14">
        <f>IF(OR(All_Questions_Q14_Expected_2025_Gross_margin_growth_outlook_CT="(None)",B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B$21))</f>
        <v>0</v>
      </c>
      <c r="C24" s="14">
        <f>IF(OR(All_Questions_Q14_Expected_2025_Gross_margin_growth_outlook_CT="(None)",C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C$21))</f>
        <v>0</v>
      </c>
      <c r="D24" s="14">
        <f>IF(OR(All_Questions_Q14_Expected_2025_Gross_margin_growth_outlook_CT="(None)",D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D$21))</f>
        <v>0</v>
      </c>
      <c r="E24" s="14">
        <f>IF(OR(All_Questions_Q14_Expected_2025_Gross_margin_growth_outlook_CT="(None)",E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E$21))</f>
        <v>0</v>
      </c>
      <c r="F24" s="14">
        <f>IF(OR(All_Questions_Q14_Expected_2025_Gross_margin_growth_outlook_CT="(None)",F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F$21))</f>
        <v>0</v>
      </c>
      <c r="G24" s="14">
        <f>IF(OR(All_Questions_Q14_Expected_2025_Gross_margin_growth_outlook_CT="(None)",G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G$21))</f>
        <v>0</v>
      </c>
      <c r="H24" s="14">
        <f>IF(OR(All_Questions_Q14_Expected_2025_Gross_margin_growth_outlook_CT="(None)",H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H$21))</f>
        <v>0</v>
      </c>
      <c r="I24" s="14">
        <f>IF(OR(All_Questions_Q14_Expected_2025_Gross_margin_growth_outlook_CT="(None)",I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I$21))</f>
        <v>0</v>
      </c>
      <c r="J24" s="14">
        <f>IF(OR(All_Questions_Q14_Expected_2025_Gross_margin_growth_outlook_CT="(None)",J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J$21))</f>
        <v>0</v>
      </c>
      <c r="K24" s="14">
        <f>IF(OR(All_Questions_Q14_Expected_2025_Gross_margin_growth_outlook_CT="(None)",K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K$21))</f>
        <v>0</v>
      </c>
      <c r="L24" s="14">
        <f>IF(OR(All_Questions_Q14_Expected_2025_Gross_margin_growth_outlook_CT="(None)",L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L$21))</f>
        <v>0</v>
      </c>
      <c r="M24" s="14">
        <f>IF(OR(All_Questions_Q14_Expected_2025_Gross_margin_growth_outlook_CT="(None)",M$21=""),"",IF(M$21="Other",COUNTIFS(Q14_Expected_2025_Gross_margin_data,"Lower",passes_workbook_filters_data,1,passes_workbook_custom_filters_data,1,All_Questions_passes_local_filters_data,1,All_Questions_Q14_Expected_2025_Gross_margin_growth_outlook_F_passes_per_q_filter_data,1)-SUM(B24,C24,D24,E24,F24,G24,H24,I24,J24,K24,L24)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M$21)))</f>
        <v>0</v>
      </c>
      <c r="N24" s="14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Q56 Expected 2025 Gross margin growth outlook question text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56_Expected_2025_Gross_margin_growth_outlook_F_Q&amp;"|"&amp;All_Questions_Q56_Expected_2025_Gross_margin_growth_outlook_F_V,All_Questions_Value_Keys,0)),IFERROR(INDEX(All_Questions_Data_Names,MATCH(All_Questions_Q56_Expected_2025_Gross_margin_growth_outlook_F_Q,All_Questions,0)),"'_RawData'!$A:$A"))</f>
        <v>respondent_id_data</v>
      </c>
      <c r="G29" t="str">
        <f>"|" &amp; SUBSTITUTE(All_Questions_Q56_Expected_2025_Gross_margin_growth_outlook_F_V, ", ", "|") &amp; "|"</f>
        <v>|(All)|</v>
      </c>
      <c r="H29" t="str">
        <f>IFERROR(INDEX(All_Questions_Value_Criteria,MATCH(All_Questions_Q56_Expected_2025_Gross_margin_growth_outlook_F_Q&amp;"|"&amp;All_Questions_Q56_Expected_2025_Gross_margin_growth_outlook_F_V,All_Questions_Value_Keys,0)),All_Questions_Q56_Expected_2025_Gross_margin_growth_outlook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Higher</t>
        </is>
      </c>
      <c r="B33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33" s="7">
        <f>IFERROR(B33/SUBTOTAL(9,B33:B34),0)</f>
        <v>0.5</v>
      </c>
      <c r="D33" s="14">
        <f>SUBTOTAL(9,B33:B34)</f>
        <v>6</v>
      </c>
    </row>
    <row r="34">
      <c r="A34" t="inlineStr">
        <is>
          <t>Lower</t>
        </is>
      </c>
      <c r="B34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34" s="7">
        <f>IFERROR(B34/SUBTOTAL(9,B33:B34),0)</f>
        <v>0.5</v>
      </c>
      <c r="D34" s="14">
        <f>SUBTOTAL(9,B33:B34)</f>
        <v>6</v>
      </c>
    </row>
    <row r="35">
      <c r="A35" s="15" t="inlineStr">
        <is>
          <t>Total respondents</t>
        </is>
      </c>
      <c r="B35" s="15" t="n">
        <v>6</v>
      </c>
      <c r="C35" s="15" t="n"/>
      <c r="D35" s="15" t="n"/>
    </row>
    <row r="36"/>
    <row r="37">
      <c r="A37" s="4" t="inlineStr">
        <is>
          <t>Option</t>
        </is>
      </c>
      <c r="B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IF(All_Questions_Q56_Expected_2025_Gross_margin_growth_outlook_CT="(None)","",IFERROR(INDEX(INDIRECT(IFERROR(INDEX(Cross_Tab_Questions_Options_Names,MATCH(All_Questions_Q56_Expected_2025_Gross_margin_growth_outlook_CT,Cross_Tab_Questions,0)),"'_Options'!$E$2:$E$2")),2),""))</f>
        <v/>
      </c>
      <c r="C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IF(All_Questions_Q56_Expected_2025_Gross_margin_growth_outlook_CT="(None)","",IFERROR(INDEX(INDIRECT(IFERROR(INDEX(Cross_Tab_Questions_Options_Names,MATCH(All_Questions_Q56_Expected_2025_Gross_margin_growth_outlook_CT,Cross_Tab_Questions,0)),"'_Options'!$E$2:$E$2")),3),""))</f>
        <v/>
      </c>
      <c r="D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IF(All_Questions_Q56_Expected_2025_Gross_margin_growth_outlook_CT="(None)","",IFERROR(INDEX(INDIRECT(IFERROR(INDEX(Cross_Tab_Questions_Options_Names,MATCH(All_Questions_Q56_Expected_2025_Gross_margin_growth_outlook_CT,Cross_Tab_Questions,0)),"'_Options'!$E$2:$E$2")),4),""))</f>
        <v/>
      </c>
      <c r="E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IF(All_Questions_Q56_Expected_2025_Gross_margin_growth_outlook_CT="(None)","",IFERROR(INDEX(INDIRECT(IFERROR(INDEX(Cross_Tab_Questions_Options_Names,MATCH(All_Questions_Q56_Expected_2025_Gross_margin_growth_outlook_CT,Cross_Tab_Questions,0)),"'_Options'!$E$2:$E$2")),5),""))</f>
        <v/>
      </c>
      <c r="F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IF(All_Questions_Q56_Expected_2025_Gross_margin_growth_outlook_CT="(None)","",IFERROR(INDEX(INDIRECT(IFERROR(INDEX(Cross_Tab_Questions_Options_Names,MATCH(All_Questions_Q56_Expected_2025_Gross_margin_growth_outlook_CT,Cross_Tab_Questions,0)),"'_Options'!$E$2:$E$2")),6),""))</f>
        <v/>
      </c>
      <c r="G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IF(All_Questions_Q56_Expected_2025_Gross_margin_growth_outlook_CT="(None)","",IFERROR(INDEX(INDIRECT(IFERROR(INDEX(Cross_Tab_Questions_Options_Names,MATCH(All_Questions_Q56_Expected_2025_Gross_margin_growth_outlook_CT,Cross_Tab_Questions,0)),"'_Options'!$E$2:$E$2")),7),""))</f>
        <v/>
      </c>
      <c r="H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IF(All_Questions_Q56_Expected_2025_Gross_margin_growth_outlook_CT="(None)","",IFERROR(INDEX(INDIRECT(IFERROR(INDEX(Cross_Tab_Questions_Options_Names,MATCH(All_Questions_Q56_Expected_2025_Gross_margin_growth_outlook_CT,Cross_Tab_Questions,0)),"'_Options'!$E$2:$E$2")),8),""))</f>
        <v/>
      </c>
      <c r="I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IF(All_Questions_Q56_Expected_2025_Gross_margin_growth_outlook_CT="(None)","",IFERROR(INDEX(INDIRECT(IFERROR(INDEX(Cross_Tab_Questions_Options_Names,MATCH(All_Questions_Q56_Expected_2025_Gross_margin_growth_outlook_CT,Cross_Tab_Questions,0)),"'_Options'!$E$2:$E$2")),9),""))</f>
        <v/>
      </c>
      <c r="J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IF(All_Questions_Q56_Expected_2025_Gross_margin_growth_outlook_CT="(None)","",IFERROR(INDEX(INDIRECT(IFERROR(INDEX(Cross_Tab_Questions_Options_Names,MATCH(All_Questions_Q56_Expected_2025_Gross_margin_growth_outlook_CT,Cross_Tab_Questions,0)),"'_Options'!$E$2:$E$2")),10),""))</f>
        <v/>
      </c>
      <c r="K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IF(All_Questions_Q56_Expected_2025_Gross_margin_growth_outlook_CT="(None)","",IFERROR(INDEX(INDIRECT(IFERROR(INDEX(Cross_Tab_Questions_Options_Names,MATCH(All_Questions_Q56_Expected_2025_Gross_margin_growth_outlook_CT,Cross_Tab_Questions,0)),"'_Options'!$E$2:$E$2")),11),""))</f>
        <v/>
      </c>
      <c r="L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IF(All_Questions_Q56_Expected_2025_Gross_margin_growth_outlook_CT="(None)","",IFERROR(INDEX(INDIRECT(IFERROR(INDEX(Cross_Tab_Questions_Options_Names,MATCH(All_Questions_Q56_Expected_2025_Gross_margin_growth_outlook_CT,Cross_Tab_Questions,0)),"'_Options'!$E$2:$E$2")),12),""))</f>
        <v/>
      </c>
      <c r="M37" s="2" t="str">
        <f>IF(All_Questions_Q56_Expected_2025_Gross_margin_growth_outlook_CT="(None)","",IF(COUNTA(INDIRECT(IFERROR(INDEX(Cross_Tab_Questions_Options_Names,MATCH(All_Questions_Q56_Expected_2025_Gross_margin_growth_outlook_CT,Cross_Tab_Questions,0)),"'_Options'!$E$2:$E$2")))-1&gt;11,"Other",IFERROR(INDEX(INDIRECT(IFERROR(INDEX(Cross_Tab_Questions_Options_Names,MATCH(All_Questions_Q56_Expected_2025_Gross_margin_growth_outlook_CT,Cross_Tab_Questions,0)),"'_Options'!$E$2:$E$2")),13),"")))</f>
        <v/>
      </c>
      <c r="N37" s="4" t="inlineStr">
        <is>
          <t>Total</t>
        </is>
      </c>
    </row>
    <row r="38">
      <c r="A38" s="4" t="inlineStr"/>
      <c r="B38" s="4" t="inlineStr">
        <is>
          <t># of resp</t>
        </is>
      </c>
      <c r="C38" s="4" t="inlineStr">
        <is>
          <t># of resp</t>
        </is>
      </c>
      <c r="D38" s="4" t="inlineStr">
        <is>
          <t># of resp</t>
        </is>
      </c>
      <c r="E38" s="4" t="inlineStr">
        <is>
          <t># of resp</t>
        </is>
      </c>
      <c r="F38" s="4" t="inlineStr">
        <is>
          <t># of resp</t>
        </is>
      </c>
      <c r="G38" s="4" t="inlineStr">
        <is>
          <t># of resp</t>
        </is>
      </c>
      <c r="H38" s="4" t="inlineStr">
        <is>
          <t># of resp</t>
        </is>
      </c>
      <c r="I38" s="4" t="inlineStr">
        <is>
          <t># of resp</t>
        </is>
      </c>
      <c r="J38" s="4" t="inlineStr">
        <is>
          <t># of resp</t>
        </is>
      </c>
      <c r="K38" s="4" t="inlineStr">
        <is>
          <t># of resp</t>
        </is>
      </c>
      <c r="L38" s="4" t="inlineStr">
        <is>
          <t># of resp</t>
        </is>
      </c>
      <c r="M38" s="4" t="inlineStr">
        <is>
          <t># of resp</t>
        </is>
      </c>
      <c r="N38" s="4" t="inlineStr">
        <is>
          <t># of resp</t>
        </is>
      </c>
    </row>
    <row r="39">
      <c r="A39" t="inlineStr">
        <is>
          <t>Higher</t>
        </is>
      </c>
      <c r="B39" s="14">
        <f>IF(OR(All_Questions_Q56_Expected_2025_Gross_margin_growth_outlook_CT="(None)",B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B$37))</f>
        <v>0</v>
      </c>
      <c r="C39" s="14">
        <f>IF(OR(All_Questions_Q56_Expected_2025_Gross_margin_growth_outlook_CT="(None)",C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C$37))</f>
        <v>0</v>
      </c>
      <c r="D39" s="14">
        <f>IF(OR(All_Questions_Q56_Expected_2025_Gross_margin_growth_outlook_CT="(None)",D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D$37))</f>
        <v>0</v>
      </c>
      <c r="E39" s="14">
        <f>IF(OR(All_Questions_Q56_Expected_2025_Gross_margin_growth_outlook_CT="(None)",E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E$37))</f>
        <v>0</v>
      </c>
      <c r="F39" s="14">
        <f>IF(OR(All_Questions_Q56_Expected_2025_Gross_margin_growth_outlook_CT="(None)",F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F$37))</f>
        <v>0</v>
      </c>
      <c r="G39" s="14">
        <f>IF(OR(All_Questions_Q56_Expected_2025_Gross_margin_growth_outlook_CT="(None)",G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G$37))</f>
        <v>0</v>
      </c>
      <c r="H39" s="14">
        <f>IF(OR(All_Questions_Q56_Expected_2025_Gross_margin_growth_outlook_CT="(None)",H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H$37))</f>
        <v>0</v>
      </c>
      <c r="I39" s="14">
        <f>IF(OR(All_Questions_Q56_Expected_2025_Gross_margin_growth_outlook_CT="(None)",I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I$37))</f>
        <v>0</v>
      </c>
      <c r="J39" s="14">
        <f>IF(OR(All_Questions_Q56_Expected_2025_Gross_margin_growth_outlook_CT="(None)",J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J$37))</f>
        <v>0</v>
      </c>
      <c r="K39" s="14">
        <f>IF(OR(All_Questions_Q56_Expected_2025_Gross_margin_growth_outlook_CT="(None)",K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K$37))</f>
        <v>0</v>
      </c>
      <c r="L39" s="14">
        <f>IF(OR(All_Questions_Q56_Expected_2025_Gross_margin_growth_outlook_CT="(None)",L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L$37))</f>
        <v>0</v>
      </c>
      <c r="M39" s="14">
        <f>IF(OR(All_Questions_Q56_Expected_2025_Gross_margin_growth_outlook_CT="(None)",M$37=""),"",IF(M$37="Other",COUNTIFS(Q56_Expected_2025_Gross_margin_data,"Higher",passes_workbook_filters_data,1,passes_workbook_custom_filters_data,1,All_Questions_passes_local_filters_data,1,All_Questions_Q56_Expected_2025_Gross_margin_growth_outlook_F_passes_per_q_filter_data,1)-SUM(B39,C39,D39,E39,F39,G39,H39,I39,J39,K39,L39)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M$37)))</f>
        <v>0</v>
      </c>
      <c r="N39" s="14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40">
      <c r="A40" t="inlineStr">
        <is>
          <t>Lower</t>
        </is>
      </c>
      <c r="B40" s="14">
        <f>IF(OR(All_Questions_Q56_Expected_2025_Gross_margin_growth_outlook_CT="(None)",B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B$37))</f>
        <v>0</v>
      </c>
      <c r="C40" s="14">
        <f>IF(OR(All_Questions_Q56_Expected_2025_Gross_margin_growth_outlook_CT="(None)",C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C$37))</f>
        <v>0</v>
      </c>
      <c r="D40" s="14">
        <f>IF(OR(All_Questions_Q56_Expected_2025_Gross_margin_growth_outlook_CT="(None)",D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D$37))</f>
        <v>0</v>
      </c>
      <c r="E40" s="14">
        <f>IF(OR(All_Questions_Q56_Expected_2025_Gross_margin_growth_outlook_CT="(None)",E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E$37))</f>
        <v>0</v>
      </c>
      <c r="F40" s="14">
        <f>IF(OR(All_Questions_Q56_Expected_2025_Gross_margin_growth_outlook_CT="(None)",F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F$37))</f>
        <v>0</v>
      </c>
      <c r="G40" s="14">
        <f>IF(OR(All_Questions_Q56_Expected_2025_Gross_margin_growth_outlook_CT="(None)",G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G$37))</f>
        <v>0</v>
      </c>
      <c r="H40" s="14">
        <f>IF(OR(All_Questions_Q56_Expected_2025_Gross_margin_growth_outlook_CT="(None)",H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H$37))</f>
        <v>0</v>
      </c>
      <c r="I40" s="14">
        <f>IF(OR(All_Questions_Q56_Expected_2025_Gross_margin_growth_outlook_CT="(None)",I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I$37))</f>
        <v>0</v>
      </c>
      <c r="J40" s="14">
        <f>IF(OR(All_Questions_Q56_Expected_2025_Gross_margin_growth_outlook_CT="(None)",J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J$37))</f>
        <v>0</v>
      </c>
      <c r="K40" s="14">
        <f>IF(OR(All_Questions_Q56_Expected_2025_Gross_margin_growth_outlook_CT="(None)",K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K$37))</f>
        <v>0</v>
      </c>
      <c r="L40" s="14">
        <f>IF(OR(All_Questions_Q56_Expected_2025_Gross_margin_growth_outlook_CT="(None)",L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L$37))</f>
        <v>0</v>
      </c>
      <c r="M40" s="14">
        <f>IF(OR(All_Questions_Q56_Expected_2025_Gross_margin_growth_outlook_CT="(None)",M$37=""),"",IF(M$37="Other",COUNTIFS(Q56_Expected_2025_Gross_margin_data,"Lower",passes_workbook_filters_data,1,passes_workbook_custom_filters_data,1,All_Questions_passes_local_filters_data,1,All_Questions_Q56_Expected_2025_Gross_margin_growth_outlook_F_passes_per_q_filter_data,1)-SUM(B40,C40,D40,E40,F40,G40,H40,I40,J40,K40,L40)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M$37)))</f>
        <v>0</v>
      </c>
      <c r="N40" s="14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41">
      <c r="A41" s="4" t="inlineStr">
        <is>
          <t>Total respondents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42"/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Q102 Expected 2025 EBITDA margin growth outlook question text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Value_Data_Names,MATCH(All_Questions_Q102_Expected_2025_EBITDA_margin_growth_outlook_F_Q&amp;"|"&amp;All_Questions_Q102_Expected_2025_EBITDA_margin_growth_outlook_F_V,All_Questions_Value_Keys,0)),IFERROR(INDEX(All_Questions_Data_Names,MATCH(All_Questions_Q102_Expected_2025_EBITDA_margin_growth_outlook_F_Q,All_Questions,0)),"'_RawData'!$A:$A"))</f>
        <v>respondent_id_data</v>
      </c>
      <c r="G45" t="str">
        <f>"|" &amp; SUBSTITUTE(All_Questions_Q102_Expected_2025_EBITDA_margin_growth_outlook_F_V, ", ", "|") &amp; "|"</f>
        <v>|(All)|</v>
      </c>
      <c r="H45" t="str">
        <f>IFERROR(INDEX(All_Questions_Value_Criteria,MATCH(All_Questions_Q102_Expected_2025_EBITDA_margin_growth_outlook_F_Q&amp;"|"&amp;All_Questions_Q102_Expected_2025_EBITDA_margin_growth_outlook_F_V,All_Questions_Value_Keys,0)),All_Questions_Q102_Expected_2025_EBITDA_margin_growth_outlook_F_V)</f>
        <v>(All)</v>
      </c>
    </row>
    <row r="46">
      <c r="A46" s="13" t="inlineStr">
        <is>
          <t>Cross-tab by</t>
        </is>
      </c>
      <c r="C46" t="inlineStr">
        <is>
          <t>(None)</t>
        </is>
      </c>
    </row>
    <row r="47"/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</row>
    <row r="49">
      <c r="A49" t="inlineStr">
        <is>
          <t>Higher</t>
        </is>
      </c>
      <c r="B49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49" s="7">
        <f>IFERROR(B49/SUBTOTAL(9,B49:B50),0)</f>
        <v>0.5</v>
      </c>
      <c r="D49" s="14">
        <f>SUBTOTAL(9,B49:B50)</f>
        <v>6</v>
      </c>
    </row>
    <row r="50">
      <c r="A50" t="inlineStr">
        <is>
          <t>Lower</t>
        </is>
      </c>
      <c r="B50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50" s="7">
        <f>IFERROR(B50/SUBTOTAL(9,B49:B50),0)</f>
        <v>0.5</v>
      </c>
      <c r="D50" s="14">
        <f>SUBTOTAL(9,B49:B50)</f>
        <v>6</v>
      </c>
    </row>
    <row r="51">
      <c r="A51" s="15" t="inlineStr">
        <is>
          <t>Total respondents</t>
        </is>
      </c>
      <c r="B51" s="15" t="n">
        <v>6</v>
      </c>
      <c r="C51" s="15" t="n"/>
      <c r="D51" s="15" t="n"/>
    </row>
    <row r="52"/>
    <row r="53">
      <c r="A53" s="4" t="inlineStr">
        <is>
          <t>Option</t>
        </is>
      </c>
      <c r="B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IF(All_Questions_Q102_Expected_2025_EBITDA_margin_growth_outlook_CT="(None)","",IFERROR(INDEX(INDIRECT(IFERROR(INDEX(Cross_Tab_Questions_Options_Names,MATCH(All_Questions_Q102_Expected_2025_EBITDA_margin_growth_outlook_CT,Cross_Tab_Questions,0)),"'_Options'!$E$2:$E$2")),2),""))</f>
        <v/>
      </c>
      <c r="C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IF(All_Questions_Q102_Expected_2025_EBITDA_margin_growth_outlook_CT="(None)","",IFERROR(INDEX(INDIRECT(IFERROR(INDEX(Cross_Tab_Questions_Options_Names,MATCH(All_Questions_Q102_Expected_2025_EBITDA_margin_growth_outlook_CT,Cross_Tab_Questions,0)),"'_Options'!$E$2:$E$2")),3),""))</f>
        <v/>
      </c>
      <c r="D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IF(All_Questions_Q102_Expected_2025_EBITDA_margin_growth_outlook_CT="(None)","",IFERROR(INDEX(INDIRECT(IFERROR(INDEX(Cross_Tab_Questions_Options_Names,MATCH(All_Questions_Q102_Expected_2025_EBITDA_margin_growth_outlook_CT,Cross_Tab_Questions,0)),"'_Options'!$E$2:$E$2")),4),""))</f>
        <v/>
      </c>
      <c r="E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IF(All_Questions_Q102_Expected_2025_EBITDA_margin_growth_outlook_CT="(None)","",IFERROR(INDEX(INDIRECT(IFERROR(INDEX(Cross_Tab_Questions_Options_Names,MATCH(All_Questions_Q102_Expected_2025_EBITDA_margin_growth_outlook_CT,Cross_Tab_Questions,0)),"'_Options'!$E$2:$E$2")),5),""))</f>
        <v/>
      </c>
      <c r="F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IF(All_Questions_Q102_Expected_2025_EBITDA_margin_growth_outlook_CT="(None)","",IFERROR(INDEX(INDIRECT(IFERROR(INDEX(Cross_Tab_Questions_Options_Names,MATCH(All_Questions_Q102_Expected_2025_EBITDA_margin_growth_outlook_CT,Cross_Tab_Questions,0)),"'_Options'!$E$2:$E$2")),6),""))</f>
        <v/>
      </c>
      <c r="G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IF(All_Questions_Q102_Expected_2025_EBITDA_margin_growth_outlook_CT="(None)","",IFERROR(INDEX(INDIRECT(IFERROR(INDEX(Cross_Tab_Questions_Options_Names,MATCH(All_Questions_Q102_Expected_2025_EBITDA_margin_growth_outlook_CT,Cross_Tab_Questions,0)),"'_Options'!$E$2:$E$2")),7),""))</f>
        <v/>
      </c>
      <c r="H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IF(All_Questions_Q102_Expected_2025_EBITDA_margin_growth_outlook_CT="(None)","",IFERROR(INDEX(INDIRECT(IFERROR(INDEX(Cross_Tab_Questions_Options_Names,MATCH(All_Questions_Q102_Expected_2025_EBITDA_margin_growth_outlook_CT,Cross_Tab_Questions,0)),"'_Options'!$E$2:$E$2")),8),""))</f>
        <v/>
      </c>
      <c r="I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IF(All_Questions_Q102_Expected_2025_EBITDA_margin_growth_outlook_CT="(None)","",IFERROR(INDEX(INDIRECT(IFERROR(INDEX(Cross_Tab_Questions_Options_Names,MATCH(All_Questions_Q102_Expected_2025_EBITDA_margin_growth_outlook_CT,Cross_Tab_Questions,0)),"'_Options'!$E$2:$E$2")),9),""))</f>
        <v/>
      </c>
      <c r="J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IF(All_Questions_Q102_Expected_2025_EBITDA_margin_growth_outlook_CT="(None)","",IFERROR(INDEX(INDIRECT(IFERROR(INDEX(Cross_Tab_Questions_Options_Names,MATCH(All_Questions_Q102_Expected_2025_EBITDA_margin_growth_outlook_CT,Cross_Tab_Questions,0)),"'_Options'!$E$2:$E$2")),10),""))</f>
        <v/>
      </c>
      <c r="K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IF(All_Questions_Q102_Expected_2025_EBITDA_margin_growth_outlook_CT="(None)","",IFERROR(INDEX(INDIRECT(IFERROR(INDEX(Cross_Tab_Questions_Options_Names,MATCH(All_Questions_Q102_Expected_2025_EBITDA_margin_growth_outlook_CT,Cross_Tab_Questions,0)),"'_Options'!$E$2:$E$2")),11),""))</f>
        <v/>
      </c>
      <c r="L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IF(All_Questions_Q102_Expected_2025_EBITDA_margin_growth_outlook_CT="(None)","",IFERROR(INDEX(INDIRECT(IFERROR(INDEX(Cross_Tab_Questions_Options_Names,MATCH(All_Questions_Q102_Expected_2025_EBITDA_margin_growth_outlook_CT,Cross_Tab_Questions,0)),"'_Options'!$E$2:$E$2")),12),""))</f>
        <v/>
      </c>
      <c r="M53" s="2" t="str">
        <f>IF(All_Questions_Q102_Expected_2025_EBITDA_margin_growth_outlook_CT="(None)","",IF(COUNTA(INDIRECT(IFERROR(INDEX(Cross_Tab_Questions_Options_Names,MATCH(All_Questions_Q102_Expected_2025_EBITDA_margin_growth_outlook_CT,Cross_Tab_Questions,0)),"'_Options'!$E$2:$E$2")))-1&gt;11,"Other",IFERROR(INDEX(INDIRECT(IFERROR(INDEX(Cross_Tab_Questions_Options_Names,MATCH(All_Questions_Q102_Expected_2025_EBITDA_margin_growth_outlook_CT,Cross_Tab_Questions,0)),"'_Options'!$E$2:$E$2")),13),"")))</f>
        <v/>
      </c>
      <c r="N53" s="4" t="inlineStr">
        <is>
          <t>Total</t>
        </is>
      </c>
    </row>
    <row r="54">
      <c r="A54" s="4" t="inlineStr"/>
      <c r="B54" s="4" t="inlineStr">
        <is>
          <t># of resp</t>
        </is>
      </c>
      <c r="C54" s="4" t="inlineStr">
        <is>
          <t># of resp</t>
        </is>
      </c>
      <c r="D54" s="4" t="inlineStr">
        <is>
          <t># of resp</t>
        </is>
      </c>
      <c r="E54" s="4" t="inlineStr">
        <is>
          <t># of resp</t>
        </is>
      </c>
      <c r="F54" s="4" t="inlineStr">
        <is>
          <t># of resp</t>
        </is>
      </c>
      <c r="G54" s="4" t="inlineStr">
        <is>
          <t># of resp</t>
        </is>
      </c>
      <c r="H54" s="4" t="inlineStr">
        <is>
          <t># of resp</t>
        </is>
      </c>
      <c r="I54" s="4" t="inlineStr">
        <is>
          <t># of resp</t>
        </is>
      </c>
      <c r="J54" s="4" t="inlineStr">
        <is>
          <t># of resp</t>
        </is>
      </c>
      <c r="K54" s="4" t="inlineStr">
        <is>
          <t># of resp</t>
        </is>
      </c>
      <c r="L54" s="4" t="inlineStr">
        <is>
          <t># of resp</t>
        </is>
      </c>
      <c r="M54" s="4" t="inlineStr">
        <is>
          <t># of resp</t>
        </is>
      </c>
      <c r="N54" s="4" t="inlineStr">
        <is>
          <t># of resp</t>
        </is>
      </c>
    </row>
    <row r="55">
      <c r="A55" t="inlineStr">
        <is>
          <t>Higher</t>
        </is>
      </c>
      <c r="B55" s="14">
        <f>IF(OR(All_Questions_Q102_Expected_2025_EBITDA_margin_growth_outlook_CT="(None)",B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B$53))</f>
        <v>0</v>
      </c>
      <c r="C55" s="14">
        <f>IF(OR(All_Questions_Q102_Expected_2025_EBITDA_margin_growth_outlook_CT="(None)",C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C$53))</f>
        <v>0</v>
      </c>
      <c r="D55" s="14">
        <f>IF(OR(All_Questions_Q102_Expected_2025_EBITDA_margin_growth_outlook_CT="(None)",D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D$53))</f>
        <v>0</v>
      </c>
      <c r="E55" s="14">
        <f>IF(OR(All_Questions_Q102_Expected_2025_EBITDA_margin_growth_outlook_CT="(None)",E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E$53))</f>
        <v>0</v>
      </c>
      <c r="F55" s="14">
        <f>IF(OR(All_Questions_Q102_Expected_2025_EBITDA_margin_growth_outlook_CT="(None)",F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F$53))</f>
        <v>0</v>
      </c>
      <c r="G55" s="14">
        <f>IF(OR(All_Questions_Q102_Expected_2025_EBITDA_margin_growth_outlook_CT="(None)",G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G$53))</f>
        <v>0</v>
      </c>
      <c r="H55" s="14">
        <f>IF(OR(All_Questions_Q102_Expected_2025_EBITDA_margin_growth_outlook_CT="(None)",H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H$53))</f>
        <v>0</v>
      </c>
      <c r="I55" s="14">
        <f>IF(OR(All_Questions_Q102_Expected_2025_EBITDA_margin_growth_outlook_CT="(None)",I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I$53))</f>
        <v>0</v>
      </c>
      <c r="J55" s="14">
        <f>IF(OR(All_Questions_Q102_Expected_2025_EBITDA_margin_growth_outlook_CT="(None)",J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J$53))</f>
        <v>0</v>
      </c>
      <c r="K55" s="14">
        <f>IF(OR(All_Questions_Q102_Expected_2025_EBITDA_margin_growth_outlook_CT="(None)",K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K$53))</f>
        <v>0</v>
      </c>
      <c r="L55" s="14">
        <f>IF(OR(All_Questions_Q102_Expected_2025_EBITDA_margin_growth_outlook_CT="(None)",L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L$53))</f>
        <v>0</v>
      </c>
      <c r="M55" s="14">
        <f>IF(OR(All_Questions_Q102_Expected_2025_EBITDA_margin_growth_outlook_CT="(None)",M$53=""),"",IF(M$53="Other",COUNTIFS(Q102_Expected_2025_EBITDA_margi_data,"Higher",passes_workbook_filters_data,1,passes_workbook_custom_filters_data,1,All_Questions_passes_local_filters_data,1,All_Questions_Q102_Expected_2025_EBITDA_margin_growth_outlook_F_passes_per_q_filter_data,1)-SUM(B55,C55,D55,E55,F55,G55,H55,I55,J55,K55,L55)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M$53)))</f>
        <v>0</v>
      </c>
      <c r="N55" s="14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56">
      <c r="A56" t="inlineStr">
        <is>
          <t>Lower</t>
        </is>
      </c>
      <c r="B56" s="14">
        <f>IF(OR(All_Questions_Q102_Expected_2025_EBITDA_margin_growth_outlook_CT="(None)",B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B$53))</f>
        <v>0</v>
      </c>
      <c r="C56" s="14">
        <f>IF(OR(All_Questions_Q102_Expected_2025_EBITDA_margin_growth_outlook_CT="(None)",C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C$53))</f>
        <v>0</v>
      </c>
      <c r="D56" s="14">
        <f>IF(OR(All_Questions_Q102_Expected_2025_EBITDA_margin_growth_outlook_CT="(None)",D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D$53))</f>
        <v>0</v>
      </c>
      <c r="E56" s="14">
        <f>IF(OR(All_Questions_Q102_Expected_2025_EBITDA_margin_growth_outlook_CT="(None)",E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E$53))</f>
        <v>0</v>
      </c>
      <c r="F56" s="14">
        <f>IF(OR(All_Questions_Q102_Expected_2025_EBITDA_margin_growth_outlook_CT="(None)",F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F$53))</f>
        <v>0</v>
      </c>
      <c r="G56" s="14">
        <f>IF(OR(All_Questions_Q102_Expected_2025_EBITDA_margin_growth_outlook_CT="(None)",G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G$53))</f>
        <v>0</v>
      </c>
      <c r="H56" s="14">
        <f>IF(OR(All_Questions_Q102_Expected_2025_EBITDA_margin_growth_outlook_CT="(None)",H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H$53))</f>
        <v>0</v>
      </c>
      <c r="I56" s="14">
        <f>IF(OR(All_Questions_Q102_Expected_2025_EBITDA_margin_growth_outlook_CT="(None)",I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I$53))</f>
        <v>0</v>
      </c>
      <c r="J56" s="14">
        <f>IF(OR(All_Questions_Q102_Expected_2025_EBITDA_margin_growth_outlook_CT="(None)",J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J$53))</f>
        <v>0</v>
      </c>
      <c r="K56" s="14">
        <f>IF(OR(All_Questions_Q102_Expected_2025_EBITDA_margin_growth_outlook_CT="(None)",K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K$53))</f>
        <v>0</v>
      </c>
      <c r="L56" s="14">
        <f>IF(OR(All_Questions_Q102_Expected_2025_EBITDA_margin_growth_outlook_CT="(None)",L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L$53))</f>
        <v>0</v>
      </c>
      <c r="M56" s="14">
        <f>IF(OR(All_Questions_Q102_Expected_2025_EBITDA_margin_growth_outlook_CT="(None)",M$53=""),"",IF(M$53="Other",COUNTIFS(Q102_Expected_2025_EBITDA_margi_data,"Lower",passes_workbook_filters_data,1,passes_workbook_custom_filters_data,1,All_Questions_passes_local_filters_data,1,All_Questions_Q102_Expected_2025_EBITDA_margin_growth_outlook_F_passes_per_q_filter_data,1)-SUM(B56,C56,D56,E56,F56,G56,H56,I56,J56,K56,L56)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M$53)))</f>
        <v>0</v>
      </c>
      <c r="N56" s="14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57">
      <c r="A57" s="4" t="inlineStr">
        <is>
          <t>Total respondents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9:D4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39:E4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9:F4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9:G4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9:H4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9:I4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9:J4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9:K4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9:L4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9:M4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5:B5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5:C5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5:D56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5:E56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5:F56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5:G56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5:H56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5:I56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5:J56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5:K56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5:L56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5:M56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46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2026-06-09T11:22:40Z</dcterms:created>
  <dcterms:modified xmlns:dcterms="http://purl.org/dc/terms/" xmlns:xsi="http://www.w3.org/2001/XMLSchema-instance" xsi:type="dcterms:W3CDTF">2026-06-09T11:22:41Z</dcterms:modified>
</cp:coreProperties>
</file>