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tables/table2.xml" ContentType="application/vnd.openxmlformats-officedocument.spreadsheetml.table+xml"/>
  <ns0:Override PartName="/xl/worksheets/sheet9.xml" ContentType="application/vnd.openxmlformats-officedocument.spreadsheetml.worksheet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sheets/sheet12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Theme One" sheetId="7" state="visible" r:id="rId7"/>
    <sheet xmlns:r="http://schemas.openxmlformats.org/officeDocument/2006/relationships" name="Theme Two" sheetId="8" state="visible" r:id="rId8"/>
    <sheet xmlns:r="http://schemas.openxmlformats.org/officeDocument/2006/relationships" name="All Questions" sheetId="9" state="visible" r:id="rId9"/>
    <sheet xmlns:r="http://schemas.openxmlformats.org/officeDocument/2006/relationships" name="Calculation_Log" sheetId="10" state="visible" r:id="rId10"/>
    <sheet xmlns:r="http://schemas.openxmlformats.org/officeDocument/2006/relationships" name="Filter_Log" sheetId="11" state="visible" r:id="rId11"/>
    <sheet xmlns:r="http://schemas.openxmlformats.org/officeDocument/2006/relationships" name="Warnings" sheetId="12" state="visible" r:id="rId12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Theme_One_F_Custom1_Q">'Theme One'!$B$5</definedName>
    <definedName name="Theme_One_F_Custom1_Q_resolved">'Theme One'!$C$5</definedName>
    <definedName name="Theme_One_F_Custom1_V">'Theme One'!$B$6</definedName>
    <definedName name="Theme_One_F_Custom1_V_resolved">'Theme One'!$C$6</definedName>
    <definedName name="Theme_One_F_Custom1_wrapped">'Theme One'!$D$6</definedName>
    <definedName name="Theme_One_F_Custom1_resolved_column">'Theme One'!$F$6</definedName>
    <definedName name="Theme_One_F_Custom2_Q">'Theme One'!$B$7</definedName>
    <definedName name="Theme_One_F_Custom2_Q_resolved">'Theme One'!$C$7</definedName>
    <definedName name="Theme_One_F_Custom2_V">'Theme One'!$B$8</definedName>
    <definedName name="Theme_One_F_Custom2_V_resolved">'Theme One'!$C$8</definedName>
    <definedName name="Theme_One_F_Custom2_wrapped">'Theme One'!$D$8</definedName>
    <definedName name="Theme_One_F_Custom2_resolved_column">'Theme One'!$F$8</definedName>
    <definedName name="Theme_One_passes_local_filters_data">'_RawData'!$M$2:$M$11</definedName>
    <definedName name="Theme_One_Q_SS_EXPORT_F_Q">'Theme One'!$C$13</definedName>
    <definedName name="Theme_One_Q_SS_EXPORT_F_V">'Theme One'!$E$13</definedName>
    <definedName name="Theme_One_Q_SS_EXPORT_F_resolved_column">'Theme One'!$F$13</definedName>
    <definedName name="Theme_One_Q_SS_EXPORT_F_wrapped">'Theme One'!$G$13</definedName>
    <definedName name="Theme_One_Q_SS_EXPORT_F_passes_per_q_filter_data">'_RawData'!$N$2:$N$11</definedName>
    <definedName name="Theme_One_Q_SS_EXPORT_CT">'Theme One'!$C$14</definedName>
    <definedName name="Theme_Two_F_Custom1_Q">'Theme Two'!$B$5</definedName>
    <definedName name="Theme_Two_F_Custom1_Q_resolved">'Theme Two'!$C$5</definedName>
    <definedName name="Theme_Two_F_Custom1_V">'Theme Two'!$B$6</definedName>
    <definedName name="Theme_Two_F_Custom1_V_resolved">'Theme Two'!$C$6</definedName>
    <definedName name="Theme_Two_F_Custom1_wrapped">'Theme Two'!$D$6</definedName>
    <definedName name="Theme_Two_F_Custom1_resolved_column">'Theme Two'!$F$6</definedName>
    <definedName name="Theme_Two_F_Custom2_Q">'Theme Two'!$B$7</definedName>
    <definedName name="Theme_Two_F_Custom2_Q_resolved">'Theme Two'!$C$7</definedName>
    <definedName name="Theme_Two_F_Custom2_V">'Theme Two'!$B$8</definedName>
    <definedName name="Theme_Two_F_Custom2_V_resolved">'Theme Two'!$C$8</definedName>
    <definedName name="Theme_Two_F_Custom2_wrapped">'Theme Two'!$D$8</definedName>
    <definedName name="Theme_Two_F_Custom2_resolved_column">'Theme Two'!$F$8</definedName>
    <definedName name="Theme_Two_passes_local_filters_data">'_RawData'!$O$2:$O$11</definedName>
    <definedName name="Theme_Two_Q_NUM_EXPORT_F_Q">'Theme Two'!$C$13</definedName>
    <definedName name="Theme_Two_Q_NUM_EXPORT_F_V">'Theme Two'!$E$13</definedName>
    <definedName name="Theme_Two_Q_NUM_EXPORT_F_resolved_column">'Theme Two'!$F$13</definedName>
    <definedName name="Theme_Two_Q_NUM_EXPORT_F_wrapped">'Theme Two'!$G$13</definedName>
    <definedName name="Theme_Two_Q_NUM_EXPORT_F_passes_per_q_filter_data">'_RawData'!$P$2:$P$11</definedName>
    <definedName name="Theme_Two_Q_NUM_EXPORT_CT">'Theme Two'!$C$14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'_RawData'!$Q$2:$Q$11</definedName>
    <definedName name="All_Questions_Q_MS_EXPORT_F_Q">'All Questions'!$C$13</definedName>
    <definedName name="All_Questions_Q_MS_EXPORT_F_V">'All Questions'!$E$13</definedName>
    <definedName name="All_Questions_Q_MS_EXPORT_F_resolved_column">'All Questions'!$F$13</definedName>
    <definedName name="All_Questions_Q_MS_EXPORT_F_wrapped">'All Questions'!$G$13</definedName>
    <definedName name="All_Questions_Q_MS_EXPORT_F_passes_per_q_filter_data">'_RawData'!$R$2:$R$11</definedName>
    <definedName name="All_Questions_Q_MS_EXPORT_CT">'All Questions'!$C$14</definedName>
    <definedName name="All_Questions_Q_GRID_EXPORT_F_Q">'All Questions'!$C$24</definedName>
    <definedName name="All_Questions_Q_GRID_EXPORT_F_V">'All Questions'!$E$24</definedName>
    <definedName name="All_Questions_Q_GRID_EXPORT_F_resolved_column">'All Questions'!$F$24</definedName>
    <definedName name="All_Questions_Q_GRID_EXPORT_F_wrapped">'All Questions'!$G$24</definedName>
    <definedName name="All_Questions_Q_GRID_EXPORT_F_passes_per_q_filter_data">'_RawData'!$S$2:$S$11</definedName>
    <definedName name="All_Questions_Q_GRID_EXPORT_CT">'All Questions'!$C$25</definedName>
    <definedName name="All_Questions_Q_VERY_LONG_SINGLE_SELECT_EXPORT_NAME_F_Q">'All Questions'!$C$35</definedName>
    <definedName name="All_Questions_Q_VERY_LONG_SINGLE_SELECT_EXPORT_NAME_F_V">'All Questions'!$E$35</definedName>
    <definedName name="All_Questions_Q_VERY_LONG_SINGLE_SELECT_EXPORT_NAME_F_resolved_column">'All Questions'!$F$35</definedName>
    <definedName name="All_Questions_Q_VERY_LONG_SINGLE_SELECT_EXPORT_NAME_F_wrapped">'All Questions'!$G$35</definedName>
    <definedName name="All_Questions_Q_VERY_LONG_SINGLE_SELECT_EXPORT_NAME_F_passes_per_q_filter_data">'_RawData'!$T$2:$T$11</definedName>
    <definedName name="All_Questions_Q_VERY_LONG_SINGLE_SELECT_EXPORT_NAME_CT">'All Questions'!$C$36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I3" i="1"/>
  <c r="J3" i="1"/>
  <c r="K3" i="1"/>
  <c r="L3" i="1"/>
  <c r="M3" i="1"/>
  <c r="N3" i="1"/>
  <c r="O3" i="1"/>
  <c r="P3" i="1"/>
  <c r="Q3" i="1"/>
  <c r="R3" i="1"/>
  <c r="S3" i="1"/>
  <c r="T3" i="1"/>
  <c r="I4" i="1"/>
  <c r="J4" i="1"/>
  <c r="K4" i="1"/>
  <c r="L4" i="1"/>
  <c r="M4" i="1"/>
  <c r="N4" i="1"/>
  <c r="O4" i="1"/>
  <c r="P4" i="1"/>
  <c r="Q4" i="1"/>
  <c r="R4" i="1"/>
  <c r="S4" i="1"/>
  <c r="T4" i="1"/>
  <c r="I5" i="1"/>
  <c r="J5" i="1"/>
  <c r="K5" i="1"/>
  <c r="L5" i="1"/>
  <c r="M5" i="1"/>
  <c r="N5" i="1"/>
  <c r="O5" i="1"/>
  <c r="P5" i="1"/>
  <c r="Q5" i="1"/>
  <c r="R5" i="1"/>
  <c r="S5" i="1"/>
  <c r="T5" i="1"/>
  <c r="I6" i="1"/>
  <c r="J6" i="1"/>
  <c r="K6" i="1"/>
  <c r="L6" i="1"/>
  <c r="M6" i="1"/>
  <c r="N6" i="1"/>
  <c r="O6" i="1"/>
  <c r="P6" i="1"/>
  <c r="Q6" i="1"/>
  <c r="R6" i="1"/>
  <c r="S6" i="1"/>
  <c r="T6" i="1"/>
  <c r="I7" i="1"/>
  <c r="J7" i="1"/>
  <c r="K7" i="1"/>
  <c r="L7" i="1"/>
  <c r="M7" i="1"/>
  <c r="N7" i="1"/>
  <c r="O7" i="1"/>
  <c r="P7" i="1"/>
  <c r="Q7" i="1"/>
  <c r="R7" i="1"/>
  <c r="S7" i="1"/>
  <c r="T7" i="1"/>
  <c r="I8" i="1"/>
  <c r="J8" i="1"/>
  <c r="K8" i="1"/>
  <c r="L8" i="1"/>
  <c r="M8" i="1"/>
  <c r="N8" i="1"/>
  <c r="O8" i="1"/>
  <c r="P8" i="1"/>
  <c r="Q8" i="1"/>
  <c r="R8" i="1"/>
  <c r="S8" i="1"/>
  <c r="T8" i="1"/>
  <c r="I9" i="1"/>
  <c r="J9" i="1"/>
  <c r="K9" i="1"/>
  <c r="L9" i="1"/>
  <c r="M9" i="1"/>
  <c r="N9" i="1"/>
  <c r="O9" i="1"/>
  <c r="P9" i="1"/>
  <c r="Q9" i="1"/>
  <c r="R9" i="1"/>
  <c r="S9" i="1"/>
  <c r="T9" i="1"/>
  <c r="I10" i="1"/>
  <c r="J10" i="1"/>
  <c r="K10" i="1"/>
  <c r="L10" i="1"/>
  <c r="M10" i="1"/>
  <c r="N10" i="1"/>
  <c r="O10" i="1"/>
  <c r="P10" i="1"/>
  <c r="Q10" i="1"/>
  <c r="R10" i="1"/>
  <c r="S10" i="1"/>
  <c r="T10" i="1"/>
  <c r="I11" i="1"/>
  <c r="J11" i="1"/>
  <c r="K11" i="1"/>
  <c r="L11" i="1"/>
  <c r="M11" i="1"/>
  <c r="N11" i="1"/>
  <c r="O11" i="1"/>
  <c r="P11" i="1"/>
  <c r="Q11" i="1"/>
  <c r="R11" i="1"/>
  <c r="S11" i="1"/>
  <c r="T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C5" i="8"/>
  <c r="C6" i="8"/>
  <c r="D6" i="8"/>
  <c r="F6" i="8"/>
  <c r="C7" i="8"/>
  <c r="C8" i="8"/>
  <c r="D8" i="8"/>
  <c r="F8" i="8"/>
  <c r="F13" i="8"/>
  <c r="G13" i="8"/>
  <c r="B17" i="8"/>
  <c r="D17" i="8"/>
  <c r="B18" i="8"/>
  <c r="D18" i="8"/>
  <c r="B19" i="8"/>
  <c r="D19" i="8"/>
  <c r="D20" i="8"/>
  <c r="C5" i="9"/>
  <c r="C6" i="9"/>
  <c r="D6" i="9"/>
  <c r="F6" i="9"/>
  <c r="C7" i="9"/>
  <c r="C8" i="9"/>
  <c r="D8" i="9"/>
  <c r="F8" i="9"/>
  <c r="F13" i="9"/>
  <c r="G13" i="9"/>
  <c r="G16" i="9"/>
  <c r="H16" i="9"/>
  <c r="I16" i="9"/>
  <c r="J16" i="9"/>
  <c r="K16" i="9"/>
  <c r="L16" i="9"/>
  <c r="M16" i="9"/>
  <c r="N16" i="9"/>
  <c r="O16" i="9"/>
  <c r="P16" i="9"/>
  <c r="Q16" i="9"/>
  <c r="R16" i="9"/>
  <c r="B17" i="9"/>
  <c r="C17" i="9"/>
  <c r="D17" i="9"/>
  <c r="B18" i="9"/>
  <c r="C18" i="9"/>
  <c r="D18" i="9"/>
  <c r="G18" i="9"/>
  <c r="H18" i="9"/>
  <c r="I18" i="9"/>
  <c r="J18" i="9"/>
  <c r="K18" i="9"/>
  <c r="L18" i="9"/>
  <c r="M18" i="9"/>
  <c r="N18" i="9"/>
  <c r="O18" i="9"/>
  <c r="P18" i="9"/>
  <c r="Q18" i="9"/>
  <c r="R18" i="9"/>
  <c r="S18" i="9"/>
  <c r="G19" i="9"/>
  <c r="H19" i="9"/>
  <c r="I19" i="9"/>
  <c r="J19" i="9"/>
  <c r="K19" i="9"/>
  <c r="L19" i="9"/>
  <c r="M19" i="9"/>
  <c r="N19" i="9"/>
  <c r="O19" i="9"/>
  <c r="P19" i="9"/>
  <c r="Q19" i="9"/>
  <c r="R19" i="9"/>
  <c r="S19" i="9"/>
  <c r="S20" i="9"/>
  <c r="F24" i="9"/>
  <c r="G24" i="9"/>
  <c r="G27" i="9"/>
  <c r="H27" i="9"/>
  <c r="I27" i="9"/>
  <c r="J27" i="9"/>
  <c r="K27" i="9"/>
  <c r="L27" i="9"/>
  <c r="M27" i="9"/>
  <c r="N27" i="9"/>
  <c r="O27" i="9"/>
  <c r="P27" i="9"/>
  <c r="Q27" i="9"/>
  <c r="R27" i="9"/>
  <c r="B28" i="9"/>
  <c r="C28" i="9"/>
  <c r="D28" i="9"/>
  <c r="B29" i="9"/>
  <c r="C29" i="9"/>
  <c r="D29" i="9"/>
  <c r="G29" i="9"/>
  <c r="H29" i="9"/>
  <c r="I29" i="9"/>
  <c r="J29" i="9"/>
  <c r="K29" i="9"/>
  <c r="L29" i="9"/>
  <c r="M29" i="9"/>
  <c r="N29" i="9"/>
  <c r="O29" i="9"/>
  <c r="P29" i="9"/>
  <c r="Q29" i="9"/>
  <c r="R29" i="9"/>
  <c r="S29" i="9"/>
  <c r="G30" i="9"/>
  <c r="H30" i="9"/>
  <c r="I30" i="9"/>
  <c r="J30" i="9"/>
  <c r="K30" i="9"/>
  <c r="L30" i="9"/>
  <c r="M30" i="9"/>
  <c r="N30" i="9"/>
  <c r="O30" i="9"/>
  <c r="P30" i="9"/>
  <c r="Q30" i="9"/>
  <c r="R30" i="9"/>
  <c r="S30" i="9"/>
  <c r="S31" i="9"/>
  <c r="F35" i="9"/>
  <c r="G35" i="9"/>
  <c r="G38" i="9"/>
  <c r="H38" i="9"/>
  <c r="I38" i="9"/>
  <c r="J38" i="9"/>
  <c r="K38" i="9"/>
  <c r="L38" i="9"/>
  <c r="M38" i="9"/>
  <c r="N38" i="9"/>
  <c r="O38" i="9"/>
  <c r="P38" i="9"/>
  <c r="Q38" i="9"/>
  <c r="R38" i="9"/>
  <c r="B39" i="9"/>
  <c r="C39" i="9"/>
  <c r="D39" i="9"/>
  <c r="B40" i="9"/>
  <c r="C40" i="9"/>
  <c r="D40" i="9"/>
  <c r="G40" i="9"/>
  <c r="H40" i="9"/>
  <c r="I40" i="9"/>
  <c r="J40" i="9"/>
  <c r="K40" i="9"/>
  <c r="L40" i="9"/>
  <c r="M40" i="9"/>
  <c r="N40" i="9"/>
  <c r="O40" i="9"/>
  <c r="P40" i="9"/>
  <c r="Q40" i="9"/>
  <c r="R40" i="9"/>
  <c r="S40" i="9"/>
  <c r="G41" i="9"/>
  <c r="H41" i="9"/>
  <c r="I41" i="9"/>
  <c r="J41" i="9"/>
  <c r="K41" i="9"/>
  <c r="L41" i="9"/>
  <c r="M41" i="9"/>
  <c r="N41" i="9"/>
  <c r="O41" i="9"/>
  <c r="P41" i="9"/>
  <c r="Q41" i="9"/>
  <c r="R41" i="9"/>
  <c r="S41" i="9"/>
  <c r="S42" i="9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worksheet" Target="/xl/worksheets/sheet12.xml" Id="rId12" /><ns0:Relationship Type="http://schemas.openxmlformats.org/officeDocument/2006/relationships/styles" Target="styles.xml" Id="rId13" /><ns0:Relationship Type="http://schemas.openxmlformats.org/officeDocument/2006/relationships/theme" Target="theme/theme1.xml" Id="rId14" /><ns0:Relationship Id="rId15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Theme_One_16_1" displayName="T_Theme_One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Theme_Two_16_1" displayName="T_Theme_Two_16_1" ref="A16:D20" headerRowCount="1">
  <autoFilter ref="A16:D2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16_1" displayName="T_All_Questions_16_1" ref="A16:D20" headerRowCount="1">
  <autoFilter ref="A16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27_1" displayName="T_All_Questions_27_1" ref="A27:D31" headerRowCount="1">
  <autoFilter ref="A27:D3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38_1" displayName="T_All_Questions_38_1" ref="A38:D41" headerRowCount="1">
  <autoFilter ref="A38:D4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Theme One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Theme Two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3.xml" Id="rId1"/><Relationship Type="http://schemas.openxmlformats.org/officeDocument/2006/relationships/table" Target="/xl/tables/table4.xml" Id="rId2"/><Relationship Type="http://schemas.openxmlformats.org/officeDocument/2006/relationships/table" Target="/xl/tables/table5.xm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Theme_One_passes_local_filters</t>
        </is>
      </c>
      <c r="N1" t="inlineStr">
        <is>
          <t>Theme_One_Q_SS_EXPORT_F_passes_per_q_filter</t>
        </is>
      </c>
      <c r="O1" t="inlineStr">
        <is>
          <t>Theme_Two_passes_local_filters</t>
        </is>
      </c>
      <c r="P1" t="inlineStr">
        <is>
          <t>Theme_Two_Q_NUM_EXPORT_F_passes_per_q_filter</t>
        </is>
      </c>
      <c r="Q1" t="inlineStr">
        <is>
          <t>All_Questions_passes_local_filters</t>
        </is>
      </c>
      <c r="R1" t="inlineStr">
        <is>
          <t>All_Questions_Q_MS_EXPORT_F_passes_per_q_filter</t>
        </is>
      </c>
      <c r="S1" t="inlineStr">
        <is>
          <t>All_Questions_Q_GRID_EXPORT_F_passes_per_q_filter</t>
        </is>
      </c>
      <c r="T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1)&amp;"|",Theme_One_Q_SS_EXPORT_F_wrapped)),1,0),0))</f>
        <v>1</v>
      </c>
      <c r="O2">
        <f>1</f>
        <v>1</v>
      </c>
      <c r="P2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1)&amp;"|",Theme_Two_Q_NUM_EXPORT_F_wrapped)),1,0),0))</f>
        <v>1</v>
      </c>
      <c r="Q2">
        <f>1</f>
        <v>1</v>
      </c>
      <c r="R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S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T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2)&amp;"|",Theme_One_Q_SS_EXPORT_F_wrapped)),1,0),0))</f>
        <v>1</v>
      </c>
      <c r="O3">
        <f>1</f>
        <v>1</v>
      </c>
      <c r="P3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2)&amp;"|",Theme_Two_Q_NUM_EXPORT_F_wrapped)),1,0),0))</f>
        <v>1</v>
      </c>
      <c r="Q3">
        <f>1</f>
        <v>1</v>
      </c>
      <c r="R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S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T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3)&amp;"|",Theme_One_Q_SS_EXPORT_F_wrapped)),1,0),0))</f>
        <v>1</v>
      </c>
      <c r="O4">
        <f>1</f>
        <v>1</v>
      </c>
      <c r="P4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3)&amp;"|",Theme_Two_Q_NUM_EXPORT_F_wrapped)),1,0),0))</f>
        <v>1</v>
      </c>
      <c r="Q4">
        <f>1</f>
        <v>1</v>
      </c>
      <c r="R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S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T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4)&amp;"|",Theme_One_Q_SS_EXPORT_F_wrapped)),1,0),0))</f>
        <v>1</v>
      </c>
      <c r="O5">
        <f>1</f>
        <v>1</v>
      </c>
      <c r="P5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4)&amp;"|",Theme_Two_Q_NUM_EXPORT_F_wrapped)),1,0),0))</f>
        <v>1</v>
      </c>
      <c r="Q5">
        <f>1</f>
        <v>1</v>
      </c>
      <c r="R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S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T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5)&amp;"|",Theme_One_Q_SS_EXPORT_F_wrapped)),1,0),0))</f>
        <v>1</v>
      </c>
      <c r="O6">
        <f>1</f>
        <v>1</v>
      </c>
      <c r="P6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5)&amp;"|",Theme_Two_Q_NUM_EXPORT_F_wrapped)),1,0),0))</f>
        <v>1</v>
      </c>
      <c r="Q6">
        <f>1</f>
        <v>1</v>
      </c>
      <c r="R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S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T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6)&amp;"|",Theme_One_Q_SS_EXPORT_F_wrapped)),1,0),0))</f>
        <v>1</v>
      </c>
      <c r="O7">
        <f>1</f>
        <v>1</v>
      </c>
      <c r="P7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6)&amp;"|",Theme_Two_Q_NUM_EXPORT_F_wrapped)),1,0),0))</f>
        <v>1</v>
      </c>
      <c r="Q7">
        <f>1</f>
        <v>1</v>
      </c>
      <c r="R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S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T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7)&amp;"|",Theme_One_Q_SS_EXPORT_F_wrapped)),1,0),0))</f>
        <v>1</v>
      </c>
      <c r="O8">
        <f>1</f>
        <v>1</v>
      </c>
      <c r="P8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7)&amp;"|",Theme_Two_Q_NUM_EXPORT_F_wrapped)),1,0),0))</f>
        <v>1</v>
      </c>
      <c r="Q8">
        <f>1</f>
        <v>1</v>
      </c>
      <c r="R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S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T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8)&amp;"|",Theme_One_Q_SS_EXPORT_F_wrapped)),1,0),0))</f>
        <v>1</v>
      </c>
      <c r="O9">
        <f>1</f>
        <v>1</v>
      </c>
      <c r="P9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8)&amp;"|",Theme_Two_Q_NUM_EXPORT_F_wrapped)),1,0),0))</f>
        <v>1</v>
      </c>
      <c r="Q9">
        <f>1</f>
        <v>1</v>
      </c>
      <c r="R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S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T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9)&amp;"|",Theme_One_Q_SS_EXPORT_F_wrapped)),1,0),0))</f>
        <v>1</v>
      </c>
      <c r="O10">
        <f>1</f>
        <v>1</v>
      </c>
      <c r="P10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9)&amp;"|",Theme_Two_Q_NUM_EXPORT_F_wrapped)),1,0),0))</f>
        <v>1</v>
      </c>
      <c r="Q10">
        <f>1</f>
        <v>1</v>
      </c>
      <c r="R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S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T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10)&amp;"|",Theme_One_Q_SS_EXPORT_F_wrapped)),1,0),0))</f>
        <v>1</v>
      </c>
      <c r="O11">
        <f>1</f>
        <v>1</v>
      </c>
      <c r="P11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10)&amp;"|",Theme_Two_Q_NUM_EXPORT_F_wrapped)),1,0),0))</f>
        <v>1</v>
      </c>
      <c r="Q11">
        <f>1</f>
        <v>1</v>
      </c>
      <c r="R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S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T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Theme One</t>
        </is>
      </c>
      <c r="E2" s="6" t="inlineStr">
        <is>
          <t>Theme One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Theme Two</t>
        </is>
      </c>
      <c r="E4" s="6" t="inlineStr">
        <is>
          <t>Theme Two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Theme One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IF(Theme_One_F_Custom1_Q="(Inherit)",F_Custom1_Q,Theme_One_F_Custom1_Q)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IF(Theme_One_F_Custom1_V="(Inherit)",F_Custom1_V,Theme_One_F_Custom1_V)</f>
        <v>(All)</v>
      </c>
      <c r="D6" t="str">
        <f>"|" &amp; SUBSTITUTE(Theme_One_F_Custom1_V_resolved,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IFERROR(INDEX(All_Questions_Data_Names,MATCH(Theme_One_F_Custom1_Q_resolved,All_Questions,0)),"'_RawData'!$A:$A")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IF(Theme_One_F_Custom2_Q="(Inherit)",F_Custom2_Q,Theme_One_F_Custom2_Q)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IF(Theme_One_F_Custom2_V="(Inherit)",F_Custom2_V,Theme_One_F_Custom2_V)</f>
        <v>(All)</v>
      </c>
      <c r="D8" t="str">
        <f>"|" &amp; SUBSTITUTE(Theme_One_F_Custom2_V_resolved,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IFERROR(INDEX(All_Questions_Data_Names,MATCH(Theme_One_F_Custom2_Q_resolved,All_Questions,0)),"'_RawData'!$A:$A")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IFERROR(INDEX(All_Questions_Data_Names,MATCH(Theme_One_Q_SS_EXPORT_F_Q,All_Questions,0)),"'_RawData'!$A:$A")</f>
        <v>respondent_id_data</v>
      </c>
      <c r="G13" t="str">
        <f>"|" &amp; SUBSTITUTE(Theme_One_Q_SS_EXPORT_F_V,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IF(Theme_One_Q_SS_EXPORT_CT="(None)","",IFERROR(INDEX(INDIRECT(IFERROR(INDEX(All_Questions_Options_Names,MATCH(Theme_One_Q_SS_EXPORT_CT,All_Questions,0)),"'_Options'!$E$2:$E$2")),2),""))</f>
        <v/>
      </c>
      <c r="H16" s="2" t="str">
        <f>IF(Theme_One_Q_SS_EXPORT_CT="(None)","",IFERROR(INDEX(INDIRECT(IFERROR(INDEX(All_Questions_Options_Names,MATCH(Theme_One_Q_SS_EXPORT_CT,All_Questions,0)),"'_Options'!$E$2:$E$2")),3),""))</f>
        <v/>
      </c>
      <c r="I16" s="2" t="str">
        <f>IF(Theme_One_Q_SS_EXPORT_CT="(None)","",IFERROR(INDEX(INDIRECT(IFERROR(INDEX(All_Questions_Options_Names,MATCH(Theme_One_Q_SS_EXPORT_CT,All_Questions,0)),"'_Options'!$E$2:$E$2")),4),""))</f>
        <v/>
      </c>
      <c r="J16" s="2" t="str">
        <f>IF(Theme_One_Q_SS_EXPORT_CT="(None)","",IFERROR(INDEX(INDIRECT(IFERROR(INDEX(All_Questions_Options_Names,MATCH(Theme_One_Q_SS_EXPORT_CT,All_Questions,0)),"'_Options'!$E$2:$E$2")),5),""))</f>
        <v/>
      </c>
      <c r="K16" s="2" t="str">
        <f>IF(Theme_One_Q_SS_EXPORT_CT="(None)","",IFERROR(INDEX(INDIRECT(IFERROR(INDEX(All_Questions_Options_Names,MATCH(Theme_One_Q_SS_EXPORT_CT,All_Questions,0)),"'_Options'!$E$2:$E$2")),6),""))</f>
        <v/>
      </c>
      <c r="L16" s="2" t="str">
        <f>IF(Theme_One_Q_SS_EXPORT_CT="(None)","",IFERROR(INDEX(INDIRECT(IFERROR(INDEX(All_Questions_Options_Names,MATCH(Theme_One_Q_SS_EXPORT_CT,All_Questions,0)),"'_Options'!$E$2:$E$2")),7),""))</f>
        <v/>
      </c>
      <c r="M16" s="2" t="str">
        <f>IF(Theme_One_Q_SS_EXPORT_CT="(None)","",IFERROR(INDEX(INDIRECT(IFERROR(INDEX(All_Questions_Options_Names,MATCH(Theme_One_Q_SS_EXPORT_CT,All_Questions,0)),"'_Options'!$E$2:$E$2")),8),""))</f>
        <v/>
      </c>
      <c r="N16" s="2" t="str">
        <f>IF(Theme_One_Q_SS_EXPORT_CT="(None)","",IFERROR(INDEX(INDIRECT(IFERROR(INDEX(All_Questions_Options_Names,MATCH(Theme_One_Q_SS_EXPORT_CT,All_Questions,0)),"'_Options'!$E$2:$E$2")),9),""))</f>
        <v/>
      </c>
      <c r="O16" s="2" t="str">
        <f>IF(Theme_One_Q_SS_EXPORT_CT="(None)","",IFERROR(INDEX(INDIRECT(IFERROR(INDEX(All_Questions_Options_Names,MATCH(Theme_One_Q_SS_EXPORT_CT,All_Questions,0)),"'_Options'!$E$2:$E$2")),10),""))</f>
        <v/>
      </c>
      <c r="P16" s="2" t="str">
        <f>IF(Theme_One_Q_SS_EXPORT_CT="(None)","",IFERROR(INDEX(INDIRECT(IFERROR(INDEX(All_Questions_Options_Names,MATCH(Theme_One_Q_SS_EXPORT_CT,All_Questions,0)),"'_Options'!$E$2:$E$2")),11),""))</f>
        <v/>
      </c>
      <c r="Q16" s="2" t="str">
        <f>IF(Theme_One_Q_SS_EXPORT_CT="(None)","",IFERROR(INDEX(INDIRECT(IFERROR(INDEX(All_Questions_Options_Names,MATCH(Theme_One_Q_SS_EXPORT_CT,All_Questions,0)),"'_Options'!$E$2:$E$2")),12),""))</f>
        <v/>
      </c>
      <c r="R16" s="2" t="str">
        <f>IF(Theme_One_Q_SS_EXPORT_CT="(None)","",IF(COUNTA(INDIRECT(IFERROR(INDEX(All_Questions_Options_Names,MATCH(Theme_One_Q_SS_EXPORT_CT,All_Questions,0)),"'_Options'!$E$2:$E$2")))-1&gt;11,"Other",IFERROR(INDEX(INDIRECT(IFERROR(INDEX(All_Questions_Options_Names,MATCH(Theme_One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COUNTIFS(Q_SS_EXPORT_data,"Yes",passes_workbook_filters_data,1,passes_workbook_custom_filters_data,1,Theme_One_passes_local_filters_data,1,Theme_One_Q_SS_EXPORT_F_passes_per_q_filter_data,1)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COUNTIFS(Q_SS_EXPORT_data,"No",passes_workbook_filters_data,1,passes_workbook_custom_filters_data,1,Theme_One_passes_local_filters_data,1,Theme_One_Q_SS_EXPORT_F_passes_per_q_filter_data,1)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Theme_One_Q_SS_EXPORT_CT="(None)",G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G$16))</f>
        <v>0</v>
      </c>
      <c r="H18">
        <f>IF(OR(Theme_One_Q_SS_EXPORT_CT="(None)",H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H$16))</f>
        <v>0</v>
      </c>
      <c r="I18">
        <f>IF(OR(Theme_One_Q_SS_EXPORT_CT="(None)",I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I$16))</f>
        <v>0</v>
      </c>
      <c r="J18">
        <f>IF(OR(Theme_One_Q_SS_EXPORT_CT="(None)",J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J$16))</f>
        <v>0</v>
      </c>
      <c r="K18">
        <f>IF(OR(Theme_One_Q_SS_EXPORT_CT="(None)",K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K$16))</f>
        <v>0</v>
      </c>
      <c r="L18">
        <f>IF(OR(Theme_One_Q_SS_EXPORT_CT="(None)",L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L$16))</f>
        <v>0</v>
      </c>
      <c r="M18">
        <f>IF(OR(Theme_One_Q_SS_EXPORT_CT="(None)",M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M$16))</f>
        <v>0</v>
      </c>
      <c r="N18">
        <f>IF(OR(Theme_One_Q_SS_EXPORT_CT="(None)",N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N$16))</f>
        <v>0</v>
      </c>
      <c r="O18">
        <f>IF(OR(Theme_One_Q_SS_EXPORT_CT="(None)",O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O$16))</f>
        <v>0</v>
      </c>
      <c r="P18">
        <f>IF(OR(Theme_One_Q_SS_EXPORT_CT="(None)",P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P$16))</f>
        <v>0</v>
      </c>
      <c r="Q18">
        <f>IF(OR(Theme_One_Q_SS_EXPORT_CT="(None)",Q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Q$16))</f>
        <v>0</v>
      </c>
      <c r="R18">
        <f>IF(OR(Theme_One_Q_SS_EXPORT_CT="(None)",R$16=""),"",IF(R$16="Other",COUNTIFS(Q_SS_EXPORT_data,"Yes",passes_workbook_filters_data,1,passes_workbook_custom_filters_data,1,Theme_One_passes_local_filters_data,1,Theme_One_Q_SS_EXPORT_F_passes_per_q_filter_data,1)-SUM(G18,H18,I18,J18,K18,L18,M18,N18,O18,P18,Q18)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R$16)))</f>
        <v>0</v>
      </c>
      <c r="S18">
        <f>IF(Theme_One_Q_SS_EXPORT_CT="(None)","",COUNTIFS(Q_SS_EXPORT_data,"Yes",passes_workbook_filters_data,1,passes_workbook_custom_filters_data,1,Theme_One_passes_local_filters_data,1,Theme_One_Q_SS_EXPORT_F_passes_per_q_filter_data,1))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Theme_One_Q_SS_EXPORT_CT="(None)",G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G$16))</f>
        <v>0</v>
      </c>
      <c r="H19">
        <f>IF(OR(Theme_One_Q_SS_EXPORT_CT="(None)",H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H$16))</f>
        <v>0</v>
      </c>
      <c r="I19">
        <f>IF(OR(Theme_One_Q_SS_EXPORT_CT="(None)",I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I$16))</f>
        <v>0</v>
      </c>
      <c r="J19">
        <f>IF(OR(Theme_One_Q_SS_EXPORT_CT="(None)",J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J$16))</f>
        <v>0</v>
      </c>
      <c r="K19">
        <f>IF(OR(Theme_One_Q_SS_EXPORT_CT="(None)",K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K$16))</f>
        <v>0</v>
      </c>
      <c r="L19">
        <f>IF(OR(Theme_One_Q_SS_EXPORT_CT="(None)",L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L$16))</f>
        <v>0</v>
      </c>
      <c r="M19">
        <f>IF(OR(Theme_One_Q_SS_EXPORT_CT="(None)",M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M$16))</f>
        <v>0</v>
      </c>
      <c r="N19">
        <f>IF(OR(Theme_One_Q_SS_EXPORT_CT="(None)",N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N$16))</f>
        <v>0</v>
      </c>
      <c r="O19">
        <f>IF(OR(Theme_One_Q_SS_EXPORT_CT="(None)",O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O$16))</f>
        <v>0</v>
      </c>
      <c r="P19">
        <f>IF(OR(Theme_One_Q_SS_EXPORT_CT="(None)",P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P$16))</f>
        <v>0</v>
      </c>
      <c r="Q19">
        <f>IF(OR(Theme_One_Q_SS_EXPORT_CT="(None)",Q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Q$16))</f>
        <v>0</v>
      </c>
      <c r="R19">
        <f>IF(OR(Theme_One_Q_SS_EXPORT_CT="(None)",R$16=""),"",IF(R$16="Other",COUNTIFS(Q_SS_EXPORT_data,"No",passes_workbook_filters_data,1,passes_workbook_custom_filters_data,1,Theme_One_passes_local_filters_data,1,Theme_One_Q_SS_EXPORT_F_passes_per_q_filter_data,1)-SUM(G19,H19,I19,J19,K19,L19,M19,N19,O19,P19,Q19)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R$16)))</f>
        <v>0</v>
      </c>
      <c r="S19">
        <f>IF(Theme_One_Q_SS_EXPORT_CT="(None)","",COUNTIFS(Q_SS_EXPORT_data,"No",passes_workbook_filters_data,1,passes_workbook_custom_filters_data,1,Theme_One_passes_local_filters_data,1,Theme_One_Q_SS_EXPORT_F_passes_per_q_filter_data,1))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IF(Theme_One_Q_SS_EXPORT_CT="(None)","",COUNTIFS(respondent_id_data,"&lt;&gt;",passes_workbook_filters_data,1,passes_workbook_custom_filters_data,1,Theme_One_passes_local_filters_data,1,Theme_One_Q_SS_EXPORT_F_passes_per_q_filter_data,1))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=INDIRECT(IFERROR(INDEX(All_Questions_Options_Names,MATCH(Theme_One_F_Custom1_Q_resolved,All_Questions,0)),"'_Options'!$E$2:$E$2"))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=INDIRECT(IFERROR(INDEX(All_Questions_Options_Names,MATCH(Theme_One_F_Custom2_Q_resolved,All_Questions,0)),"'_Options'!$E$2:$E$2"))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=INDIRECT(IFERROR(INDEX(All_Questions_Options_Names,MATCH(Theme_One_Q_SS_EXPORT_F_Q,All_Questions,0)),"'_Options'!$E$2:$E$2"))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Theme Two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IF(Theme_Two_F_Custom1_Q="(Inherit)",F_Custom1_Q,Theme_Two_F_Custom1_Q)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IF(Theme_Two_F_Custom1_V="(Inherit)",F_Custom1_V,Theme_Two_F_Custom1_V)</f>
        <v>(All)</v>
      </c>
      <c r="D6" t="str">
        <f>"|" &amp; SUBSTITUTE(Theme_Two_F_Custom1_V_resolved,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IFERROR(INDEX(All_Questions_Data_Names,MATCH(Theme_Two_F_Custom1_Q_resolved,All_Questions,0)),"'_RawData'!$A:$A")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IF(Theme_Two_F_Custom2_Q="(Inherit)",F_Custom2_Q,Theme_Two_F_Custom2_Q)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IF(Theme_Two_F_Custom2_V="(Inherit)",F_Custom2_V,Theme_Two_F_Custom2_V)</f>
        <v>(All)</v>
      </c>
      <c r="D8" t="str">
        <f>"|" &amp; SUBSTITUTE(Theme_Two_F_Custom2_V_resolved,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IFERROR(INDEX(All_Questions_Data_Names,MATCH(Theme_Two_F_Custom2_Q_resolved,All_Questions,0)),"'_RawData'!$A:$A")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Q_NUM_EXPORT - Numeric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IFERROR(INDEX(All_Questions_Data_Names,MATCH(Theme_Two_Q_NUM_EXPORT_F_Q,All_Questions,0)),"'_RawData'!$A:$A")</f>
        <v>respondent_id_data</v>
      </c>
      <c r="G13" t="str">
        <f>"|" &amp; SUBSTITUTE(Theme_Two_Q_NUM_EXPORT_F_V,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Metric</t>
        </is>
      </c>
      <c r="B16" s="4" t="inlineStr">
        <is>
          <t>Value</t>
        </is>
      </c>
      <c r="C16" s="4" t="inlineStr">
        <is>
          <t>Note</t>
        </is>
      </c>
      <c r="D16" s="4" t="inlineStr">
        <is>
          <t>Denominator</t>
        </is>
      </c>
    </row>
    <row r="17">
      <c r="A17" t="inlineStr">
        <is>
          <t>Mean</t>
        </is>
      </c>
      <c r="B17">
        <f>IFERROR(AVERAGEIFS(Q_NUM_EXPORT_data,passes_workbook_filters_data,1,passes_workbook_custom_filters_data,1,Theme_Two_passes_local_filters_data,1,Theme_Two_Q_NUM_EXPORT_F_passes_per_q_filter_data,1),0)</f>
        <v>5.5</v>
      </c>
      <c r="D17">
        <f>COUNTIFS(Q_NUM_EXPORT_data,"&lt;&gt;",passes_workbook_filters_data,1,passes_workbook_custom_filters_data,1,Theme_Two_passes_local_filters_data,1,Theme_Two_Q_NUM_EXPORT_F_passes_per_q_filter_data,1)</f>
        <v>10</v>
      </c>
    </row>
    <row r="18">
      <c r="A18" t="inlineStr">
        <is>
          <t>Min</t>
        </is>
      </c>
      <c r="B18">
        <f>IFERROR(MINIFS(Q_NUM_EXPORT_data,passes_workbook_filters_data,1,passes_workbook_custom_filters_data,1,Theme_Two_passes_local_filters_data,1,Theme_Two_Q_NUM_EXPORT_F_passes_per_q_filter_data,1),0)</f>
        <v>1.0</v>
      </c>
      <c r="D18">
        <f>COUNTIFS(Q_NUM_EXPORT_data,"&lt;&gt;",passes_workbook_filters_data,1,passes_workbook_custom_filters_data,1,Theme_Two_passes_local_filters_data,1,Theme_Two_Q_NUM_EXPORT_F_passes_per_q_filter_data,1)</f>
        <v>10</v>
      </c>
    </row>
    <row r="19">
      <c r="A19" t="inlineStr">
        <is>
          <t>Max</t>
        </is>
      </c>
      <c r="B19">
        <f>IFERROR(MAXIFS(Q_NUM_EXPORT_data,passes_workbook_filters_data,1,passes_workbook_custom_filters_data,1,Theme_Two_passes_local_filters_data,1,Theme_Two_Q_NUM_EXPORT_F_passes_per_q_filter_data,1),0)</f>
        <v>10.0</v>
      </c>
      <c r="D19">
        <f>COUNTIFS(Q_NUM_EXPORT_data,"&lt;&gt;",passes_workbook_filters_data,1,passes_workbook_custom_filters_data,1,Theme_Two_passes_local_filters_data,1,Theme_Two_Q_NUM_EXPORT_F_passes_per_q_filter_data,1)</f>
        <v>10</v>
      </c>
    </row>
    <row r="20">
      <c r="A20" t="inlineStr">
        <is>
          <t>Std</t>
        </is>
      </c>
      <c r="B20" t="n">
        <v>2.9</v>
      </c>
      <c r="C20" t="inlineStr">
        <is>
          <t>static baseline</t>
        </is>
      </c>
      <c r="D20">
        <f>COUNTIFS(Q_NUM_EXPORT_data,"&lt;&gt;",passes_workbook_filters_data,1,passes_workbook_custom_filters_data,1,Theme_Two_passes_local_filters_data,1,Theme_Two_Q_NUM_EXPORT_F_passes_per_q_filter_data,1)</f>
        <v>10</v>
      </c>
    </row>
    <row r="21">
      <c r="A21" s="10" t="inlineStr">
        <is>
          <t>Median not available in filtered view - see static baseline in audit log.</t>
        </is>
      </c>
    </row>
  </sheetData>
  <mergeCells count="1">
    <mergeCell ref="A1:J1"/>
  </mergeCells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=INDIRECT(IFERROR(INDEX(All_Questions_Options_Names,MATCH(Theme_Two_F_Custom1_Q_resolved,All_Questions,0)),"'_Options'!$E$2:$E$2"))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=INDIRECT(IFERROR(INDEX(All_Questions_Options_Names,MATCH(Theme_Two_F_Custom2_Q_resolved,All_Questions,0)),"'_Options'!$E$2:$E$2"))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=INDIRECT(IFERROR(INDEX(All_Questions_Options_Names,MATCH(Theme_Two_Q_NUM_EXPORT_F_Q,All_Questions,0)),"'_Options'!$E$2:$E$2"))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S4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Q_MS_EXPORT - Multi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IFERROR(INDEX(All_Questions_Data_Names,MATCH(All_Questions_Q_MS_EXPORT_F_Q,All_Questions,0)),"'_RawData'!$A:$A")</f>
        <v>respondent_id_data</v>
      </c>
      <c r="G13" t="str">
        <f>"|" &amp; SUBSTITUTE(All_Questions_Q_MS_EXPORT_F_V,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IF(All_Questions_Q_MS_EXPORT_CT="(None)","",IFERROR(INDEX(INDIRECT(IFERROR(INDEX(All_Questions_Options_Names,MATCH(All_Questions_Q_MS_EXPORT_CT,All_Questions,0)),"'_Options'!$E$2:$E$2")),2),""))</f>
        <v/>
      </c>
      <c r="H16" s="2" t="str">
        <f>IF(All_Questions_Q_MS_EXPORT_CT="(None)","",IFERROR(INDEX(INDIRECT(IFERROR(INDEX(All_Questions_Options_Names,MATCH(All_Questions_Q_MS_EXPORT_CT,All_Questions,0)),"'_Options'!$E$2:$E$2")),3),""))</f>
        <v/>
      </c>
      <c r="I16" s="2" t="str">
        <f>IF(All_Questions_Q_MS_EXPORT_CT="(None)","",IFERROR(INDEX(INDIRECT(IFERROR(INDEX(All_Questions_Options_Names,MATCH(All_Questions_Q_MS_EXPORT_CT,All_Questions,0)),"'_Options'!$E$2:$E$2")),4),""))</f>
        <v/>
      </c>
      <c r="J16" s="2" t="str">
        <f>IF(All_Questions_Q_MS_EXPORT_CT="(None)","",IFERROR(INDEX(INDIRECT(IFERROR(INDEX(All_Questions_Options_Names,MATCH(All_Questions_Q_MS_EXPORT_CT,All_Questions,0)),"'_Options'!$E$2:$E$2")),5),""))</f>
        <v/>
      </c>
      <c r="K16" s="2" t="str">
        <f>IF(All_Questions_Q_MS_EXPORT_CT="(None)","",IFERROR(INDEX(INDIRECT(IFERROR(INDEX(All_Questions_Options_Names,MATCH(All_Questions_Q_MS_EXPORT_CT,All_Questions,0)),"'_Options'!$E$2:$E$2")),6),""))</f>
        <v/>
      </c>
      <c r="L16" s="2" t="str">
        <f>IF(All_Questions_Q_MS_EXPORT_CT="(None)","",IFERROR(INDEX(INDIRECT(IFERROR(INDEX(All_Questions_Options_Names,MATCH(All_Questions_Q_MS_EXPORT_CT,All_Questions,0)),"'_Options'!$E$2:$E$2")),7),""))</f>
        <v/>
      </c>
      <c r="M16" s="2" t="str">
        <f>IF(All_Questions_Q_MS_EXPORT_CT="(None)","",IFERROR(INDEX(INDIRECT(IFERROR(INDEX(All_Questions_Options_Names,MATCH(All_Questions_Q_MS_EXPORT_CT,All_Questions,0)),"'_Options'!$E$2:$E$2")),8),""))</f>
        <v/>
      </c>
      <c r="N16" s="2" t="str">
        <f>IF(All_Questions_Q_MS_EXPORT_CT="(None)","",IFERROR(INDEX(INDIRECT(IFERROR(INDEX(All_Questions_Options_Names,MATCH(All_Questions_Q_MS_EXPORT_CT,All_Questions,0)),"'_Options'!$E$2:$E$2")),9),""))</f>
        <v/>
      </c>
      <c r="O16" s="2" t="str">
        <f>IF(All_Questions_Q_MS_EXPORT_CT="(None)","",IFERROR(INDEX(INDIRECT(IFERROR(INDEX(All_Questions_Options_Names,MATCH(All_Questions_Q_MS_EXPORT_CT,All_Questions,0)),"'_Options'!$E$2:$E$2")),10),""))</f>
        <v/>
      </c>
      <c r="P16" s="2" t="str">
        <f>IF(All_Questions_Q_MS_EXPORT_CT="(None)","",IFERROR(INDEX(INDIRECT(IFERROR(INDEX(All_Questions_Options_Names,MATCH(All_Questions_Q_MS_EXPORT_CT,All_Questions,0)),"'_Options'!$E$2:$E$2")),11),""))</f>
        <v/>
      </c>
      <c r="Q16" s="2" t="str">
        <f>IF(All_Questions_Q_MS_EXPORT_CT="(None)","",IFERROR(INDEX(INDIRECT(IFERROR(INDEX(All_Questions_Options_Names,MATCH(All_Questions_Q_MS_EXPORT_CT,All_Questions,0)),"'_Options'!$E$2:$E$2")),12),""))</f>
        <v/>
      </c>
      <c r="R1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16" s="4" t="inlineStr">
        <is>
          <t>Total</t>
        </is>
      </c>
    </row>
    <row r="17">
      <c r="A17" t="inlineStr">
        <is>
          <t>First</t>
        </is>
      </c>
      <c r="B17">
        <f>COUNTIFS(Q_MS_EXPORTr1_data,"Selected",passes_workbook_filters_data,1,passes_workbook_custom_filters_data,1,All_Questions_passes_local_filters_data,1,All_Questions_Q_MS_EXPORT_F_passes_per_q_filter_data,1)</f>
        <v>5</v>
      </c>
      <c r="C17" s="7">
        <f>IFERROR(B17/SUBTOTAL(9,B17:B18),0)</f>
        <v>0.7142857142857143</v>
      </c>
      <c r="D17" s="14">
        <f>SUBTOTAL(9,B17:B18)</f>
        <v>7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Second</t>
        </is>
      </c>
      <c r="B18">
        <f>COUNTIFS(Q_MS_EXPORTr2_data,"Selected",passes_workbook_filters_data,1,passes_workbook_custom_filters_data,1,All_Questions_passes_local_filters_data,1,All_Questions_Q_MS_EXPORT_F_passes_per_q_filter_data,1)</f>
        <v>2</v>
      </c>
      <c r="C18" s="7">
        <f>IFERROR(B18/SUBTOTAL(9,B17:B18),0)</f>
        <v>0.2857142857142857</v>
      </c>
      <c r="D18" s="14">
        <f>SUBTOTAL(9,B17:B18)</f>
        <v>7</v>
      </c>
      <c r="F18" t="inlineStr">
        <is>
          <t>First</t>
        </is>
      </c>
      <c r="G18">
        <f>IF(OR(All_Questions_Q_MS_EXPORT_CT="(None)",G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$16))</f>
        <v>0</v>
      </c>
      <c r="H18">
        <f>IF(OR(All_Questions_Q_MS_EXPORT_CT="(None)",H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$16))</f>
        <v>0</v>
      </c>
      <c r="I18">
        <f>IF(OR(All_Questions_Q_MS_EXPORT_CT="(None)",I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$16))</f>
        <v>0</v>
      </c>
      <c r="J18">
        <f>IF(OR(All_Questions_Q_MS_EXPORT_CT="(None)",J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$16))</f>
        <v>0</v>
      </c>
      <c r="K18">
        <f>IF(OR(All_Questions_Q_MS_EXPORT_CT="(None)",K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$16))</f>
        <v>0</v>
      </c>
      <c r="L18">
        <f>IF(OR(All_Questions_Q_MS_EXPORT_CT="(None)",L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$16))</f>
        <v>0</v>
      </c>
      <c r="M18">
        <f>IF(OR(All_Questions_Q_MS_EXPORT_CT="(None)",M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$16))</f>
        <v>0</v>
      </c>
      <c r="N18">
        <f>IF(OR(All_Questions_Q_MS_EXPORT_CT="(None)",N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$16))</f>
        <v>0</v>
      </c>
      <c r="O18">
        <f>IF(OR(All_Questions_Q_MS_EXPORT_CT="(None)",O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$16))</f>
        <v>0</v>
      </c>
      <c r="P18">
        <f>IF(OR(All_Questions_Q_MS_EXPORT_CT="(None)",P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$16))</f>
        <v>0</v>
      </c>
      <c r="Q18">
        <f>IF(OR(All_Questions_Q_MS_EXPORT_CT="(None)",Q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$16))</f>
        <v>0</v>
      </c>
      <c r="R18">
        <f>IF(OR(All_Questions_Q_MS_EXPORT_CT="(None)",R$16=""),"",IF(R$16="Other",COUNTIFS(Q_MS_EXPORTr1_data,"Selected",passes_workbook_filters_data,1,passes_workbook_custom_filters_data,1,All_Questions_passes_local_filters_data,1,All_Questions_Q_MS_EXPORT_F_passes_per_q_filter_data,1)-SUM(G18,H18,I18,J18,K18,L18,M18,N18,O18,P18,Q18)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$16)))</f>
        <v>0</v>
      </c>
      <c r="S1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Second</t>
        </is>
      </c>
      <c r="G19">
        <f>IF(OR(All_Questions_Q_MS_EXPORT_CT="(None)",G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$16))</f>
        <v>0</v>
      </c>
      <c r="H19">
        <f>IF(OR(All_Questions_Q_MS_EXPORT_CT="(None)",H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$16))</f>
        <v>0</v>
      </c>
      <c r="I19">
        <f>IF(OR(All_Questions_Q_MS_EXPORT_CT="(None)",I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$16))</f>
        <v>0</v>
      </c>
      <c r="J19">
        <f>IF(OR(All_Questions_Q_MS_EXPORT_CT="(None)",J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$16))</f>
        <v>0</v>
      </c>
      <c r="K19">
        <f>IF(OR(All_Questions_Q_MS_EXPORT_CT="(None)",K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$16))</f>
        <v>0</v>
      </c>
      <c r="L19">
        <f>IF(OR(All_Questions_Q_MS_EXPORT_CT="(None)",L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$16))</f>
        <v>0</v>
      </c>
      <c r="M19">
        <f>IF(OR(All_Questions_Q_MS_EXPORT_CT="(None)",M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$16))</f>
        <v>0</v>
      </c>
      <c r="N19">
        <f>IF(OR(All_Questions_Q_MS_EXPORT_CT="(None)",N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$16))</f>
        <v>0</v>
      </c>
      <c r="O19">
        <f>IF(OR(All_Questions_Q_MS_EXPORT_CT="(None)",O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$16))</f>
        <v>0</v>
      </c>
      <c r="P19">
        <f>IF(OR(All_Questions_Q_MS_EXPORT_CT="(None)",P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$16))</f>
        <v>0</v>
      </c>
      <c r="Q19">
        <f>IF(OR(All_Questions_Q_MS_EXPORT_CT="(None)",Q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$16))</f>
        <v>0</v>
      </c>
      <c r="R19">
        <f>IF(OR(All_Questions_Q_MS_EXPORT_CT="(None)",R$16=""),"",IF(R$16="Other",COUNTIFS(Q_MS_EXPORTr2_data,"Selected",passes_workbook_filters_data,1,passes_workbook_custom_filters_data,1,All_Questions_passes_local_filters_data,1,All_Questions_Q_MS_EXPORT_F_passes_per_q_filter_data,1)-SUM(G19,H19,I19,J19,K19,L19,M19,N19,O19,P19,Q19)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$16)))</f>
        <v>0</v>
      </c>
      <c r="S1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20">
      <c r="A20" s="4" t="inlineStr">
        <is>
          <t>Total responses</t>
        </is>
      </c>
      <c r="B20" s="4" t="n">
        <v>7</v>
      </c>
      <c r="C20" s="4" t="n"/>
      <c r="D20" s="4" t="n"/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Q_GRID_EXPORT - Grid export question</t>
        </is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IFERROR(INDEX(All_Questions_Data_Names,MATCH(All_Questions_Q_GRID_EXPORT_F_Q,All_Questions,0)),"'_RawData'!$A:$A")</f>
        <v>respondent_id_data</v>
      </c>
      <c r="G24" t="str">
        <f>"|" &amp; SUBSTITUTE(All_Questions_Q_GRID_EXPORT_F_V, ", ", "|") &amp; "|"</f>
        <v>|(All)|</v>
      </c>
    </row>
    <row r="25">
      <c r="A25" s="13" t="inlineStr">
        <is>
          <t>Cross-tab by</t>
        </is>
      </c>
      <c r="C25" t="inlineStr">
        <is>
          <t>(None)</t>
        </is>
      </c>
    </row>
    <row r="27">
      <c r="A27" s="4" t="inlineStr">
        <is>
          <t>Option</t>
        </is>
      </c>
      <c r="B27" s="4" t="inlineStr">
        <is>
          <t>Count</t>
        </is>
      </c>
      <c r="C27" s="4" t="inlineStr">
        <is>
          <t>%</t>
        </is>
      </c>
      <c r="D27" s="4" t="inlineStr">
        <is>
          <t>Denominator</t>
        </is>
      </c>
      <c r="F27" s="4" t="inlineStr">
        <is>
          <t>Option</t>
        </is>
      </c>
      <c r="G27" s="2" t="str">
        <f>IF(All_Questions_Q_GRID_EXPORT_CT="(None)","",IFERROR(INDEX(INDIRECT(IFERROR(INDEX(All_Questions_Options_Names,MATCH(All_Questions_Q_GRID_EXPORT_CT,All_Questions,0)),"'_Options'!$E$2:$E$2")),2),""))</f>
        <v/>
      </c>
      <c r="H27" s="2" t="str">
        <f>IF(All_Questions_Q_GRID_EXPORT_CT="(None)","",IFERROR(INDEX(INDIRECT(IFERROR(INDEX(All_Questions_Options_Names,MATCH(All_Questions_Q_GRID_EXPORT_CT,All_Questions,0)),"'_Options'!$E$2:$E$2")),3),""))</f>
        <v/>
      </c>
      <c r="I27" s="2" t="str">
        <f>IF(All_Questions_Q_GRID_EXPORT_CT="(None)","",IFERROR(INDEX(INDIRECT(IFERROR(INDEX(All_Questions_Options_Names,MATCH(All_Questions_Q_GRID_EXPORT_CT,All_Questions,0)),"'_Options'!$E$2:$E$2")),4),""))</f>
        <v/>
      </c>
      <c r="J27" s="2" t="str">
        <f>IF(All_Questions_Q_GRID_EXPORT_CT="(None)","",IFERROR(INDEX(INDIRECT(IFERROR(INDEX(All_Questions_Options_Names,MATCH(All_Questions_Q_GRID_EXPORT_CT,All_Questions,0)),"'_Options'!$E$2:$E$2")),5),""))</f>
        <v/>
      </c>
      <c r="K27" s="2" t="str">
        <f>IF(All_Questions_Q_GRID_EXPORT_CT="(None)","",IFERROR(INDEX(INDIRECT(IFERROR(INDEX(All_Questions_Options_Names,MATCH(All_Questions_Q_GRID_EXPORT_CT,All_Questions,0)),"'_Options'!$E$2:$E$2")),6),""))</f>
        <v/>
      </c>
      <c r="L27" s="2" t="str">
        <f>IF(All_Questions_Q_GRID_EXPORT_CT="(None)","",IFERROR(INDEX(INDIRECT(IFERROR(INDEX(All_Questions_Options_Names,MATCH(All_Questions_Q_GRID_EXPORT_CT,All_Questions,0)),"'_Options'!$E$2:$E$2")),7),""))</f>
        <v/>
      </c>
      <c r="M27" s="2" t="str">
        <f>IF(All_Questions_Q_GRID_EXPORT_CT="(None)","",IFERROR(INDEX(INDIRECT(IFERROR(INDEX(All_Questions_Options_Names,MATCH(All_Questions_Q_GRID_EXPORT_CT,All_Questions,0)),"'_Options'!$E$2:$E$2")),8),""))</f>
        <v/>
      </c>
      <c r="N27" s="2" t="str">
        <f>IF(All_Questions_Q_GRID_EXPORT_CT="(None)","",IFERROR(INDEX(INDIRECT(IFERROR(INDEX(All_Questions_Options_Names,MATCH(All_Questions_Q_GRID_EXPORT_CT,All_Questions,0)),"'_Options'!$E$2:$E$2")),9),""))</f>
        <v/>
      </c>
      <c r="O27" s="2" t="str">
        <f>IF(All_Questions_Q_GRID_EXPORT_CT="(None)","",IFERROR(INDEX(INDIRECT(IFERROR(INDEX(All_Questions_Options_Names,MATCH(All_Questions_Q_GRID_EXPORT_CT,All_Questions,0)),"'_Options'!$E$2:$E$2")),10),""))</f>
        <v/>
      </c>
      <c r="P27" s="2" t="str">
        <f>IF(All_Questions_Q_GRID_EXPORT_CT="(None)","",IFERROR(INDEX(INDIRECT(IFERROR(INDEX(All_Questions_Options_Names,MATCH(All_Questions_Q_GRID_EXPORT_CT,All_Questions,0)),"'_Options'!$E$2:$E$2")),11),""))</f>
        <v/>
      </c>
      <c r="Q27" s="2" t="str">
        <f>IF(All_Questions_Q_GRID_EXPORT_CT="(None)","",IFERROR(INDEX(INDIRECT(IFERROR(INDEX(All_Questions_Options_Names,MATCH(All_Questions_Q_GRID_EXPORT_CT,All_Questions,0)),"'_Options'!$E$2:$E$2")),12),""))</f>
        <v/>
      </c>
      <c r="R27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27" s="4" t="inlineStr">
        <is>
          <t>Total</t>
        </is>
      </c>
    </row>
    <row r="28">
      <c r="A28" t="inlineStr">
        <is>
          <t>Grid first row</t>
        </is>
      </c>
      <c r="B28">
        <f>COUNTIFS(Q_GRID_EXPORTr1_data,"Selected",passes_workbook_filters_data,1,passes_workbook_custom_filters_data,1,All_Questions_passes_local_filters_data,1,All_Questions_Q_GRID_EXPORT_F_passes_per_q_filter_data,1)</f>
        <v>10</v>
      </c>
      <c r="C28" s="7">
        <f>IFERROR(B28/SUBTOTAL(9,B28:B29),0)</f>
        <v>0.5</v>
      </c>
      <c r="D28" s="14">
        <f>SUBTOTAL(9,B28:B29)</f>
        <v>20</v>
      </c>
      <c r="F28" s="4" t="inlineStr"/>
      <c r="G28" s="4" t="inlineStr">
        <is>
          <t># of resp</t>
        </is>
      </c>
      <c r="H28" s="4" t="inlineStr">
        <is>
          <t># of resp</t>
        </is>
      </c>
      <c r="I28" s="4" t="inlineStr">
        <is>
          <t># of resp</t>
        </is>
      </c>
      <c r="J28" s="4" t="inlineStr">
        <is>
          <t># of resp</t>
        </is>
      </c>
      <c r="K28" s="4" t="inlineStr">
        <is>
          <t># of resp</t>
        </is>
      </c>
      <c r="L28" s="4" t="inlineStr">
        <is>
          <t># of resp</t>
        </is>
      </c>
      <c r="M28" s="4" t="inlineStr">
        <is>
          <t># of resp</t>
        </is>
      </c>
      <c r="N28" s="4" t="inlineStr">
        <is>
          <t># of resp</t>
        </is>
      </c>
      <c r="O28" s="4" t="inlineStr">
        <is>
          <t># of resp</t>
        </is>
      </c>
      <c r="P28" s="4" t="inlineStr">
        <is>
          <t># of resp</t>
        </is>
      </c>
      <c r="Q28" s="4" t="inlineStr">
        <is>
          <t># of resp</t>
        </is>
      </c>
      <c r="R28" s="4" t="inlineStr">
        <is>
          <t># of resp</t>
        </is>
      </c>
      <c r="S28" s="4" t="inlineStr">
        <is>
          <t># of resp</t>
        </is>
      </c>
    </row>
    <row r="29">
      <c r="A29" t="inlineStr">
        <is>
          <t>Grid second row</t>
        </is>
      </c>
      <c r="B29">
        <f>COUNTIFS(Q_GRID_EXPORTr2_data,"Selected",passes_workbook_filters_data,1,passes_workbook_custom_filters_data,1,All_Questions_passes_local_filters_data,1,All_Questions_Q_GRID_EXPORT_F_passes_per_q_filter_data,1)</f>
        <v>10</v>
      </c>
      <c r="C29" s="7">
        <f>IFERROR(B29/SUBTOTAL(9,B28:B29),0)</f>
        <v>0.5</v>
      </c>
      <c r="D29" s="14">
        <f>SUBTOTAL(9,B28:B29)</f>
        <v>20</v>
      </c>
      <c r="F29" t="inlineStr">
        <is>
          <t>Grid first row</t>
        </is>
      </c>
      <c r="G29">
        <f>IF(OR(All_Questions_Q_GRID_EXPORT_CT="(None)",G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$27))</f>
        <v>0</v>
      </c>
      <c r="H29">
        <f>IF(OR(All_Questions_Q_GRID_EXPORT_CT="(None)",H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$27))</f>
        <v>0</v>
      </c>
      <c r="I29">
        <f>IF(OR(All_Questions_Q_GRID_EXPORT_CT="(None)",I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$27))</f>
        <v>0</v>
      </c>
      <c r="J29">
        <f>IF(OR(All_Questions_Q_GRID_EXPORT_CT="(None)",J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$27))</f>
        <v>0</v>
      </c>
      <c r="K29">
        <f>IF(OR(All_Questions_Q_GRID_EXPORT_CT="(None)",K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$27))</f>
        <v>0</v>
      </c>
      <c r="L29">
        <f>IF(OR(All_Questions_Q_GRID_EXPORT_CT="(None)",L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$27))</f>
        <v>0</v>
      </c>
      <c r="M29">
        <f>IF(OR(All_Questions_Q_GRID_EXPORT_CT="(None)",M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$27))</f>
        <v>0</v>
      </c>
      <c r="N29">
        <f>IF(OR(All_Questions_Q_GRID_EXPORT_CT="(None)",N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$27))</f>
        <v>0</v>
      </c>
      <c r="O29">
        <f>IF(OR(All_Questions_Q_GRID_EXPORT_CT="(None)",O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$27))</f>
        <v>0</v>
      </c>
      <c r="P29">
        <f>IF(OR(All_Questions_Q_GRID_EXPORT_CT="(None)",P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$27))</f>
        <v>0</v>
      </c>
      <c r="Q29">
        <f>IF(OR(All_Questions_Q_GRID_EXPORT_CT="(None)",Q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$27))</f>
        <v>0</v>
      </c>
      <c r="R29">
        <f>IF(OR(All_Questions_Q_GRID_EXPORT_CT="(None)",R$27=""),"",IF(R$27="Other",COUNTIFS(Q_GRID_EXPORTr1_data,"Selected",passes_workbook_filters_data,1,passes_workbook_custom_filters_data,1,All_Questions_passes_local_filters_data,1,All_Questions_Q_GRID_EXPORT_F_passes_per_q_filter_data,1)-SUM(G29,H29,I29,J29,K29,L29,M29,N29,O29,P29,Q29)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$27)))</f>
        <v>0</v>
      </c>
      <c r="S29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30">
      <c r="A30" s="15" t="inlineStr">
        <is>
          <t>Total respondents</t>
        </is>
      </c>
      <c r="B30" s="15" t="n">
        <v>10</v>
      </c>
      <c r="C30" s="15" t="n"/>
      <c r="D30" s="15" t="n"/>
      <c r="F30" t="inlineStr">
        <is>
          <t>Grid second row</t>
        </is>
      </c>
      <c r="G30">
        <f>IF(OR(All_Questions_Q_GRID_EXPORT_CT="(None)",G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$27))</f>
        <v>0</v>
      </c>
      <c r="H30">
        <f>IF(OR(All_Questions_Q_GRID_EXPORT_CT="(None)",H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$27))</f>
        <v>0</v>
      </c>
      <c r="I30">
        <f>IF(OR(All_Questions_Q_GRID_EXPORT_CT="(None)",I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$27))</f>
        <v>0</v>
      </c>
      <c r="J30">
        <f>IF(OR(All_Questions_Q_GRID_EXPORT_CT="(None)",J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$27))</f>
        <v>0</v>
      </c>
      <c r="K30">
        <f>IF(OR(All_Questions_Q_GRID_EXPORT_CT="(None)",K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$27))</f>
        <v>0</v>
      </c>
      <c r="L30">
        <f>IF(OR(All_Questions_Q_GRID_EXPORT_CT="(None)",L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$27))</f>
        <v>0</v>
      </c>
      <c r="M30">
        <f>IF(OR(All_Questions_Q_GRID_EXPORT_CT="(None)",M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$27))</f>
        <v>0</v>
      </c>
      <c r="N30">
        <f>IF(OR(All_Questions_Q_GRID_EXPORT_CT="(None)",N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$27))</f>
        <v>0</v>
      </c>
      <c r="O30">
        <f>IF(OR(All_Questions_Q_GRID_EXPORT_CT="(None)",O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$27))</f>
        <v>0</v>
      </c>
      <c r="P30">
        <f>IF(OR(All_Questions_Q_GRID_EXPORT_CT="(None)",P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$27))</f>
        <v>0</v>
      </c>
      <c r="Q30">
        <f>IF(OR(All_Questions_Q_GRID_EXPORT_CT="(None)",Q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$27))</f>
        <v>0</v>
      </c>
      <c r="R30">
        <f>IF(OR(All_Questions_Q_GRID_EXPORT_CT="(None)",R$27=""),"",IF(R$27="Other",COUNTIFS(Q_GRID_EXPORTr2_data,"Selected",passes_workbook_filters_data,1,passes_workbook_custom_filters_data,1,All_Questions_passes_local_filters_data,1,All_Questions_Q_GRID_EXPORT_F_passes_per_q_filter_data,1)-SUM(G30,H30,I30,J30,K30,L30,M30,N30,O30,P30,Q30)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$27)))</f>
        <v>0</v>
      </c>
      <c r="S30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31">
      <c r="A31" s="4" t="inlineStr">
        <is>
          <t>Total responses</t>
        </is>
      </c>
      <c r="B31" s="4" t="n">
        <v>20</v>
      </c>
      <c r="C31" s="4" t="n"/>
      <c r="D31" s="4" t="n"/>
      <c r="F31" s="4" t="inlineStr">
        <is>
          <t>Total respondents</t>
        </is>
      </c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33">
      <c r="A33" s="11" t="n"/>
      <c r="B33" s="11" t="n"/>
      <c r="C33" s="11" t="n"/>
      <c r="D33" s="11" t="n"/>
      <c r="E33" s="11" t="n"/>
      <c r="F33" s="11" t="n"/>
      <c r="G33" s="11" t="n"/>
      <c r="H33" s="11" t="n"/>
      <c r="I33" s="11" t="n"/>
      <c r="J33" s="11" t="n"/>
    </row>
    <row r="34">
      <c r="A34" s="12" t="inlineStr">
        <is>
          <t>Q_VERY_LONG_SINGLE_SELECT_EXPORT_NAME - Long sheet name export question</t>
        </is>
      </c>
      <c r="B34" s="12" t="n"/>
      <c r="C34" s="12" t="n"/>
      <c r="D34" s="12" t="n"/>
      <c r="E34" s="12" t="n"/>
      <c r="F34" s="12" t="n"/>
      <c r="G34" s="12" t="n"/>
      <c r="H34" s="12" t="n"/>
      <c r="I34" s="12" t="n"/>
      <c r="J34" s="12" t="n"/>
      <c r="K34" s="12" t="n"/>
      <c r="L34" s="12" t="n"/>
      <c r="M34" s="12" t="n"/>
      <c r="N34" s="12" t="n"/>
    </row>
    <row r="35">
      <c r="A35" s="13" t="inlineStr">
        <is>
          <t>Per-question filter</t>
        </is>
      </c>
      <c r="B35" t="inlineStr">
        <is>
          <t>Filter Q</t>
        </is>
      </c>
      <c r="C35" t="inlineStr">
        <is>
          <t>(None)</t>
        </is>
      </c>
      <c r="D35" t="inlineStr">
        <is>
          <t>Value</t>
        </is>
      </c>
      <c r="E35" t="inlineStr">
        <is>
          <t>(All)</t>
        </is>
      </c>
      <c r="F35" t="str">
        <f>IFERROR(INDEX(All_Questions_Data_Names,MATCH(All_Questions_Q_VERY_LONG_SINGLE_SELECT_EXPORT_NAME_F_Q,All_Questions,0)),"'_RawData'!$A:$A")</f>
        <v>respondent_id_data</v>
      </c>
      <c r="G35" t="str">
        <f>"|" &amp; SUBSTITUTE(All_Questions_Q_VERY_LONG_SINGLE_SELECT_EXPORT_NAME_F_V, ", ", "|") &amp; "|"</f>
        <v>|(All)|</v>
      </c>
    </row>
    <row r="36">
      <c r="A36" s="13" t="inlineStr">
        <is>
          <t>Cross-tab by</t>
        </is>
      </c>
      <c r="C36" t="inlineStr">
        <is>
          <t>(None)</t>
        </is>
      </c>
    </row>
    <row r="38">
      <c r="A38" s="4" t="inlineStr">
        <is>
          <t>Option</t>
        </is>
      </c>
      <c r="B38" s="4" t="inlineStr">
        <is>
          <t>Count</t>
        </is>
      </c>
      <c r="C38" s="4" t="inlineStr">
        <is>
          <t>%</t>
        </is>
      </c>
      <c r="D38" s="4" t="inlineStr">
        <is>
          <t>Denominator</t>
        </is>
      </c>
      <c r="F38" s="4" t="inlineStr">
        <is>
          <t>Option</t>
        </is>
      </c>
      <c r="G38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38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38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38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38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38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38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38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38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38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38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38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38" s="4" t="inlineStr">
        <is>
          <t>Total</t>
        </is>
      </c>
    </row>
    <row r="39">
      <c r="A39" t="inlineStr">
        <is>
          <t>A</t>
        </is>
      </c>
      <c r="B3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39" s="7">
        <f>IFERROR(B39/SUBTOTAL(9,B39:B40),0)</f>
        <v>0.7</v>
      </c>
      <c r="D39" s="14">
        <f>SUBTOTAL(9,B39:B40)</f>
        <v>10</v>
      </c>
      <c r="F39" s="4" t="inlineStr"/>
      <c r="G39" s="4" t="inlineStr">
        <is>
          <t># of resp</t>
        </is>
      </c>
      <c r="H39" s="4" t="inlineStr">
        <is>
          <t># of resp</t>
        </is>
      </c>
      <c r="I39" s="4" t="inlineStr">
        <is>
          <t># of resp</t>
        </is>
      </c>
      <c r="J39" s="4" t="inlineStr">
        <is>
          <t># of resp</t>
        </is>
      </c>
      <c r="K39" s="4" t="inlineStr">
        <is>
          <t># of resp</t>
        </is>
      </c>
      <c r="L39" s="4" t="inlineStr">
        <is>
          <t># of resp</t>
        </is>
      </c>
      <c r="M39" s="4" t="inlineStr">
        <is>
          <t># of resp</t>
        </is>
      </c>
      <c r="N39" s="4" t="inlineStr">
        <is>
          <t># of resp</t>
        </is>
      </c>
      <c r="O39" s="4" t="inlineStr">
        <is>
          <t># of resp</t>
        </is>
      </c>
      <c r="P39" s="4" t="inlineStr">
        <is>
          <t># of resp</t>
        </is>
      </c>
      <c r="Q39" s="4" t="inlineStr">
        <is>
          <t># of resp</t>
        </is>
      </c>
      <c r="R39" s="4" t="inlineStr">
        <is>
          <t># of resp</t>
        </is>
      </c>
      <c r="S39" s="4" t="inlineStr">
        <is>
          <t># of resp</t>
        </is>
      </c>
    </row>
    <row r="40">
      <c r="A40" t="inlineStr">
        <is>
          <t>B</t>
        </is>
      </c>
      <c r="B4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40" s="7">
        <f>IFERROR(B40/SUBTOTAL(9,B39:B40),0)</f>
        <v>0.3</v>
      </c>
      <c r="D40" s="14">
        <f>SUBTOTAL(9,B39:B40)</f>
        <v>10</v>
      </c>
      <c r="F40" t="inlineStr">
        <is>
          <t>A</t>
        </is>
      </c>
      <c r="G40">
        <f>IF(OR(All_Questions_Q_VERY_LONG_SINGLE_SELECT_EXPORT_NAME_CT="(None)",G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$38))</f>
        <v>0</v>
      </c>
      <c r="H40">
        <f>IF(OR(All_Questions_Q_VERY_LONG_SINGLE_SELECT_EXPORT_NAME_CT="(None)",H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$38))</f>
        <v>0</v>
      </c>
      <c r="I40">
        <f>IF(OR(All_Questions_Q_VERY_LONG_SINGLE_SELECT_EXPORT_NAME_CT="(None)",I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$38))</f>
        <v>0</v>
      </c>
      <c r="J40">
        <f>IF(OR(All_Questions_Q_VERY_LONG_SINGLE_SELECT_EXPORT_NAME_CT="(None)",J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$38))</f>
        <v>0</v>
      </c>
      <c r="K40">
        <f>IF(OR(All_Questions_Q_VERY_LONG_SINGLE_SELECT_EXPORT_NAME_CT="(None)",K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$38))</f>
        <v>0</v>
      </c>
      <c r="L40">
        <f>IF(OR(All_Questions_Q_VERY_LONG_SINGLE_SELECT_EXPORT_NAME_CT="(None)",L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$38))</f>
        <v>0</v>
      </c>
      <c r="M40">
        <f>IF(OR(All_Questions_Q_VERY_LONG_SINGLE_SELECT_EXPORT_NAME_CT="(None)",M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$38))</f>
        <v>0</v>
      </c>
      <c r="N40">
        <f>IF(OR(All_Questions_Q_VERY_LONG_SINGLE_SELECT_EXPORT_NAME_CT="(None)",N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$38))</f>
        <v>0</v>
      </c>
      <c r="O40">
        <f>IF(OR(All_Questions_Q_VERY_LONG_SINGLE_SELECT_EXPORT_NAME_CT="(None)",O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$38))</f>
        <v>0</v>
      </c>
      <c r="P40">
        <f>IF(OR(All_Questions_Q_VERY_LONG_SINGLE_SELECT_EXPORT_NAME_CT="(None)",P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$38))</f>
        <v>0</v>
      </c>
      <c r="Q40">
        <f>IF(OR(All_Questions_Q_VERY_LONG_SINGLE_SELECT_EXPORT_NAME_CT="(None)",Q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$38))</f>
        <v>0</v>
      </c>
      <c r="R40">
        <f>IF(OR(All_Questions_Q_VERY_LONG_SINGLE_SELECT_EXPORT_NAME_CT="(None)",R$38=""),"",IF(R$38="Other",COUNTIFS(Q_VERY_LONG_SINGLE_SELECT_EXPOR_data,"A",passes_workbook_filters_data,1,passes_workbook_custom_filters_data,1,All_Questions_passes_local_filters_data,1,All_Questions_Q_VERY_LONG_SINGLE_SELECT_EXPORT_NAME_F_passes_per_q_filter_data,1)-SUM(G40,H40,I40,J40,K40,L40,M40,N40,O40,P40,Q40)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$38)))</f>
        <v>0</v>
      </c>
      <c r="S40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41">
      <c r="A41" s="15" t="inlineStr">
        <is>
          <t>Total respondents</t>
        </is>
      </c>
      <c r="B41" s="15" t="n">
        <v>10</v>
      </c>
      <c r="C41" s="15" t="n"/>
      <c r="D41" s="15" t="n"/>
      <c r="F41" t="inlineStr">
        <is>
          <t>B</t>
        </is>
      </c>
      <c r="G41">
        <f>IF(OR(All_Questions_Q_VERY_LONG_SINGLE_SELECT_EXPORT_NAME_CT="(None)",G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$38))</f>
        <v>0</v>
      </c>
      <c r="H41">
        <f>IF(OR(All_Questions_Q_VERY_LONG_SINGLE_SELECT_EXPORT_NAME_CT="(None)",H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$38))</f>
        <v>0</v>
      </c>
      <c r="I41">
        <f>IF(OR(All_Questions_Q_VERY_LONG_SINGLE_SELECT_EXPORT_NAME_CT="(None)",I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$38))</f>
        <v>0</v>
      </c>
      <c r="J41">
        <f>IF(OR(All_Questions_Q_VERY_LONG_SINGLE_SELECT_EXPORT_NAME_CT="(None)",J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$38))</f>
        <v>0</v>
      </c>
      <c r="K41">
        <f>IF(OR(All_Questions_Q_VERY_LONG_SINGLE_SELECT_EXPORT_NAME_CT="(None)",K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$38))</f>
        <v>0</v>
      </c>
      <c r="L41">
        <f>IF(OR(All_Questions_Q_VERY_LONG_SINGLE_SELECT_EXPORT_NAME_CT="(None)",L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$38))</f>
        <v>0</v>
      </c>
      <c r="M41">
        <f>IF(OR(All_Questions_Q_VERY_LONG_SINGLE_SELECT_EXPORT_NAME_CT="(None)",M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$38))</f>
        <v>0</v>
      </c>
      <c r="N41">
        <f>IF(OR(All_Questions_Q_VERY_LONG_SINGLE_SELECT_EXPORT_NAME_CT="(None)",N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$38))</f>
        <v>0</v>
      </c>
      <c r="O41">
        <f>IF(OR(All_Questions_Q_VERY_LONG_SINGLE_SELECT_EXPORT_NAME_CT="(None)",O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$38))</f>
        <v>0</v>
      </c>
      <c r="P41">
        <f>IF(OR(All_Questions_Q_VERY_LONG_SINGLE_SELECT_EXPORT_NAME_CT="(None)",P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$38))</f>
        <v>0</v>
      </c>
      <c r="Q41">
        <f>IF(OR(All_Questions_Q_VERY_LONG_SINGLE_SELECT_EXPORT_NAME_CT="(None)",Q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$38))</f>
        <v>0</v>
      </c>
      <c r="R41">
        <f>IF(OR(All_Questions_Q_VERY_LONG_SINGLE_SELECT_EXPORT_NAME_CT="(None)",R$38=""),"",IF(R$38="Other",COUNTIFS(Q_VERY_LONG_SINGLE_SELECT_EXPOR_data,"B",passes_workbook_filters_data,1,passes_workbook_custom_filters_data,1,All_Questions_passes_local_filters_data,1,All_Questions_Q_VERY_LONG_SINGLE_SELECT_EXPORT_NAME_F_passes_per_q_filter_data,1)-SUM(G41,H41,I41,J41,K41,L41,M41,N41,O41,P41,Q41)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$38)))</f>
        <v>0</v>
      </c>
      <c r="S41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42">
      <c r="F42" s="4" t="inlineStr">
        <is>
          <t>Total respondents</t>
        </is>
      </c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8:B29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8:C29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9:G30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9:H30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9:I30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9:J30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9:K30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9:L30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9:M30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9:N30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9:O30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9:P30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9:Q30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9:R30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39:B40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39:C40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0:G41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0:H41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0:I41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0:J41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0:K41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0:L41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0:M41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0:N41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0:O41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0:P41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0:Q41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0:R41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3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25" showDropDown="0" showInputMessage="0" showErrorMessage="0" allowBlank="1" type="list">
      <formula1>=All_Questions</formula1>
    </dataValidation>
    <dataValidation sqref="C35" showDropDown="0" showInputMessage="0" showErrorMessage="0" allowBlank="1" type="list">
      <formula1>=All_Questions</formula1>
    </dataValidation>
    <dataValidation sqref="E35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36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3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2026-05-25T20:09:16Z</dcterms:created>
  <dcterms:modified xmlns:dcterms="http://purl.org/dc/terms/" xmlns:xsi="http://www.w3.org/2001/XMLSchema-instance" xsi:type="dcterms:W3CDTF">2026-05-25T20:09:16Z</dcterms:modified>
</cp:coreProperties>
</file>