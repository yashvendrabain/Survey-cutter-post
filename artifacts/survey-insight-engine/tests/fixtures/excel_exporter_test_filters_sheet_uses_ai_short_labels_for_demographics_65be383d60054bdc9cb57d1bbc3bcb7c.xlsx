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Default Extension="vml" ContentType="application/vnd.openxmlformats-officedocument.vmlDrawing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comments/comment1.xml" ContentType="application/vnd.openxmlformats-officedocument.spreadsheetml.comments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comments/comment2.xml" ContentType="application/vnd.openxmlformats-officedocument.spreadsheetml.comments+xml"/>
  <ns0:Override PartName="/xl/tables/table1.xml" ContentType="application/vnd.openxmlformats-officedocument.spreadsheetml.table+xml"/>
  <ns0:Override PartName="/xl/tables/table2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Demographic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'_RawData'!$A$2:$A$3</definedName>
    <definedName name="Q4_data">'_RawData'!$B$2:$B$3</definedName>
    <definedName name="Q14_data">'_RawData'!$C$2:$C$3</definedName>
    <definedName name="All_Questions">'_Options'!$A$2:$A$4</definedName>
    <definedName name="All_Questions_Local">'_Options'!$B$2:$B$5</definedName>
    <definedName name="All_Questions_Data_Names">'_Options'!$C$2:$C$4</definedName>
    <definedName name="All_Questions_Options_Names">'_Options'!$D$2:$D$4</definedName>
    <definedName name="None_options">'_Options'!$E$2:$E$2</definedName>
    <definedName name="Q4_options">'_Options'!$F$2:$F$4</definedName>
    <definedName name="Q4_local_options">'_Options'!$H$2:$H$5</definedName>
    <definedName name="Q14_options">'_Options'!$G$2:$G$4</definedName>
    <definedName name="Q14_local_options">'_Options'!$I$2:$I$5</definedName>
    <definedName name="F_Company_Size">'Filters'!$B$4</definedName>
    <definedName name="F_Company_Size_wrapped">'Filters'!$C$4</definedName>
    <definedName name="F_Age">'Filters'!$B$5</definedName>
    <definedName name="F_Age_wrapped">'Filters'!$C$5</definedName>
    <definedName name="F_Custom1_Q">'Filters'!$B$8</definedName>
    <definedName name="F_Custom1_V">'Filters'!$D$8</definedName>
    <definedName name="F_Custom1_resolved_column">'Filters'!$E$8</definedName>
    <definedName name="F_Custom1_wrapped">'Filters'!$F$8</definedName>
    <definedName name="F_Custom2_Q">'Filters'!$B$9</definedName>
    <definedName name="F_Custom2_V">'Filters'!$D$9</definedName>
    <definedName name="F_Custom2_resolved_column">'Filters'!$E$9</definedName>
    <definedName name="F_Custom2_wrapped">'Filters'!$F$9</definedName>
    <definedName name="F_Company_Size_match_data">'_RawData'!$D$2:$D$3</definedName>
    <definedName name="F_Age_match_data">'_RawData'!$E$2:$E$3</definedName>
    <definedName name="passes_workbook_filters_data">'_RawData'!$F$2:$F$3</definedName>
    <definedName name="F_Custom1_match_data">'_RawData'!$G$2:$G$3</definedName>
    <definedName name="F_Custom2_match_data">'_RawData'!$H$2:$H$3</definedName>
    <definedName name="passes_workbook_custom_filters_data">'_RawData'!$I$2:$I$3</definedName>
    <definedName name="Demographics_F_Company_Size">'Demographics'!$B$5</definedName>
    <definedName name="Demographics_F_Company_Size_resolved">'Demographics'!$C$5</definedName>
    <definedName name="Demographics_F_Company_Size_wrapped">'Demographics'!$D$5</definedName>
    <definedName name="Demographics_F_Age">'Demographics'!$B$6</definedName>
    <definedName name="Demographics_F_Age_resolved">'Demographics'!$C$6</definedName>
    <definedName name="Demographics_F_Age_wrapped">'Demographics'!$D$6</definedName>
    <definedName name="Demographics_F_Custom1_Q">'Demographics'!$B$7</definedName>
    <definedName name="Demographics_F_Custom1_Q_resolved">'Demographics'!$C$7</definedName>
    <definedName name="Demographics_F_Custom1_V">'Demographics'!$B$8</definedName>
    <definedName name="Demographics_F_Custom1_V_resolved">'Demographics'!$C$8</definedName>
    <definedName name="Demographics_F_Custom1_wrapped">'Demographics'!$D$8</definedName>
    <definedName name="Demographics_F_Custom1_resolved_column">'Demographics'!$F$8</definedName>
    <definedName name="Demographics_F_Custom2_Q">'Demographics'!$B$9</definedName>
    <definedName name="Demographics_F_Custom2_Q_resolved">'Demographics'!$C$9</definedName>
    <definedName name="Demographics_F_Custom2_V">'Demographics'!$B$10</definedName>
    <definedName name="Demographics_F_Custom2_V_resolved">'Demographics'!$C$10</definedName>
    <definedName name="Demographics_F_Custom2_wrapped">'Demographics'!$D$10</definedName>
    <definedName name="Demographics_F_Custom2_resolved_column">'Demographics'!$F$10</definedName>
    <definedName name="Demographics_F_Company_Size_local_match_data">'_RawData'!$J$2:$J$3</definedName>
    <definedName name="Demographics_F_Age_local_match_data">'_RawData'!$K$2:$K$3</definedName>
    <definedName name="Demographics_passes_local_filters_data">'_RawData'!$L$2:$L$3</definedName>
    <definedName name="Demographics_Q4_F_Q">'Demographics'!$C$15</definedName>
    <definedName name="Demographics_Q4_F_V">'Demographics'!$E$15</definedName>
    <definedName name="Demographics_Q4_F_resolved_column">'Demographics'!$F$15</definedName>
    <definedName name="Demographics_Q4_F_wrapped">'Demographics'!$G$15</definedName>
    <definedName name="Demographics_Q4_F_passes_per_q_filter_data">'_RawData'!$M$2:$M$3</definedName>
    <definedName name="Demographics_Q4_CT">'Demographics'!$C$16</definedName>
    <definedName name="Demographics_Q14_F_Q">'Demographics'!$C$25</definedName>
    <definedName name="Demographics_Q14_F_V">'Demographics'!$E$25</definedName>
    <definedName name="Demographics_Q14_F_resolved_column">'Demographics'!$F$25</definedName>
    <definedName name="Demographics_Q14_F_wrapped">'Demographics'!$G$25</definedName>
    <definedName name="Demographics_Q14_F_passes_per_q_filter_data">'_RawData'!$N$2:$N$3</definedName>
    <definedName name="Demographics_Q14_CT">'Demographics'!$C$26</definedName>
  </definedNames>
  <calcPr calcId="124519" fullCalcOnLoad="1"/>
</workbook>
</file>

<file path=xl/calcChain.xml><?xml version="1.0" encoding="utf-8"?>
<calcChain xmlns="http://schemas.openxmlformats.org/spreadsheetml/2006/main">
  <c r="D2" i="1"/>
  <c r="E2" i="1"/>
  <c r="F2" i="1"/>
  <c r="G2" i="1"/>
  <c r="H2" i="1"/>
  <c r="I2" i="1"/>
  <c r="J2" i="1"/>
  <c r="K2" i="1"/>
  <c r="L2" i="1"/>
  <c r="M2" i="1"/>
  <c r="N2" i="1"/>
  <c r="D3" i="1"/>
  <c r="E3" i="1"/>
  <c r="F3" i="1"/>
  <c r="G3" i="1"/>
  <c r="H3" i="1"/>
  <c r="I3" i="1"/>
  <c r="J3" i="1"/>
  <c r="K3" i="1"/>
  <c r="L3" i="1"/>
  <c r="M3" i="1"/>
  <c r="N3" i="1"/>
  <c r="C4" i="3"/>
  <c r="C5" i="3"/>
  <c r="E8" i="3"/>
  <c r="F8" i="3"/>
  <c r="E9" i="3"/>
  <c r="F9" i="3"/>
  <c r="C5" i="7"/>
  <c r="D5" i="7"/>
  <c r="C6" i="7"/>
  <c r="D6" i="7"/>
  <c r="C7" i="7"/>
  <c r="C8" i="7"/>
  <c r="D8" i="7"/>
  <c r="F8" i="7"/>
  <c r="C9" i="7"/>
  <c r="C10" i="7"/>
  <c r="D10" i="7"/>
  <c r="F10" i="7"/>
  <c r="F15" i="7"/>
  <c r="G15" i="7"/>
  <c r="G18" i="7"/>
  <c r="H18" i="7"/>
  <c r="I18" i="7"/>
  <c r="J18" i="7"/>
  <c r="K18" i="7"/>
  <c r="L18" i="7"/>
  <c r="M18" i="7"/>
  <c r="N18" i="7"/>
  <c r="B19" i="7"/>
  <c r="C19" i="7"/>
  <c r="D19" i="7"/>
  <c r="G19" i="7"/>
  <c r="H19" i="7"/>
  <c r="I19" i="7"/>
  <c r="J19" i="7"/>
  <c r="K19" i="7"/>
  <c r="L19" i="7"/>
  <c r="M19" i="7"/>
  <c r="N19" i="7"/>
  <c r="O19" i="7"/>
  <c r="B20" i="7"/>
  <c r="C20" i="7"/>
  <c r="D20" i="7"/>
  <c r="G20" i="7"/>
  <c r="H20" i="7"/>
  <c r="I20" i="7"/>
  <c r="J20" i="7"/>
  <c r="K20" i="7"/>
  <c r="L20" i="7"/>
  <c r="M20" i="7"/>
  <c r="N20" i="7"/>
  <c r="O20" i="7"/>
  <c r="F25" i="7"/>
  <c r="G25" i="7"/>
  <c r="G28" i="7"/>
  <c r="H28" i="7"/>
  <c r="I28" i="7"/>
  <c r="J28" i="7"/>
  <c r="K28" i="7"/>
  <c r="L28" i="7"/>
  <c r="M28" i="7"/>
  <c r="N28" i="7"/>
  <c r="B29" i="7"/>
  <c r="C29" i="7"/>
  <c r="D29" i="7"/>
  <c r="G29" i="7"/>
  <c r="H29" i="7"/>
  <c r="I29" i="7"/>
  <c r="J29" i="7"/>
  <c r="K29" i="7"/>
  <c r="L29" i="7"/>
  <c r="M29" i="7"/>
  <c r="N29" i="7"/>
  <c r="O29" i="7"/>
  <c r="B30" i="7"/>
  <c r="C30" i="7"/>
  <c r="D30" i="7"/>
  <c r="G30" i="7"/>
  <c r="H30" i="7"/>
  <c r="I30" i="7"/>
  <c r="J30" i="7"/>
  <c r="K30" i="7"/>
  <c r="L30" i="7"/>
  <c r="M30" i="7"/>
  <c r="N30" i="7"/>
  <c r="O30" i="7"/>
</calcChain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3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comments/comment1.xml><?xml version="1.0" encoding="utf-8"?>
<comments xmlns="http://schemas.openxmlformats.org/spreadsheetml/2006/main">
  <authors>
    <author>Survey Analysis Engine</author>
  </authors>
  <commentList>
    <comment ref="A4" authorId="0" shapeId="0">
      <text>
        <t>Which of the following best describes the size of your organization</t>
      </text>
    </comment>
    <comment ref="A5" authorId="0" shapeId="0">
      <text>
        <t>Approximately how old is the organization</t>
      </text>
    </comment>
  </commentList>
</comments>
</file>

<file path=xl/comments/comment2.xml><?xml version="1.0" encoding="utf-8"?>
<comments xmlns="http://schemas.openxmlformats.org/spreadsheetml/2006/main">
  <authors>
    <author>Survey Analysis Engine</author>
  </authors>
  <commentList>
    <comment ref="A5" authorId="0" shapeId="0">
      <text>
        <t>Which of the following best describes the size of your organization</t>
      </text>
    </comment>
    <comment ref="A6" authorId="0" shapeId="0">
      <text>
        <t>Approximately how old is the organization</t>
      </text>
    </comment>
    <comment ref="A14" authorId="0" shapeId="0">
      <text>
        <t>Which of the following best describes the size of your organization</t>
      </text>
    </comment>
    <comment ref="A24" authorId="0" shapeId="0">
      <text>
        <t>Approximately how old is the organization</t>
      </text>
    </comment>
  </commentList>
</comments>
</file>

<file path=xl/tables/table1.xml><?xml version="1.0" encoding="utf-8"?>
<table xmlns="http://schemas.openxmlformats.org/spreadsheetml/2006/main" id="1" name="T_Demographics_18_1" displayName="T_Demographics_18_1" ref="A18:D21" headerRowCount="1">
  <autoFilter ref="A18:D2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ables/table2.xml><?xml version="1.0" encoding="utf-8"?>
<table xmlns="http://schemas.openxmlformats.org/spreadsheetml/2006/main" id="2" name="T_Demographics_28_1" displayName="T_Demographics_28_1" ref="A28:D31" headerRowCount="1">
  <autoFilter ref="A28:D31"/>
  <tableColumns count="4">
    <tableColumn id="1" name="Option"/>
    <tableColumn id="2" name="Count"/>
    <tableColumn id="3" name="%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_rels/sheet6.xml.rels><Relationships xmlns="http://schemas.openxmlformats.org/package/2006/relationships"><Relationship Type="http://schemas.openxmlformats.org/officeDocument/2006/relationships/hyperlink" Target="#'Demographics'!A1" TargetMode="External" Id="rId1"/><Relationship Type="http://schemas.openxmlformats.org/officeDocument/2006/relationships/hyperlink" Target="#'Demographics'!A1" TargetMode="External" Id="rId2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Relationship Type="http://schemas.openxmlformats.org/officeDocument/2006/relationships/table" Target="/xl/tables/table2.xml" Id="rId2"/><Relationship Type="http://schemas.openxmlformats.org/officeDocument/2006/relationships/comments" Target="/xl/comments/comment2.xml" Id="comments"/><Relationship Type="http://schemas.openxmlformats.org/officeDocument/2006/relationships/vmlDrawing" Target="/xl/drawings/commentsDrawing2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Q4</t>
        </is>
      </c>
      <c r="C1" t="inlineStr">
        <is>
          <t>Q14</t>
        </is>
      </c>
      <c r="D1" t="inlineStr">
        <is>
          <t>F_Company_Size_match</t>
        </is>
      </c>
      <c r="E1" t="inlineStr">
        <is>
          <t>F_Age_match</t>
        </is>
      </c>
      <c r="F1" t="inlineStr">
        <is>
          <t>passes_workbook_filters</t>
        </is>
      </c>
      <c r="G1" t="inlineStr">
        <is>
          <t>F_Custom1_match</t>
        </is>
      </c>
      <c r="H1" t="inlineStr">
        <is>
          <t>F_Custom2_match</t>
        </is>
      </c>
      <c r="I1" t="inlineStr">
        <is>
          <t>passes_workbook_custom_filters</t>
        </is>
      </c>
      <c r="J1" t="inlineStr">
        <is>
          <t>Demographics_F_Company_Size_local_match</t>
        </is>
      </c>
      <c r="K1" t="inlineStr">
        <is>
          <t>Demographics_F_Age_local_match</t>
        </is>
      </c>
      <c r="L1" t="inlineStr">
        <is>
          <t>Demographics_passes_local_filters</t>
        </is>
      </c>
      <c r="M1" t="inlineStr">
        <is>
          <t>Demographics_Q4_F_passes_per_q_filter</t>
        </is>
      </c>
      <c r="N1" t="inlineStr">
        <is>
          <t>Demographics_Q14_F_passes_per_q_filter</t>
        </is>
      </c>
    </row>
    <row r="2">
      <c r="A2" t="n">
        <v>1</v>
      </c>
      <c r="B2" t="inlineStr">
        <is>
          <t>Small</t>
        </is>
      </c>
      <c r="C2" t="inlineStr">
        <is>
          <t>New</t>
        </is>
      </c>
      <c r="D2">
        <f>(((F_Company_Size="(All)")+(F_Company_Size="")+ISBLANK(F_Company_Size)+ISNUMBER(SEARCH("|"&amp;B2&amp;"|",F_Company_Size_wrapped)))&gt;0)*1</f>
        <v>1</v>
      </c>
      <c r="E2">
        <f>(((F_Age="(All)")+(F_Age="")+ISBLANK(F_Age)+ISNUMBER(SEARCH("|"&amp;C2&amp;"|",F_Age_wrapped)))&gt;0)*1</f>
        <v>1</v>
      </c>
      <c r="F2">
        <f>D2*E2*1</f>
        <v>1</v>
      </c>
      <c r="G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H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I2">
        <f>G2*H2*1</f>
        <v>1</v>
      </c>
      <c r="J2">
        <f>(((Demographics_F_Company_Size_resolved="(All)")+(Demographics_F_Company_Size_resolved="")+ISBLANK(Demographics_F_Company_Size_resolved)+ISNUMBER(SEARCH("|"&amp;B2&amp;"|",Demographics_F_Company_Size_wrapped)))&gt;0)*1</f>
        <v>1</v>
      </c>
      <c r="K2">
        <f>(((Demographics_F_Age_resolved="(All)")+(Demographics_F_Age_resolved="")+ISBLANK(Demographics_F_Age_resolved)+ISNUMBER(SEARCH("|"&amp;C2&amp;"|",Demographics_F_Age_wrapped)))&gt;0)*1</f>
        <v>1</v>
      </c>
      <c r="L2">
        <f>J2*K2*1</f>
        <v>1</v>
      </c>
      <c r="M2">
        <f>IF(OR(Demographics_Q4_F_Q="(None)",Demographics_Q4_F_Q="",ISBLANK(Demographics_Q4_F_Q),Demographics_Q4_F_V="(All)",Demographics_Q4_F_V="",ISBLANK(Demographics_Q4_F_V)),1,IFERROR(IF(ISNUMBER(SEARCH("|"&amp;INDEX(INDIRECT(Demographics_Q4_F_resolved_column),1)&amp;"|",Demographics_Q4_F_wrapped)),1,0),0))</f>
        <v>1</v>
      </c>
      <c r="N2">
        <f>IF(OR(Demographics_Q14_F_Q="(None)",Demographics_Q14_F_Q="",ISBLANK(Demographics_Q14_F_Q),Demographics_Q14_F_V="(All)",Demographics_Q14_F_V="",ISBLANK(Demographics_Q14_F_V)),1,IFERROR(IF(ISNUMBER(SEARCH("|"&amp;INDEX(INDIRECT(Demographics_Q14_F_resolved_column),1)&amp;"|",Demographics_Q14_F_wrapped)),1,0),0))</f>
        <v>1</v>
      </c>
    </row>
    <row r="3">
      <c r="A3" t="n">
        <v>2</v>
      </c>
      <c r="B3" t="inlineStr">
        <is>
          <t>Large</t>
        </is>
      </c>
      <c r="C3" t="inlineStr">
        <is>
          <t>Established</t>
        </is>
      </c>
      <c r="D3">
        <f>(((F_Company_Size="(All)")+(F_Company_Size="")+ISBLANK(F_Company_Size)+ISNUMBER(SEARCH("|"&amp;B3&amp;"|",F_Company_Size_wrapped)))&gt;0)*1</f>
        <v>1</v>
      </c>
      <c r="E3">
        <f>(((F_Age="(All)")+(F_Age="")+ISBLANK(F_Age)+ISNUMBER(SEARCH("|"&amp;C3&amp;"|",F_Age_wrapped)))&gt;0)*1</f>
        <v>1</v>
      </c>
      <c r="F3">
        <f>D3*E3*1</f>
        <v>1</v>
      </c>
      <c r="G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H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I3">
        <f>G3*H3*1</f>
        <v>1</v>
      </c>
      <c r="J3">
        <f>(((Demographics_F_Company_Size_resolved="(All)")+(Demographics_F_Company_Size_resolved="")+ISBLANK(Demographics_F_Company_Size_resolved)+ISNUMBER(SEARCH("|"&amp;B3&amp;"|",Demographics_F_Company_Size_wrapped)))&gt;0)*1</f>
        <v>1</v>
      </c>
      <c r="K3">
        <f>(((Demographics_F_Age_resolved="(All)")+(Demographics_F_Age_resolved="")+ISBLANK(Demographics_F_Age_resolved)+ISNUMBER(SEARCH("|"&amp;C3&amp;"|",Demographics_F_Age_wrapped)))&gt;0)*1</f>
        <v>1</v>
      </c>
      <c r="L3">
        <f>J3*K3*1</f>
        <v>1</v>
      </c>
      <c r="M3">
        <f>IF(OR(Demographics_Q4_F_Q="(None)",Demographics_Q4_F_Q="",ISBLANK(Demographics_Q4_F_Q),Demographics_Q4_F_V="(All)",Demographics_Q4_F_V="",ISBLANK(Demographics_Q4_F_V)),1,IFERROR(IF(ISNUMBER(SEARCH("|"&amp;INDEX(INDIRECT(Demographics_Q4_F_resolved_column),2)&amp;"|",Demographics_Q4_F_wrapped)),1,0),0))</f>
        <v>1</v>
      </c>
      <c r="N3">
        <f>IF(OR(Demographics_Q14_F_Q="(None)",Demographics_Q14_F_Q="",ISBLANK(Demographics_Q14_F_Q),Demographics_Q14_F_V="(All)",Demographics_Q14_F_V="",ISBLANK(Demographics_Q14_F_V)),1,IFERROR(IF(ISNUMBER(SEARCH("|"&amp;INDEX(INDIRECT(Demographics_Q14_F_resolved_column),2)&amp;"|",Demographics_Q14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Q4_options</t>
        </is>
      </c>
      <c r="G1" t="inlineStr">
        <is>
          <t>Q14_options</t>
        </is>
      </c>
      <c r="H1" t="inlineStr">
        <is>
          <t>Q4_local_options</t>
        </is>
      </c>
      <c r="I1" t="inlineStr">
        <is>
          <t>Q14_local_options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respondent_id_data</t>
        </is>
      </c>
      <c r="D2" t="inlineStr">
        <is>
          <t>None_options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(Inherit)</t>
        </is>
      </c>
      <c r="I2" t="inlineStr">
        <is>
          <t>(Inherit)</t>
        </is>
      </c>
    </row>
    <row r="3">
      <c r="A3" t="inlineStr">
        <is>
          <t>Q4 - Org Size</t>
        </is>
      </c>
      <c r="B3" t="inlineStr">
        <is>
          <t>(None)</t>
        </is>
      </c>
      <c r="C3" t="inlineStr">
        <is>
          <t>Q4_data</t>
        </is>
      </c>
      <c r="D3" t="inlineStr">
        <is>
          <t>Q4_options</t>
        </is>
      </c>
      <c r="F3" t="inlineStr">
        <is>
          <t>Small</t>
        </is>
      </c>
      <c r="G3" t="inlineStr">
        <is>
          <t>New</t>
        </is>
      </c>
      <c r="H3" t="inlineStr">
        <is>
          <t>(All)</t>
        </is>
      </c>
      <c r="I3" t="inlineStr">
        <is>
          <t>(All)</t>
        </is>
      </c>
    </row>
    <row r="4">
      <c r="A4" t="inlineStr">
        <is>
          <t>Q14 - Org Age</t>
        </is>
      </c>
      <c r="B4" t="inlineStr">
        <is>
          <t>Q4 - Org Size</t>
        </is>
      </c>
      <c r="C4" t="inlineStr">
        <is>
          <t>Q14_data</t>
        </is>
      </c>
      <c r="D4" t="inlineStr">
        <is>
          <t>Q14_options</t>
        </is>
      </c>
      <c r="F4" t="inlineStr">
        <is>
          <t>Large</t>
        </is>
      </c>
      <c r="G4" t="inlineStr">
        <is>
          <t>Established</t>
        </is>
      </c>
      <c r="H4" t="inlineStr">
        <is>
          <t>Small</t>
        </is>
      </c>
      <c r="I4" t="inlineStr">
        <is>
          <t>New</t>
        </is>
      </c>
    </row>
    <row r="5">
      <c r="B5" t="inlineStr">
        <is>
          <t>Q14 - Org Age</t>
        </is>
      </c>
      <c r="H5" t="inlineStr">
        <is>
          <t>Large</t>
        </is>
      </c>
      <c r="I5" t="inlineStr">
        <is>
          <t>Established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F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4">
      <c r="A4" t="inlineStr">
        <is>
          <t>Org Size</t>
        </is>
      </c>
      <c r="B4" t="inlineStr">
        <is>
          <t>(All)</t>
        </is>
      </c>
      <c r="C4" t="str">
        <f>"|" &amp; SUBSTITUTE(F_Company_Size, ", ", "|") &amp; "|"</f>
        <v>|(All)|</v>
      </c>
      <c r="D4" t="inlineStr">
        <is>
          <t>Small, Large</t>
        </is>
      </c>
    </row>
    <row r="5">
      <c r="A5" t="inlineStr">
        <is>
          <t>Org Age</t>
        </is>
      </c>
      <c r="B5" t="inlineStr">
        <is>
          <t>(All)</t>
        </is>
      </c>
      <c r="C5" t="str">
        <f>"|" &amp; SUBSTITUTE(F_Age, ", ", "|") &amp; "|"</f>
        <v>|(All)|</v>
      </c>
      <c r="D5" t="inlineStr">
        <is>
          <t>New, Established</t>
        </is>
      </c>
    </row>
    <row r="7">
      <c r="A7" s="4" t="inlineStr">
        <is>
          <t>CUSTOM FILTERS</t>
        </is>
      </c>
      <c r="B7" s="2" t="n"/>
      <c r="C7" s="2" t="n"/>
      <c r="D7" s="2" t="n"/>
      <c r="E7" s="2" t="n"/>
      <c r="F7" s="2" t="n"/>
    </row>
    <row r="8">
      <c r="A8" t="inlineStr">
        <is>
          <t>Filter 1 question</t>
        </is>
      </c>
      <c r="B8" t="inlineStr">
        <is>
          <t>(None)</t>
        </is>
      </c>
      <c r="C8" t="inlineStr">
        <is>
          <t>Filter value</t>
        </is>
      </c>
      <c r="D8" t="inlineStr">
        <is>
          <t>(All)</t>
        </is>
      </c>
      <c r="E8" t="str">
        <f>XLOOKUP(F_Custom1_Q,All_Questions,All_Questions_Data_Names,"respondent_id_data")</f>
        <v>respondent_id_data</v>
      </c>
      <c r="F8" t="str">
        <f>"|" &amp; SUBSTITUTE(F_Custom1_V, ", ", "|") &amp; "|"</f>
        <v>|(All)|</v>
      </c>
    </row>
    <row r="9">
      <c r="A9" t="inlineStr">
        <is>
          <t>Filter 2 question</t>
        </is>
      </c>
      <c r="B9" t="inlineStr">
        <is>
          <t>(None)</t>
        </is>
      </c>
      <c r="C9" t="inlineStr">
        <is>
          <t>Filter value</t>
        </is>
      </c>
      <c r="D9" t="inlineStr">
        <is>
          <t>(All)</t>
        </is>
      </c>
      <c r="E9" t="str">
        <f>XLOOKUP(F_Custom2_Q,All_Questions,All_Questions_Data_Names,"respondent_id_data")</f>
        <v>respondent_id_data</v>
      </c>
      <c r="F9" t="str">
        <f>"|" &amp; SUBSTITUTE(F_Custom2_V, ", ", "|") &amp; "|"</f>
        <v>|(All)|</v>
      </c>
    </row>
  </sheetData>
  <dataValidations count="6">
    <dataValidation sqref="B4" showDropDown="0" showInputMessage="0" showErrorMessage="0" allowBlank="1" type="list">
      <formula1>=Q4_options</formula1>
    </dataValidation>
    <dataValidation sqref="B5" showDropDown="0" showInputMessage="0" showErrorMessage="0" allowBlank="1" type="list">
      <formula1>=Q14_options</formula1>
    </dataValidation>
    <dataValidation sqref="B8" showDropDown="0" showInputMessage="0" showErrorMessage="0" allowBlank="1" type="list">
      <formula1>=All_Questions</formula1>
    </dataValidation>
    <dataValidation sqref="D8" showDropDown="0" showInputMessage="0" showErrorMessage="0" allowBlank="1" type="list">
      <formula1>=INDIRECT(XLOOKUP(F_Custom1_Q,All_Questions,All_Questions_Options_Names,"None_options"))</formula1>
    </dataValidation>
    <dataValidation sqref="B9" showDropDown="0" showInputMessage="0" showErrorMessage="0" allowBlank="1" type="list">
      <formula1>=All_Questions</formula1>
    </dataValidation>
    <dataValidation sqref="D9" showDropDown="0" showInputMessage="0" showErrorMessage="0" allowBlank="1" type="list">
      <formula1>=INDIRECT(XLOOKUP(F_Custom2_Q,All_Questions,All_Questions_Options_Names,"None_options"))</formula1>
    </dataValidation>
  </dataValidations>
  <pageMargins left="0.75" right="0.75" top="1" bottom="1" header="0.5" footer="0.5"/>
  <legacyDrawing r:id="anysvml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2</v>
      </c>
    </row>
    <row r="5">
      <c r="A5" s="5" t="inlineStr">
        <is>
          <t>Total questions:</t>
        </is>
      </c>
      <c r="B5" t="n">
        <v>2</v>
      </c>
    </row>
    <row r="6">
      <c r="A6" s="5" t="inlineStr">
        <is>
          <t>Results produced:</t>
        </is>
      </c>
      <c r="B6" t="n">
        <v>2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60" customWidth="1" min="3" max="3"/>
    <col width="15" customWidth="1" min="4" max="4"/>
    <col width="13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[Q4]</t>
        </is>
      </c>
      <c r="B2" t="inlineStr">
        <is>
          <t>Q4</t>
        </is>
      </c>
      <c r="C2" t="inlineStr">
        <is>
          <t>Which of the following best describes the size of your organization</t>
        </is>
      </c>
      <c r="D2" t="inlineStr">
        <is>
          <t>SINGLE_SELECT</t>
        </is>
      </c>
      <c r="E2" t="inlineStr">
        <is>
          <t>Q4</t>
        </is>
      </c>
      <c r="F2" t="n">
        <v>2</v>
      </c>
      <c r="G2" t="inlineStr">
        <is>
          <t>Yes</t>
        </is>
      </c>
      <c r="H2" t="inlineStr">
        <is>
          <t>Yes</t>
        </is>
      </c>
      <c r="I2" t="inlineStr"/>
    </row>
    <row r="3">
      <c r="A3" t="inlineStr">
        <is>
          <t>[Q14]</t>
        </is>
      </c>
      <c r="B3" t="inlineStr">
        <is>
          <t>Q14</t>
        </is>
      </c>
      <c r="C3" t="inlineStr">
        <is>
          <t>Approximately how old is the organization</t>
        </is>
      </c>
      <c r="D3" t="inlineStr">
        <is>
          <t>SINGLE_SELECT</t>
        </is>
      </c>
      <c r="E3" t="inlineStr">
        <is>
          <t>Q14</t>
        </is>
      </c>
      <c r="F3" t="n">
        <v>2</v>
      </c>
      <c r="G3" t="inlineStr">
        <is>
          <t>Yes</t>
        </is>
      </c>
      <c r="H3" t="inlineStr">
        <is>
          <t>Yes</t>
        </is>
      </c>
      <c r="I3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5" customWidth="1" min="3" max="3"/>
    <col width="14" customWidth="1" min="4" max="4"/>
    <col width="14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Q4</t>
        </is>
      </c>
      <c r="B2" t="inlineStr">
        <is>
          <t>Q4</t>
        </is>
      </c>
      <c r="C2" t="inlineStr">
        <is>
          <t>SINGLE_SELECT</t>
        </is>
      </c>
      <c r="D2" t="inlineStr">
        <is>
          <t>Demographics</t>
        </is>
      </c>
      <c r="E2" s="6" t="inlineStr">
        <is>
          <t>Demographics</t>
        </is>
      </c>
      <c r="F2" t="n">
        <v>2</v>
      </c>
      <c r="G2" t="n">
        <v>0</v>
      </c>
      <c r="H2" s="7" t="n">
        <v>0</v>
      </c>
      <c r="I2" t="inlineStr"/>
    </row>
    <row r="3">
      <c r="A3" t="inlineStr">
        <is>
          <t>Q14</t>
        </is>
      </c>
      <c r="B3" t="inlineStr">
        <is>
          <t>Q14</t>
        </is>
      </c>
      <c r="C3" t="inlineStr">
        <is>
          <t>SINGLE_SELECT</t>
        </is>
      </c>
      <c r="D3" t="inlineStr">
        <is>
          <t>Demographics</t>
        </is>
      </c>
      <c r="E3" s="6" t="inlineStr">
        <is>
          <t>Demographics</t>
        </is>
      </c>
      <c r="F3" t="n">
        <v>2</v>
      </c>
      <c r="G3" t="n">
        <v>0</v>
      </c>
      <c r="H3" s="7" t="n">
        <v>0</v>
      </c>
      <c r="I3" t="inlineStr"/>
    </row>
  </sheetData>
  <hyperlinks>
    <hyperlink ref="E2" r:id="rId1"/>
    <hyperlink ref="E3" r:id="rId2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>
  <sheetPr>
    <outlinePr summaryBelow="1" summaryRight="1"/>
    <pageSetUpPr/>
  </sheetPr>
  <dimension ref="A1:O3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Demographics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Org Size</t>
        </is>
      </c>
      <c r="B5" t="inlineStr">
        <is>
          <t>(Inherit)</t>
        </is>
      </c>
      <c r="C5" t="str">
        <f>IF(Demographics_F_Company_Size="(Inherit)",F_Company_Size,Demographics_F_Company_Size)</f>
        <v>(All)</v>
      </c>
      <c r="D5" t="str">
        <f>"|" &amp; SUBSTITUTE(Demographics_F_Company_Size_resolved, ", ", "|") &amp; "|"</f>
        <v>|(All)|</v>
      </c>
      <c r="E5" t="inlineStr">
        <is>
          <t>Small, Large</t>
        </is>
      </c>
    </row>
    <row r="6">
      <c r="A6" t="inlineStr">
        <is>
          <t>Org Age</t>
        </is>
      </c>
      <c r="B6" t="inlineStr">
        <is>
          <t>(Inherit)</t>
        </is>
      </c>
      <c r="C6" t="str">
        <f>IF(Demographics_F_Age="(Inherit)",F_Age,Demographics_F_Age)</f>
        <v>(All)</v>
      </c>
      <c r="D6" t="str">
        <f>"|" &amp; SUBSTITUTE(Demographics_F_Age_resolved, ", ", "|") &amp; "|"</f>
        <v>|(All)|</v>
      </c>
      <c r="E6" t="inlineStr">
        <is>
          <t>New, Established</t>
        </is>
      </c>
    </row>
    <row r="7">
      <c r="A7" t="inlineStr">
        <is>
          <t>Custom 1 question</t>
        </is>
      </c>
      <c r="B7" t="inlineStr">
        <is>
          <t>(Inherit)</t>
        </is>
      </c>
      <c r="C7" t="str">
        <f>IF(Demographics_F_Custom1_Q="(Inherit)",F_Custom1_Q,Demographics_F_Custom1_Q)</f>
        <v>(None)</v>
      </c>
      <c r="E7" t="inlineStr">
        <is>
          <t>Workbook question or local override</t>
        </is>
      </c>
    </row>
    <row r="8">
      <c r="A8" t="inlineStr">
        <is>
          <t>Custom 1 value</t>
        </is>
      </c>
      <c r="B8" t="inlineStr">
        <is>
          <t>(Inherit)</t>
        </is>
      </c>
      <c r="C8" t="str">
        <f>IF(Demographics_F_Custom1_V="(Inherit)",F_Custom1_V,Demographics_F_Custom1_V)</f>
        <v>(All)</v>
      </c>
      <c r="D8" t="str">
        <f>"|" &amp; SUBSTITUTE(Demographics_F_Custom1_V_resolved, ", ", "|") &amp; "|"</f>
        <v>|(All)|</v>
      </c>
      <c r="E8" t="inlineStr">
        <is>
          <t>Choose one value or type comma-separated values</t>
        </is>
      </c>
      <c r="F8" t="str">
        <f>XLOOKUP(Demographics_F_Custom1_Q_resolved,All_Questions,All_Questions_Data_Names,"respondent_id_data")</f>
        <v>respondent_id_data</v>
      </c>
    </row>
    <row r="9">
      <c r="A9" t="inlineStr">
        <is>
          <t>Custom 2 question</t>
        </is>
      </c>
      <c r="B9" t="inlineStr">
        <is>
          <t>(Inherit)</t>
        </is>
      </c>
      <c r="C9" t="str">
        <f>IF(Demographics_F_Custom2_Q="(Inherit)",F_Custom2_Q,Demographics_F_Custom2_Q)</f>
        <v>(None)</v>
      </c>
      <c r="E9" t="inlineStr">
        <is>
          <t>Workbook question or local override</t>
        </is>
      </c>
    </row>
    <row r="10">
      <c r="A10" t="inlineStr">
        <is>
          <t>Custom 2 value</t>
        </is>
      </c>
      <c r="B10" t="inlineStr">
        <is>
          <t>(Inherit)</t>
        </is>
      </c>
      <c r="C10" t="str">
        <f>IF(Demographics_F_Custom2_V="(Inherit)",F_Custom2_V,Demographics_F_Custom2_V)</f>
        <v>(All)</v>
      </c>
      <c r="D10" t="str">
        <f>"|" &amp; SUBSTITUTE(Demographics_F_Custom2_V_resolved, ", ", "|") &amp; "|"</f>
        <v>|(All)|</v>
      </c>
      <c r="E10" t="inlineStr">
        <is>
          <t>Choose one value or type comma-separated values</t>
        </is>
      </c>
      <c r="F10" t="str">
        <f>XLOOKUP(Demographics_F_Custom2_Q_resolved,All_Questions,All_Questions_Data_Names,"respondent_id_data")</f>
        <v>respondent_id_data</v>
      </c>
    </row>
    <row r="13">
      <c r="A13" s="11" t="n"/>
      <c r="B13" s="11" t="n"/>
      <c r="C13" s="11" t="n"/>
      <c r="D13" s="11" t="n"/>
      <c r="E13" s="11" t="n"/>
      <c r="F13" s="11" t="n"/>
      <c r="G13" s="11" t="n"/>
      <c r="H13" s="11" t="n"/>
      <c r="I13" s="11" t="n"/>
      <c r="J13" s="11" t="n"/>
    </row>
    <row r="14">
      <c r="A14" s="12" t="inlineStr">
        <is>
          <t>Q4 - Org Size</t>
        </is>
      </c>
      <c r="B14" s="12" t="n"/>
      <c r="C14" s="12" t="n"/>
      <c r="D14" s="12" t="n"/>
      <c r="E14" s="12" t="n"/>
      <c r="F14" s="12" t="n"/>
      <c r="G14" s="12" t="n"/>
      <c r="H14" s="12" t="n"/>
      <c r="I14" s="12" t="n"/>
      <c r="J14" s="12" t="n"/>
      <c r="K14" s="12" t="n"/>
      <c r="L14" s="12" t="n"/>
      <c r="M14" s="12" t="n"/>
      <c r="N14" s="12" t="n"/>
    </row>
    <row r="15">
      <c r="A15" s="13" t="inlineStr">
        <is>
          <t>Per-question filter</t>
        </is>
      </c>
      <c r="B15" t="inlineStr">
        <is>
          <t>Filter Q</t>
        </is>
      </c>
      <c r="C15" t="inlineStr">
        <is>
          <t>(None)</t>
        </is>
      </c>
      <c r="D15" t="inlineStr">
        <is>
          <t>Value</t>
        </is>
      </c>
      <c r="E15" t="inlineStr">
        <is>
          <t>(All)</t>
        </is>
      </c>
      <c r="F15" t="str">
        <f>XLOOKUP(Demographics_Q4_F_Q,All_Questions,All_Questions_Data_Names,"respondent_id_data")</f>
        <v>respondent_id_data</v>
      </c>
      <c r="G15" t="str">
        <f>"|" &amp; SUBSTITUTE(Demographics_Q4_F_V, ", ", "|") &amp; "|"</f>
        <v>|(All)|</v>
      </c>
    </row>
    <row r="16">
      <c r="A16" s="13" t="inlineStr">
        <is>
          <t>Cross-tab by</t>
        </is>
      </c>
      <c r="C16" t="inlineStr">
        <is>
          <t>(None)</t>
        </is>
      </c>
    </row>
    <row r="18">
      <c r="A18" s="4" t="inlineStr">
        <is>
          <t>Option</t>
        </is>
      </c>
      <c r="B18" s="4" t="inlineStr">
        <is>
          <t>Count</t>
        </is>
      </c>
      <c r="C18" s="4" t="inlineStr">
        <is>
          <t>%</t>
        </is>
      </c>
      <c r="D18" s="4" t="inlineStr">
        <is>
          <t>Denominator</t>
        </is>
      </c>
      <c r="F18" s="5" t="inlineStr">
        <is>
          <t>Option \ Cross-tab</t>
        </is>
      </c>
      <c r="G18" t="str">
        <f>IFERROR(INDEX(INDIRECT(XLOOKUP(Demographics_Q4_CT,All_Questions,All_Questions_Options_Names,"None_options")),2),"")</f>
        <v/>
      </c>
      <c r="H18" t="str">
        <f>IFERROR(INDEX(INDIRECT(XLOOKUP(Demographics_Q4_CT,All_Questions,All_Questions_Options_Names,"None_options")),3),"")</f>
        <v/>
      </c>
      <c r="I18" t="str">
        <f>IFERROR(INDEX(INDIRECT(XLOOKUP(Demographics_Q4_CT,All_Questions,All_Questions_Options_Names,"None_options")),4),"")</f>
        <v/>
      </c>
      <c r="J18" t="str">
        <f>IFERROR(INDEX(INDIRECT(XLOOKUP(Demographics_Q4_CT,All_Questions,All_Questions_Options_Names,"None_options")),5),"")</f>
        <v/>
      </c>
      <c r="K18" t="str">
        <f>IFERROR(INDEX(INDIRECT(XLOOKUP(Demographics_Q4_CT,All_Questions,All_Questions_Options_Names,"None_options")),6),"")</f>
        <v/>
      </c>
      <c r="L18" t="str">
        <f>IFERROR(INDEX(INDIRECT(XLOOKUP(Demographics_Q4_CT,All_Questions,All_Questions_Options_Names,"None_options")),7),"")</f>
        <v/>
      </c>
      <c r="M18" t="str">
        <f>IFERROR(INDEX(INDIRECT(XLOOKUP(Demographics_Q4_CT,All_Questions,All_Questions_Options_Names,"None_options")),8),"")</f>
        <v/>
      </c>
      <c r="N18" t="str">
        <f>IFERROR(INDEX(INDIRECT(XLOOKUP(Demographics_Q4_CT,All_Questions,All_Questions_Options_Names,"None_options")),9),"")</f>
        <v/>
      </c>
      <c r="O18" s="5" t="inlineStr">
        <is>
          <t>TOTAL</t>
        </is>
      </c>
    </row>
    <row r="19">
      <c r="A19" t="inlineStr">
        <is>
          <t>Small</t>
        </is>
      </c>
      <c r="B19">
        <f>COUNTIFS(Q4_data,"Small",passes_workbook_filters_data,1,passes_workbook_custom_filters_data,1,Demographics_passes_local_filters_data,1,Demographics_Q4_F_passes_per_q_filter_data,1)</f>
        <v>1</v>
      </c>
      <c r="C19" s="7">
        <f>IFERROR(B19/SUBTOTAL(9,B19:B20),0)</f>
        <v>0.5</v>
      </c>
      <c r="D19" s="14">
        <f>SUBTOTAL(9,B19:B20)</f>
        <v>2</v>
      </c>
      <c r="F19" t="inlineStr">
        <is>
          <t>Small</t>
        </is>
      </c>
      <c r="G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19">
        <f>(Demographics_Q4_CT&lt;&gt;"(None)")*COUNTIFS(Q4_data,"Small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19">
        <f>SUM(G19:N19)</f>
        <v>0</v>
      </c>
    </row>
    <row r="20">
      <c r="A20" t="inlineStr">
        <is>
          <t>Large</t>
        </is>
      </c>
      <c r="B20">
        <f>COUNTIFS(Q4_data,"Large",passes_workbook_filters_data,1,passes_workbook_custom_filters_data,1,Demographics_passes_local_filters_data,1,Demographics_Q4_F_passes_per_q_filter_data,1)</f>
        <v>1</v>
      </c>
      <c r="C20" s="7">
        <f>IFERROR(B20/SUBTOTAL(9,B19:B20),0)</f>
        <v>0.5</v>
      </c>
      <c r="D20" s="14">
        <f>SUBTOTAL(9,B19:B20)</f>
        <v>2</v>
      </c>
      <c r="F20" t="inlineStr">
        <is>
          <t>Large</t>
        </is>
      </c>
      <c r="G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G$18)</f>
        <v>0</v>
      </c>
      <c r="H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H$18)</f>
        <v>0</v>
      </c>
      <c r="I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I$18)</f>
        <v>0</v>
      </c>
      <c r="J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J$18)</f>
        <v>0</v>
      </c>
      <c r="K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K$18)</f>
        <v>0</v>
      </c>
      <c r="L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L$18)</f>
        <v>0</v>
      </c>
      <c r="M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M$18)</f>
        <v>0</v>
      </c>
      <c r="N20">
        <f>(Demographics_Q4_CT&lt;&gt;"(None)")*COUNTIFS(Q4_data,"Large",passes_workbook_filters_data,1,passes_workbook_custom_filters_data,1,Demographics_passes_local_filters_data,1,Demographics_Q4_F_passes_per_q_filter_data,1,INDIRECT(XLOOKUP(Demographics_Q4_CT,All_Questions,All_Questions_Data_Names,"respondent_id_data")),N$18)</f>
        <v>0</v>
      </c>
      <c r="O20">
        <f>SUM(G20:N20)</f>
        <v>0</v>
      </c>
    </row>
    <row r="21">
      <c r="A21" s="15" t="inlineStr">
        <is>
          <t>Total respondents</t>
        </is>
      </c>
      <c r="B21" s="15" t="n">
        <v>2</v>
      </c>
      <c r="C21" s="15" t="n"/>
      <c r="D21" s="15" t="n"/>
    </row>
    <row r="23">
      <c r="A23" s="11" t="n"/>
      <c r="B23" s="11" t="n"/>
      <c r="C23" s="11" t="n"/>
      <c r="D23" s="11" t="n"/>
      <c r="E23" s="11" t="n"/>
      <c r="F23" s="11" t="n"/>
      <c r="G23" s="11" t="n"/>
      <c r="H23" s="11" t="n"/>
      <c r="I23" s="11" t="n"/>
      <c r="J23" s="11" t="n"/>
    </row>
    <row r="24">
      <c r="A24" s="12" t="inlineStr">
        <is>
          <t>Q14 - Org Age</t>
        </is>
      </c>
      <c r="B24" s="12" t="n"/>
      <c r="C24" s="12" t="n"/>
      <c r="D24" s="12" t="n"/>
      <c r="E24" s="12" t="n"/>
      <c r="F24" s="12" t="n"/>
      <c r="G24" s="12" t="n"/>
      <c r="H24" s="12" t="n"/>
      <c r="I24" s="12" t="n"/>
      <c r="J24" s="12" t="n"/>
      <c r="K24" s="12" t="n"/>
      <c r="L24" s="12" t="n"/>
      <c r="M24" s="12" t="n"/>
      <c r="N24" s="12" t="n"/>
    </row>
    <row r="25">
      <c r="A25" s="13" t="inlineStr">
        <is>
          <t>Per-question filter</t>
        </is>
      </c>
      <c r="B25" t="inlineStr">
        <is>
          <t>Filter Q</t>
        </is>
      </c>
      <c r="C25" t="inlineStr">
        <is>
          <t>(None)</t>
        </is>
      </c>
      <c r="D25" t="inlineStr">
        <is>
          <t>Value</t>
        </is>
      </c>
      <c r="E25" t="inlineStr">
        <is>
          <t>(All)</t>
        </is>
      </c>
      <c r="F25" t="str">
        <f>XLOOKUP(Demographics_Q14_F_Q,All_Questions,All_Questions_Data_Names,"respondent_id_data")</f>
        <v>respondent_id_data</v>
      </c>
      <c r="G25" t="str">
        <f>"|" &amp; SUBSTITUTE(Demographics_Q14_F_V, ", ", "|") &amp; "|"</f>
        <v>|(All)|</v>
      </c>
    </row>
    <row r="26">
      <c r="A26" s="13" t="inlineStr">
        <is>
          <t>Cross-tab by</t>
        </is>
      </c>
      <c r="C26" t="inlineStr">
        <is>
          <t>(None)</t>
        </is>
      </c>
    </row>
    <row r="28">
      <c r="A28" s="4" t="inlineStr">
        <is>
          <t>Option</t>
        </is>
      </c>
      <c r="B28" s="4" t="inlineStr">
        <is>
          <t>Count</t>
        </is>
      </c>
      <c r="C28" s="4" t="inlineStr">
        <is>
          <t>%</t>
        </is>
      </c>
      <c r="D28" s="4" t="inlineStr">
        <is>
          <t>Denominator</t>
        </is>
      </c>
      <c r="F28" s="5" t="inlineStr">
        <is>
          <t>Option \ Cross-tab</t>
        </is>
      </c>
      <c r="G28" t="str">
        <f>IFERROR(INDEX(INDIRECT(XLOOKUP(Demographics_Q14_CT,All_Questions,All_Questions_Options_Names,"None_options")),2),"")</f>
        <v/>
      </c>
      <c r="H28" t="str">
        <f>IFERROR(INDEX(INDIRECT(XLOOKUP(Demographics_Q14_CT,All_Questions,All_Questions_Options_Names,"None_options")),3),"")</f>
        <v/>
      </c>
      <c r="I28" t="str">
        <f>IFERROR(INDEX(INDIRECT(XLOOKUP(Demographics_Q14_CT,All_Questions,All_Questions_Options_Names,"None_options")),4),"")</f>
        <v/>
      </c>
      <c r="J28" t="str">
        <f>IFERROR(INDEX(INDIRECT(XLOOKUP(Demographics_Q14_CT,All_Questions,All_Questions_Options_Names,"None_options")),5),"")</f>
        <v/>
      </c>
      <c r="K28" t="str">
        <f>IFERROR(INDEX(INDIRECT(XLOOKUP(Demographics_Q14_CT,All_Questions,All_Questions_Options_Names,"None_options")),6),"")</f>
        <v/>
      </c>
      <c r="L28" t="str">
        <f>IFERROR(INDEX(INDIRECT(XLOOKUP(Demographics_Q14_CT,All_Questions,All_Questions_Options_Names,"None_options")),7),"")</f>
        <v/>
      </c>
      <c r="M28" t="str">
        <f>IFERROR(INDEX(INDIRECT(XLOOKUP(Demographics_Q14_CT,All_Questions,All_Questions_Options_Names,"None_options")),8),"")</f>
        <v/>
      </c>
      <c r="N28" t="str">
        <f>IFERROR(INDEX(INDIRECT(XLOOKUP(Demographics_Q14_CT,All_Questions,All_Questions_Options_Names,"None_options")),9),"")</f>
        <v/>
      </c>
      <c r="O28" s="5" t="inlineStr">
        <is>
          <t>TOTAL</t>
        </is>
      </c>
    </row>
    <row r="29">
      <c r="A29" t="inlineStr">
        <is>
          <t>New</t>
        </is>
      </c>
      <c r="B29">
        <f>COUNTIFS(Q14_data,"New",passes_workbook_filters_data,1,passes_workbook_custom_filters_data,1,Demographics_passes_local_filters_data,1,Demographics_Q14_F_passes_per_q_filter_data,1)</f>
        <v>1</v>
      </c>
      <c r="C29" s="7">
        <f>IFERROR(B29/SUBTOTAL(9,B29:B30),0)</f>
        <v>0.5</v>
      </c>
      <c r="D29" s="14">
        <f>SUBTOTAL(9,B29:B30)</f>
        <v>2</v>
      </c>
      <c r="F29" t="inlineStr">
        <is>
          <t>New</t>
        </is>
      </c>
      <c r="G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29">
        <f>(Demographics_Q14_CT&lt;&gt;"(None)")*COUNTIFS(Q14_data,"New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29">
        <f>SUM(G29:N29)</f>
        <v>0</v>
      </c>
    </row>
    <row r="30">
      <c r="A30" t="inlineStr">
        <is>
          <t>Established</t>
        </is>
      </c>
      <c r="B30">
        <f>COUNTIFS(Q14_data,"Established",passes_workbook_filters_data,1,passes_workbook_custom_filters_data,1,Demographics_passes_local_filters_data,1,Demographics_Q14_F_passes_per_q_filter_data,1)</f>
        <v>1</v>
      </c>
      <c r="C30" s="7">
        <f>IFERROR(B30/SUBTOTAL(9,B29:B30),0)</f>
        <v>0.5</v>
      </c>
      <c r="D30" s="14">
        <f>SUBTOTAL(9,B29:B30)</f>
        <v>2</v>
      </c>
      <c r="F30" t="inlineStr">
        <is>
          <t>Established</t>
        </is>
      </c>
      <c r="G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G$28)</f>
        <v>0</v>
      </c>
      <c r="H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H$28)</f>
        <v>0</v>
      </c>
      <c r="I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I$28)</f>
        <v>0</v>
      </c>
      <c r="J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J$28)</f>
        <v>0</v>
      </c>
      <c r="K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K$28)</f>
        <v>0</v>
      </c>
      <c r="L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L$28)</f>
        <v>0</v>
      </c>
      <c r="M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M$28)</f>
        <v>0</v>
      </c>
      <c r="N30">
        <f>(Demographics_Q14_CT&lt;&gt;"(None)")*COUNTIFS(Q14_data,"Established",passes_workbook_filters_data,1,passes_workbook_custom_filters_data,1,Demographics_passes_local_filters_data,1,Demographics_Q14_F_passes_per_q_filter_data,1,INDIRECT(XLOOKUP(Demographics_Q14_CT,All_Questions,All_Questions_Data_Names,"respondent_id_data")),N$28)</f>
        <v>0</v>
      </c>
      <c r="O30">
        <f>SUM(G30:N30)</f>
        <v>0</v>
      </c>
    </row>
    <row r="31">
      <c r="A31" s="15" t="inlineStr">
        <is>
          <t>Total respondents</t>
        </is>
      </c>
      <c r="B31" s="15" t="n">
        <v>2</v>
      </c>
      <c r="C31" s="15" t="n"/>
      <c r="D31" s="15" t="n"/>
    </row>
  </sheetData>
  <mergeCells count="1">
    <mergeCell ref="A1:J1"/>
  </mergeCells>
  <conditionalFormatting sqref="B19:B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9:C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19:N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19:O20">
    <cfRule type="colorScale" priority="4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B29:B30">
    <cfRule type="colorScale" priority="5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29:C30">
    <cfRule type="colorScale" priority="6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G29:N30">
    <cfRule type="colorScale" priority="7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O29:O30">
    <cfRule type="colorScale" priority="8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12">
    <dataValidation sqref="B5" showDropDown="0" showInputMessage="0" showErrorMessage="0" allowBlank="1" type="list">
      <formula1>=Q4_local_options</formula1>
    </dataValidation>
    <dataValidation sqref="B6" showDropDown="0" showInputMessage="0" showErrorMessage="0" allowBlank="1" type="list">
      <formula1>=Q14_local_options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=INDIRECT(XLOOKUP(Demographics_F_Custom1_Q_resolved,All_Questions,All_Questions_Options_Names,"None_options"))</formula1>
    </dataValidation>
    <dataValidation sqref="B9" showDropDown="0" showInputMessage="0" showErrorMessage="0" allowBlank="1" type="list">
      <formula1>=All_Questions_Local</formula1>
    </dataValidation>
    <dataValidation sqref="B10" showDropDown="0" showInputMessage="0" showErrorMessage="0" allowBlank="1" type="list">
      <formula1>=INDIRECT(XLOOKUP(Demographics_F_Custom2_Q_resolved,All_Questions,All_Questions_Options_Names,"None_options"))</formula1>
    </dataValidation>
    <dataValidation sqref="C15" showDropDown="0" showInputMessage="0" showErrorMessage="0" allowBlank="1" type="list">
      <formula1>=All_Questions</formula1>
    </dataValidation>
    <dataValidation sqref="E15" showDropDown="0" showInputMessage="0" showErrorMessage="0" allowBlank="1" type="list">
      <formula1>=INDIRECT(XLOOKUP(Demographics_Q4_F_Q,All_Questions,All_Questions_Options_Names,"None_options"))</formula1>
    </dataValidation>
    <dataValidation sqref="C16" showDropDown="0" showInputMessage="0" showErrorMessage="0" allowBlank="1" type="list">
      <formula1>=All_Questions</formula1>
    </dataValidation>
    <dataValidation sqref="C25" showDropDown="0" showInputMessage="0" showErrorMessage="0" allowBlank="1" type="list">
      <formula1>=All_Questions</formula1>
    </dataValidation>
    <dataValidation sqref="E25" showDropDown="0" showInputMessage="0" showErrorMessage="0" allowBlank="1" type="list">
      <formula1>=INDIRECT(XLOOKUP(Demographics_Q14_F_Q,All_Questions,All_Questions_Options_Names,"None_options"))</formula1>
    </dataValidation>
    <dataValidation sqref="C26" showDropDown="0" showInputMessage="0" showErrorMessage="0" allowBlank="1" type="list">
      <formula1>=All_Questions</formula1>
    </dataValidation>
  </dataValidations>
  <pageMargins left="0.75" right="0.75" top="1" bottom="1" header="0.5" footer="0.5"/>
  <legacyDrawing r:id="anysvml"/>
  <tableParts count="2">
    <tablePart r:id="rId1"/>
    <tablePart r:id="rId2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2026-05-17T13:36:01Z</dcterms:created>
  <dcterms:modified xmlns:dcterms="http://purl.org/dc/terms/" xmlns:xsi="http://www.w3.org/2001/XMLSchema-instance" xsi:type="dcterms:W3CDTF">2026-05-17T13:36:01Z</dcterms:modified>
</cp:coreProperties>
</file>