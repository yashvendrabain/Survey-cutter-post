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'_Options'!$A$2:$A$3</definedName>
    <definedName name="All_Questions_Local">'_Options'!$B$2:$B$4</definedName>
    <definedName name="Cross_Tab_Questions">'_Options'!$R$2:$R$2</definedName>
    <definedName name="Cross_Tab_Questions_Data_Names">'_Options'!$S$2:$S$2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Q_RATED_filter_values_options">'_Options'!$U$2:$U$32</definedName>
    <definedName name="Q_RATED_filter_values_local_options">'_Options'!$V$2:$V$33</definedName>
    <definedName name="All_Questions_Data_Names">'_Options'!$C$2:$C$3</definedName>
    <definedName name="All_Questions_Options_Names">'_Options'!$D$2:$D$3</definedName>
    <definedName name="Cross_Tab_Questions_Options_Names">'_Options'!$T$2:$T$2</definedName>
    <definedName name="All_Questions_Value_Keys">'_Options'!$X$2:$X$61</definedName>
    <definedName name="All_Questions_Value_Data_Names">'_Options'!$Y$2:$Y$61</definedName>
    <definedName name="All_Questions_Value_Criteria">'_Options'!$Z$2:$Z$61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resolved_criteria">'All Questions'!$H$13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("|" &amp; SUBSTITUTE(All_Questions_Q_RATED_F_resolved_criteria,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("|" &amp; SUBSTITUTE(All_Questions_Q_RATED_F_resolved_criteria,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("|" &amp; SUBSTITUTE(All_Questions_Q_RATED_F_resolved_criteria,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("|" &amp; SUBSTITUTE(All_Questions_Q_RATED_F_resolved_criteria,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  <c r="R1" t="inlineStr">
        <is>
          <t>Cross_Tab_Questions</t>
        </is>
      </c>
      <c r="S1" t="inlineStr">
        <is>
          <t>Cross_Tab_Questions_Data_Names</t>
        </is>
      </c>
      <c r="T1" t="inlineStr">
        <is>
          <t>Cross_Tab_Questions_Options_Names</t>
        </is>
      </c>
      <c r="U1" t="inlineStr">
        <is>
          <t>Q_RATED_filter_values_options</t>
        </is>
      </c>
      <c r="V1" t="inlineStr">
        <is>
          <t>Q_RATED_filter_values_local_options</t>
        </is>
      </c>
      <c r="X1" t="inlineStr">
        <is>
          <t>All_Questions_Value_Keys</t>
        </is>
      </c>
      <c r="Y1" t="inlineStr">
        <is>
          <t>All_Questions_Value_Data_Names</t>
        </is>
      </c>
      <c r="Z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(None)</t>
        </is>
      </c>
      <c r="S2" t="inlineStr">
        <is>
          <t>'_RawData'!$A$2:$A$5</t>
        </is>
      </c>
      <c r="T2" t="inlineStr">
        <is>
          <t>'_Options'!$E$2:$E$2</t>
        </is>
      </c>
      <c r="U2" t="inlineStr">
        <is>
          <t>(All)</t>
        </is>
      </c>
      <c r="V2" t="inlineStr">
        <is>
          <t>(Inherit)</t>
        </is>
      </c>
      <c r="X2" t="inlineStr">
        <is>
          <t>Q_RATED - Q_Rated - Rate Each Vendor Attribute|Implementation speed: 1</t>
        </is>
      </c>
      <c r="Y2" t="inlineStr">
        <is>
          <t>'_RawData'!$B$2:$B$5</t>
        </is>
      </c>
      <c r="Z2" t="inlineStr">
        <is>
          <t>1</t>
        </is>
      </c>
    </row>
    <row r="3">
      <c r="A3" t="inlineStr">
        <is>
          <t>Q_RATED - Q_Rated - Rate Each Vendor Attribute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'_Options'!$U$2:$U$32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U3" t="inlineStr">
        <is>
          <t>Implementation speed: 1</t>
        </is>
      </c>
      <c r="V3" t="inlineStr">
        <is>
          <t>(All)</t>
        </is>
      </c>
      <c r="X3" t="inlineStr">
        <is>
          <t>Q_RATED - Q_Rated - Rate Each Vendor Attribute|Implementation speed: 2</t>
        </is>
      </c>
      <c r="Y3" t="inlineStr">
        <is>
          <t>'_RawData'!$B$2:$B$5</t>
        </is>
      </c>
      <c r="Z3" t="inlineStr">
        <is>
          <t>2</t>
        </is>
      </c>
    </row>
    <row r="4">
      <c r="B4" t="inlineStr">
        <is>
          <t>Q_RATED - Q_Rated - Rate Each Vendor Attribute</t>
        </is>
      </c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  <c r="U4" t="inlineStr">
        <is>
          <t>Implementation speed: 2</t>
        </is>
      </c>
      <c r="V4" t="inlineStr">
        <is>
          <t>Implementation speed: 1</t>
        </is>
      </c>
      <c r="X4" t="inlineStr">
        <is>
          <t>Q_RATED - Q_Rated - Rate Each Vendor Attribute|Implementation speed: 3</t>
        </is>
      </c>
      <c r="Y4" t="inlineStr">
        <is>
          <t>'_RawData'!$B$2:$B$5</t>
        </is>
      </c>
      <c r="Z4" t="inlineStr">
        <is>
          <t>3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  <c r="U5" t="inlineStr">
        <is>
          <t>Implementation speed: 3</t>
        </is>
      </c>
      <c r="V5" t="inlineStr">
        <is>
          <t>Implementation speed: 2</t>
        </is>
      </c>
      <c r="X5" t="inlineStr">
        <is>
          <t>Q_RATED - Q_Rated - Rate Each Vendor Attribute|Implementation speed: 4</t>
        </is>
      </c>
      <c r="Y5" t="inlineStr">
        <is>
          <t>'_RawData'!$B$2:$B$5</t>
        </is>
      </c>
      <c r="Z5" t="inlineStr">
        <is>
          <t>4</t>
        </is>
      </c>
    </row>
    <row r="6">
      <c r="U6" t="inlineStr">
        <is>
          <t>Implementation speed: 4</t>
        </is>
      </c>
      <c r="V6" t="inlineStr">
        <is>
          <t>Implementation speed: 3</t>
        </is>
      </c>
      <c r="X6" t="inlineStr">
        <is>
          <t>Q_RATED - Q_Rated - Rate Each Vendor Attribute|Implementation speed: 5</t>
        </is>
      </c>
      <c r="Y6" t="inlineStr">
        <is>
          <t>'_RawData'!$B$2:$B$5</t>
        </is>
      </c>
      <c r="Z6" t="inlineStr">
        <is>
          <t>5</t>
        </is>
      </c>
    </row>
    <row r="7">
      <c r="U7" t="inlineStr">
        <is>
          <t>Implementation speed: 5</t>
        </is>
      </c>
      <c r="V7" t="inlineStr">
        <is>
          <t>Implementation speed: 4</t>
        </is>
      </c>
      <c r="X7" t="inlineStr">
        <is>
          <t>Q_RATED - Q_Rated - Rate Each Vendor Attribute|Implementation speed: 6</t>
        </is>
      </c>
      <c r="Y7" t="inlineStr">
        <is>
          <t>'_RawData'!$B$2:$B$5</t>
        </is>
      </c>
      <c r="Z7" t="inlineStr">
        <is>
          <t>6</t>
        </is>
      </c>
    </row>
    <row r="8">
      <c r="U8" t="inlineStr">
        <is>
          <t>Implementation speed: 6</t>
        </is>
      </c>
      <c r="V8" t="inlineStr">
        <is>
          <t>Implementation speed: 5</t>
        </is>
      </c>
      <c r="X8" t="inlineStr">
        <is>
          <t>Q_RATED - Q_Rated - Rate Each Vendor Attribute|Implementation speed: 7</t>
        </is>
      </c>
      <c r="Y8" t="inlineStr">
        <is>
          <t>'_RawData'!$B$2:$B$5</t>
        </is>
      </c>
      <c r="Z8" t="inlineStr">
        <is>
          <t>7</t>
        </is>
      </c>
    </row>
    <row r="9">
      <c r="U9" t="inlineStr">
        <is>
          <t>Implementation speed: 7</t>
        </is>
      </c>
      <c r="V9" t="inlineStr">
        <is>
          <t>Implementation speed: 6</t>
        </is>
      </c>
      <c r="X9" t="inlineStr">
        <is>
          <t>Q_RATED - Q_Rated - Rate Each Vendor Attribute|Implementation speed: 8</t>
        </is>
      </c>
      <c r="Y9" t="inlineStr">
        <is>
          <t>'_RawData'!$B$2:$B$5</t>
        </is>
      </c>
      <c r="Z9" t="inlineStr">
        <is>
          <t>8</t>
        </is>
      </c>
    </row>
    <row r="10">
      <c r="U10" t="inlineStr">
        <is>
          <t>Implementation speed: 8</t>
        </is>
      </c>
      <c r="V10" t="inlineStr">
        <is>
          <t>Implementation speed: 7</t>
        </is>
      </c>
      <c r="X10" t="inlineStr">
        <is>
          <t>Q_RATED - Q_Rated - Rate Each Vendor Attribute|Implementation speed: 9</t>
        </is>
      </c>
      <c r="Y10" t="inlineStr">
        <is>
          <t>'_RawData'!$B$2:$B$5</t>
        </is>
      </c>
      <c r="Z10" t="inlineStr">
        <is>
          <t>9</t>
        </is>
      </c>
    </row>
    <row r="11">
      <c r="U11" t="inlineStr">
        <is>
          <t>Implementation speed: 9</t>
        </is>
      </c>
      <c r="V11" t="inlineStr">
        <is>
          <t>Implementation speed: 8</t>
        </is>
      </c>
      <c r="X11" t="inlineStr">
        <is>
          <t>Q_RATED - Q_Rated - Rate Each Vendor Attribute|Implementation speed: 10</t>
        </is>
      </c>
      <c r="Y11" t="inlineStr">
        <is>
          <t>'_RawData'!$B$2:$B$5</t>
        </is>
      </c>
      <c r="Z11" t="inlineStr">
        <is>
          <t>10</t>
        </is>
      </c>
    </row>
    <row r="12">
      <c r="U12" t="inlineStr">
        <is>
          <t>Implementation speed: 10</t>
        </is>
      </c>
      <c r="V12" t="inlineStr">
        <is>
          <t>Implementation speed: 9</t>
        </is>
      </c>
      <c r="X12" t="inlineStr">
        <is>
          <t>Q_RATED - Q_Rated - Rate Each Vendor Attribute|Implementation speed: 1</t>
        </is>
      </c>
      <c r="Y12" t="inlineStr">
        <is>
          <t>'_RawData'!$C$2:$C$5</t>
        </is>
      </c>
      <c r="Z12" t="inlineStr">
        <is>
          <t>1</t>
        </is>
      </c>
    </row>
    <row r="13">
      <c r="U13" t="inlineStr">
        <is>
          <t>Integration fit: 1</t>
        </is>
      </c>
      <c r="V13" t="inlineStr">
        <is>
          <t>Implementation speed: 10</t>
        </is>
      </c>
      <c r="X13" t="inlineStr">
        <is>
          <t>Q_RATED - Q_Rated - Rate Each Vendor Attribute|Implementation speed: 2</t>
        </is>
      </c>
      <c r="Y13" t="inlineStr">
        <is>
          <t>'_RawData'!$C$2:$C$5</t>
        </is>
      </c>
      <c r="Z13" t="inlineStr">
        <is>
          <t>2</t>
        </is>
      </c>
    </row>
    <row r="14">
      <c r="U14" t="inlineStr">
        <is>
          <t>Integration fit: 2</t>
        </is>
      </c>
      <c r="V14" t="inlineStr">
        <is>
          <t>Integration fit: 1</t>
        </is>
      </c>
      <c r="X14" t="inlineStr">
        <is>
          <t>Q_RATED - Q_Rated - Rate Each Vendor Attribute|Implementation speed: 3</t>
        </is>
      </c>
      <c r="Y14" t="inlineStr">
        <is>
          <t>'_RawData'!$C$2:$C$5</t>
        </is>
      </c>
      <c r="Z14" t="inlineStr">
        <is>
          <t>3</t>
        </is>
      </c>
    </row>
    <row r="15">
      <c r="U15" t="inlineStr">
        <is>
          <t>Integration fit: 3</t>
        </is>
      </c>
      <c r="V15" t="inlineStr">
        <is>
          <t>Integration fit: 2</t>
        </is>
      </c>
      <c r="X15" t="inlineStr">
        <is>
          <t>Q_RATED - Q_Rated - Rate Each Vendor Attribute|Implementation speed: 4</t>
        </is>
      </c>
      <c r="Y15" t="inlineStr">
        <is>
          <t>'_RawData'!$C$2:$C$5</t>
        </is>
      </c>
      <c r="Z15" t="inlineStr">
        <is>
          <t>4</t>
        </is>
      </c>
    </row>
    <row r="16">
      <c r="U16" t="inlineStr">
        <is>
          <t>Integration fit: 4</t>
        </is>
      </c>
      <c r="V16" t="inlineStr">
        <is>
          <t>Integration fit: 3</t>
        </is>
      </c>
      <c r="X16" t="inlineStr">
        <is>
          <t>Q_RATED - Q_Rated - Rate Each Vendor Attribute|Implementation speed: 5</t>
        </is>
      </c>
      <c r="Y16" t="inlineStr">
        <is>
          <t>'_RawData'!$C$2:$C$5</t>
        </is>
      </c>
      <c r="Z16" t="inlineStr">
        <is>
          <t>5</t>
        </is>
      </c>
    </row>
    <row r="17">
      <c r="U17" t="inlineStr">
        <is>
          <t>Integration fit: 5</t>
        </is>
      </c>
      <c r="V17" t="inlineStr">
        <is>
          <t>Integration fit: 4</t>
        </is>
      </c>
      <c r="X17" t="inlineStr">
        <is>
          <t>Q_RATED - Q_Rated - Rate Each Vendor Attribute|Implementation speed: 6</t>
        </is>
      </c>
      <c r="Y17" t="inlineStr">
        <is>
          <t>'_RawData'!$C$2:$C$5</t>
        </is>
      </c>
      <c r="Z17" t="inlineStr">
        <is>
          <t>6</t>
        </is>
      </c>
    </row>
    <row r="18">
      <c r="U18" t="inlineStr">
        <is>
          <t>Integration fit: 6</t>
        </is>
      </c>
      <c r="V18" t="inlineStr">
        <is>
          <t>Integration fit: 5</t>
        </is>
      </c>
      <c r="X18" t="inlineStr">
        <is>
          <t>Q_RATED - Q_Rated - Rate Each Vendor Attribute|Implementation speed: 7</t>
        </is>
      </c>
      <c r="Y18" t="inlineStr">
        <is>
          <t>'_RawData'!$C$2:$C$5</t>
        </is>
      </c>
      <c r="Z18" t="inlineStr">
        <is>
          <t>7</t>
        </is>
      </c>
    </row>
    <row r="19">
      <c r="U19" t="inlineStr">
        <is>
          <t>Integration fit: 7</t>
        </is>
      </c>
      <c r="V19" t="inlineStr">
        <is>
          <t>Integration fit: 6</t>
        </is>
      </c>
      <c r="X19" t="inlineStr">
        <is>
          <t>Q_RATED - Q_Rated - Rate Each Vendor Attribute|Implementation speed: 8</t>
        </is>
      </c>
      <c r="Y19" t="inlineStr">
        <is>
          <t>'_RawData'!$C$2:$C$5</t>
        </is>
      </c>
      <c r="Z19" t="inlineStr">
        <is>
          <t>8</t>
        </is>
      </c>
    </row>
    <row r="20">
      <c r="U20" t="inlineStr">
        <is>
          <t>Integration fit: 8</t>
        </is>
      </c>
      <c r="V20" t="inlineStr">
        <is>
          <t>Integration fit: 7</t>
        </is>
      </c>
      <c r="X20" t="inlineStr">
        <is>
          <t>Q_RATED - Q_Rated - Rate Each Vendor Attribute|Implementation speed: 9</t>
        </is>
      </c>
      <c r="Y20" t="inlineStr">
        <is>
          <t>'_RawData'!$C$2:$C$5</t>
        </is>
      </c>
      <c r="Z20" t="inlineStr">
        <is>
          <t>9</t>
        </is>
      </c>
    </row>
    <row r="21">
      <c r="U21" t="inlineStr">
        <is>
          <t>Integration fit: 9</t>
        </is>
      </c>
      <c r="V21" t="inlineStr">
        <is>
          <t>Integration fit: 8</t>
        </is>
      </c>
      <c r="X21" t="inlineStr">
        <is>
          <t>Q_RATED - Q_Rated - Rate Each Vendor Attribute|Implementation speed: 10</t>
        </is>
      </c>
      <c r="Y21" t="inlineStr">
        <is>
          <t>'_RawData'!$C$2:$C$5</t>
        </is>
      </c>
      <c r="Z21" t="inlineStr">
        <is>
          <t>10</t>
        </is>
      </c>
    </row>
    <row r="22">
      <c r="U22" t="inlineStr">
        <is>
          <t>Integration fit: 10</t>
        </is>
      </c>
      <c r="V22" t="inlineStr">
        <is>
          <t>Integration fit: 9</t>
        </is>
      </c>
      <c r="X22" t="inlineStr">
        <is>
          <t>Q_RATED - Q_Rated - Rate Each Vendor Attribute|Integration fit: 1</t>
        </is>
      </c>
      <c r="Y22" t="inlineStr">
        <is>
          <t>'_RawData'!$D$2:$D$5</t>
        </is>
      </c>
      <c r="Z22" t="inlineStr">
        <is>
          <t>1</t>
        </is>
      </c>
    </row>
    <row r="23">
      <c r="U23" t="inlineStr">
        <is>
          <t>Efficiency gains: 1</t>
        </is>
      </c>
      <c r="V23" t="inlineStr">
        <is>
          <t>Integration fit: 10</t>
        </is>
      </c>
      <c r="X23" t="inlineStr">
        <is>
          <t>Q_RATED - Q_Rated - Rate Each Vendor Attribute|Integration fit: 2</t>
        </is>
      </c>
      <c r="Y23" t="inlineStr">
        <is>
          <t>'_RawData'!$D$2:$D$5</t>
        </is>
      </c>
      <c r="Z23" t="inlineStr">
        <is>
          <t>2</t>
        </is>
      </c>
    </row>
    <row r="24">
      <c r="U24" t="inlineStr">
        <is>
          <t>Efficiency gains: 2</t>
        </is>
      </c>
      <c r="V24" t="inlineStr">
        <is>
          <t>Efficiency gains: 1</t>
        </is>
      </c>
      <c r="X24" t="inlineStr">
        <is>
          <t>Q_RATED - Q_Rated - Rate Each Vendor Attribute|Integration fit: 3</t>
        </is>
      </c>
      <c r="Y24" t="inlineStr">
        <is>
          <t>'_RawData'!$D$2:$D$5</t>
        </is>
      </c>
      <c r="Z24" t="inlineStr">
        <is>
          <t>3</t>
        </is>
      </c>
    </row>
    <row r="25">
      <c r="U25" t="inlineStr">
        <is>
          <t>Efficiency gains: 3</t>
        </is>
      </c>
      <c r="V25" t="inlineStr">
        <is>
          <t>Efficiency gains: 2</t>
        </is>
      </c>
      <c r="X25" t="inlineStr">
        <is>
          <t>Q_RATED - Q_Rated - Rate Each Vendor Attribute|Integration fit: 4</t>
        </is>
      </c>
      <c r="Y25" t="inlineStr">
        <is>
          <t>'_RawData'!$D$2:$D$5</t>
        </is>
      </c>
      <c r="Z25" t="inlineStr">
        <is>
          <t>4</t>
        </is>
      </c>
    </row>
    <row r="26">
      <c r="U26" t="inlineStr">
        <is>
          <t>Efficiency gains: 4</t>
        </is>
      </c>
      <c r="V26" t="inlineStr">
        <is>
          <t>Efficiency gains: 3</t>
        </is>
      </c>
      <c r="X26" t="inlineStr">
        <is>
          <t>Q_RATED - Q_Rated - Rate Each Vendor Attribute|Integration fit: 5</t>
        </is>
      </c>
      <c r="Y26" t="inlineStr">
        <is>
          <t>'_RawData'!$D$2:$D$5</t>
        </is>
      </c>
      <c r="Z26" t="inlineStr">
        <is>
          <t>5</t>
        </is>
      </c>
    </row>
    <row r="27">
      <c r="U27" t="inlineStr">
        <is>
          <t>Efficiency gains: 5</t>
        </is>
      </c>
      <c r="V27" t="inlineStr">
        <is>
          <t>Efficiency gains: 4</t>
        </is>
      </c>
      <c r="X27" t="inlineStr">
        <is>
          <t>Q_RATED - Q_Rated - Rate Each Vendor Attribute|Integration fit: 6</t>
        </is>
      </c>
      <c r="Y27" t="inlineStr">
        <is>
          <t>'_RawData'!$D$2:$D$5</t>
        </is>
      </c>
      <c r="Z27" t="inlineStr">
        <is>
          <t>6</t>
        </is>
      </c>
    </row>
    <row r="28">
      <c r="U28" t="inlineStr">
        <is>
          <t>Efficiency gains: 6</t>
        </is>
      </c>
      <c r="V28" t="inlineStr">
        <is>
          <t>Efficiency gains: 5</t>
        </is>
      </c>
      <c r="X28" t="inlineStr">
        <is>
          <t>Q_RATED - Q_Rated - Rate Each Vendor Attribute|Integration fit: 7</t>
        </is>
      </c>
      <c r="Y28" t="inlineStr">
        <is>
          <t>'_RawData'!$D$2:$D$5</t>
        </is>
      </c>
      <c r="Z28" t="inlineStr">
        <is>
          <t>7</t>
        </is>
      </c>
    </row>
    <row r="29">
      <c r="U29" t="inlineStr">
        <is>
          <t>Efficiency gains: 7</t>
        </is>
      </c>
      <c r="V29" t="inlineStr">
        <is>
          <t>Efficiency gains: 6</t>
        </is>
      </c>
      <c r="X29" t="inlineStr">
        <is>
          <t>Q_RATED - Q_Rated - Rate Each Vendor Attribute|Integration fit: 8</t>
        </is>
      </c>
      <c r="Y29" t="inlineStr">
        <is>
          <t>'_RawData'!$D$2:$D$5</t>
        </is>
      </c>
      <c r="Z29" t="inlineStr">
        <is>
          <t>8</t>
        </is>
      </c>
    </row>
    <row r="30">
      <c r="U30" t="inlineStr">
        <is>
          <t>Efficiency gains: 8</t>
        </is>
      </c>
      <c r="V30" t="inlineStr">
        <is>
          <t>Efficiency gains: 7</t>
        </is>
      </c>
      <c r="X30" t="inlineStr">
        <is>
          <t>Q_RATED - Q_Rated - Rate Each Vendor Attribute|Integration fit: 9</t>
        </is>
      </c>
      <c r="Y30" t="inlineStr">
        <is>
          <t>'_RawData'!$D$2:$D$5</t>
        </is>
      </c>
      <c r="Z30" t="inlineStr">
        <is>
          <t>9</t>
        </is>
      </c>
    </row>
    <row r="31">
      <c r="U31" t="inlineStr">
        <is>
          <t>Efficiency gains: 9</t>
        </is>
      </c>
      <c r="V31" t="inlineStr">
        <is>
          <t>Efficiency gains: 8</t>
        </is>
      </c>
      <c r="X31" t="inlineStr">
        <is>
          <t>Q_RATED - Q_Rated - Rate Each Vendor Attribute|Integration fit: 10</t>
        </is>
      </c>
      <c r="Y31" t="inlineStr">
        <is>
          <t>'_RawData'!$D$2:$D$5</t>
        </is>
      </c>
      <c r="Z31" t="inlineStr">
        <is>
          <t>10</t>
        </is>
      </c>
    </row>
    <row r="32">
      <c r="U32" t="inlineStr">
        <is>
          <t>Efficiency gains: 10</t>
        </is>
      </c>
      <c r="V32" t="inlineStr">
        <is>
          <t>Efficiency gains: 9</t>
        </is>
      </c>
      <c r="X32" t="inlineStr">
        <is>
          <t>Q_RATED - Q_Rated - Rate Each Vendor Attribute|Integration fit: 1</t>
        </is>
      </c>
      <c r="Y32" t="inlineStr">
        <is>
          <t>'_RawData'!$E$2:$E$5</t>
        </is>
      </c>
      <c r="Z32" t="inlineStr">
        <is>
          <t>1</t>
        </is>
      </c>
    </row>
    <row r="33">
      <c r="V33" t="inlineStr">
        <is>
          <t>Efficiency gains: 10</t>
        </is>
      </c>
      <c r="X33" t="inlineStr">
        <is>
          <t>Q_RATED - Q_Rated - Rate Each Vendor Attribute|Integration fit: 2</t>
        </is>
      </c>
      <c r="Y33" t="inlineStr">
        <is>
          <t>'_RawData'!$E$2:$E$5</t>
        </is>
      </c>
      <c r="Z33" t="inlineStr">
        <is>
          <t>2</t>
        </is>
      </c>
    </row>
    <row r="34">
      <c r="X34" t="inlineStr">
        <is>
          <t>Q_RATED - Q_Rated - Rate Each Vendor Attribute|Integration fit: 3</t>
        </is>
      </c>
      <c r="Y34" t="inlineStr">
        <is>
          <t>'_RawData'!$E$2:$E$5</t>
        </is>
      </c>
      <c r="Z34" t="inlineStr">
        <is>
          <t>3</t>
        </is>
      </c>
    </row>
    <row r="35">
      <c r="X35" t="inlineStr">
        <is>
          <t>Q_RATED - Q_Rated - Rate Each Vendor Attribute|Integration fit: 4</t>
        </is>
      </c>
      <c r="Y35" t="inlineStr">
        <is>
          <t>'_RawData'!$E$2:$E$5</t>
        </is>
      </c>
      <c r="Z35" t="inlineStr">
        <is>
          <t>4</t>
        </is>
      </c>
    </row>
    <row r="36">
      <c r="X36" t="inlineStr">
        <is>
          <t>Q_RATED - Q_Rated - Rate Each Vendor Attribute|Integration fit: 5</t>
        </is>
      </c>
      <c r="Y36" t="inlineStr">
        <is>
          <t>'_RawData'!$E$2:$E$5</t>
        </is>
      </c>
      <c r="Z36" t="inlineStr">
        <is>
          <t>5</t>
        </is>
      </c>
    </row>
    <row r="37">
      <c r="X37" t="inlineStr">
        <is>
          <t>Q_RATED - Q_Rated - Rate Each Vendor Attribute|Integration fit: 6</t>
        </is>
      </c>
      <c r="Y37" t="inlineStr">
        <is>
          <t>'_RawData'!$E$2:$E$5</t>
        </is>
      </c>
      <c r="Z37" t="inlineStr">
        <is>
          <t>6</t>
        </is>
      </c>
    </row>
    <row r="38">
      <c r="X38" t="inlineStr">
        <is>
          <t>Q_RATED - Q_Rated - Rate Each Vendor Attribute|Integration fit: 7</t>
        </is>
      </c>
      <c r="Y38" t="inlineStr">
        <is>
          <t>'_RawData'!$E$2:$E$5</t>
        </is>
      </c>
      <c r="Z38" t="inlineStr">
        <is>
          <t>7</t>
        </is>
      </c>
    </row>
    <row r="39">
      <c r="X39" t="inlineStr">
        <is>
          <t>Q_RATED - Q_Rated - Rate Each Vendor Attribute|Integration fit: 8</t>
        </is>
      </c>
      <c r="Y39" t="inlineStr">
        <is>
          <t>'_RawData'!$E$2:$E$5</t>
        </is>
      </c>
      <c r="Z39" t="inlineStr">
        <is>
          <t>8</t>
        </is>
      </c>
    </row>
    <row r="40">
      <c r="X40" t="inlineStr">
        <is>
          <t>Q_RATED - Q_Rated - Rate Each Vendor Attribute|Integration fit: 9</t>
        </is>
      </c>
      <c r="Y40" t="inlineStr">
        <is>
          <t>'_RawData'!$E$2:$E$5</t>
        </is>
      </c>
      <c r="Z40" t="inlineStr">
        <is>
          <t>9</t>
        </is>
      </c>
    </row>
    <row r="41">
      <c r="X41" t="inlineStr">
        <is>
          <t>Q_RATED - Q_Rated - Rate Each Vendor Attribute|Integration fit: 10</t>
        </is>
      </c>
      <c r="Y41" t="inlineStr">
        <is>
          <t>'_RawData'!$E$2:$E$5</t>
        </is>
      </c>
      <c r="Z41" t="inlineStr">
        <is>
          <t>10</t>
        </is>
      </c>
    </row>
    <row r="42">
      <c r="X42" t="inlineStr">
        <is>
          <t>Q_RATED - Q_Rated - Rate Each Vendor Attribute|Efficiency gains: 1</t>
        </is>
      </c>
      <c r="Y42" t="inlineStr">
        <is>
          <t>'_RawData'!$F$2:$F$5</t>
        </is>
      </c>
      <c r="Z42" t="inlineStr">
        <is>
          <t>1</t>
        </is>
      </c>
    </row>
    <row r="43">
      <c r="X43" t="inlineStr">
        <is>
          <t>Q_RATED - Q_Rated - Rate Each Vendor Attribute|Efficiency gains: 2</t>
        </is>
      </c>
      <c r="Y43" t="inlineStr">
        <is>
          <t>'_RawData'!$F$2:$F$5</t>
        </is>
      </c>
      <c r="Z43" t="inlineStr">
        <is>
          <t>2</t>
        </is>
      </c>
    </row>
    <row r="44">
      <c r="X44" t="inlineStr">
        <is>
          <t>Q_RATED - Q_Rated - Rate Each Vendor Attribute|Efficiency gains: 3</t>
        </is>
      </c>
      <c r="Y44" t="inlineStr">
        <is>
          <t>'_RawData'!$F$2:$F$5</t>
        </is>
      </c>
      <c r="Z44" t="inlineStr">
        <is>
          <t>3</t>
        </is>
      </c>
    </row>
    <row r="45">
      <c r="X45" t="inlineStr">
        <is>
          <t>Q_RATED - Q_Rated - Rate Each Vendor Attribute|Efficiency gains: 4</t>
        </is>
      </c>
      <c r="Y45" t="inlineStr">
        <is>
          <t>'_RawData'!$F$2:$F$5</t>
        </is>
      </c>
      <c r="Z45" t="inlineStr">
        <is>
          <t>4</t>
        </is>
      </c>
    </row>
    <row r="46">
      <c r="X46" t="inlineStr">
        <is>
          <t>Q_RATED - Q_Rated - Rate Each Vendor Attribute|Efficiency gains: 5</t>
        </is>
      </c>
      <c r="Y46" t="inlineStr">
        <is>
          <t>'_RawData'!$F$2:$F$5</t>
        </is>
      </c>
      <c r="Z46" t="inlineStr">
        <is>
          <t>5</t>
        </is>
      </c>
    </row>
    <row r="47">
      <c r="X47" t="inlineStr">
        <is>
          <t>Q_RATED - Q_Rated - Rate Each Vendor Attribute|Efficiency gains: 6</t>
        </is>
      </c>
      <c r="Y47" t="inlineStr">
        <is>
          <t>'_RawData'!$F$2:$F$5</t>
        </is>
      </c>
      <c r="Z47" t="inlineStr">
        <is>
          <t>6</t>
        </is>
      </c>
    </row>
    <row r="48">
      <c r="X48" t="inlineStr">
        <is>
          <t>Q_RATED - Q_Rated - Rate Each Vendor Attribute|Efficiency gains: 7</t>
        </is>
      </c>
      <c r="Y48" t="inlineStr">
        <is>
          <t>'_RawData'!$F$2:$F$5</t>
        </is>
      </c>
      <c r="Z48" t="inlineStr">
        <is>
          <t>7</t>
        </is>
      </c>
    </row>
    <row r="49">
      <c r="X49" t="inlineStr">
        <is>
          <t>Q_RATED - Q_Rated - Rate Each Vendor Attribute|Efficiency gains: 8</t>
        </is>
      </c>
      <c r="Y49" t="inlineStr">
        <is>
          <t>'_RawData'!$F$2:$F$5</t>
        </is>
      </c>
      <c r="Z49" t="inlineStr">
        <is>
          <t>8</t>
        </is>
      </c>
    </row>
    <row r="50">
      <c r="X50" t="inlineStr">
        <is>
          <t>Q_RATED - Q_Rated - Rate Each Vendor Attribute|Efficiency gains: 9</t>
        </is>
      </c>
      <c r="Y50" t="inlineStr">
        <is>
          <t>'_RawData'!$F$2:$F$5</t>
        </is>
      </c>
      <c r="Z50" t="inlineStr">
        <is>
          <t>9</t>
        </is>
      </c>
    </row>
    <row r="51">
      <c r="X51" t="inlineStr">
        <is>
          <t>Q_RATED - Q_Rated - Rate Each Vendor Attribute|Efficiency gains: 10</t>
        </is>
      </c>
      <c r="Y51" t="inlineStr">
        <is>
          <t>'_RawData'!$F$2:$F$5</t>
        </is>
      </c>
      <c r="Z51" t="inlineStr">
        <is>
          <t>10</t>
        </is>
      </c>
    </row>
    <row r="52">
      <c r="X52" t="inlineStr">
        <is>
          <t>Q_RATED - Q_Rated - Rate Each Vendor Attribute|Efficiency gains: 1</t>
        </is>
      </c>
      <c r="Y52" t="inlineStr">
        <is>
          <t>'_RawData'!$G$2:$G$5</t>
        </is>
      </c>
      <c r="Z52" t="inlineStr">
        <is>
          <t>1</t>
        </is>
      </c>
    </row>
    <row r="53">
      <c r="X53" t="inlineStr">
        <is>
          <t>Q_RATED - Q_Rated - Rate Each Vendor Attribute|Efficiency gains: 2</t>
        </is>
      </c>
      <c r="Y53" t="inlineStr">
        <is>
          <t>'_RawData'!$G$2:$G$5</t>
        </is>
      </c>
      <c r="Z53" t="inlineStr">
        <is>
          <t>2</t>
        </is>
      </c>
    </row>
    <row r="54">
      <c r="X54" t="inlineStr">
        <is>
          <t>Q_RATED - Q_Rated - Rate Each Vendor Attribute|Efficiency gains: 3</t>
        </is>
      </c>
      <c r="Y54" t="inlineStr">
        <is>
          <t>'_RawData'!$G$2:$G$5</t>
        </is>
      </c>
      <c r="Z54" t="inlineStr">
        <is>
          <t>3</t>
        </is>
      </c>
    </row>
    <row r="55">
      <c r="X55" t="inlineStr">
        <is>
          <t>Q_RATED - Q_Rated - Rate Each Vendor Attribute|Efficiency gains: 4</t>
        </is>
      </c>
      <c r="Y55" t="inlineStr">
        <is>
          <t>'_RawData'!$G$2:$G$5</t>
        </is>
      </c>
      <c r="Z55" t="inlineStr">
        <is>
          <t>4</t>
        </is>
      </c>
    </row>
    <row r="56">
      <c r="X56" t="inlineStr">
        <is>
          <t>Q_RATED - Q_Rated - Rate Each Vendor Attribute|Efficiency gains: 5</t>
        </is>
      </c>
      <c r="Y56" t="inlineStr">
        <is>
          <t>'_RawData'!$G$2:$G$5</t>
        </is>
      </c>
      <c r="Z56" t="inlineStr">
        <is>
          <t>5</t>
        </is>
      </c>
    </row>
    <row r="57">
      <c r="X57" t="inlineStr">
        <is>
          <t>Q_RATED - Q_Rated - Rate Each Vendor Attribute|Efficiency gains: 6</t>
        </is>
      </c>
      <c r="Y57" t="inlineStr">
        <is>
          <t>'_RawData'!$G$2:$G$5</t>
        </is>
      </c>
      <c r="Z57" t="inlineStr">
        <is>
          <t>6</t>
        </is>
      </c>
    </row>
    <row r="58">
      <c r="X58" t="inlineStr">
        <is>
          <t>Q_RATED - Q_Rated - Rate Each Vendor Attribute|Efficiency gains: 7</t>
        </is>
      </c>
      <c r="Y58" t="inlineStr">
        <is>
          <t>'_RawData'!$G$2:$G$5</t>
        </is>
      </c>
      <c r="Z58" t="inlineStr">
        <is>
          <t>7</t>
        </is>
      </c>
    </row>
    <row r="59">
      <c r="X59" t="inlineStr">
        <is>
          <t>Q_RATED - Q_Rated - Rate Each Vendor Attribute|Efficiency gains: 8</t>
        </is>
      </c>
      <c r="Y59" t="inlineStr">
        <is>
          <t>'_RawData'!$G$2:$G$5</t>
        </is>
      </c>
      <c r="Z59" t="inlineStr">
        <is>
          <t>8</t>
        </is>
      </c>
    </row>
    <row r="60">
      <c r="X60" t="inlineStr">
        <is>
          <t>Q_RATED - Q_Rated - Rate Each Vendor Attribute|Efficiency gains: 9</t>
        </is>
      </c>
      <c r="Y60" t="inlineStr">
        <is>
          <t>'_RawData'!$G$2:$G$5</t>
        </is>
      </c>
      <c r="Z60" t="inlineStr">
        <is>
          <t>9</t>
        </is>
      </c>
    </row>
    <row r="61">
      <c r="X61" t="inlineStr">
        <is>
          <t>Q_RATED - Q_Rated - Rate Each Vendor Attribute|Efficiency gains: 10</t>
        </is>
      </c>
      <c r="Y61" t="inlineStr">
        <is>
          <t>'_RawData'!$G$2:$G$5</t>
        </is>
      </c>
      <c r="Z6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IFERROR(INDEX(All_Questions_Value_Data_Names,MATCH(All_Questions_Q_RATED_F_Q&amp;"|"&amp;All_Questions_Q_RATED_F_V,All_Questions_Value_Keys,0)),IFERROR(INDEX(All_Questions_Data_Names,MATCH(All_Questions_Q_RATED_F_Q,All_Questions,0)),"'_RawData'!$A:$A"))</f>
        <v>respondent_id_data</v>
      </c>
      <c r="G13" t="str">
        <f>"|" &amp; SUBSTITUTE(All_Questions_Q_RATED_F_V, ", ", "|") &amp; "|"</f>
        <v>|(All)|</v>
      </c>
      <c r="H13" t="str">
        <f>IFERROR(INDEX(All_Questions_Value_Criteria,MATCH(All_Questions_Q_RATED_F_Q&amp;"|"&amp;All_Questions_Q_RATED_F_V,All_Questions_Value_Keys,0)),All_Questions_Q_RATED_F_V)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IF(All_Questions_Q_RATED_CT="(None)","",IFERROR(INDEX(INDIRECT(IFERROR(INDEX(Cross_Tab_Questions_Options_Names,MATCH(All_Questions_Q_RATED_CT,Cross_Tab_Questions,0)),"'_Options'!$E$2:$E$2")),2),""))</f>
        <v/>
      </c>
      <c r="H23" s="2" t="str">
        <f>IF(All_Questions_Q_RATED_CT="(None)","",IFERROR(INDEX(INDIRECT(IFERROR(INDEX(Cross_Tab_Questions_Options_Names,MATCH(All_Questions_Q_RATED_CT,Cross_Tab_Questions,0)),"'_Options'!$E$2:$E$2")),3),""))</f>
        <v/>
      </c>
      <c r="I23" s="2" t="str">
        <f>IF(All_Questions_Q_RATED_CT="(None)","",IFERROR(INDEX(INDIRECT(IFERROR(INDEX(Cross_Tab_Questions_Options_Names,MATCH(All_Questions_Q_RATED_CT,Cross_Tab_Questions,0)),"'_Options'!$E$2:$E$2")),4),""))</f>
        <v/>
      </c>
      <c r="J23" s="2" t="str">
        <f>IF(All_Questions_Q_RATED_CT="(None)","",IFERROR(INDEX(INDIRECT(IFERROR(INDEX(Cross_Tab_Questions_Options_Names,MATCH(All_Questions_Q_RATED_CT,Cross_Tab_Questions,0)),"'_Options'!$E$2:$E$2")),5),""))</f>
        <v/>
      </c>
      <c r="K23" s="2" t="str">
        <f>IF(All_Questions_Q_RATED_CT="(None)","",IFERROR(INDEX(INDIRECT(IFERROR(INDEX(Cross_Tab_Questions_Options_Names,MATCH(All_Questions_Q_RATED_CT,Cross_Tab_Questions,0)),"'_Options'!$E$2:$E$2")),6),""))</f>
        <v/>
      </c>
      <c r="L23" s="2" t="str">
        <f>IF(All_Questions_Q_RATED_CT="(None)","",IFERROR(INDEX(INDIRECT(IFERROR(INDEX(Cross_Tab_Questions_Options_Names,MATCH(All_Questions_Q_RATED_CT,Cross_Tab_Questions,0)),"'_Options'!$E$2:$E$2")),7),""))</f>
        <v/>
      </c>
      <c r="M23" s="2" t="str">
        <f>IF(All_Questions_Q_RATED_CT="(None)","",IFERROR(INDEX(INDIRECT(IFERROR(INDEX(Cross_Tab_Questions_Options_Names,MATCH(All_Questions_Q_RATED_CT,Cross_Tab_Questions,0)),"'_Options'!$E$2:$E$2")),8),""))</f>
        <v/>
      </c>
      <c r="N23" s="2" t="str">
        <f>IF(All_Questions_Q_RATED_CT="(None)","",IFERROR(INDEX(INDIRECT(IFERROR(INDEX(Cross_Tab_Questions_Options_Names,MATCH(All_Questions_Q_RATED_CT,Cross_Tab_Questions,0)),"'_Options'!$E$2:$E$2")),9),""))</f>
        <v/>
      </c>
      <c r="O23" s="2" t="str">
        <f>IF(All_Questions_Q_RATED_CT="(None)","",IFERROR(INDEX(INDIRECT(IFERROR(INDEX(Cross_Tab_Questions_Options_Names,MATCH(All_Questions_Q_RATED_CT,Cross_Tab_Questions,0)),"'_Options'!$E$2:$E$2")),10),""))</f>
        <v/>
      </c>
      <c r="P23" s="2" t="str">
        <f>IF(All_Questions_Q_RATED_CT="(None)","",IFERROR(INDEX(INDIRECT(IFERROR(INDEX(Cross_Tab_Questions_Options_Names,MATCH(All_Questions_Q_RATED_CT,Cross_Tab_Questions,0)),"'_Options'!$E$2:$E$2")),11),""))</f>
        <v/>
      </c>
      <c r="Q23" s="2" t="str">
        <f>IF(All_Questions_Q_RATED_CT="(None)","",IFERROR(INDEX(INDIRECT(IFERROR(INDEX(Cross_Tab_Questions_Options_Names,MATCH(All_Questions_Q_RATED_CT,Cross_Tab_Questions,0)),"'_Options'!$E$2:$E$2")),12),""))</f>
        <v/>
      </c>
      <c r="R23" s="2" t="str">
        <f>IF(All_Questions_Q_RATED_CT="(None)","",IF(COUNTA(INDIRECT(IFERROR(INDEX(Cross_Tab_Questions_Options_Names,MATCH(All_Questions_Q_RATED_CT,Cross_Tab_Questions,0)),"'_Options'!$E$2:$E$2")))-1&gt;11,"Other",IFERROR(INDEX(INDIRECT(IFERROR(INDEX(Cross_Tab_Questions_Options_Names,MATCH(All_Questions_Q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8.5</v>
      </c>
      <c r="H25" s="17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8.5</v>
      </c>
      <c r="I25" s="17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8.5</v>
      </c>
      <c r="J25" s="17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8.5</v>
      </c>
      <c r="K25" s="17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8.5</v>
      </c>
      <c r="L25" s="1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8.5</v>
      </c>
      <c r="M25" s="17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8.5</v>
      </c>
      <c r="N25" s="17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8.5</v>
      </c>
      <c r="O25" s="17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8.5</v>
      </c>
      <c r="P25" s="17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8.5</v>
      </c>
      <c r="Q25" s="17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8.5</v>
      </c>
      <c r="R25" s="17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8.5</v>
      </c>
      <c r="S25" s="17">
        <f>IF(All_Questions_Q_RATED_CT="(None)","",IFERROR(AVERAGEIFS(Q_RATEDr1c1_data,Q_RATEDr1c1_data,"&gt;=0",passes_workbook_filters_data,1,passes_workbook_custom_filters_data,1,All_Questions_passes_local_filters_data,1,All_Questions_Q_RATED_F_passes_per_q_filter_data,1),""))</f>
        <v>8.5</v>
      </c>
    </row>
    <row r="26">
      <c r="F26" t="inlineStr">
        <is>
          <t>Integration fit</t>
        </is>
      </c>
      <c r="G26" s="17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8.8</v>
      </c>
      <c r="H26" s="17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8.8</v>
      </c>
      <c r="I26" s="17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8.8</v>
      </c>
      <c r="J26" s="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8.8</v>
      </c>
      <c r="K26" s="17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8.8</v>
      </c>
      <c r="L26" s="17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8.8</v>
      </c>
      <c r="M26" s="17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8.8</v>
      </c>
      <c r="N26" s="17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8.8</v>
      </c>
      <c r="O26" s="17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8.8</v>
      </c>
      <c r="P26" s="17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8.8</v>
      </c>
      <c r="Q26" s="17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8.8</v>
      </c>
      <c r="R26" s="17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8.8</v>
      </c>
      <c r="S26" s="17">
        <f>IF(All_Questions_Q_RATED_CT="(None)","",IFERROR(AVERAGEIFS(Q_RATEDr2c1_data,Q_RATEDr2c1_data,"&gt;=0",passes_workbook_filters_data,1,passes_workbook_custom_filters_data,1,All_Questions_passes_local_filters_data,1,All_Questions_Q_RATED_F_passes_per_q_filter_data,1),""))</f>
        <v>8.8</v>
      </c>
    </row>
    <row r="27">
      <c r="F27" t="inlineStr">
        <is>
          <t>Efficiency gains</t>
        </is>
      </c>
      <c r="G27" s="17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7.5</v>
      </c>
      <c r="H27" s="1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7.5</v>
      </c>
      <c r="I27" s="17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7.5</v>
      </c>
      <c r="J27" s="17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7.5</v>
      </c>
      <c r="K27" s="17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7.5</v>
      </c>
      <c r="L27" s="17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7.5</v>
      </c>
      <c r="M27" s="17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7.5</v>
      </c>
      <c r="N27" s="17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7.5</v>
      </c>
      <c r="O27" s="17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7.5</v>
      </c>
      <c r="P27" s="17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7.5</v>
      </c>
      <c r="Q27" s="17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7.5</v>
      </c>
      <c r="R27" s="1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7.5</v>
      </c>
      <c r="S27" s="17">
        <f>IF(All_Questions_Q_RATED_CT="(None)","",IFERROR(AVERAGEIFS(Q_RATEDr3c1_data,Q_RATEDr3c1_data,"&gt;=0",passes_workbook_filters_data,1,passes_workbook_custom_filters_data,1,All_Questions_passes_local_filters_data,1,All_Questions_Q_RATED_F_passes_per_q_filter_data,1),""))</f>
        <v>7.5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IF(All_Questions_Q_RATED_CT="(None)","",COUNTIFS(respondent_id_data,"&lt;&gt;",passes_workbook_filters_data,1,passes_workbook_custom_filters_data,1,All_Questions_passes_local_filters_data,1,All_Questions_Q_RATED_F_passes_per_q_filter_data,1))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3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Q_RATED</t>
        </is>
      </c>
      <c r="D2" t="inlineStr">
        <is>
          <t>Q_RATEDr1c1</t>
        </is>
      </c>
      <c r="E2" t="inlineStr">
        <is>
          <t>All_Questions_Q_RATED_CT = G$23</t>
        </is>
      </c>
      <c r="H2">
        <f>IF(OR(All_Questions_Q_RATED_CT="(None)",G$23=""),"",IF(G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" t="n">
        <v>8.5</v>
      </c>
      <c r="J2" t="n">
        <v>0</v>
      </c>
      <c r="K2" t="n">
        <v>0</v>
      </c>
      <c r="L2" t="inlineStr">
        <is>
          <t>2026-06-09T06:55:43.187274+00:00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Q_RATED</t>
        </is>
      </c>
      <c r="D3" t="inlineStr">
        <is>
          <t>Q_RATEDr1c1</t>
        </is>
      </c>
      <c r="E3" t="inlineStr">
        <is>
          <t>All_Questions_Q_RATED_CT = H$23</t>
        </is>
      </c>
      <c r="H3">
        <f>IF(OR(All_Questions_Q_RATED_CT="(None)",H$23=""),"",IF(H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3" t="n">
        <v>8.5</v>
      </c>
      <c r="J3" t="n">
        <v>0</v>
      </c>
      <c r="K3" t="n">
        <v>0</v>
      </c>
      <c r="L3" t="inlineStr">
        <is>
          <t>2026-06-09T06:55:43.187323+00:00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Q_RATED</t>
        </is>
      </c>
      <c r="D4" t="inlineStr">
        <is>
          <t>Q_RATEDr1c1</t>
        </is>
      </c>
      <c r="E4" t="inlineStr">
        <is>
          <t>All_Questions_Q_RATED_CT = I$23</t>
        </is>
      </c>
      <c r="H4">
        <f>IF(OR(All_Questions_Q_RATED_CT="(None)",I$23=""),"",IF(I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4" t="n">
        <v>8.5</v>
      </c>
      <c r="J4" t="n">
        <v>0</v>
      </c>
      <c r="K4" t="n">
        <v>0</v>
      </c>
      <c r="L4" t="inlineStr">
        <is>
          <t>2026-06-09T06:55:43.187353+00:00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Q_RATED</t>
        </is>
      </c>
      <c r="D5" t="inlineStr">
        <is>
          <t>Q_RATEDr1c1</t>
        </is>
      </c>
      <c r="E5" t="inlineStr">
        <is>
          <t>All_Questions_Q_RATED_CT = J$23</t>
        </is>
      </c>
      <c r="H5">
        <f>IF(OR(All_Questions_Q_RATED_CT="(None)",J$23=""),"",IF(J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5" t="n">
        <v>8.5</v>
      </c>
      <c r="J5" t="n">
        <v>0</v>
      </c>
      <c r="K5" t="n">
        <v>0</v>
      </c>
      <c r="L5" t="inlineStr">
        <is>
          <t>2026-06-09T06:55:43.187379+00:00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Q_RATED</t>
        </is>
      </c>
      <c r="D6" t="inlineStr">
        <is>
          <t>Q_RATEDr1c1</t>
        </is>
      </c>
      <c r="E6" t="inlineStr">
        <is>
          <t>All_Questions_Q_RATED_CT = K$23</t>
        </is>
      </c>
      <c r="H6">
        <f>IF(OR(All_Questions_Q_RATED_CT="(None)",K$23=""),"",IF(K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6" t="n">
        <v>8.5</v>
      </c>
      <c r="J6" t="n">
        <v>0</v>
      </c>
      <c r="K6" t="n">
        <v>0</v>
      </c>
      <c r="L6" t="inlineStr">
        <is>
          <t>2026-06-09T06:55:43.187404+00:00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Q_RATED</t>
        </is>
      </c>
      <c r="D7" t="inlineStr">
        <is>
          <t>Q_RATEDr1c1</t>
        </is>
      </c>
      <c r="E7" t="inlineStr">
        <is>
          <t>All_Questions_Q_RATED_CT = L$23</t>
        </is>
      </c>
      <c r="H7">
        <f>IF(OR(All_Questions_Q_RATED_CT="(None)",L$23=""),"",IF(L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7" t="n">
        <v>8.5</v>
      </c>
      <c r="J7" t="n">
        <v>0</v>
      </c>
      <c r="K7" t="n">
        <v>0</v>
      </c>
      <c r="L7" t="inlineStr">
        <is>
          <t>2026-06-09T06:55:43.187429+00:00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Q_RATED</t>
        </is>
      </c>
      <c r="D8" t="inlineStr">
        <is>
          <t>Q_RATEDr1c1</t>
        </is>
      </c>
      <c r="E8" t="inlineStr">
        <is>
          <t>All_Questions_Q_RATED_CT = M$23</t>
        </is>
      </c>
      <c r="H8">
        <f>IF(OR(All_Questions_Q_RATED_CT="(None)",M$23=""),"",IF(M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8" t="n">
        <v>8.5</v>
      </c>
      <c r="J8" t="n">
        <v>0</v>
      </c>
      <c r="K8" t="n">
        <v>0</v>
      </c>
      <c r="L8" t="inlineStr">
        <is>
          <t>2026-06-09T06:55:43.187452+00:00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Q_RATED</t>
        </is>
      </c>
      <c r="D9" t="inlineStr">
        <is>
          <t>Q_RATEDr1c1</t>
        </is>
      </c>
      <c r="E9" t="inlineStr">
        <is>
          <t>All_Questions_Q_RATED_CT = N$23</t>
        </is>
      </c>
      <c r="H9">
        <f>IF(OR(All_Questions_Q_RATED_CT="(None)",N$23=""),"",IF(N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9" t="n">
        <v>8.5</v>
      </c>
      <c r="J9" t="n">
        <v>0</v>
      </c>
      <c r="K9" t="n">
        <v>0</v>
      </c>
      <c r="L9" t="inlineStr">
        <is>
          <t>2026-06-09T06:55:43.187476+00:00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Q_RATED</t>
        </is>
      </c>
      <c r="D10" t="inlineStr">
        <is>
          <t>Q_RATEDr1c1</t>
        </is>
      </c>
      <c r="E10" t="inlineStr">
        <is>
          <t>All_Questions_Q_RATED_CT = O$23</t>
        </is>
      </c>
      <c r="H10">
        <f>IF(OR(All_Questions_Q_RATED_CT="(None)",O$23=""),"",IF(O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10" t="n">
        <v>8.5</v>
      </c>
      <c r="J10" t="n">
        <v>0</v>
      </c>
      <c r="K10" t="n">
        <v>0</v>
      </c>
      <c r="L10" t="inlineStr">
        <is>
          <t>2026-06-09T06:55:43.187500+00:00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Q_RATED</t>
        </is>
      </c>
      <c r="D11" t="inlineStr">
        <is>
          <t>Q_RATEDr1c1</t>
        </is>
      </c>
      <c r="E11" t="inlineStr">
        <is>
          <t>All_Questions_Q_RATED_CT = P$23</t>
        </is>
      </c>
      <c r="H11">
        <f>IF(OR(All_Questions_Q_RATED_CT="(None)",P$23=""),"",IF(P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11" t="n">
        <v>8.5</v>
      </c>
      <c r="J11" t="n">
        <v>0</v>
      </c>
      <c r="K11" t="n">
        <v>0</v>
      </c>
      <c r="L11" t="inlineStr">
        <is>
          <t>2026-06-09T06:55:43.187524+00:00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Q_RATED</t>
        </is>
      </c>
      <c r="D12" t="inlineStr">
        <is>
          <t>Q_RATEDr1c1</t>
        </is>
      </c>
      <c r="E12" t="inlineStr">
        <is>
          <t>All_Questions_Q_RATED_CT = Q$23</t>
        </is>
      </c>
      <c r="H12">
        <f>IF(OR(All_Questions_Q_RATED_CT="(None)",Q$23=""),"",IF(Q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12" t="n">
        <v>8.5</v>
      </c>
      <c r="J12" t="n">
        <v>0</v>
      </c>
      <c r="K12" t="n">
        <v>0</v>
      </c>
      <c r="L12" t="inlineStr">
        <is>
          <t>2026-06-09T06:55:43.187548+00:00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Q_RATED</t>
        </is>
      </c>
      <c r="D13" t="inlineStr">
        <is>
          <t>Q_RATEDr1c1</t>
        </is>
      </c>
      <c r="E13" t="inlineStr">
        <is>
          <t>All_Questions_Q_RATED_CT = R$23</t>
        </is>
      </c>
      <c r="H13">
        <f>IF(OR(All_Questions_Q_RATED_CT="(None)",R$23=""),"",IF(R$23="Other","",IFERROR(AVERAGEIFS(Q_RATEDr1c1_data,Q_RATEDr1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13" t="n">
        <v>8.5</v>
      </c>
      <c r="J13" t="n">
        <v>0</v>
      </c>
      <c r="K13" t="n">
        <v>0</v>
      </c>
      <c r="L13" t="inlineStr">
        <is>
          <t>2026-06-09T06:55:43.187582+00:00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Q_RATED</t>
        </is>
      </c>
      <c r="D14" t="inlineStr">
        <is>
          <t>Q_RATEDr2c1</t>
        </is>
      </c>
      <c r="E14" t="inlineStr">
        <is>
          <t>All_Questions_Q_RATED_CT = G$23</t>
        </is>
      </c>
      <c r="H14">
        <f>IF(OR(All_Questions_Q_RATED_CT="(None)",G$23=""),"",IF(G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2026-06-09T06:55:43.187627+00:00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Q_RATED</t>
        </is>
      </c>
      <c r="D15" t="inlineStr">
        <is>
          <t>Q_RATEDr2c1</t>
        </is>
      </c>
      <c r="E15" t="inlineStr">
        <is>
          <t>All_Questions_Q_RATED_CT = H$23</t>
        </is>
      </c>
      <c r="H15">
        <f>IF(OR(All_Questions_Q_RATED_CT="(None)",H$23=""),"",IF(H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2026-06-09T06:55:43.187652+00:00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Q_RATED</t>
        </is>
      </c>
      <c r="D16" t="inlineStr">
        <is>
          <t>Q_RATEDr2c1</t>
        </is>
      </c>
      <c r="E16" t="inlineStr">
        <is>
          <t>All_Questions_Q_RATED_CT = I$23</t>
        </is>
      </c>
      <c r="H16">
        <f>IF(OR(All_Questions_Q_RATED_CT="(None)",I$23=""),"",IF(I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2026-06-09T06:55:43.187676+00:00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Q_RATED</t>
        </is>
      </c>
      <c r="D17" t="inlineStr">
        <is>
          <t>Q_RATEDr2c1</t>
        </is>
      </c>
      <c r="E17" t="inlineStr">
        <is>
          <t>All_Questions_Q_RATED_CT = J$23</t>
        </is>
      </c>
      <c r="H17">
        <f>IF(OR(All_Questions_Q_RATED_CT="(None)",J$23=""),"",IF(J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2026-06-09T06:55:43.187700+00:00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Q_RATED</t>
        </is>
      </c>
      <c r="D18" t="inlineStr">
        <is>
          <t>Q_RATEDr2c1</t>
        </is>
      </c>
      <c r="E18" t="inlineStr">
        <is>
          <t>All_Questions_Q_RATED_CT = K$23</t>
        </is>
      </c>
      <c r="H18">
        <f>IF(OR(All_Questions_Q_RATED_CT="(None)",K$23=""),"",IF(K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2026-06-09T06:55:43.187723+00:00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Q_RATED</t>
        </is>
      </c>
      <c r="D19" t="inlineStr">
        <is>
          <t>Q_RATEDr2c1</t>
        </is>
      </c>
      <c r="E19" t="inlineStr">
        <is>
          <t>All_Questions_Q_RATED_CT = L$23</t>
        </is>
      </c>
      <c r="H19">
        <f>IF(OR(All_Questions_Q_RATED_CT="(None)",L$23=""),"",IF(L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2026-06-09T06:55:43.187747+00:00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Q_RATED</t>
        </is>
      </c>
      <c r="D20" t="inlineStr">
        <is>
          <t>Q_RATEDr2c1</t>
        </is>
      </c>
      <c r="E20" t="inlineStr">
        <is>
          <t>All_Questions_Q_RATED_CT = M$23</t>
        </is>
      </c>
      <c r="H20">
        <f>IF(OR(All_Questions_Q_RATED_CT="(None)",M$23=""),"",IF(M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2026-06-09T06:55:43.187771+00:00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Q_RATED</t>
        </is>
      </c>
      <c r="D21" t="inlineStr">
        <is>
          <t>Q_RATEDr2c1</t>
        </is>
      </c>
      <c r="E21" t="inlineStr">
        <is>
          <t>All_Questions_Q_RATED_CT = N$23</t>
        </is>
      </c>
      <c r="H21">
        <f>IF(OR(All_Questions_Q_RATED_CT="(None)",N$23=""),"",IF(N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2026-06-09T06:55:43.187793+00:00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Q_RATED</t>
        </is>
      </c>
      <c r="D22" t="inlineStr">
        <is>
          <t>Q_RATEDr2c1</t>
        </is>
      </c>
      <c r="E22" t="inlineStr">
        <is>
          <t>All_Questions_Q_RATED_CT = O$23</t>
        </is>
      </c>
      <c r="H22">
        <f>IF(OR(All_Questions_Q_RATED_CT="(None)",O$23=""),"",IF(O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2026-06-09T06:55:43.187817+00:00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Q_RATED</t>
        </is>
      </c>
      <c r="D23" t="inlineStr">
        <is>
          <t>Q_RATEDr2c1</t>
        </is>
      </c>
      <c r="E23" t="inlineStr">
        <is>
          <t>All_Questions_Q_RATED_CT = P$23</t>
        </is>
      </c>
      <c r="H23">
        <f>IF(OR(All_Questions_Q_RATED_CT="(None)",P$23=""),"",IF(P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2026-06-09T06:55:43.187841+00:00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Q_RATED</t>
        </is>
      </c>
      <c r="D24" t="inlineStr">
        <is>
          <t>Q_RATEDr2c1</t>
        </is>
      </c>
      <c r="E24" t="inlineStr">
        <is>
          <t>All_Questions_Q_RATED_CT = Q$23</t>
        </is>
      </c>
      <c r="H24">
        <f>IF(OR(All_Questions_Q_RATED_CT="(None)",Q$23=""),"",IF(Q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2026-06-09T06:55:43.187865+00:00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Q_RATED</t>
        </is>
      </c>
      <c r="D25" t="inlineStr">
        <is>
          <t>Q_RATEDr2c1</t>
        </is>
      </c>
      <c r="E25" t="inlineStr">
        <is>
          <t>All_Questions_Q_RATED_CT = R$23</t>
        </is>
      </c>
      <c r="H25">
        <f>IF(OR(All_Questions_Q_RATED_CT="(None)",R$23=""),"",IF(R$23="Other","",IFERROR(AVERAGEIFS(Q_RATEDr2c1_data,Q_RATEDr2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2026-06-09T06:55:43.187897+00:00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Q_RATED</t>
        </is>
      </c>
      <c r="D26" t="inlineStr">
        <is>
          <t>Q_RATEDr3c1</t>
        </is>
      </c>
      <c r="E26" t="inlineStr">
        <is>
          <t>All_Questions_Q_RATED_CT = G$23</t>
        </is>
      </c>
      <c r="H26">
        <f>IF(OR(All_Questions_Q_RATED_CT="(None)",G$23=""),"",IF(G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G$23),"")))</f>
        <v>0</v>
      </c>
      <c r="I26" t="n">
        <v>7.5</v>
      </c>
      <c r="J26" t="n">
        <v>0</v>
      </c>
      <c r="K26" t="n">
        <v>0</v>
      </c>
      <c r="L26" t="inlineStr">
        <is>
          <t>2026-06-09T06:55:43.188052+00:00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Q_RATED</t>
        </is>
      </c>
      <c r="D27" t="inlineStr">
        <is>
          <t>Q_RATEDr3c1</t>
        </is>
      </c>
      <c r="E27" t="inlineStr">
        <is>
          <t>All_Questions_Q_RATED_CT = H$23</t>
        </is>
      </c>
      <c r="H27">
        <f>IF(OR(All_Questions_Q_RATED_CT="(None)",H$23=""),"",IF(H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H$23),"")))</f>
        <v>0</v>
      </c>
      <c r="I27" t="n">
        <v>7.5</v>
      </c>
      <c r="J27" t="n">
        <v>0</v>
      </c>
      <c r="K27" t="n">
        <v>0</v>
      </c>
      <c r="L27" t="inlineStr">
        <is>
          <t>2026-06-09T06:55:43.188083+00:00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Q_RATED</t>
        </is>
      </c>
      <c r="D28" t="inlineStr">
        <is>
          <t>Q_RATEDr3c1</t>
        </is>
      </c>
      <c r="E28" t="inlineStr">
        <is>
          <t>All_Questions_Q_RATED_CT = I$23</t>
        </is>
      </c>
      <c r="H28">
        <f>IF(OR(All_Questions_Q_RATED_CT="(None)",I$23=""),"",IF(I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I$23),"")))</f>
        <v>0</v>
      </c>
      <c r="I28" t="n">
        <v>7.5</v>
      </c>
      <c r="J28" t="n">
        <v>0</v>
      </c>
      <c r="K28" t="n">
        <v>0</v>
      </c>
      <c r="L28" t="inlineStr">
        <is>
          <t>2026-06-09T06:55:43.188112+00:00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Q_RATED</t>
        </is>
      </c>
      <c r="D29" t="inlineStr">
        <is>
          <t>Q_RATEDr3c1</t>
        </is>
      </c>
      <c r="E29" t="inlineStr">
        <is>
          <t>All_Questions_Q_RATED_CT = J$23</t>
        </is>
      </c>
      <c r="H29">
        <f>IF(OR(All_Questions_Q_RATED_CT="(None)",J$23=""),"",IF(J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J$23),"")))</f>
        <v>0</v>
      </c>
      <c r="I29" t="n">
        <v>7.5</v>
      </c>
      <c r="J29" t="n">
        <v>0</v>
      </c>
      <c r="K29" t="n">
        <v>0</v>
      </c>
      <c r="L29" t="inlineStr">
        <is>
          <t>2026-06-09T06:55:43.188138+00:00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Q_RATED</t>
        </is>
      </c>
      <c r="D30" t="inlineStr">
        <is>
          <t>Q_RATEDr3c1</t>
        </is>
      </c>
      <c r="E30" t="inlineStr">
        <is>
          <t>All_Questions_Q_RATED_CT = K$23</t>
        </is>
      </c>
      <c r="H30">
        <f>IF(OR(All_Questions_Q_RATED_CT="(None)",K$23=""),"",IF(K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K$23),"")))</f>
        <v>0</v>
      </c>
      <c r="I30" t="n">
        <v>7.5</v>
      </c>
      <c r="J30" t="n">
        <v>0</v>
      </c>
      <c r="K30" t="n">
        <v>0</v>
      </c>
      <c r="L30" t="inlineStr">
        <is>
          <t>2026-06-09T06:55:43.188164+00:00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Q_RATED</t>
        </is>
      </c>
      <c r="D31" t="inlineStr">
        <is>
          <t>Q_RATEDr3c1</t>
        </is>
      </c>
      <c r="E31" t="inlineStr">
        <is>
          <t>All_Questions_Q_RATED_CT = L$23</t>
        </is>
      </c>
      <c r="H31">
        <f>IF(OR(All_Questions_Q_RATED_CT="(None)",L$23=""),"",IF(L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L$23),"")))</f>
        <v>0</v>
      </c>
      <c r="I31" t="n">
        <v>7.5</v>
      </c>
      <c r="J31" t="n">
        <v>0</v>
      </c>
      <c r="K31" t="n">
        <v>0</v>
      </c>
      <c r="L31" t="inlineStr">
        <is>
          <t>2026-06-09T06:55:43.188191+00:00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Q_RATED</t>
        </is>
      </c>
      <c r="D32" t="inlineStr">
        <is>
          <t>Q_RATEDr3c1</t>
        </is>
      </c>
      <c r="E32" t="inlineStr">
        <is>
          <t>All_Questions_Q_RATED_CT = M$23</t>
        </is>
      </c>
      <c r="H32">
        <f>IF(OR(All_Questions_Q_RATED_CT="(None)",M$23=""),"",IF(M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M$23),"")))</f>
        <v>0</v>
      </c>
      <c r="I32" t="n">
        <v>7.5</v>
      </c>
      <c r="J32" t="n">
        <v>0</v>
      </c>
      <c r="K32" t="n">
        <v>0</v>
      </c>
      <c r="L32" t="inlineStr">
        <is>
          <t>2026-06-09T06:55:43.188221+00:00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Q_RATED</t>
        </is>
      </c>
      <c r="D33" t="inlineStr">
        <is>
          <t>Q_RATEDr3c1</t>
        </is>
      </c>
      <c r="E33" t="inlineStr">
        <is>
          <t>All_Questions_Q_RATED_CT = N$23</t>
        </is>
      </c>
      <c r="H33">
        <f>IF(OR(All_Questions_Q_RATED_CT="(None)",N$23=""),"",IF(N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N$23),"")))</f>
        <v>0</v>
      </c>
      <c r="I33" t="n">
        <v>7.5</v>
      </c>
      <c r="J33" t="n">
        <v>0</v>
      </c>
      <c r="K33" t="n">
        <v>0</v>
      </c>
      <c r="L33" t="inlineStr">
        <is>
          <t>2026-06-09T06:55:43.188251+00:00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Q_RATED</t>
        </is>
      </c>
      <c r="D34" t="inlineStr">
        <is>
          <t>Q_RATEDr3c1</t>
        </is>
      </c>
      <c r="E34" t="inlineStr">
        <is>
          <t>All_Questions_Q_RATED_CT = O$23</t>
        </is>
      </c>
      <c r="H34">
        <f>IF(OR(All_Questions_Q_RATED_CT="(None)",O$23=""),"",IF(O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O$23),"")))</f>
        <v>0</v>
      </c>
      <c r="I34" t="n">
        <v>7.5</v>
      </c>
      <c r="J34" t="n">
        <v>0</v>
      </c>
      <c r="K34" t="n">
        <v>0</v>
      </c>
      <c r="L34" t="inlineStr">
        <is>
          <t>2026-06-09T06:55:43.188279+00:00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Q_RATED</t>
        </is>
      </c>
      <c r="D35" t="inlineStr">
        <is>
          <t>Q_RATEDr3c1</t>
        </is>
      </c>
      <c r="E35" t="inlineStr">
        <is>
          <t>All_Questions_Q_RATED_CT = P$23</t>
        </is>
      </c>
      <c r="H35">
        <f>IF(OR(All_Questions_Q_RATED_CT="(None)",P$23=""),"",IF(P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P$23),"")))</f>
        <v>0</v>
      </c>
      <c r="I35" t="n">
        <v>7.5</v>
      </c>
      <c r="J35" t="n">
        <v>0</v>
      </c>
      <c r="K35" t="n">
        <v>0</v>
      </c>
      <c r="L35" t="inlineStr">
        <is>
          <t>2026-06-09T06:55:43.188309+00:00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Q_RATED</t>
        </is>
      </c>
      <c r="D36" t="inlineStr">
        <is>
          <t>Q_RATEDr3c1</t>
        </is>
      </c>
      <c r="E36" t="inlineStr">
        <is>
          <t>All_Questions_Q_RATED_CT = Q$23</t>
        </is>
      </c>
      <c r="H36">
        <f>IF(OR(All_Questions_Q_RATED_CT="(None)",Q$23=""),"",IF(Q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Q$23),"")))</f>
        <v>0</v>
      </c>
      <c r="I36" t="n">
        <v>7.5</v>
      </c>
      <c r="J36" t="n">
        <v>0</v>
      </c>
      <c r="K36" t="n">
        <v>0</v>
      </c>
      <c r="L36" t="inlineStr">
        <is>
          <t>2026-06-09T06:55:43.188337+00:00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Q_RATED</t>
        </is>
      </c>
      <c r="D37" t="inlineStr">
        <is>
          <t>Q_RATEDr3c1</t>
        </is>
      </c>
      <c r="E37" t="inlineStr">
        <is>
          <t>All_Questions_Q_RATED_CT = R$23</t>
        </is>
      </c>
      <c r="H37">
        <f>IF(OR(All_Questions_Q_RATED_CT="(None)",R$23=""),"",IF(R$23="Other","",IFERROR(AVERAGEIFS(Q_RATEDr3c1_data,Q_RATEDr3c1_data,"&gt;=0",passes_workbook_filters_data,1,passes_workbook_custom_filters_data,1,All_Questions_passes_local_filters_data,1,All_Questions_Q_RATED_F_passes_per_q_filter_data,1,INDIRECT(IFERROR(INDEX(Cross_Tab_Questions_Data_Names,MATCH(All_Questions_Q_RATED_CT,Cross_Tab_Questions,0)),"'_RawData'!$A:$A")),R$23),"")))</f>
        <v>0</v>
      </c>
      <c r="I37" t="n">
        <v>7.5</v>
      </c>
      <c r="J37" t="n">
        <v>0</v>
      </c>
      <c r="K37" t="n">
        <v>0</v>
      </c>
      <c r="L37" t="inlineStr">
        <is>
          <t>2026-06-09T06:55:43.188373+00:00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2026-06-09T06:55:43Z</dcterms:created>
  <dcterms:modified xmlns:dcterms="http://purl.org/dc/terms/" xmlns:xsi="http://www.w3.org/2001/XMLSchema-instance" xsi:type="dcterms:W3CDTF">2026-06-09T06:55:43Z</dcterms:modified>
</cp:coreProperties>
</file>