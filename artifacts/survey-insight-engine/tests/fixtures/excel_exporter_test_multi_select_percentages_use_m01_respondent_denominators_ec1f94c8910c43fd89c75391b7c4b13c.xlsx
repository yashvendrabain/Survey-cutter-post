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'_Options'!$A$2:$A$4</definedName>
    <definedName name="All_Questions_Local">'_Options'!$B$2:$B$5</definedName>
    <definedName name="Cross_Tab_Questions">'_Options'!$N$2:$N$2</definedName>
    <definedName name="Cross_Tab_Questions_Data_Names">'_Options'!$O$2:$O$2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Q4_filter_values_options">'_Options'!$Q$2:$Q$4</definedName>
    <definedName name="Q4_filter_values_local_options">'_Options'!$R$2:$R$5</definedName>
    <definedName name="Q5_filter_values_options">'_Options'!$S$2:$S$4</definedName>
    <definedName name="Q5_filter_values_local_options">'_Options'!$T$2:$T$5</definedName>
    <definedName name="All_Questions_Data_Names">'_Options'!$C$2:$C$4</definedName>
    <definedName name="All_Questions_Options_Names">'_Options'!$D$2:$D$4</definedName>
    <definedName name="Cross_Tab_Questions_Options_Names">'_Options'!$P$2:$P$2</definedName>
    <definedName name="All_Questions_Value_Keys">'_Options'!$V$2:$V$5</definedName>
    <definedName name="All_Questions_Value_Data_Names">'_Options'!$W$2:$W$5</definedName>
    <definedName name="All_Questions_Value_Criteria">'_Options'!$X$2:$X$5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resolved_criteria">'All Questions'!$H$13</definedName>
    <definedName name="All_Questions_Q4_F_passes_per_q_filter_data">'_RawData'!$K$2:$K$207</definedName>
    <definedName name="All_Questions_Q4_CT">'All Questions'!$C$14</definedName>
    <definedName name="All_Questions_Q5_F_Q">'All Questions'!$C$30</definedName>
    <definedName name="All_Questions_Q5_F_V">'All Questions'!$E$30</definedName>
    <definedName name="All_Questions_Q5_F_resolved_column">'All Questions'!$F$30</definedName>
    <definedName name="All_Questions_Q5_F_wrapped">'All Questions'!$G$30</definedName>
    <definedName name="All_Questions_Q5_F_resolved_criteria">'All Questions'!$H$30</definedName>
    <definedName name="All_Questions_Q5_F_passes_per_q_filter_data">'_RawData'!$L$2:$L$207</definedName>
    <definedName name="All_Questions_Q5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F30" i="7"/>
  <c r="G30" i="7"/>
  <c r="H30" i="7"/>
  <c r="B34" i="7"/>
  <c r="C34" i="7"/>
  <c r="D34" i="7"/>
  <c r="B35" i="7"/>
  <c r="C35" i="7"/>
  <c r="D35" i="7"/>
  <c r="B39" i="7"/>
  <c r="C39" i="7"/>
  <c r="D39" i="7"/>
  <c r="E39" i="7"/>
  <c r="F39" i="7"/>
  <c r="G39" i="7"/>
  <c r="H39" i="7"/>
  <c r="I39" i="7"/>
  <c r="J39" i="7"/>
  <c r="K39" i="7"/>
  <c r="L39" i="7"/>
  <c r="M39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7" headerRowCount="1">
  <autoFilter ref="A33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IF(OR(All_Questions_Q4_F_Q="(None)",All_Questions_Q4_F_Q="",ISBLANK(All_Questions_Q4_F_Q),All_Questions_Q4_F_V="(All)",All_Questions_Q4_F_V="",ISBLANK(All_Questions_Q4_F_V)),1,IFERROR(IF(ISNUMBER(SEARCH("|"&amp;INDEX(INDIRECT(All_Questions_Q4_F_resolved_column),1)&amp;"|",("|" &amp; SUBSTITUTE(All_Questions_Q4_F_resolved_criteria, ", ", "|") &amp; "|"))),1,0),0))*1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IF(OR(All_Questions_Q5_F_Q="(None)",All_Questions_Q5_F_Q="",ISBLANK(All_Questions_Q5_F_Q),All_Questions_Q5_F_V="(All)",All_Questions_Q5_F_V="",ISBLANK(All_Questions_Q5_F_V)),1,IFERROR(IF(ISNUMBER(SEARCH("|"&amp;INDEX(INDIRECT(All_Questions_Q5_F_resolved_column),1)&amp;"|",("|" &amp; SUBSTITUTE(All_Questions_Q5_F_resolved_criteria,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IF(OR(All_Questions_Q4_F_Q="(None)",All_Questions_Q4_F_Q="",ISBLANK(All_Questions_Q4_F_Q),All_Questions_Q4_F_V="(All)",All_Questions_Q4_F_V="",ISBLANK(All_Questions_Q4_F_V)),1,IFERROR(IF(ISNUMBER(SEARCH("|"&amp;INDEX(INDIRECT(All_Questions_Q4_F_resolved_column),2)&amp;"|",("|" &amp; SUBSTITUTE(All_Questions_Q4_F_resolved_criteria, ", ", "|") &amp; "|"))),1,0),0))*1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IF(OR(All_Questions_Q5_F_Q="(None)",All_Questions_Q5_F_Q="",ISBLANK(All_Questions_Q5_F_Q),All_Questions_Q5_F_V="(All)",All_Questions_Q5_F_V="",ISBLANK(All_Questions_Q5_F_V)),1,IFERROR(IF(ISNUMBER(SEARCH("|"&amp;INDEX(INDIRECT(All_Questions_Q5_F_resolved_column),2)&amp;"|",("|" &amp; SUBSTITUTE(All_Questions_Q5_F_resolved_criteria,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IF(OR(All_Questions_Q4_F_Q="(None)",All_Questions_Q4_F_Q="",ISBLANK(All_Questions_Q4_F_Q),All_Questions_Q4_F_V="(All)",All_Questions_Q4_F_V="",ISBLANK(All_Questions_Q4_F_V)),1,IFERROR(IF(ISNUMBER(SEARCH("|"&amp;INDEX(INDIRECT(All_Questions_Q4_F_resolved_column),3)&amp;"|",("|" &amp; SUBSTITUTE(All_Questions_Q4_F_resolved_criteria, ", ", "|") &amp; "|"))),1,0),0))*1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IF(OR(All_Questions_Q5_F_Q="(None)",All_Questions_Q5_F_Q="",ISBLANK(All_Questions_Q5_F_Q),All_Questions_Q5_F_V="(All)",All_Questions_Q5_F_V="",ISBLANK(All_Questions_Q5_F_V)),1,IFERROR(IF(ISNUMBER(SEARCH("|"&amp;INDEX(INDIRECT(All_Questions_Q5_F_resolved_column),3)&amp;"|",("|" &amp; SUBSTITUTE(All_Questions_Q5_F_resolved_criteria,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IF(OR(All_Questions_Q4_F_Q="(None)",All_Questions_Q4_F_Q="",ISBLANK(All_Questions_Q4_F_Q),All_Questions_Q4_F_V="(All)",All_Questions_Q4_F_V="",ISBLANK(All_Questions_Q4_F_V)),1,IFERROR(IF(ISNUMBER(SEARCH("|"&amp;INDEX(INDIRECT(All_Questions_Q4_F_resolved_column),4)&amp;"|",("|" &amp; SUBSTITUTE(All_Questions_Q4_F_resolved_criteria, ", ", "|") &amp; "|"))),1,0),0))*1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IF(OR(All_Questions_Q5_F_Q="(None)",All_Questions_Q5_F_Q="",ISBLANK(All_Questions_Q5_F_Q),All_Questions_Q5_F_V="(All)",All_Questions_Q5_F_V="",ISBLANK(All_Questions_Q5_F_V)),1,IFERROR(IF(ISNUMBER(SEARCH("|"&amp;INDEX(INDIRECT(All_Questions_Q5_F_resolved_column),4)&amp;"|",("|" &amp; SUBSTITUTE(All_Questions_Q5_F_resolved_criteria,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IF(OR(All_Questions_Q4_F_Q="(None)",All_Questions_Q4_F_Q="",ISBLANK(All_Questions_Q4_F_Q),All_Questions_Q4_F_V="(All)",All_Questions_Q4_F_V="",ISBLANK(All_Questions_Q4_F_V)),1,IFERROR(IF(ISNUMBER(SEARCH("|"&amp;INDEX(INDIRECT(All_Questions_Q4_F_resolved_column),5)&amp;"|",("|" &amp; SUBSTITUTE(All_Questions_Q4_F_resolved_criteria, ", ", "|") &amp; "|"))),1,0),0))*1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IF(OR(All_Questions_Q5_F_Q="(None)",All_Questions_Q5_F_Q="",ISBLANK(All_Questions_Q5_F_Q),All_Questions_Q5_F_V="(All)",All_Questions_Q5_F_V="",ISBLANK(All_Questions_Q5_F_V)),1,IFERROR(IF(ISNUMBER(SEARCH("|"&amp;INDEX(INDIRECT(All_Questions_Q5_F_resolved_column),5)&amp;"|",("|" &amp; SUBSTITUTE(All_Questions_Q5_F_resolved_criteria,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IF(OR(All_Questions_Q4_F_Q="(None)",All_Questions_Q4_F_Q="",ISBLANK(All_Questions_Q4_F_Q),All_Questions_Q4_F_V="(All)",All_Questions_Q4_F_V="",ISBLANK(All_Questions_Q4_F_V)),1,IFERROR(IF(ISNUMBER(SEARCH("|"&amp;INDEX(INDIRECT(All_Questions_Q4_F_resolved_column),6)&amp;"|",("|" &amp; SUBSTITUTE(All_Questions_Q4_F_resolved_criteria, ", ", "|") &amp; "|"))),1,0),0))*1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IF(OR(All_Questions_Q5_F_Q="(None)",All_Questions_Q5_F_Q="",ISBLANK(All_Questions_Q5_F_Q),All_Questions_Q5_F_V="(All)",All_Questions_Q5_F_V="",ISBLANK(All_Questions_Q5_F_V)),1,IFERROR(IF(ISNUMBER(SEARCH("|"&amp;INDEX(INDIRECT(All_Questions_Q5_F_resolved_column),6)&amp;"|",("|" &amp; SUBSTITUTE(All_Questions_Q5_F_resolved_criteria,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IF(OR(All_Questions_Q4_F_Q="(None)",All_Questions_Q4_F_Q="",ISBLANK(All_Questions_Q4_F_Q),All_Questions_Q4_F_V="(All)",All_Questions_Q4_F_V="",ISBLANK(All_Questions_Q4_F_V)),1,IFERROR(IF(ISNUMBER(SEARCH("|"&amp;INDEX(INDIRECT(All_Questions_Q4_F_resolved_column),7)&amp;"|",("|" &amp; SUBSTITUTE(All_Questions_Q4_F_resolved_criteria, ", ", "|") &amp; "|"))),1,0),0))*1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IF(OR(All_Questions_Q5_F_Q="(None)",All_Questions_Q5_F_Q="",ISBLANK(All_Questions_Q5_F_Q),All_Questions_Q5_F_V="(All)",All_Questions_Q5_F_V="",ISBLANK(All_Questions_Q5_F_V)),1,IFERROR(IF(ISNUMBER(SEARCH("|"&amp;INDEX(INDIRECT(All_Questions_Q5_F_resolved_column),7)&amp;"|",("|" &amp; SUBSTITUTE(All_Questions_Q5_F_resolved_criteria,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IF(OR(All_Questions_Q4_F_Q="(None)",All_Questions_Q4_F_Q="",ISBLANK(All_Questions_Q4_F_Q),All_Questions_Q4_F_V="(All)",All_Questions_Q4_F_V="",ISBLANK(All_Questions_Q4_F_V)),1,IFERROR(IF(ISNUMBER(SEARCH("|"&amp;INDEX(INDIRECT(All_Questions_Q4_F_resolved_column),8)&amp;"|",("|" &amp; SUBSTITUTE(All_Questions_Q4_F_resolved_criteria, ", ", "|") &amp; "|"))),1,0),0))*1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IF(OR(All_Questions_Q5_F_Q="(None)",All_Questions_Q5_F_Q="",ISBLANK(All_Questions_Q5_F_Q),All_Questions_Q5_F_V="(All)",All_Questions_Q5_F_V="",ISBLANK(All_Questions_Q5_F_V)),1,IFERROR(IF(ISNUMBER(SEARCH("|"&amp;INDEX(INDIRECT(All_Questions_Q5_F_resolved_column),8)&amp;"|",("|" &amp; SUBSTITUTE(All_Questions_Q5_F_resolved_criteria,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IF(OR(All_Questions_Q4_F_Q="(None)",All_Questions_Q4_F_Q="",ISBLANK(All_Questions_Q4_F_Q),All_Questions_Q4_F_V="(All)",All_Questions_Q4_F_V="",ISBLANK(All_Questions_Q4_F_V)),1,IFERROR(IF(ISNUMBER(SEARCH("|"&amp;INDEX(INDIRECT(All_Questions_Q4_F_resolved_column),9)&amp;"|",("|" &amp; SUBSTITUTE(All_Questions_Q4_F_resolved_criteria, ", ", "|") &amp; "|"))),1,0),0))*1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IF(OR(All_Questions_Q5_F_Q="(None)",All_Questions_Q5_F_Q="",ISBLANK(All_Questions_Q5_F_Q),All_Questions_Q5_F_V="(All)",All_Questions_Q5_F_V="",ISBLANK(All_Questions_Q5_F_V)),1,IFERROR(IF(ISNUMBER(SEARCH("|"&amp;INDEX(INDIRECT(All_Questions_Q5_F_resolved_column),9)&amp;"|",("|" &amp; SUBSTITUTE(All_Questions_Q5_F_resolved_criteria,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IF(OR(All_Questions_Q4_F_Q="(None)",All_Questions_Q4_F_Q="",ISBLANK(All_Questions_Q4_F_Q),All_Questions_Q4_F_V="(All)",All_Questions_Q4_F_V="",ISBLANK(All_Questions_Q4_F_V)),1,IFERROR(IF(ISNUMBER(SEARCH("|"&amp;INDEX(INDIRECT(All_Questions_Q4_F_resolved_column),10)&amp;"|",("|" &amp; SUBSTITUTE(All_Questions_Q4_F_resolved_criteria, ", ", "|") &amp; "|"))),1,0),0))*1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IF(OR(All_Questions_Q5_F_Q="(None)",All_Questions_Q5_F_Q="",ISBLANK(All_Questions_Q5_F_Q),All_Questions_Q5_F_V="(All)",All_Questions_Q5_F_V="",ISBLANK(All_Questions_Q5_F_V)),1,IFERROR(IF(ISNUMBER(SEARCH("|"&amp;INDEX(INDIRECT(All_Questions_Q5_F_resolved_column),10)&amp;"|",("|" &amp; SUBSTITUTE(All_Questions_Q5_F_resolved_criteria,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IF(OR(All_Questions_Q4_F_Q="(None)",All_Questions_Q4_F_Q="",ISBLANK(All_Questions_Q4_F_Q),All_Questions_Q4_F_V="(All)",All_Questions_Q4_F_V="",ISBLANK(All_Questions_Q4_F_V)),1,IFERROR(IF(ISNUMBER(SEARCH("|"&amp;INDEX(INDIRECT(All_Questions_Q4_F_resolved_column),11)&amp;"|",("|" &amp; SUBSTITUTE(All_Questions_Q4_F_resolved_criteria, ", ", "|") &amp; "|"))),1,0),0))*1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IF(OR(All_Questions_Q5_F_Q="(None)",All_Questions_Q5_F_Q="",ISBLANK(All_Questions_Q5_F_Q),All_Questions_Q5_F_V="(All)",All_Questions_Q5_F_V="",ISBLANK(All_Questions_Q5_F_V)),1,IFERROR(IF(ISNUMBER(SEARCH("|"&amp;INDEX(INDIRECT(All_Questions_Q5_F_resolved_column),11)&amp;"|",("|" &amp; SUBSTITUTE(All_Questions_Q5_F_resolved_criteria,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IF(OR(All_Questions_Q4_F_Q="(None)",All_Questions_Q4_F_Q="",ISBLANK(All_Questions_Q4_F_Q),All_Questions_Q4_F_V="(All)",All_Questions_Q4_F_V="",ISBLANK(All_Questions_Q4_F_V)),1,IFERROR(IF(ISNUMBER(SEARCH("|"&amp;INDEX(INDIRECT(All_Questions_Q4_F_resolved_column),12)&amp;"|",("|" &amp; SUBSTITUTE(All_Questions_Q4_F_resolved_criteria, ", ", "|") &amp; "|"))),1,0),0))*1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IF(OR(All_Questions_Q5_F_Q="(None)",All_Questions_Q5_F_Q="",ISBLANK(All_Questions_Q5_F_Q),All_Questions_Q5_F_V="(All)",All_Questions_Q5_F_V="",ISBLANK(All_Questions_Q5_F_V)),1,IFERROR(IF(ISNUMBER(SEARCH("|"&amp;INDEX(INDIRECT(All_Questions_Q5_F_resolved_column),12)&amp;"|",("|" &amp; SUBSTITUTE(All_Questions_Q5_F_resolved_criteria,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IF(OR(All_Questions_Q4_F_Q="(None)",All_Questions_Q4_F_Q="",ISBLANK(All_Questions_Q4_F_Q),All_Questions_Q4_F_V="(All)",All_Questions_Q4_F_V="",ISBLANK(All_Questions_Q4_F_V)),1,IFERROR(IF(ISNUMBER(SEARCH("|"&amp;INDEX(INDIRECT(All_Questions_Q4_F_resolved_column),13)&amp;"|",("|" &amp; SUBSTITUTE(All_Questions_Q4_F_resolved_criteria, ", ", "|") &amp; "|"))),1,0),0))*1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IF(OR(All_Questions_Q5_F_Q="(None)",All_Questions_Q5_F_Q="",ISBLANK(All_Questions_Q5_F_Q),All_Questions_Q5_F_V="(All)",All_Questions_Q5_F_V="",ISBLANK(All_Questions_Q5_F_V)),1,IFERROR(IF(ISNUMBER(SEARCH("|"&amp;INDEX(INDIRECT(All_Questions_Q5_F_resolved_column),13)&amp;"|",("|" &amp; SUBSTITUTE(All_Questions_Q5_F_resolved_criteria,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IF(OR(All_Questions_Q4_F_Q="(None)",All_Questions_Q4_F_Q="",ISBLANK(All_Questions_Q4_F_Q),All_Questions_Q4_F_V="(All)",All_Questions_Q4_F_V="",ISBLANK(All_Questions_Q4_F_V)),1,IFERROR(IF(ISNUMBER(SEARCH("|"&amp;INDEX(INDIRECT(All_Questions_Q4_F_resolved_column),14)&amp;"|",("|" &amp; SUBSTITUTE(All_Questions_Q4_F_resolved_criteria, ", ", "|") &amp; "|"))),1,0),0))*1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IF(OR(All_Questions_Q5_F_Q="(None)",All_Questions_Q5_F_Q="",ISBLANK(All_Questions_Q5_F_Q),All_Questions_Q5_F_V="(All)",All_Questions_Q5_F_V="",ISBLANK(All_Questions_Q5_F_V)),1,IFERROR(IF(ISNUMBER(SEARCH("|"&amp;INDEX(INDIRECT(All_Questions_Q5_F_resolved_column),14)&amp;"|",("|" &amp; SUBSTITUTE(All_Questions_Q5_F_resolved_criteria,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IF(OR(All_Questions_Q4_F_Q="(None)",All_Questions_Q4_F_Q="",ISBLANK(All_Questions_Q4_F_Q),All_Questions_Q4_F_V="(All)",All_Questions_Q4_F_V="",ISBLANK(All_Questions_Q4_F_V)),1,IFERROR(IF(ISNUMBER(SEARCH("|"&amp;INDEX(INDIRECT(All_Questions_Q4_F_resolved_column),15)&amp;"|",("|" &amp; SUBSTITUTE(All_Questions_Q4_F_resolved_criteria, ", ", "|") &amp; "|"))),1,0),0))*1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IF(OR(All_Questions_Q5_F_Q="(None)",All_Questions_Q5_F_Q="",ISBLANK(All_Questions_Q5_F_Q),All_Questions_Q5_F_V="(All)",All_Questions_Q5_F_V="",ISBLANK(All_Questions_Q5_F_V)),1,IFERROR(IF(ISNUMBER(SEARCH("|"&amp;INDEX(INDIRECT(All_Questions_Q5_F_resolved_column),15)&amp;"|",("|" &amp; SUBSTITUTE(All_Questions_Q5_F_resolved_criteria,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IF(OR(All_Questions_Q4_F_Q="(None)",All_Questions_Q4_F_Q="",ISBLANK(All_Questions_Q4_F_Q),All_Questions_Q4_F_V="(All)",All_Questions_Q4_F_V="",ISBLANK(All_Questions_Q4_F_V)),1,IFERROR(IF(ISNUMBER(SEARCH("|"&amp;INDEX(INDIRECT(All_Questions_Q4_F_resolved_column),16)&amp;"|",("|" &amp; SUBSTITUTE(All_Questions_Q4_F_resolved_criteria, ", ", "|") &amp; "|"))),1,0),0))*1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IF(OR(All_Questions_Q5_F_Q="(None)",All_Questions_Q5_F_Q="",ISBLANK(All_Questions_Q5_F_Q),All_Questions_Q5_F_V="(All)",All_Questions_Q5_F_V="",ISBLANK(All_Questions_Q5_F_V)),1,IFERROR(IF(ISNUMBER(SEARCH("|"&amp;INDEX(INDIRECT(All_Questions_Q5_F_resolved_column),16)&amp;"|",("|" &amp; SUBSTITUTE(All_Questions_Q5_F_resolved_criteria,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IF(OR(All_Questions_Q4_F_Q="(None)",All_Questions_Q4_F_Q="",ISBLANK(All_Questions_Q4_F_Q),All_Questions_Q4_F_V="(All)",All_Questions_Q4_F_V="",ISBLANK(All_Questions_Q4_F_V)),1,IFERROR(IF(ISNUMBER(SEARCH("|"&amp;INDEX(INDIRECT(All_Questions_Q4_F_resolved_column),17)&amp;"|",("|" &amp; SUBSTITUTE(All_Questions_Q4_F_resolved_criteria, ", ", "|") &amp; "|"))),1,0),0))*1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IF(OR(All_Questions_Q5_F_Q="(None)",All_Questions_Q5_F_Q="",ISBLANK(All_Questions_Q5_F_Q),All_Questions_Q5_F_V="(All)",All_Questions_Q5_F_V="",ISBLANK(All_Questions_Q5_F_V)),1,IFERROR(IF(ISNUMBER(SEARCH("|"&amp;INDEX(INDIRECT(All_Questions_Q5_F_resolved_column),17)&amp;"|",("|" &amp; SUBSTITUTE(All_Questions_Q5_F_resolved_criteria,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IF(OR(All_Questions_Q4_F_Q="(None)",All_Questions_Q4_F_Q="",ISBLANK(All_Questions_Q4_F_Q),All_Questions_Q4_F_V="(All)",All_Questions_Q4_F_V="",ISBLANK(All_Questions_Q4_F_V)),1,IFERROR(IF(ISNUMBER(SEARCH("|"&amp;INDEX(INDIRECT(All_Questions_Q4_F_resolved_column),18)&amp;"|",("|" &amp; SUBSTITUTE(All_Questions_Q4_F_resolved_criteria, ", ", "|") &amp; "|"))),1,0),0))*1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IF(OR(All_Questions_Q5_F_Q="(None)",All_Questions_Q5_F_Q="",ISBLANK(All_Questions_Q5_F_Q),All_Questions_Q5_F_V="(All)",All_Questions_Q5_F_V="",ISBLANK(All_Questions_Q5_F_V)),1,IFERROR(IF(ISNUMBER(SEARCH("|"&amp;INDEX(INDIRECT(All_Questions_Q5_F_resolved_column),18)&amp;"|",("|" &amp; SUBSTITUTE(All_Questions_Q5_F_resolved_criteria,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IF(OR(All_Questions_Q4_F_Q="(None)",All_Questions_Q4_F_Q="",ISBLANK(All_Questions_Q4_F_Q),All_Questions_Q4_F_V="(All)",All_Questions_Q4_F_V="",ISBLANK(All_Questions_Q4_F_V)),1,IFERROR(IF(ISNUMBER(SEARCH("|"&amp;INDEX(INDIRECT(All_Questions_Q4_F_resolved_column),19)&amp;"|",("|" &amp; SUBSTITUTE(All_Questions_Q4_F_resolved_criteria, ", ", "|") &amp; "|"))),1,0),0))*1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IF(OR(All_Questions_Q5_F_Q="(None)",All_Questions_Q5_F_Q="",ISBLANK(All_Questions_Q5_F_Q),All_Questions_Q5_F_V="(All)",All_Questions_Q5_F_V="",ISBLANK(All_Questions_Q5_F_V)),1,IFERROR(IF(ISNUMBER(SEARCH("|"&amp;INDEX(INDIRECT(All_Questions_Q5_F_resolved_column),19)&amp;"|",("|" &amp; SUBSTITUTE(All_Questions_Q5_F_resolved_criteria,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IF(OR(All_Questions_Q4_F_Q="(None)",All_Questions_Q4_F_Q="",ISBLANK(All_Questions_Q4_F_Q),All_Questions_Q4_F_V="(All)",All_Questions_Q4_F_V="",ISBLANK(All_Questions_Q4_F_V)),1,IFERROR(IF(ISNUMBER(SEARCH("|"&amp;INDEX(INDIRECT(All_Questions_Q4_F_resolved_column),20)&amp;"|",("|" &amp; SUBSTITUTE(All_Questions_Q4_F_resolved_criteria, ", ", "|") &amp; "|"))),1,0),0))*1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IF(OR(All_Questions_Q5_F_Q="(None)",All_Questions_Q5_F_Q="",ISBLANK(All_Questions_Q5_F_Q),All_Questions_Q5_F_V="(All)",All_Questions_Q5_F_V="",ISBLANK(All_Questions_Q5_F_V)),1,IFERROR(IF(ISNUMBER(SEARCH("|"&amp;INDEX(INDIRECT(All_Questions_Q5_F_resolved_column),20)&amp;"|",("|" &amp; SUBSTITUTE(All_Questions_Q5_F_resolved_criteria,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IF(OR(All_Questions_Q4_F_Q="(None)",All_Questions_Q4_F_Q="",ISBLANK(All_Questions_Q4_F_Q),All_Questions_Q4_F_V="(All)",All_Questions_Q4_F_V="",ISBLANK(All_Questions_Q4_F_V)),1,IFERROR(IF(ISNUMBER(SEARCH("|"&amp;INDEX(INDIRECT(All_Questions_Q4_F_resolved_column),21)&amp;"|",("|" &amp; SUBSTITUTE(All_Questions_Q4_F_resolved_criteria, ", ", "|") &amp; "|"))),1,0),0))*1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IF(OR(All_Questions_Q5_F_Q="(None)",All_Questions_Q5_F_Q="",ISBLANK(All_Questions_Q5_F_Q),All_Questions_Q5_F_V="(All)",All_Questions_Q5_F_V="",ISBLANK(All_Questions_Q5_F_V)),1,IFERROR(IF(ISNUMBER(SEARCH("|"&amp;INDEX(INDIRECT(All_Questions_Q5_F_resolved_column),21)&amp;"|",("|" &amp; SUBSTITUTE(All_Questions_Q5_F_resolved_criteria,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IF(OR(All_Questions_Q4_F_Q="(None)",All_Questions_Q4_F_Q="",ISBLANK(All_Questions_Q4_F_Q),All_Questions_Q4_F_V="(All)",All_Questions_Q4_F_V="",ISBLANK(All_Questions_Q4_F_V)),1,IFERROR(IF(ISNUMBER(SEARCH("|"&amp;INDEX(INDIRECT(All_Questions_Q4_F_resolved_column),22)&amp;"|",("|" &amp; SUBSTITUTE(All_Questions_Q4_F_resolved_criteria, ", ", "|") &amp; "|"))),1,0),0))*1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IF(OR(All_Questions_Q5_F_Q="(None)",All_Questions_Q5_F_Q="",ISBLANK(All_Questions_Q5_F_Q),All_Questions_Q5_F_V="(All)",All_Questions_Q5_F_V="",ISBLANK(All_Questions_Q5_F_V)),1,IFERROR(IF(ISNUMBER(SEARCH("|"&amp;INDEX(INDIRECT(All_Questions_Q5_F_resolved_column),22)&amp;"|",("|" &amp; SUBSTITUTE(All_Questions_Q5_F_resolved_criteria,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IF(OR(All_Questions_Q4_F_Q="(None)",All_Questions_Q4_F_Q="",ISBLANK(All_Questions_Q4_F_Q),All_Questions_Q4_F_V="(All)",All_Questions_Q4_F_V="",ISBLANK(All_Questions_Q4_F_V)),1,IFERROR(IF(ISNUMBER(SEARCH("|"&amp;INDEX(INDIRECT(All_Questions_Q4_F_resolved_column),23)&amp;"|",("|" &amp; SUBSTITUTE(All_Questions_Q4_F_resolved_criteria, ", ", "|") &amp; "|"))),1,0),0))*1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IF(OR(All_Questions_Q5_F_Q="(None)",All_Questions_Q5_F_Q="",ISBLANK(All_Questions_Q5_F_Q),All_Questions_Q5_F_V="(All)",All_Questions_Q5_F_V="",ISBLANK(All_Questions_Q5_F_V)),1,IFERROR(IF(ISNUMBER(SEARCH("|"&amp;INDEX(INDIRECT(All_Questions_Q5_F_resolved_column),23)&amp;"|",("|" &amp; SUBSTITUTE(All_Questions_Q5_F_resolved_criteria,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IF(OR(All_Questions_Q4_F_Q="(None)",All_Questions_Q4_F_Q="",ISBLANK(All_Questions_Q4_F_Q),All_Questions_Q4_F_V="(All)",All_Questions_Q4_F_V="",ISBLANK(All_Questions_Q4_F_V)),1,IFERROR(IF(ISNUMBER(SEARCH("|"&amp;INDEX(INDIRECT(All_Questions_Q4_F_resolved_column),24)&amp;"|",("|" &amp; SUBSTITUTE(All_Questions_Q4_F_resolved_criteria, ", ", "|") &amp; "|"))),1,0),0))*1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IF(OR(All_Questions_Q5_F_Q="(None)",All_Questions_Q5_F_Q="",ISBLANK(All_Questions_Q5_F_Q),All_Questions_Q5_F_V="(All)",All_Questions_Q5_F_V="",ISBLANK(All_Questions_Q5_F_V)),1,IFERROR(IF(ISNUMBER(SEARCH("|"&amp;INDEX(INDIRECT(All_Questions_Q5_F_resolved_column),24)&amp;"|",("|" &amp; SUBSTITUTE(All_Questions_Q5_F_resolved_criteria,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IF(OR(All_Questions_Q4_F_Q="(None)",All_Questions_Q4_F_Q="",ISBLANK(All_Questions_Q4_F_Q),All_Questions_Q4_F_V="(All)",All_Questions_Q4_F_V="",ISBLANK(All_Questions_Q4_F_V)),1,IFERROR(IF(ISNUMBER(SEARCH("|"&amp;INDEX(INDIRECT(All_Questions_Q4_F_resolved_column),25)&amp;"|",("|" &amp; SUBSTITUTE(All_Questions_Q4_F_resolved_criteria, ", ", "|") &amp; "|"))),1,0),0))*1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IF(OR(All_Questions_Q5_F_Q="(None)",All_Questions_Q5_F_Q="",ISBLANK(All_Questions_Q5_F_Q),All_Questions_Q5_F_V="(All)",All_Questions_Q5_F_V="",ISBLANK(All_Questions_Q5_F_V)),1,IFERROR(IF(ISNUMBER(SEARCH("|"&amp;INDEX(INDIRECT(All_Questions_Q5_F_resolved_column),25)&amp;"|",("|" &amp; SUBSTITUTE(All_Questions_Q5_F_resolved_criteria,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IF(OR(All_Questions_Q4_F_Q="(None)",All_Questions_Q4_F_Q="",ISBLANK(All_Questions_Q4_F_Q),All_Questions_Q4_F_V="(All)",All_Questions_Q4_F_V="",ISBLANK(All_Questions_Q4_F_V)),1,IFERROR(IF(ISNUMBER(SEARCH("|"&amp;INDEX(INDIRECT(All_Questions_Q4_F_resolved_column),26)&amp;"|",("|" &amp; SUBSTITUTE(All_Questions_Q4_F_resolved_criteria, ", ", "|") &amp; "|"))),1,0),0))*1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IF(OR(All_Questions_Q5_F_Q="(None)",All_Questions_Q5_F_Q="",ISBLANK(All_Questions_Q5_F_Q),All_Questions_Q5_F_V="(All)",All_Questions_Q5_F_V="",ISBLANK(All_Questions_Q5_F_V)),1,IFERROR(IF(ISNUMBER(SEARCH("|"&amp;INDEX(INDIRECT(All_Questions_Q5_F_resolved_column),26)&amp;"|",("|" &amp; SUBSTITUTE(All_Questions_Q5_F_resolved_criteria,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IF(OR(All_Questions_Q4_F_Q="(None)",All_Questions_Q4_F_Q="",ISBLANK(All_Questions_Q4_F_Q),All_Questions_Q4_F_V="(All)",All_Questions_Q4_F_V="",ISBLANK(All_Questions_Q4_F_V)),1,IFERROR(IF(ISNUMBER(SEARCH("|"&amp;INDEX(INDIRECT(All_Questions_Q4_F_resolved_column),27)&amp;"|",("|" &amp; SUBSTITUTE(All_Questions_Q4_F_resolved_criteria, ", ", "|") &amp; "|"))),1,0),0))*1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IF(OR(All_Questions_Q5_F_Q="(None)",All_Questions_Q5_F_Q="",ISBLANK(All_Questions_Q5_F_Q),All_Questions_Q5_F_V="(All)",All_Questions_Q5_F_V="",ISBLANK(All_Questions_Q5_F_V)),1,IFERROR(IF(ISNUMBER(SEARCH("|"&amp;INDEX(INDIRECT(All_Questions_Q5_F_resolved_column),27)&amp;"|",("|" &amp; SUBSTITUTE(All_Questions_Q5_F_resolved_criteria,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IF(OR(All_Questions_Q4_F_Q="(None)",All_Questions_Q4_F_Q="",ISBLANK(All_Questions_Q4_F_Q),All_Questions_Q4_F_V="(All)",All_Questions_Q4_F_V="",ISBLANK(All_Questions_Q4_F_V)),1,IFERROR(IF(ISNUMBER(SEARCH("|"&amp;INDEX(INDIRECT(All_Questions_Q4_F_resolved_column),28)&amp;"|",("|" &amp; SUBSTITUTE(All_Questions_Q4_F_resolved_criteria, ", ", "|") &amp; "|"))),1,0),0))*1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IF(OR(All_Questions_Q5_F_Q="(None)",All_Questions_Q5_F_Q="",ISBLANK(All_Questions_Q5_F_Q),All_Questions_Q5_F_V="(All)",All_Questions_Q5_F_V="",ISBLANK(All_Questions_Q5_F_V)),1,IFERROR(IF(ISNUMBER(SEARCH("|"&amp;INDEX(INDIRECT(All_Questions_Q5_F_resolved_column),28)&amp;"|",("|" &amp; SUBSTITUTE(All_Questions_Q5_F_resolved_criteria,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IF(OR(All_Questions_Q4_F_Q="(None)",All_Questions_Q4_F_Q="",ISBLANK(All_Questions_Q4_F_Q),All_Questions_Q4_F_V="(All)",All_Questions_Q4_F_V="",ISBLANK(All_Questions_Q4_F_V)),1,IFERROR(IF(ISNUMBER(SEARCH("|"&amp;INDEX(INDIRECT(All_Questions_Q4_F_resolved_column),29)&amp;"|",("|" &amp; SUBSTITUTE(All_Questions_Q4_F_resolved_criteria, ", ", "|") &amp; "|"))),1,0),0))*1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IF(OR(All_Questions_Q5_F_Q="(None)",All_Questions_Q5_F_Q="",ISBLANK(All_Questions_Q5_F_Q),All_Questions_Q5_F_V="(All)",All_Questions_Q5_F_V="",ISBLANK(All_Questions_Q5_F_V)),1,IFERROR(IF(ISNUMBER(SEARCH("|"&amp;INDEX(INDIRECT(All_Questions_Q5_F_resolved_column),29)&amp;"|",("|" &amp; SUBSTITUTE(All_Questions_Q5_F_resolved_criteria,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IF(OR(All_Questions_Q4_F_Q="(None)",All_Questions_Q4_F_Q="",ISBLANK(All_Questions_Q4_F_Q),All_Questions_Q4_F_V="(All)",All_Questions_Q4_F_V="",ISBLANK(All_Questions_Q4_F_V)),1,IFERROR(IF(ISNUMBER(SEARCH("|"&amp;INDEX(INDIRECT(All_Questions_Q4_F_resolved_column),30)&amp;"|",("|" &amp; SUBSTITUTE(All_Questions_Q4_F_resolved_criteria, ", ", "|") &amp; "|"))),1,0),0))*1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IF(OR(All_Questions_Q5_F_Q="(None)",All_Questions_Q5_F_Q="",ISBLANK(All_Questions_Q5_F_Q),All_Questions_Q5_F_V="(All)",All_Questions_Q5_F_V="",ISBLANK(All_Questions_Q5_F_V)),1,IFERROR(IF(ISNUMBER(SEARCH("|"&amp;INDEX(INDIRECT(All_Questions_Q5_F_resolved_column),30)&amp;"|",("|" &amp; SUBSTITUTE(All_Questions_Q5_F_resolved_criteria, ", ", "|") &amp; "|"))),1,0),0))*1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IF(OR(All_Questions_Q4_F_Q="(None)",All_Questions_Q4_F_Q="",ISBLANK(All_Questions_Q4_F_Q),All_Questions_Q4_F_V="(All)",All_Questions_Q4_F_V="",ISBLANK(All_Questions_Q4_F_V)),1,IFERROR(IF(ISNUMBER(SEARCH("|"&amp;INDEX(INDIRECT(All_Questions_Q4_F_resolved_column),31)&amp;"|",("|" &amp; SUBSTITUTE(All_Questions_Q4_F_resolved_criteria, ", ", "|") &amp; "|"))),1,0),0))*1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IF(OR(All_Questions_Q5_F_Q="(None)",All_Questions_Q5_F_Q="",ISBLANK(All_Questions_Q5_F_Q),All_Questions_Q5_F_V="(All)",All_Questions_Q5_F_V="",ISBLANK(All_Questions_Q5_F_V)),1,IFERROR(IF(ISNUMBER(SEARCH("|"&amp;INDEX(INDIRECT(All_Questions_Q5_F_resolved_column),31)&amp;"|",("|" &amp; SUBSTITUTE(All_Questions_Q5_F_resolved_criteria, ", ", "|") &amp; "|"))),1,0),0))*1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IF(OR(All_Questions_Q4_F_Q="(None)",All_Questions_Q4_F_Q="",ISBLANK(All_Questions_Q4_F_Q),All_Questions_Q4_F_V="(All)",All_Questions_Q4_F_V="",ISBLANK(All_Questions_Q4_F_V)),1,IFERROR(IF(ISNUMBER(SEARCH("|"&amp;INDEX(INDIRECT(All_Questions_Q4_F_resolved_column),32)&amp;"|",("|" &amp; SUBSTITUTE(All_Questions_Q4_F_resolved_criteria, ", ", "|") &amp; "|"))),1,0),0))*1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IF(OR(All_Questions_Q5_F_Q="(None)",All_Questions_Q5_F_Q="",ISBLANK(All_Questions_Q5_F_Q),All_Questions_Q5_F_V="(All)",All_Questions_Q5_F_V="",ISBLANK(All_Questions_Q5_F_V)),1,IFERROR(IF(ISNUMBER(SEARCH("|"&amp;INDEX(INDIRECT(All_Questions_Q5_F_resolved_column),32)&amp;"|",("|" &amp; SUBSTITUTE(All_Questions_Q5_F_resolved_criteria, ", ", "|") &amp; "|"))),1,0),0))*1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IF(OR(All_Questions_Q4_F_Q="(None)",All_Questions_Q4_F_Q="",ISBLANK(All_Questions_Q4_F_Q),All_Questions_Q4_F_V="(All)",All_Questions_Q4_F_V="",ISBLANK(All_Questions_Q4_F_V)),1,IFERROR(IF(ISNUMBER(SEARCH("|"&amp;INDEX(INDIRECT(All_Questions_Q4_F_resolved_column),33)&amp;"|",("|" &amp; SUBSTITUTE(All_Questions_Q4_F_resolved_criteria, ", ", "|") &amp; "|"))),1,0),0))*1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IF(OR(All_Questions_Q5_F_Q="(None)",All_Questions_Q5_F_Q="",ISBLANK(All_Questions_Q5_F_Q),All_Questions_Q5_F_V="(All)",All_Questions_Q5_F_V="",ISBLANK(All_Questions_Q5_F_V)),1,IFERROR(IF(ISNUMBER(SEARCH("|"&amp;INDEX(INDIRECT(All_Questions_Q5_F_resolved_column),33)&amp;"|",("|" &amp; SUBSTITUTE(All_Questions_Q5_F_resolved_criteria, ", ", "|") &amp; "|"))),1,0),0))*1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IF(OR(All_Questions_Q4_F_Q="(None)",All_Questions_Q4_F_Q="",ISBLANK(All_Questions_Q4_F_Q),All_Questions_Q4_F_V="(All)",All_Questions_Q4_F_V="",ISBLANK(All_Questions_Q4_F_V)),1,IFERROR(IF(ISNUMBER(SEARCH("|"&amp;INDEX(INDIRECT(All_Questions_Q4_F_resolved_column),34)&amp;"|",("|" &amp; SUBSTITUTE(All_Questions_Q4_F_resolved_criteria, ", ", "|") &amp; "|"))),1,0),0))*1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IF(OR(All_Questions_Q5_F_Q="(None)",All_Questions_Q5_F_Q="",ISBLANK(All_Questions_Q5_F_Q),All_Questions_Q5_F_V="(All)",All_Questions_Q5_F_V="",ISBLANK(All_Questions_Q5_F_V)),1,IFERROR(IF(ISNUMBER(SEARCH("|"&amp;INDEX(INDIRECT(All_Questions_Q5_F_resolved_column),34)&amp;"|",("|" &amp; SUBSTITUTE(All_Questions_Q5_F_resolved_criteria, ", ", "|") &amp; "|"))),1,0),0))*1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IF(OR(All_Questions_Q4_F_Q="(None)",All_Questions_Q4_F_Q="",ISBLANK(All_Questions_Q4_F_Q),All_Questions_Q4_F_V="(All)",All_Questions_Q4_F_V="",ISBLANK(All_Questions_Q4_F_V)),1,IFERROR(IF(ISNUMBER(SEARCH("|"&amp;INDEX(INDIRECT(All_Questions_Q4_F_resolved_column),35)&amp;"|",("|" &amp; SUBSTITUTE(All_Questions_Q4_F_resolved_criteria, ", ", "|") &amp; "|"))),1,0),0))*1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IF(OR(All_Questions_Q5_F_Q="(None)",All_Questions_Q5_F_Q="",ISBLANK(All_Questions_Q5_F_Q),All_Questions_Q5_F_V="(All)",All_Questions_Q5_F_V="",ISBLANK(All_Questions_Q5_F_V)),1,IFERROR(IF(ISNUMBER(SEARCH("|"&amp;INDEX(INDIRECT(All_Questions_Q5_F_resolved_column),35)&amp;"|",("|" &amp; SUBSTITUTE(All_Questions_Q5_F_resolved_criteria, ", ", "|") &amp; "|"))),1,0),0))*1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IF(OR(All_Questions_Q4_F_Q="(None)",All_Questions_Q4_F_Q="",ISBLANK(All_Questions_Q4_F_Q),All_Questions_Q4_F_V="(All)",All_Questions_Q4_F_V="",ISBLANK(All_Questions_Q4_F_V)),1,IFERROR(IF(ISNUMBER(SEARCH("|"&amp;INDEX(INDIRECT(All_Questions_Q4_F_resolved_column),36)&amp;"|",("|" &amp; SUBSTITUTE(All_Questions_Q4_F_resolved_criteria, ", ", "|") &amp; "|"))),1,0),0))*1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IF(OR(All_Questions_Q5_F_Q="(None)",All_Questions_Q5_F_Q="",ISBLANK(All_Questions_Q5_F_Q),All_Questions_Q5_F_V="(All)",All_Questions_Q5_F_V="",ISBLANK(All_Questions_Q5_F_V)),1,IFERROR(IF(ISNUMBER(SEARCH("|"&amp;INDEX(INDIRECT(All_Questions_Q5_F_resolved_column),36)&amp;"|",("|" &amp; SUBSTITUTE(All_Questions_Q5_F_resolved_criteria, ", ", "|") &amp; "|"))),1,0),0))*1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IF(OR(All_Questions_Q4_F_Q="(None)",All_Questions_Q4_F_Q="",ISBLANK(All_Questions_Q4_F_Q),All_Questions_Q4_F_V="(All)",All_Questions_Q4_F_V="",ISBLANK(All_Questions_Q4_F_V)),1,IFERROR(IF(ISNUMBER(SEARCH("|"&amp;INDEX(INDIRECT(All_Questions_Q4_F_resolved_column),37)&amp;"|",("|" &amp; SUBSTITUTE(All_Questions_Q4_F_resolved_criteria, ", ", "|") &amp; "|"))),1,0),0))*1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IF(OR(All_Questions_Q5_F_Q="(None)",All_Questions_Q5_F_Q="",ISBLANK(All_Questions_Q5_F_Q),All_Questions_Q5_F_V="(All)",All_Questions_Q5_F_V="",ISBLANK(All_Questions_Q5_F_V)),1,IFERROR(IF(ISNUMBER(SEARCH("|"&amp;INDEX(INDIRECT(All_Questions_Q5_F_resolved_column),37)&amp;"|",("|" &amp; SUBSTITUTE(All_Questions_Q5_F_resolved_criteria, ", ", "|") &amp; "|"))),1,0),0))*1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IF(OR(All_Questions_Q4_F_Q="(None)",All_Questions_Q4_F_Q="",ISBLANK(All_Questions_Q4_F_Q),All_Questions_Q4_F_V="(All)",All_Questions_Q4_F_V="",ISBLANK(All_Questions_Q4_F_V)),1,IFERROR(IF(ISNUMBER(SEARCH("|"&amp;INDEX(INDIRECT(All_Questions_Q4_F_resolved_column),38)&amp;"|",("|" &amp; SUBSTITUTE(All_Questions_Q4_F_resolved_criteria, ", ", "|") &amp; "|"))),1,0),0))*1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IF(OR(All_Questions_Q5_F_Q="(None)",All_Questions_Q5_F_Q="",ISBLANK(All_Questions_Q5_F_Q),All_Questions_Q5_F_V="(All)",All_Questions_Q5_F_V="",ISBLANK(All_Questions_Q5_F_V)),1,IFERROR(IF(ISNUMBER(SEARCH("|"&amp;INDEX(INDIRECT(All_Questions_Q5_F_resolved_column),38)&amp;"|",("|" &amp; SUBSTITUTE(All_Questions_Q5_F_resolved_criteria, ", ", "|") &amp; "|"))),1,0),0))*1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IF(OR(All_Questions_Q4_F_Q="(None)",All_Questions_Q4_F_Q="",ISBLANK(All_Questions_Q4_F_Q),All_Questions_Q4_F_V="(All)",All_Questions_Q4_F_V="",ISBLANK(All_Questions_Q4_F_V)),1,IFERROR(IF(ISNUMBER(SEARCH("|"&amp;INDEX(INDIRECT(All_Questions_Q4_F_resolved_column),39)&amp;"|",("|" &amp; SUBSTITUTE(All_Questions_Q4_F_resolved_criteria, ", ", "|") &amp; "|"))),1,0),0))*1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IF(OR(All_Questions_Q5_F_Q="(None)",All_Questions_Q5_F_Q="",ISBLANK(All_Questions_Q5_F_Q),All_Questions_Q5_F_V="(All)",All_Questions_Q5_F_V="",ISBLANK(All_Questions_Q5_F_V)),1,IFERROR(IF(ISNUMBER(SEARCH("|"&amp;INDEX(INDIRECT(All_Questions_Q5_F_resolved_column),39)&amp;"|",("|" &amp; SUBSTITUTE(All_Questions_Q5_F_resolved_criteria, ", ", "|") &amp; "|"))),1,0),0))*1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IF(OR(All_Questions_Q4_F_Q="(None)",All_Questions_Q4_F_Q="",ISBLANK(All_Questions_Q4_F_Q),All_Questions_Q4_F_V="(All)",All_Questions_Q4_F_V="",ISBLANK(All_Questions_Q4_F_V)),1,IFERROR(IF(ISNUMBER(SEARCH("|"&amp;INDEX(INDIRECT(All_Questions_Q4_F_resolved_column),40)&amp;"|",("|" &amp; SUBSTITUTE(All_Questions_Q4_F_resolved_criteria, ", ", "|") &amp; "|"))),1,0),0))*1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IF(OR(All_Questions_Q5_F_Q="(None)",All_Questions_Q5_F_Q="",ISBLANK(All_Questions_Q5_F_Q),All_Questions_Q5_F_V="(All)",All_Questions_Q5_F_V="",ISBLANK(All_Questions_Q5_F_V)),1,IFERROR(IF(ISNUMBER(SEARCH("|"&amp;INDEX(INDIRECT(All_Questions_Q5_F_resolved_column),40)&amp;"|",("|" &amp; SUBSTITUTE(All_Questions_Q5_F_resolved_criteria, ", ", "|") &amp; "|"))),1,0),0))*1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IF(OR(All_Questions_Q4_F_Q="(None)",All_Questions_Q4_F_Q="",ISBLANK(All_Questions_Q4_F_Q),All_Questions_Q4_F_V="(All)",All_Questions_Q4_F_V="",ISBLANK(All_Questions_Q4_F_V)),1,IFERROR(IF(ISNUMBER(SEARCH("|"&amp;INDEX(INDIRECT(All_Questions_Q4_F_resolved_column),41)&amp;"|",("|" &amp; SUBSTITUTE(All_Questions_Q4_F_resolved_criteria, ", ", "|") &amp; "|"))),1,0),0))*1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IF(OR(All_Questions_Q5_F_Q="(None)",All_Questions_Q5_F_Q="",ISBLANK(All_Questions_Q5_F_Q),All_Questions_Q5_F_V="(All)",All_Questions_Q5_F_V="",ISBLANK(All_Questions_Q5_F_V)),1,IFERROR(IF(ISNUMBER(SEARCH("|"&amp;INDEX(INDIRECT(All_Questions_Q5_F_resolved_column),41)&amp;"|",("|" &amp; SUBSTITUTE(All_Questions_Q5_F_resolved_criteria, ", ", "|") &amp; "|"))),1,0),0))*1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IF(OR(All_Questions_Q4_F_Q="(None)",All_Questions_Q4_F_Q="",ISBLANK(All_Questions_Q4_F_Q),All_Questions_Q4_F_V="(All)",All_Questions_Q4_F_V="",ISBLANK(All_Questions_Q4_F_V)),1,IFERROR(IF(ISNUMBER(SEARCH("|"&amp;INDEX(INDIRECT(All_Questions_Q4_F_resolved_column),42)&amp;"|",("|" &amp; SUBSTITUTE(All_Questions_Q4_F_resolved_criteria, ", ", "|") &amp; "|"))),1,0),0))*1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IF(OR(All_Questions_Q5_F_Q="(None)",All_Questions_Q5_F_Q="",ISBLANK(All_Questions_Q5_F_Q),All_Questions_Q5_F_V="(All)",All_Questions_Q5_F_V="",ISBLANK(All_Questions_Q5_F_V)),1,IFERROR(IF(ISNUMBER(SEARCH("|"&amp;INDEX(INDIRECT(All_Questions_Q5_F_resolved_column),42)&amp;"|",("|" &amp; SUBSTITUTE(All_Questions_Q5_F_resolved_criteria, ", ", "|") &amp; "|"))),1,0),0))*1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IF(OR(All_Questions_Q4_F_Q="(None)",All_Questions_Q4_F_Q="",ISBLANK(All_Questions_Q4_F_Q),All_Questions_Q4_F_V="(All)",All_Questions_Q4_F_V="",ISBLANK(All_Questions_Q4_F_V)),1,IFERROR(IF(ISNUMBER(SEARCH("|"&amp;INDEX(INDIRECT(All_Questions_Q4_F_resolved_column),43)&amp;"|",("|" &amp; SUBSTITUTE(All_Questions_Q4_F_resolved_criteria, ", ", "|") &amp; "|"))),1,0),0))*1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IF(OR(All_Questions_Q5_F_Q="(None)",All_Questions_Q5_F_Q="",ISBLANK(All_Questions_Q5_F_Q),All_Questions_Q5_F_V="(All)",All_Questions_Q5_F_V="",ISBLANK(All_Questions_Q5_F_V)),1,IFERROR(IF(ISNUMBER(SEARCH("|"&amp;INDEX(INDIRECT(All_Questions_Q5_F_resolved_column),43)&amp;"|",("|" &amp; SUBSTITUTE(All_Questions_Q5_F_resolved_criteria, ", ", "|") &amp; "|"))),1,0),0))*1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IF(OR(All_Questions_Q4_F_Q="(None)",All_Questions_Q4_F_Q="",ISBLANK(All_Questions_Q4_F_Q),All_Questions_Q4_F_V="(All)",All_Questions_Q4_F_V="",ISBLANK(All_Questions_Q4_F_V)),1,IFERROR(IF(ISNUMBER(SEARCH("|"&amp;INDEX(INDIRECT(All_Questions_Q4_F_resolved_column),44)&amp;"|",("|" &amp; SUBSTITUTE(All_Questions_Q4_F_resolved_criteria, ", ", "|") &amp; "|"))),1,0),0))*1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IF(OR(All_Questions_Q5_F_Q="(None)",All_Questions_Q5_F_Q="",ISBLANK(All_Questions_Q5_F_Q),All_Questions_Q5_F_V="(All)",All_Questions_Q5_F_V="",ISBLANK(All_Questions_Q5_F_V)),1,IFERROR(IF(ISNUMBER(SEARCH("|"&amp;INDEX(INDIRECT(All_Questions_Q5_F_resolved_column),44)&amp;"|",("|" &amp; SUBSTITUTE(All_Questions_Q5_F_resolved_criteria, ", ", "|") &amp; "|"))),1,0),0))*1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IF(OR(All_Questions_Q4_F_Q="(None)",All_Questions_Q4_F_Q="",ISBLANK(All_Questions_Q4_F_Q),All_Questions_Q4_F_V="(All)",All_Questions_Q4_F_V="",ISBLANK(All_Questions_Q4_F_V)),1,IFERROR(IF(ISNUMBER(SEARCH("|"&amp;INDEX(INDIRECT(All_Questions_Q4_F_resolved_column),45)&amp;"|",("|" &amp; SUBSTITUTE(All_Questions_Q4_F_resolved_criteria, ", ", "|") &amp; "|"))),1,0),0))*1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IF(OR(All_Questions_Q5_F_Q="(None)",All_Questions_Q5_F_Q="",ISBLANK(All_Questions_Q5_F_Q),All_Questions_Q5_F_V="(All)",All_Questions_Q5_F_V="",ISBLANK(All_Questions_Q5_F_V)),1,IFERROR(IF(ISNUMBER(SEARCH("|"&amp;INDEX(INDIRECT(All_Questions_Q5_F_resolved_column),45)&amp;"|",("|" &amp; SUBSTITUTE(All_Questions_Q5_F_resolved_criteria, ", ", "|") &amp; "|"))),1,0),0))*1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IF(OR(All_Questions_Q4_F_Q="(None)",All_Questions_Q4_F_Q="",ISBLANK(All_Questions_Q4_F_Q),All_Questions_Q4_F_V="(All)",All_Questions_Q4_F_V="",ISBLANK(All_Questions_Q4_F_V)),1,IFERROR(IF(ISNUMBER(SEARCH("|"&amp;INDEX(INDIRECT(All_Questions_Q4_F_resolved_column),46)&amp;"|",("|" &amp; SUBSTITUTE(All_Questions_Q4_F_resolved_criteria, ", ", "|") &amp; "|"))),1,0),0))*1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IF(OR(All_Questions_Q5_F_Q="(None)",All_Questions_Q5_F_Q="",ISBLANK(All_Questions_Q5_F_Q),All_Questions_Q5_F_V="(All)",All_Questions_Q5_F_V="",ISBLANK(All_Questions_Q5_F_V)),1,IFERROR(IF(ISNUMBER(SEARCH("|"&amp;INDEX(INDIRECT(All_Questions_Q5_F_resolved_column),46)&amp;"|",("|" &amp; SUBSTITUTE(All_Questions_Q5_F_resolved_criteria, ", ", "|") &amp; "|"))),1,0),0))*1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IF(OR(All_Questions_Q4_F_Q="(None)",All_Questions_Q4_F_Q="",ISBLANK(All_Questions_Q4_F_Q),All_Questions_Q4_F_V="(All)",All_Questions_Q4_F_V="",ISBLANK(All_Questions_Q4_F_V)),1,IFERROR(IF(ISNUMBER(SEARCH("|"&amp;INDEX(INDIRECT(All_Questions_Q4_F_resolved_column),47)&amp;"|",("|" &amp; SUBSTITUTE(All_Questions_Q4_F_resolved_criteria, ", ", "|") &amp; "|"))),1,0),0))*1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IF(OR(All_Questions_Q5_F_Q="(None)",All_Questions_Q5_F_Q="",ISBLANK(All_Questions_Q5_F_Q),All_Questions_Q5_F_V="(All)",All_Questions_Q5_F_V="",ISBLANK(All_Questions_Q5_F_V)),1,IFERROR(IF(ISNUMBER(SEARCH("|"&amp;INDEX(INDIRECT(All_Questions_Q5_F_resolved_column),47)&amp;"|",("|" &amp; SUBSTITUTE(All_Questions_Q5_F_resolved_criteria, ", ", "|") &amp; "|"))),1,0),0))*1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IF(OR(All_Questions_Q4_F_Q="(None)",All_Questions_Q4_F_Q="",ISBLANK(All_Questions_Q4_F_Q),All_Questions_Q4_F_V="(All)",All_Questions_Q4_F_V="",ISBLANK(All_Questions_Q4_F_V)),1,IFERROR(IF(ISNUMBER(SEARCH("|"&amp;INDEX(INDIRECT(All_Questions_Q4_F_resolved_column),48)&amp;"|",("|" &amp; SUBSTITUTE(All_Questions_Q4_F_resolved_criteria, ", ", "|") &amp; "|"))),1,0),0))*1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IF(OR(All_Questions_Q5_F_Q="(None)",All_Questions_Q5_F_Q="",ISBLANK(All_Questions_Q5_F_Q),All_Questions_Q5_F_V="(All)",All_Questions_Q5_F_V="",ISBLANK(All_Questions_Q5_F_V)),1,IFERROR(IF(ISNUMBER(SEARCH("|"&amp;INDEX(INDIRECT(All_Questions_Q5_F_resolved_column),48)&amp;"|",("|" &amp; SUBSTITUTE(All_Questions_Q5_F_resolved_criteria, ", ", "|") &amp; "|"))),1,0),0))*1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IF(OR(All_Questions_Q4_F_Q="(None)",All_Questions_Q4_F_Q="",ISBLANK(All_Questions_Q4_F_Q),All_Questions_Q4_F_V="(All)",All_Questions_Q4_F_V="",ISBLANK(All_Questions_Q4_F_V)),1,IFERROR(IF(ISNUMBER(SEARCH("|"&amp;INDEX(INDIRECT(All_Questions_Q4_F_resolved_column),49)&amp;"|",("|" &amp; SUBSTITUTE(All_Questions_Q4_F_resolved_criteria, ", ", "|") &amp; "|"))),1,0),0))*1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IF(OR(All_Questions_Q5_F_Q="(None)",All_Questions_Q5_F_Q="",ISBLANK(All_Questions_Q5_F_Q),All_Questions_Q5_F_V="(All)",All_Questions_Q5_F_V="",ISBLANK(All_Questions_Q5_F_V)),1,IFERROR(IF(ISNUMBER(SEARCH("|"&amp;INDEX(INDIRECT(All_Questions_Q5_F_resolved_column),49)&amp;"|",("|" &amp; SUBSTITUTE(All_Questions_Q5_F_resolved_criteria, ", ", "|") &amp; "|"))),1,0),0))*1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IF(OR(All_Questions_Q4_F_Q="(None)",All_Questions_Q4_F_Q="",ISBLANK(All_Questions_Q4_F_Q),All_Questions_Q4_F_V="(All)",All_Questions_Q4_F_V="",ISBLANK(All_Questions_Q4_F_V)),1,IFERROR(IF(ISNUMBER(SEARCH("|"&amp;INDEX(INDIRECT(All_Questions_Q4_F_resolved_column),50)&amp;"|",("|" &amp; SUBSTITUTE(All_Questions_Q4_F_resolved_criteria, ", ", "|") &amp; "|"))),1,0),0))*1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IF(OR(All_Questions_Q5_F_Q="(None)",All_Questions_Q5_F_Q="",ISBLANK(All_Questions_Q5_F_Q),All_Questions_Q5_F_V="(All)",All_Questions_Q5_F_V="",ISBLANK(All_Questions_Q5_F_V)),1,IFERROR(IF(ISNUMBER(SEARCH("|"&amp;INDEX(INDIRECT(All_Questions_Q5_F_resolved_column),50)&amp;"|",("|" &amp; SUBSTITUTE(All_Questions_Q5_F_resolved_criteria, ", ", "|") &amp; "|"))),1,0),0))*1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IF(OR(All_Questions_Q4_F_Q="(None)",All_Questions_Q4_F_Q="",ISBLANK(All_Questions_Q4_F_Q),All_Questions_Q4_F_V="(All)",All_Questions_Q4_F_V="",ISBLANK(All_Questions_Q4_F_V)),1,IFERROR(IF(ISNUMBER(SEARCH("|"&amp;INDEX(INDIRECT(All_Questions_Q4_F_resolved_column),51)&amp;"|",("|" &amp; SUBSTITUTE(All_Questions_Q4_F_resolved_criteria, ", ", "|") &amp; "|"))),1,0),0))*1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IF(OR(All_Questions_Q5_F_Q="(None)",All_Questions_Q5_F_Q="",ISBLANK(All_Questions_Q5_F_Q),All_Questions_Q5_F_V="(All)",All_Questions_Q5_F_V="",ISBLANK(All_Questions_Q5_F_V)),1,IFERROR(IF(ISNUMBER(SEARCH("|"&amp;INDEX(INDIRECT(All_Questions_Q5_F_resolved_column),51)&amp;"|",("|" &amp; SUBSTITUTE(All_Questions_Q5_F_resolved_criteria, ", ", "|") &amp; "|"))),1,0),0))*1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IF(OR(All_Questions_Q4_F_Q="(None)",All_Questions_Q4_F_Q="",ISBLANK(All_Questions_Q4_F_Q),All_Questions_Q4_F_V="(All)",All_Questions_Q4_F_V="",ISBLANK(All_Questions_Q4_F_V)),1,IFERROR(IF(ISNUMBER(SEARCH("|"&amp;INDEX(INDIRECT(All_Questions_Q4_F_resolved_column),52)&amp;"|",("|" &amp; SUBSTITUTE(All_Questions_Q4_F_resolved_criteria, ", ", "|") &amp; "|"))),1,0),0))*1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IF(OR(All_Questions_Q5_F_Q="(None)",All_Questions_Q5_F_Q="",ISBLANK(All_Questions_Q5_F_Q),All_Questions_Q5_F_V="(All)",All_Questions_Q5_F_V="",ISBLANK(All_Questions_Q5_F_V)),1,IFERROR(IF(ISNUMBER(SEARCH("|"&amp;INDEX(INDIRECT(All_Questions_Q5_F_resolved_column),52)&amp;"|",("|" &amp; SUBSTITUTE(All_Questions_Q5_F_resolved_criteria, ", ", "|") &amp; "|"))),1,0),0))*1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IF(OR(All_Questions_Q4_F_Q="(None)",All_Questions_Q4_F_Q="",ISBLANK(All_Questions_Q4_F_Q),All_Questions_Q4_F_V="(All)",All_Questions_Q4_F_V="",ISBLANK(All_Questions_Q4_F_V)),1,IFERROR(IF(ISNUMBER(SEARCH("|"&amp;INDEX(INDIRECT(All_Questions_Q4_F_resolved_column),53)&amp;"|",("|" &amp; SUBSTITUTE(All_Questions_Q4_F_resolved_criteria, ", ", "|") &amp; "|"))),1,0),0))*1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IF(OR(All_Questions_Q5_F_Q="(None)",All_Questions_Q5_F_Q="",ISBLANK(All_Questions_Q5_F_Q),All_Questions_Q5_F_V="(All)",All_Questions_Q5_F_V="",ISBLANK(All_Questions_Q5_F_V)),1,IFERROR(IF(ISNUMBER(SEARCH("|"&amp;INDEX(INDIRECT(All_Questions_Q5_F_resolved_column),53)&amp;"|",("|" &amp; SUBSTITUTE(All_Questions_Q5_F_resolved_criteria, ", ", "|") &amp; "|"))),1,0),0))*1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IF(OR(All_Questions_Q4_F_Q="(None)",All_Questions_Q4_F_Q="",ISBLANK(All_Questions_Q4_F_Q),All_Questions_Q4_F_V="(All)",All_Questions_Q4_F_V="",ISBLANK(All_Questions_Q4_F_V)),1,IFERROR(IF(ISNUMBER(SEARCH("|"&amp;INDEX(INDIRECT(All_Questions_Q4_F_resolved_column),54)&amp;"|",("|" &amp; SUBSTITUTE(All_Questions_Q4_F_resolved_criteria, ", ", "|") &amp; "|"))),1,0),0))*1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IF(OR(All_Questions_Q5_F_Q="(None)",All_Questions_Q5_F_Q="",ISBLANK(All_Questions_Q5_F_Q),All_Questions_Q5_F_V="(All)",All_Questions_Q5_F_V="",ISBLANK(All_Questions_Q5_F_V)),1,IFERROR(IF(ISNUMBER(SEARCH("|"&amp;INDEX(INDIRECT(All_Questions_Q5_F_resolved_column),54)&amp;"|",("|" &amp; SUBSTITUTE(All_Questions_Q5_F_resolved_criteria, ", ", "|") &amp; "|"))),1,0),0))*1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IF(OR(All_Questions_Q4_F_Q="(None)",All_Questions_Q4_F_Q="",ISBLANK(All_Questions_Q4_F_Q),All_Questions_Q4_F_V="(All)",All_Questions_Q4_F_V="",ISBLANK(All_Questions_Q4_F_V)),1,IFERROR(IF(ISNUMBER(SEARCH("|"&amp;INDEX(INDIRECT(All_Questions_Q4_F_resolved_column),55)&amp;"|",("|" &amp; SUBSTITUTE(All_Questions_Q4_F_resolved_criteria, ", ", "|") &amp; "|"))),1,0),0))*1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IF(OR(All_Questions_Q5_F_Q="(None)",All_Questions_Q5_F_Q="",ISBLANK(All_Questions_Q5_F_Q),All_Questions_Q5_F_V="(All)",All_Questions_Q5_F_V="",ISBLANK(All_Questions_Q5_F_V)),1,IFERROR(IF(ISNUMBER(SEARCH("|"&amp;INDEX(INDIRECT(All_Questions_Q5_F_resolved_column),55)&amp;"|",("|" &amp; SUBSTITUTE(All_Questions_Q5_F_resolved_criteria, ", ", "|") &amp; "|"))),1,0),0))*1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IF(OR(All_Questions_Q4_F_Q="(None)",All_Questions_Q4_F_Q="",ISBLANK(All_Questions_Q4_F_Q),All_Questions_Q4_F_V="(All)",All_Questions_Q4_F_V="",ISBLANK(All_Questions_Q4_F_V)),1,IFERROR(IF(ISNUMBER(SEARCH("|"&amp;INDEX(INDIRECT(All_Questions_Q4_F_resolved_column),56)&amp;"|",("|" &amp; SUBSTITUTE(All_Questions_Q4_F_resolved_criteria, ", ", "|") &amp; "|"))),1,0),0))*1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IF(OR(All_Questions_Q5_F_Q="(None)",All_Questions_Q5_F_Q="",ISBLANK(All_Questions_Q5_F_Q),All_Questions_Q5_F_V="(All)",All_Questions_Q5_F_V="",ISBLANK(All_Questions_Q5_F_V)),1,IFERROR(IF(ISNUMBER(SEARCH("|"&amp;INDEX(INDIRECT(All_Questions_Q5_F_resolved_column),56)&amp;"|",("|" &amp; SUBSTITUTE(All_Questions_Q5_F_resolved_criteria, ", ", "|") &amp; "|"))),1,0),0))*1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IF(OR(All_Questions_Q4_F_Q="(None)",All_Questions_Q4_F_Q="",ISBLANK(All_Questions_Q4_F_Q),All_Questions_Q4_F_V="(All)",All_Questions_Q4_F_V="",ISBLANK(All_Questions_Q4_F_V)),1,IFERROR(IF(ISNUMBER(SEARCH("|"&amp;INDEX(INDIRECT(All_Questions_Q4_F_resolved_column),57)&amp;"|",("|" &amp; SUBSTITUTE(All_Questions_Q4_F_resolved_criteria, ", ", "|") &amp; "|"))),1,0),0))*1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IF(OR(All_Questions_Q5_F_Q="(None)",All_Questions_Q5_F_Q="",ISBLANK(All_Questions_Q5_F_Q),All_Questions_Q5_F_V="(All)",All_Questions_Q5_F_V="",ISBLANK(All_Questions_Q5_F_V)),1,IFERROR(IF(ISNUMBER(SEARCH("|"&amp;INDEX(INDIRECT(All_Questions_Q5_F_resolved_column),57)&amp;"|",("|" &amp; SUBSTITUTE(All_Questions_Q5_F_resolved_criteria, ", ", "|") &amp; "|"))),1,0),0))*1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IF(OR(All_Questions_Q4_F_Q="(None)",All_Questions_Q4_F_Q="",ISBLANK(All_Questions_Q4_F_Q),All_Questions_Q4_F_V="(All)",All_Questions_Q4_F_V="",ISBLANK(All_Questions_Q4_F_V)),1,IFERROR(IF(ISNUMBER(SEARCH("|"&amp;INDEX(INDIRECT(All_Questions_Q4_F_resolved_column),58)&amp;"|",("|" &amp; SUBSTITUTE(All_Questions_Q4_F_resolved_criteria, ", ", "|") &amp; "|"))),1,0),0))*1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IF(OR(All_Questions_Q5_F_Q="(None)",All_Questions_Q5_F_Q="",ISBLANK(All_Questions_Q5_F_Q),All_Questions_Q5_F_V="(All)",All_Questions_Q5_F_V="",ISBLANK(All_Questions_Q5_F_V)),1,IFERROR(IF(ISNUMBER(SEARCH("|"&amp;INDEX(INDIRECT(All_Questions_Q5_F_resolved_column),58)&amp;"|",("|" &amp; SUBSTITUTE(All_Questions_Q5_F_resolved_criteria, ", ", "|") &amp; "|"))),1,0),0))*1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IF(OR(All_Questions_Q4_F_Q="(None)",All_Questions_Q4_F_Q="",ISBLANK(All_Questions_Q4_F_Q),All_Questions_Q4_F_V="(All)",All_Questions_Q4_F_V="",ISBLANK(All_Questions_Q4_F_V)),1,IFERROR(IF(ISNUMBER(SEARCH("|"&amp;INDEX(INDIRECT(All_Questions_Q4_F_resolved_column),59)&amp;"|",("|" &amp; SUBSTITUTE(All_Questions_Q4_F_resolved_criteria, ", ", "|") &amp; "|"))),1,0),0))*1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IF(OR(All_Questions_Q5_F_Q="(None)",All_Questions_Q5_F_Q="",ISBLANK(All_Questions_Q5_F_Q),All_Questions_Q5_F_V="(All)",All_Questions_Q5_F_V="",ISBLANK(All_Questions_Q5_F_V)),1,IFERROR(IF(ISNUMBER(SEARCH("|"&amp;INDEX(INDIRECT(All_Questions_Q5_F_resolved_column),59)&amp;"|",("|" &amp; SUBSTITUTE(All_Questions_Q5_F_resolved_criteria, ", ", "|") &amp; "|"))),1,0),0))*1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IF(OR(All_Questions_Q4_F_Q="(None)",All_Questions_Q4_F_Q="",ISBLANK(All_Questions_Q4_F_Q),All_Questions_Q4_F_V="(All)",All_Questions_Q4_F_V="",ISBLANK(All_Questions_Q4_F_V)),1,IFERROR(IF(ISNUMBER(SEARCH("|"&amp;INDEX(INDIRECT(All_Questions_Q4_F_resolved_column),60)&amp;"|",("|" &amp; SUBSTITUTE(All_Questions_Q4_F_resolved_criteria, ", ", "|") &amp; "|"))),1,0),0))*1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IF(OR(All_Questions_Q5_F_Q="(None)",All_Questions_Q5_F_Q="",ISBLANK(All_Questions_Q5_F_Q),All_Questions_Q5_F_V="(All)",All_Questions_Q5_F_V="",ISBLANK(All_Questions_Q5_F_V)),1,IFERROR(IF(ISNUMBER(SEARCH("|"&amp;INDEX(INDIRECT(All_Questions_Q5_F_resolved_column),60)&amp;"|",("|" &amp; SUBSTITUTE(All_Questions_Q5_F_resolved_criteria, ", ", "|") &amp; "|"))),1,0),0))*1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IF(OR(All_Questions_Q4_F_Q="(None)",All_Questions_Q4_F_Q="",ISBLANK(All_Questions_Q4_F_Q),All_Questions_Q4_F_V="(All)",All_Questions_Q4_F_V="",ISBLANK(All_Questions_Q4_F_V)),1,IFERROR(IF(ISNUMBER(SEARCH("|"&amp;INDEX(INDIRECT(All_Questions_Q4_F_resolved_column),61)&amp;"|",("|" &amp; SUBSTITUTE(All_Questions_Q4_F_resolved_criteria, ", ", "|") &amp; "|"))),1,0),0))*1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IF(OR(All_Questions_Q5_F_Q="(None)",All_Questions_Q5_F_Q="",ISBLANK(All_Questions_Q5_F_Q),All_Questions_Q5_F_V="(All)",All_Questions_Q5_F_V="",ISBLANK(All_Questions_Q5_F_V)),1,IFERROR(IF(ISNUMBER(SEARCH("|"&amp;INDEX(INDIRECT(All_Questions_Q5_F_resolved_column),61)&amp;"|",("|" &amp; SUBSTITUTE(All_Questions_Q5_F_resolved_criteria, ", ", "|") &amp; "|"))),1,0),0))*1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IF(OR(All_Questions_Q4_F_Q="(None)",All_Questions_Q4_F_Q="",ISBLANK(All_Questions_Q4_F_Q),All_Questions_Q4_F_V="(All)",All_Questions_Q4_F_V="",ISBLANK(All_Questions_Q4_F_V)),1,IFERROR(IF(ISNUMBER(SEARCH("|"&amp;INDEX(INDIRECT(All_Questions_Q4_F_resolved_column),62)&amp;"|",("|" &amp; SUBSTITUTE(All_Questions_Q4_F_resolved_criteria, ", ", "|") &amp; "|"))),1,0),0))*1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IF(OR(All_Questions_Q5_F_Q="(None)",All_Questions_Q5_F_Q="",ISBLANK(All_Questions_Q5_F_Q),All_Questions_Q5_F_V="(All)",All_Questions_Q5_F_V="",ISBLANK(All_Questions_Q5_F_V)),1,IFERROR(IF(ISNUMBER(SEARCH("|"&amp;INDEX(INDIRECT(All_Questions_Q5_F_resolved_column),62)&amp;"|",("|" &amp; SUBSTITUTE(All_Questions_Q5_F_resolved_criteria, ", ", "|") &amp; "|"))),1,0),0))*1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IF(OR(All_Questions_Q4_F_Q="(None)",All_Questions_Q4_F_Q="",ISBLANK(All_Questions_Q4_F_Q),All_Questions_Q4_F_V="(All)",All_Questions_Q4_F_V="",ISBLANK(All_Questions_Q4_F_V)),1,IFERROR(IF(ISNUMBER(SEARCH("|"&amp;INDEX(INDIRECT(All_Questions_Q4_F_resolved_column),63)&amp;"|",("|" &amp; SUBSTITUTE(All_Questions_Q4_F_resolved_criteria, ", ", "|") &amp; "|"))),1,0),0))*1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IF(OR(All_Questions_Q5_F_Q="(None)",All_Questions_Q5_F_Q="",ISBLANK(All_Questions_Q5_F_Q),All_Questions_Q5_F_V="(All)",All_Questions_Q5_F_V="",ISBLANK(All_Questions_Q5_F_V)),1,IFERROR(IF(ISNUMBER(SEARCH("|"&amp;INDEX(INDIRECT(All_Questions_Q5_F_resolved_column),63)&amp;"|",("|" &amp; SUBSTITUTE(All_Questions_Q5_F_resolved_criteria, ", ", "|") &amp; "|"))),1,0),0))*1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IF(OR(All_Questions_Q4_F_Q="(None)",All_Questions_Q4_F_Q="",ISBLANK(All_Questions_Q4_F_Q),All_Questions_Q4_F_V="(All)",All_Questions_Q4_F_V="",ISBLANK(All_Questions_Q4_F_V)),1,IFERROR(IF(ISNUMBER(SEARCH("|"&amp;INDEX(INDIRECT(All_Questions_Q4_F_resolved_column),64)&amp;"|",("|" &amp; SUBSTITUTE(All_Questions_Q4_F_resolved_criteria, ", ", "|") &amp; "|"))),1,0),0))*1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IF(OR(All_Questions_Q5_F_Q="(None)",All_Questions_Q5_F_Q="",ISBLANK(All_Questions_Q5_F_Q),All_Questions_Q5_F_V="(All)",All_Questions_Q5_F_V="",ISBLANK(All_Questions_Q5_F_V)),1,IFERROR(IF(ISNUMBER(SEARCH("|"&amp;INDEX(INDIRECT(All_Questions_Q5_F_resolved_column),64)&amp;"|",("|" &amp; SUBSTITUTE(All_Questions_Q5_F_resolved_criteria, ", ", "|") &amp; "|"))),1,0),0))*1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IF(OR(All_Questions_Q4_F_Q="(None)",All_Questions_Q4_F_Q="",ISBLANK(All_Questions_Q4_F_Q),All_Questions_Q4_F_V="(All)",All_Questions_Q4_F_V="",ISBLANK(All_Questions_Q4_F_V)),1,IFERROR(IF(ISNUMBER(SEARCH("|"&amp;INDEX(INDIRECT(All_Questions_Q4_F_resolved_column),65)&amp;"|",("|" &amp; SUBSTITUTE(All_Questions_Q4_F_resolved_criteria, ", ", "|") &amp; "|"))),1,0),0))*1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IF(OR(All_Questions_Q5_F_Q="(None)",All_Questions_Q5_F_Q="",ISBLANK(All_Questions_Q5_F_Q),All_Questions_Q5_F_V="(All)",All_Questions_Q5_F_V="",ISBLANK(All_Questions_Q5_F_V)),1,IFERROR(IF(ISNUMBER(SEARCH("|"&amp;INDEX(INDIRECT(All_Questions_Q5_F_resolved_column),65)&amp;"|",("|" &amp; SUBSTITUTE(All_Questions_Q5_F_resolved_criteria, ", ", "|") &amp; "|"))),1,0),0))*1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IF(OR(All_Questions_Q4_F_Q="(None)",All_Questions_Q4_F_Q="",ISBLANK(All_Questions_Q4_F_Q),All_Questions_Q4_F_V="(All)",All_Questions_Q4_F_V="",ISBLANK(All_Questions_Q4_F_V)),1,IFERROR(IF(ISNUMBER(SEARCH("|"&amp;INDEX(INDIRECT(All_Questions_Q4_F_resolved_column),66)&amp;"|",("|" &amp; SUBSTITUTE(All_Questions_Q4_F_resolved_criteria, ", ", "|") &amp; "|"))),1,0),0))*1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IF(OR(All_Questions_Q5_F_Q="(None)",All_Questions_Q5_F_Q="",ISBLANK(All_Questions_Q5_F_Q),All_Questions_Q5_F_V="(All)",All_Questions_Q5_F_V="",ISBLANK(All_Questions_Q5_F_V)),1,IFERROR(IF(ISNUMBER(SEARCH("|"&amp;INDEX(INDIRECT(All_Questions_Q5_F_resolved_column),66)&amp;"|",("|" &amp; SUBSTITUTE(All_Questions_Q5_F_resolved_criteria, ", ", "|") &amp; "|"))),1,0),0))*1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IF(OR(All_Questions_Q4_F_Q="(None)",All_Questions_Q4_F_Q="",ISBLANK(All_Questions_Q4_F_Q),All_Questions_Q4_F_V="(All)",All_Questions_Q4_F_V="",ISBLANK(All_Questions_Q4_F_V)),1,IFERROR(IF(ISNUMBER(SEARCH("|"&amp;INDEX(INDIRECT(All_Questions_Q4_F_resolved_column),67)&amp;"|",("|" &amp; SUBSTITUTE(All_Questions_Q4_F_resolved_criteria, ", ", "|") &amp; "|"))),1,0),0))*1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IF(OR(All_Questions_Q5_F_Q="(None)",All_Questions_Q5_F_Q="",ISBLANK(All_Questions_Q5_F_Q),All_Questions_Q5_F_V="(All)",All_Questions_Q5_F_V="",ISBLANK(All_Questions_Q5_F_V)),1,IFERROR(IF(ISNUMBER(SEARCH("|"&amp;INDEX(INDIRECT(All_Questions_Q5_F_resolved_column),67)&amp;"|",("|" &amp; SUBSTITUTE(All_Questions_Q5_F_resolved_criteria, ", ", "|") &amp; "|"))),1,0),0))*1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IF(OR(All_Questions_Q4_F_Q="(None)",All_Questions_Q4_F_Q="",ISBLANK(All_Questions_Q4_F_Q),All_Questions_Q4_F_V="(All)",All_Questions_Q4_F_V="",ISBLANK(All_Questions_Q4_F_V)),1,IFERROR(IF(ISNUMBER(SEARCH("|"&amp;INDEX(INDIRECT(All_Questions_Q4_F_resolved_column),68)&amp;"|",("|" &amp; SUBSTITUTE(All_Questions_Q4_F_resolved_criteria, ", ", "|") &amp; "|"))),1,0),0))*1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IF(OR(All_Questions_Q5_F_Q="(None)",All_Questions_Q5_F_Q="",ISBLANK(All_Questions_Q5_F_Q),All_Questions_Q5_F_V="(All)",All_Questions_Q5_F_V="",ISBLANK(All_Questions_Q5_F_V)),1,IFERROR(IF(ISNUMBER(SEARCH("|"&amp;INDEX(INDIRECT(All_Questions_Q5_F_resolved_column),68)&amp;"|",("|" &amp; SUBSTITUTE(All_Questions_Q5_F_resolved_criteria, ", ", "|") &amp; "|"))),1,0),0))*1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IF(OR(All_Questions_Q4_F_Q="(None)",All_Questions_Q4_F_Q="",ISBLANK(All_Questions_Q4_F_Q),All_Questions_Q4_F_V="(All)",All_Questions_Q4_F_V="",ISBLANK(All_Questions_Q4_F_V)),1,IFERROR(IF(ISNUMBER(SEARCH("|"&amp;INDEX(INDIRECT(All_Questions_Q4_F_resolved_column),69)&amp;"|",("|" &amp; SUBSTITUTE(All_Questions_Q4_F_resolved_criteria, ", ", "|") &amp; "|"))),1,0),0))*1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IF(OR(All_Questions_Q5_F_Q="(None)",All_Questions_Q5_F_Q="",ISBLANK(All_Questions_Q5_F_Q),All_Questions_Q5_F_V="(All)",All_Questions_Q5_F_V="",ISBLANK(All_Questions_Q5_F_V)),1,IFERROR(IF(ISNUMBER(SEARCH("|"&amp;INDEX(INDIRECT(All_Questions_Q5_F_resolved_column),69)&amp;"|",("|" &amp; SUBSTITUTE(All_Questions_Q5_F_resolved_criteria, ", ", "|") &amp; "|"))),1,0),0))*1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IF(OR(All_Questions_Q4_F_Q="(None)",All_Questions_Q4_F_Q="",ISBLANK(All_Questions_Q4_F_Q),All_Questions_Q4_F_V="(All)",All_Questions_Q4_F_V="",ISBLANK(All_Questions_Q4_F_V)),1,IFERROR(IF(ISNUMBER(SEARCH("|"&amp;INDEX(INDIRECT(All_Questions_Q4_F_resolved_column),70)&amp;"|",("|" &amp; SUBSTITUTE(All_Questions_Q4_F_resolved_criteria, ", ", "|") &amp; "|"))),1,0),0))*1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IF(OR(All_Questions_Q5_F_Q="(None)",All_Questions_Q5_F_Q="",ISBLANK(All_Questions_Q5_F_Q),All_Questions_Q5_F_V="(All)",All_Questions_Q5_F_V="",ISBLANK(All_Questions_Q5_F_V)),1,IFERROR(IF(ISNUMBER(SEARCH("|"&amp;INDEX(INDIRECT(All_Questions_Q5_F_resolved_column),70)&amp;"|",("|" &amp; SUBSTITUTE(All_Questions_Q5_F_resolved_criteria, ", ", "|") &amp; "|"))),1,0),0))*1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IF(OR(All_Questions_Q4_F_Q="(None)",All_Questions_Q4_F_Q="",ISBLANK(All_Questions_Q4_F_Q),All_Questions_Q4_F_V="(All)",All_Questions_Q4_F_V="",ISBLANK(All_Questions_Q4_F_V)),1,IFERROR(IF(ISNUMBER(SEARCH("|"&amp;INDEX(INDIRECT(All_Questions_Q4_F_resolved_column),71)&amp;"|",("|" &amp; SUBSTITUTE(All_Questions_Q4_F_resolved_criteria, ", ", "|") &amp; "|"))),1,0),0))*1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IF(OR(All_Questions_Q5_F_Q="(None)",All_Questions_Q5_F_Q="",ISBLANK(All_Questions_Q5_F_Q),All_Questions_Q5_F_V="(All)",All_Questions_Q5_F_V="",ISBLANK(All_Questions_Q5_F_V)),1,IFERROR(IF(ISNUMBER(SEARCH("|"&amp;INDEX(INDIRECT(All_Questions_Q5_F_resolved_column),71)&amp;"|",("|" &amp; SUBSTITUTE(All_Questions_Q5_F_resolved_criteria, ", ", "|") &amp; "|"))),1,0),0))*1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IF(OR(All_Questions_Q4_F_Q="(None)",All_Questions_Q4_F_Q="",ISBLANK(All_Questions_Q4_F_Q),All_Questions_Q4_F_V="(All)",All_Questions_Q4_F_V="",ISBLANK(All_Questions_Q4_F_V)),1,IFERROR(IF(ISNUMBER(SEARCH("|"&amp;INDEX(INDIRECT(All_Questions_Q4_F_resolved_column),72)&amp;"|",("|" &amp; SUBSTITUTE(All_Questions_Q4_F_resolved_criteria, ", ", "|") &amp; "|"))),1,0),0))*1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IF(OR(All_Questions_Q5_F_Q="(None)",All_Questions_Q5_F_Q="",ISBLANK(All_Questions_Q5_F_Q),All_Questions_Q5_F_V="(All)",All_Questions_Q5_F_V="",ISBLANK(All_Questions_Q5_F_V)),1,IFERROR(IF(ISNUMBER(SEARCH("|"&amp;INDEX(INDIRECT(All_Questions_Q5_F_resolved_column),72)&amp;"|",("|" &amp; SUBSTITUTE(All_Questions_Q5_F_resolved_criteria, ", ", "|") &amp; "|"))),1,0),0))*1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IF(OR(All_Questions_Q4_F_Q="(None)",All_Questions_Q4_F_Q="",ISBLANK(All_Questions_Q4_F_Q),All_Questions_Q4_F_V="(All)",All_Questions_Q4_F_V="",ISBLANK(All_Questions_Q4_F_V)),1,IFERROR(IF(ISNUMBER(SEARCH("|"&amp;INDEX(INDIRECT(All_Questions_Q4_F_resolved_column),73)&amp;"|",("|" &amp; SUBSTITUTE(All_Questions_Q4_F_resolved_criteria, ", ", "|") &amp; "|"))),1,0),0))*1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IF(OR(All_Questions_Q5_F_Q="(None)",All_Questions_Q5_F_Q="",ISBLANK(All_Questions_Q5_F_Q),All_Questions_Q5_F_V="(All)",All_Questions_Q5_F_V="",ISBLANK(All_Questions_Q5_F_V)),1,IFERROR(IF(ISNUMBER(SEARCH("|"&amp;INDEX(INDIRECT(All_Questions_Q5_F_resolved_column),73)&amp;"|",("|" &amp; SUBSTITUTE(All_Questions_Q5_F_resolved_criteria, ", ", "|") &amp; "|"))),1,0),0))*1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IF(OR(All_Questions_Q4_F_Q="(None)",All_Questions_Q4_F_Q="",ISBLANK(All_Questions_Q4_F_Q),All_Questions_Q4_F_V="(All)",All_Questions_Q4_F_V="",ISBLANK(All_Questions_Q4_F_V)),1,IFERROR(IF(ISNUMBER(SEARCH("|"&amp;INDEX(INDIRECT(All_Questions_Q4_F_resolved_column),74)&amp;"|",("|" &amp; SUBSTITUTE(All_Questions_Q4_F_resolved_criteria, ", ", "|") &amp; "|"))),1,0),0))*1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IF(OR(All_Questions_Q5_F_Q="(None)",All_Questions_Q5_F_Q="",ISBLANK(All_Questions_Q5_F_Q),All_Questions_Q5_F_V="(All)",All_Questions_Q5_F_V="",ISBLANK(All_Questions_Q5_F_V)),1,IFERROR(IF(ISNUMBER(SEARCH("|"&amp;INDEX(INDIRECT(All_Questions_Q5_F_resolved_column),74)&amp;"|",("|" &amp; SUBSTITUTE(All_Questions_Q5_F_resolved_criteria, ", ", "|") &amp; "|"))),1,0),0))*1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IF(OR(All_Questions_Q4_F_Q="(None)",All_Questions_Q4_F_Q="",ISBLANK(All_Questions_Q4_F_Q),All_Questions_Q4_F_V="(All)",All_Questions_Q4_F_V="",ISBLANK(All_Questions_Q4_F_V)),1,IFERROR(IF(ISNUMBER(SEARCH("|"&amp;INDEX(INDIRECT(All_Questions_Q4_F_resolved_column),75)&amp;"|",("|" &amp; SUBSTITUTE(All_Questions_Q4_F_resolved_criteria, ", ", "|") &amp; "|"))),1,0),0))*1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IF(OR(All_Questions_Q5_F_Q="(None)",All_Questions_Q5_F_Q="",ISBLANK(All_Questions_Q5_F_Q),All_Questions_Q5_F_V="(All)",All_Questions_Q5_F_V="",ISBLANK(All_Questions_Q5_F_V)),1,IFERROR(IF(ISNUMBER(SEARCH("|"&amp;INDEX(INDIRECT(All_Questions_Q5_F_resolved_column),75)&amp;"|",("|" &amp; SUBSTITUTE(All_Questions_Q5_F_resolved_criteria, ", ", "|") &amp; "|"))),1,0),0))*1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IF(OR(All_Questions_Q4_F_Q="(None)",All_Questions_Q4_F_Q="",ISBLANK(All_Questions_Q4_F_Q),All_Questions_Q4_F_V="(All)",All_Questions_Q4_F_V="",ISBLANK(All_Questions_Q4_F_V)),1,IFERROR(IF(ISNUMBER(SEARCH("|"&amp;INDEX(INDIRECT(All_Questions_Q4_F_resolved_column),76)&amp;"|",("|" &amp; SUBSTITUTE(All_Questions_Q4_F_resolved_criteria, ", ", "|") &amp; "|"))),1,0),0))*1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IF(OR(All_Questions_Q5_F_Q="(None)",All_Questions_Q5_F_Q="",ISBLANK(All_Questions_Q5_F_Q),All_Questions_Q5_F_V="(All)",All_Questions_Q5_F_V="",ISBLANK(All_Questions_Q5_F_V)),1,IFERROR(IF(ISNUMBER(SEARCH("|"&amp;INDEX(INDIRECT(All_Questions_Q5_F_resolved_column),76)&amp;"|",("|" &amp; SUBSTITUTE(All_Questions_Q5_F_resolved_criteria, ", ", "|") &amp; "|"))),1,0),0))*1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IF(OR(All_Questions_Q4_F_Q="(None)",All_Questions_Q4_F_Q="",ISBLANK(All_Questions_Q4_F_Q),All_Questions_Q4_F_V="(All)",All_Questions_Q4_F_V="",ISBLANK(All_Questions_Q4_F_V)),1,IFERROR(IF(ISNUMBER(SEARCH("|"&amp;INDEX(INDIRECT(All_Questions_Q4_F_resolved_column),77)&amp;"|",("|" &amp; SUBSTITUTE(All_Questions_Q4_F_resolved_criteria, ", ", "|") &amp; "|"))),1,0),0))*1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IF(OR(All_Questions_Q5_F_Q="(None)",All_Questions_Q5_F_Q="",ISBLANK(All_Questions_Q5_F_Q),All_Questions_Q5_F_V="(All)",All_Questions_Q5_F_V="",ISBLANK(All_Questions_Q5_F_V)),1,IFERROR(IF(ISNUMBER(SEARCH("|"&amp;INDEX(INDIRECT(All_Questions_Q5_F_resolved_column),77)&amp;"|",("|" &amp; SUBSTITUTE(All_Questions_Q5_F_resolved_criteria, ", ", "|") &amp; "|"))),1,0),0))*1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IF(OR(All_Questions_Q4_F_Q="(None)",All_Questions_Q4_F_Q="",ISBLANK(All_Questions_Q4_F_Q),All_Questions_Q4_F_V="(All)",All_Questions_Q4_F_V="",ISBLANK(All_Questions_Q4_F_V)),1,IFERROR(IF(ISNUMBER(SEARCH("|"&amp;INDEX(INDIRECT(All_Questions_Q4_F_resolved_column),78)&amp;"|",("|" &amp; SUBSTITUTE(All_Questions_Q4_F_resolved_criteria, ", ", "|") &amp; "|"))),1,0),0))*1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IF(OR(All_Questions_Q5_F_Q="(None)",All_Questions_Q5_F_Q="",ISBLANK(All_Questions_Q5_F_Q),All_Questions_Q5_F_V="(All)",All_Questions_Q5_F_V="",ISBLANK(All_Questions_Q5_F_V)),1,IFERROR(IF(ISNUMBER(SEARCH("|"&amp;INDEX(INDIRECT(All_Questions_Q5_F_resolved_column),78)&amp;"|",("|" &amp; SUBSTITUTE(All_Questions_Q5_F_resolved_criteria, ", ", "|") &amp; "|"))),1,0),0))*1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IF(OR(All_Questions_Q4_F_Q="(None)",All_Questions_Q4_F_Q="",ISBLANK(All_Questions_Q4_F_Q),All_Questions_Q4_F_V="(All)",All_Questions_Q4_F_V="",ISBLANK(All_Questions_Q4_F_V)),1,IFERROR(IF(ISNUMBER(SEARCH("|"&amp;INDEX(INDIRECT(All_Questions_Q4_F_resolved_column),79)&amp;"|",("|" &amp; SUBSTITUTE(All_Questions_Q4_F_resolved_criteria, ", ", "|") &amp; "|"))),1,0),0))*1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IF(OR(All_Questions_Q5_F_Q="(None)",All_Questions_Q5_F_Q="",ISBLANK(All_Questions_Q5_F_Q),All_Questions_Q5_F_V="(All)",All_Questions_Q5_F_V="",ISBLANK(All_Questions_Q5_F_V)),1,IFERROR(IF(ISNUMBER(SEARCH("|"&amp;INDEX(INDIRECT(All_Questions_Q5_F_resolved_column),79)&amp;"|",("|" &amp; SUBSTITUTE(All_Questions_Q5_F_resolved_criteria, ", ", "|") &amp; "|"))),1,0),0))*1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IF(OR(All_Questions_Q4_F_Q="(None)",All_Questions_Q4_F_Q="",ISBLANK(All_Questions_Q4_F_Q),All_Questions_Q4_F_V="(All)",All_Questions_Q4_F_V="",ISBLANK(All_Questions_Q4_F_V)),1,IFERROR(IF(ISNUMBER(SEARCH("|"&amp;INDEX(INDIRECT(All_Questions_Q4_F_resolved_column),80)&amp;"|",("|" &amp; SUBSTITUTE(All_Questions_Q4_F_resolved_criteria, ", ", "|") &amp; "|"))),1,0),0))*1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IF(OR(All_Questions_Q5_F_Q="(None)",All_Questions_Q5_F_Q="",ISBLANK(All_Questions_Q5_F_Q),All_Questions_Q5_F_V="(All)",All_Questions_Q5_F_V="",ISBLANK(All_Questions_Q5_F_V)),1,IFERROR(IF(ISNUMBER(SEARCH("|"&amp;INDEX(INDIRECT(All_Questions_Q5_F_resolved_column),80)&amp;"|",("|" &amp; SUBSTITUTE(All_Questions_Q5_F_resolved_criteria, ", ", "|") &amp; "|"))),1,0),0))*1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IF(OR(All_Questions_Q4_F_Q="(None)",All_Questions_Q4_F_Q="",ISBLANK(All_Questions_Q4_F_Q),All_Questions_Q4_F_V="(All)",All_Questions_Q4_F_V="",ISBLANK(All_Questions_Q4_F_V)),1,IFERROR(IF(ISNUMBER(SEARCH("|"&amp;INDEX(INDIRECT(All_Questions_Q4_F_resolved_column),81)&amp;"|",("|" &amp; SUBSTITUTE(All_Questions_Q4_F_resolved_criteria, ", ", "|") &amp; "|"))),1,0),0))*1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IF(OR(All_Questions_Q5_F_Q="(None)",All_Questions_Q5_F_Q="",ISBLANK(All_Questions_Q5_F_Q),All_Questions_Q5_F_V="(All)",All_Questions_Q5_F_V="",ISBLANK(All_Questions_Q5_F_V)),1,IFERROR(IF(ISNUMBER(SEARCH("|"&amp;INDEX(INDIRECT(All_Questions_Q5_F_resolved_column),81)&amp;"|",("|" &amp; SUBSTITUTE(All_Questions_Q5_F_resolved_criteria, ", ", "|") &amp; "|"))),1,0),0))*1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IF(OR(All_Questions_Q4_F_Q="(None)",All_Questions_Q4_F_Q="",ISBLANK(All_Questions_Q4_F_Q),All_Questions_Q4_F_V="(All)",All_Questions_Q4_F_V="",ISBLANK(All_Questions_Q4_F_V)),1,IFERROR(IF(ISNUMBER(SEARCH("|"&amp;INDEX(INDIRECT(All_Questions_Q4_F_resolved_column),82)&amp;"|",("|" &amp; SUBSTITUTE(All_Questions_Q4_F_resolved_criteria, ", ", "|") &amp; "|"))),1,0),0))*1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IF(OR(All_Questions_Q5_F_Q="(None)",All_Questions_Q5_F_Q="",ISBLANK(All_Questions_Q5_F_Q),All_Questions_Q5_F_V="(All)",All_Questions_Q5_F_V="",ISBLANK(All_Questions_Q5_F_V)),1,IFERROR(IF(ISNUMBER(SEARCH("|"&amp;INDEX(INDIRECT(All_Questions_Q5_F_resolved_column),82)&amp;"|",("|" &amp; SUBSTITUTE(All_Questions_Q5_F_resolved_criteria, ", ", "|") &amp; "|"))),1,0),0))*1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IF(OR(All_Questions_Q4_F_Q="(None)",All_Questions_Q4_F_Q="",ISBLANK(All_Questions_Q4_F_Q),All_Questions_Q4_F_V="(All)",All_Questions_Q4_F_V="",ISBLANK(All_Questions_Q4_F_V)),1,IFERROR(IF(ISNUMBER(SEARCH("|"&amp;INDEX(INDIRECT(All_Questions_Q4_F_resolved_column),83)&amp;"|",("|" &amp; SUBSTITUTE(All_Questions_Q4_F_resolved_criteria, ", ", "|") &amp; "|"))),1,0),0))*1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IF(OR(All_Questions_Q5_F_Q="(None)",All_Questions_Q5_F_Q="",ISBLANK(All_Questions_Q5_F_Q),All_Questions_Q5_F_V="(All)",All_Questions_Q5_F_V="",ISBLANK(All_Questions_Q5_F_V)),1,IFERROR(IF(ISNUMBER(SEARCH("|"&amp;INDEX(INDIRECT(All_Questions_Q5_F_resolved_column),83)&amp;"|",("|" &amp; SUBSTITUTE(All_Questions_Q5_F_resolved_criteria, ", ", "|") &amp; "|"))),1,0),0))*1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IF(OR(All_Questions_Q4_F_Q="(None)",All_Questions_Q4_F_Q="",ISBLANK(All_Questions_Q4_F_Q),All_Questions_Q4_F_V="(All)",All_Questions_Q4_F_V="",ISBLANK(All_Questions_Q4_F_V)),1,IFERROR(IF(ISNUMBER(SEARCH("|"&amp;INDEX(INDIRECT(All_Questions_Q4_F_resolved_column),84)&amp;"|",("|" &amp; SUBSTITUTE(All_Questions_Q4_F_resolved_criteria, ", ", "|") &amp; "|"))),1,0),0))*1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IF(OR(All_Questions_Q5_F_Q="(None)",All_Questions_Q5_F_Q="",ISBLANK(All_Questions_Q5_F_Q),All_Questions_Q5_F_V="(All)",All_Questions_Q5_F_V="",ISBLANK(All_Questions_Q5_F_V)),1,IFERROR(IF(ISNUMBER(SEARCH("|"&amp;INDEX(INDIRECT(All_Questions_Q5_F_resolved_column),84)&amp;"|",("|" &amp; SUBSTITUTE(All_Questions_Q5_F_resolved_criteria, ", ", "|") &amp; "|"))),1,0),0))*1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IF(OR(All_Questions_Q4_F_Q="(None)",All_Questions_Q4_F_Q="",ISBLANK(All_Questions_Q4_F_Q),All_Questions_Q4_F_V="(All)",All_Questions_Q4_F_V="",ISBLANK(All_Questions_Q4_F_V)),1,IFERROR(IF(ISNUMBER(SEARCH("|"&amp;INDEX(INDIRECT(All_Questions_Q4_F_resolved_column),85)&amp;"|",("|" &amp; SUBSTITUTE(All_Questions_Q4_F_resolved_criteria, ", ", "|") &amp; "|"))),1,0),0))*1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IF(OR(All_Questions_Q5_F_Q="(None)",All_Questions_Q5_F_Q="",ISBLANK(All_Questions_Q5_F_Q),All_Questions_Q5_F_V="(All)",All_Questions_Q5_F_V="",ISBLANK(All_Questions_Q5_F_V)),1,IFERROR(IF(ISNUMBER(SEARCH("|"&amp;INDEX(INDIRECT(All_Questions_Q5_F_resolved_column),85)&amp;"|",("|" &amp; SUBSTITUTE(All_Questions_Q5_F_resolved_criteria, ", ", "|") &amp; "|"))),1,0),0))*1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IF(OR(All_Questions_Q4_F_Q="(None)",All_Questions_Q4_F_Q="",ISBLANK(All_Questions_Q4_F_Q),All_Questions_Q4_F_V="(All)",All_Questions_Q4_F_V="",ISBLANK(All_Questions_Q4_F_V)),1,IFERROR(IF(ISNUMBER(SEARCH("|"&amp;INDEX(INDIRECT(All_Questions_Q4_F_resolved_column),86)&amp;"|",("|" &amp; SUBSTITUTE(All_Questions_Q4_F_resolved_criteria, ", ", "|") &amp; "|"))),1,0),0))*1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IF(OR(All_Questions_Q5_F_Q="(None)",All_Questions_Q5_F_Q="",ISBLANK(All_Questions_Q5_F_Q),All_Questions_Q5_F_V="(All)",All_Questions_Q5_F_V="",ISBLANK(All_Questions_Q5_F_V)),1,IFERROR(IF(ISNUMBER(SEARCH("|"&amp;INDEX(INDIRECT(All_Questions_Q5_F_resolved_column),86)&amp;"|",("|" &amp; SUBSTITUTE(All_Questions_Q5_F_resolved_criteria, ", ", "|") &amp; "|"))),1,0),0))*1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IF(OR(All_Questions_Q4_F_Q="(None)",All_Questions_Q4_F_Q="",ISBLANK(All_Questions_Q4_F_Q),All_Questions_Q4_F_V="(All)",All_Questions_Q4_F_V="",ISBLANK(All_Questions_Q4_F_V)),1,IFERROR(IF(ISNUMBER(SEARCH("|"&amp;INDEX(INDIRECT(All_Questions_Q4_F_resolved_column),87)&amp;"|",("|" &amp; SUBSTITUTE(All_Questions_Q4_F_resolved_criteria, ", ", "|") &amp; "|"))),1,0),0))*1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IF(OR(All_Questions_Q5_F_Q="(None)",All_Questions_Q5_F_Q="",ISBLANK(All_Questions_Q5_F_Q),All_Questions_Q5_F_V="(All)",All_Questions_Q5_F_V="",ISBLANK(All_Questions_Q5_F_V)),1,IFERROR(IF(ISNUMBER(SEARCH("|"&amp;INDEX(INDIRECT(All_Questions_Q5_F_resolved_column),87)&amp;"|",("|" &amp; SUBSTITUTE(All_Questions_Q5_F_resolved_criteria, ", ", "|") &amp; "|"))),1,0),0))*1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IF(OR(All_Questions_Q4_F_Q="(None)",All_Questions_Q4_F_Q="",ISBLANK(All_Questions_Q4_F_Q),All_Questions_Q4_F_V="(All)",All_Questions_Q4_F_V="",ISBLANK(All_Questions_Q4_F_V)),1,IFERROR(IF(ISNUMBER(SEARCH("|"&amp;INDEX(INDIRECT(All_Questions_Q4_F_resolved_column),88)&amp;"|",("|" &amp; SUBSTITUTE(All_Questions_Q4_F_resolved_criteria, ", ", "|") &amp; "|"))),1,0),0))*1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IF(OR(All_Questions_Q5_F_Q="(None)",All_Questions_Q5_F_Q="",ISBLANK(All_Questions_Q5_F_Q),All_Questions_Q5_F_V="(All)",All_Questions_Q5_F_V="",ISBLANK(All_Questions_Q5_F_V)),1,IFERROR(IF(ISNUMBER(SEARCH("|"&amp;INDEX(INDIRECT(All_Questions_Q5_F_resolved_column),88)&amp;"|",("|" &amp; SUBSTITUTE(All_Questions_Q5_F_resolved_criteria, ", ", "|") &amp; "|"))),1,0),0))*1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IF(OR(All_Questions_Q4_F_Q="(None)",All_Questions_Q4_F_Q="",ISBLANK(All_Questions_Q4_F_Q),All_Questions_Q4_F_V="(All)",All_Questions_Q4_F_V="",ISBLANK(All_Questions_Q4_F_V)),1,IFERROR(IF(ISNUMBER(SEARCH("|"&amp;INDEX(INDIRECT(All_Questions_Q4_F_resolved_column),89)&amp;"|",("|" &amp; SUBSTITUTE(All_Questions_Q4_F_resolved_criteria, ", ", "|") &amp; "|"))),1,0),0))*1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IF(OR(All_Questions_Q5_F_Q="(None)",All_Questions_Q5_F_Q="",ISBLANK(All_Questions_Q5_F_Q),All_Questions_Q5_F_V="(All)",All_Questions_Q5_F_V="",ISBLANK(All_Questions_Q5_F_V)),1,IFERROR(IF(ISNUMBER(SEARCH("|"&amp;INDEX(INDIRECT(All_Questions_Q5_F_resolved_column),89)&amp;"|",("|" &amp; SUBSTITUTE(All_Questions_Q5_F_resolved_criteria, ", ", "|") &amp; "|"))),1,0),0))*1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IF(OR(All_Questions_Q4_F_Q="(None)",All_Questions_Q4_F_Q="",ISBLANK(All_Questions_Q4_F_Q),All_Questions_Q4_F_V="(All)",All_Questions_Q4_F_V="",ISBLANK(All_Questions_Q4_F_V)),1,IFERROR(IF(ISNUMBER(SEARCH("|"&amp;INDEX(INDIRECT(All_Questions_Q4_F_resolved_column),90)&amp;"|",("|" &amp; SUBSTITUTE(All_Questions_Q4_F_resolved_criteria, ", ", "|") &amp; "|"))),1,0),0))*1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IF(OR(All_Questions_Q5_F_Q="(None)",All_Questions_Q5_F_Q="",ISBLANK(All_Questions_Q5_F_Q),All_Questions_Q5_F_V="(All)",All_Questions_Q5_F_V="",ISBLANK(All_Questions_Q5_F_V)),1,IFERROR(IF(ISNUMBER(SEARCH("|"&amp;INDEX(INDIRECT(All_Questions_Q5_F_resolved_column),90)&amp;"|",("|" &amp; SUBSTITUTE(All_Questions_Q5_F_resolved_criteria, ", ", "|") &amp; "|"))),1,0),0))*1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IF(OR(All_Questions_Q4_F_Q="(None)",All_Questions_Q4_F_Q="",ISBLANK(All_Questions_Q4_F_Q),All_Questions_Q4_F_V="(All)",All_Questions_Q4_F_V="",ISBLANK(All_Questions_Q4_F_V)),1,IFERROR(IF(ISNUMBER(SEARCH("|"&amp;INDEX(INDIRECT(All_Questions_Q4_F_resolved_column),91)&amp;"|",("|" &amp; SUBSTITUTE(All_Questions_Q4_F_resolved_criteria, ", ", "|") &amp; "|"))),1,0),0))*1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IF(OR(All_Questions_Q5_F_Q="(None)",All_Questions_Q5_F_Q="",ISBLANK(All_Questions_Q5_F_Q),All_Questions_Q5_F_V="(All)",All_Questions_Q5_F_V="",ISBLANK(All_Questions_Q5_F_V)),1,IFERROR(IF(ISNUMBER(SEARCH("|"&amp;INDEX(INDIRECT(All_Questions_Q5_F_resolved_column),91)&amp;"|",("|" &amp; SUBSTITUTE(All_Questions_Q5_F_resolved_criteria, ", ", "|") &amp; "|"))),1,0),0))*1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IF(OR(All_Questions_Q4_F_Q="(None)",All_Questions_Q4_F_Q="",ISBLANK(All_Questions_Q4_F_Q),All_Questions_Q4_F_V="(All)",All_Questions_Q4_F_V="",ISBLANK(All_Questions_Q4_F_V)),1,IFERROR(IF(ISNUMBER(SEARCH("|"&amp;INDEX(INDIRECT(All_Questions_Q4_F_resolved_column),92)&amp;"|",("|" &amp; SUBSTITUTE(All_Questions_Q4_F_resolved_criteria, ", ", "|") &amp; "|"))),1,0),0))*1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IF(OR(All_Questions_Q5_F_Q="(None)",All_Questions_Q5_F_Q="",ISBLANK(All_Questions_Q5_F_Q),All_Questions_Q5_F_V="(All)",All_Questions_Q5_F_V="",ISBLANK(All_Questions_Q5_F_V)),1,IFERROR(IF(ISNUMBER(SEARCH("|"&amp;INDEX(INDIRECT(All_Questions_Q5_F_resolved_column),92)&amp;"|",("|" &amp; SUBSTITUTE(All_Questions_Q5_F_resolved_criteria, ", ", "|") &amp; "|"))),1,0),0))*1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IF(OR(All_Questions_Q4_F_Q="(None)",All_Questions_Q4_F_Q="",ISBLANK(All_Questions_Q4_F_Q),All_Questions_Q4_F_V="(All)",All_Questions_Q4_F_V="",ISBLANK(All_Questions_Q4_F_V)),1,IFERROR(IF(ISNUMBER(SEARCH("|"&amp;INDEX(INDIRECT(All_Questions_Q4_F_resolved_column),93)&amp;"|",("|" &amp; SUBSTITUTE(All_Questions_Q4_F_resolved_criteria, ", ", "|") &amp; "|"))),1,0),0))*1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IF(OR(All_Questions_Q5_F_Q="(None)",All_Questions_Q5_F_Q="",ISBLANK(All_Questions_Q5_F_Q),All_Questions_Q5_F_V="(All)",All_Questions_Q5_F_V="",ISBLANK(All_Questions_Q5_F_V)),1,IFERROR(IF(ISNUMBER(SEARCH("|"&amp;INDEX(INDIRECT(All_Questions_Q5_F_resolved_column),93)&amp;"|",("|" &amp; SUBSTITUTE(All_Questions_Q5_F_resolved_criteria, ", ", "|") &amp; "|"))),1,0),0))*1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IF(OR(All_Questions_Q4_F_Q="(None)",All_Questions_Q4_F_Q="",ISBLANK(All_Questions_Q4_F_Q),All_Questions_Q4_F_V="(All)",All_Questions_Q4_F_V="",ISBLANK(All_Questions_Q4_F_V)),1,IFERROR(IF(ISNUMBER(SEARCH("|"&amp;INDEX(INDIRECT(All_Questions_Q4_F_resolved_column),94)&amp;"|",("|" &amp; SUBSTITUTE(All_Questions_Q4_F_resolved_criteria, ", ", "|") &amp; "|"))),1,0),0))*1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IF(OR(All_Questions_Q5_F_Q="(None)",All_Questions_Q5_F_Q="",ISBLANK(All_Questions_Q5_F_Q),All_Questions_Q5_F_V="(All)",All_Questions_Q5_F_V="",ISBLANK(All_Questions_Q5_F_V)),1,IFERROR(IF(ISNUMBER(SEARCH("|"&amp;INDEX(INDIRECT(All_Questions_Q5_F_resolved_column),94)&amp;"|",("|" &amp; SUBSTITUTE(All_Questions_Q5_F_resolved_criteria, ", ", "|") &amp; "|"))),1,0),0))*1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IF(OR(All_Questions_Q4_F_Q="(None)",All_Questions_Q4_F_Q="",ISBLANK(All_Questions_Q4_F_Q),All_Questions_Q4_F_V="(All)",All_Questions_Q4_F_V="",ISBLANK(All_Questions_Q4_F_V)),1,IFERROR(IF(ISNUMBER(SEARCH("|"&amp;INDEX(INDIRECT(All_Questions_Q4_F_resolved_column),95)&amp;"|",("|" &amp; SUBSTITUTE(All_Questions_Q4_F_resolved_criteria, ", ", "|") &amp; "|"))),1,0),0))*1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IF(OR(All_Questions_Q5_F_Q="(None)",All_Questions_Q5_F_Q="",ISBLANK(All_Questions_Q5_F_Q),All_Questions_Q5_F_V="(All)",All_Questions_Q5_F_V="",ISBLANK(All_Questions_Q5_F_V)),1,IFERROR(IF(ISNUMBER(SEARCH("|"&amp;INDEX(INDIRECT(All_Questions_Q5_F_resolved_column),95)&amp;"|",("|" &amp; SUBSTITUTE(All_Questions_Q5_F_resolved_criteria, ", ", "|") &amp; "|"))),1,0),0))*1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IF(OR(All_Questions_Q4_F_Q="(None)",All_Questions_Q4_F_Q="",ISBLANK(All_Questions_Q4_F_Q),All_Questions_Q4_F_V="(All)",All_Questions_Q4_F_V="",ISBLANK(All_Questions_Q4_F_V)),1,IFERROR(IF(ISNUMBER(SEARCH("|"&amp;INDEX(INDIRECT(All_Questions_Q4_F_resolved_column),96)&amp;"|",("|" &amp; SUBSTITUTE(All_Questions_Q4_F_resolved_criteria, ", ", "|") &amp; "|"))),1,0),0))*1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IF(OR(All_Questions_Q5_F_Q="(None)",All_Questions_Q5_F_Q="",ISBLANK(All_Questions_Q5_F_Q),All_Questions_Q5_F_V="(All)",All_Questions_Q5_F_V="",ISBLANK(All_Questions_Q5_F_V)),1,IFERROR(IF(ISNUMBER(SEARCH("|"&amp;INDEX(INDIRECT(All_Questions_Q5_F_resolved_column),96)&amp;"|",("|" &amp; SUBSTITUTE(All_Questions_Q5_F_resolved_criteria, ", ", "|") &amp; "|"))),1,0),0))*1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IF(OR(All_Questions_Q4_F_Q="(None)",All_Questions_Q4_F_Q="",ISBLANK(All_Questions_Q4_F_Q),All_Questions_Q4_F_V="(All)",All_Questions_Q4_F_V="",ISBLANK(All_Questions_Q4_F_V)),1,IFERROR(IF(ISNUMBER(SEARCH("|"&amp;INDEX(INDIRECT(All_Questions_Q4_F_resolved_column),97)&amp;"|",("|" &amp; SUBSTITUTE(All_Questions_Q4_F_resolved_criteria, ", ", "|") &amp; "|"))),1,0),0))*1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IF(OR(All_Questions_Q5_F_Q="(None)",All_Questions_Q5_F_Q="",ISBLANK(All_Questions_Q5_F_Q),All_Questions_Q5_F_V="(All)",All_Questions_Q5_F_V="",ISBLANK(All_Questions_Q5_F_V)),1,IFERROR(IF(ISNUMBER(SEARCH("|"&amp;INDEX(INDIRECT(All_Questions_Q5_F_resolved_column),97)&amp;"|",("|" &amp; SUBSTITUTE(All_Questions_Q5_F_resolved_criteria, ", ", "|") &amp; "|"))),1,0),0))*1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IF(OR(All_Questions_Q4_F_Q="(None)",All_Questions_Q4_F_Q="",ISBLANK(All_Questions_Q4_F_Q),All_Questions_Q4_F_V="(All)",All_Questions_Q4_F_V="",ISBLANK(All_Questions_Q4_F_V)),1,IFERROR(IF(ISNUMBER(SEARCH("|"&amp;INDEX(INDIRECT(All_Questions_Q4_F_resolved_column),98)&amp;"|",("|" &amp; SUBSTITUTE(All_Questions_Q4_F_resolved_criteria, ", ", "|") &amp; "|"))),1,0),0))*1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IF(OR(All_Questions_Q5_F_Q="(None)",All_Questions_Q5_F_Q="",ISBLANK(All_Questions_Q5_F_Q),All_Questions_Q5_F_V="(All)",All_Questions_Q5_F_V="",ISBLANK(All_Questions_Q5_F_V)),1,IFERROR(IF(ISNUMBER(SEARCH("|"&amp;INDEX(INDIRECT(All_Questions_Q5_F_resolved_column),98)&amp;"|",("|" &amp; SUBSTITUTE(All_Questions_Q5_F_resolved_criteria, ", ", "|") &amp; "|"))),1,0),0))*1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IF(OR(All_Questions_Q4_F_Q="(None)",All_Questions_Q4_F_Q="",ISBLANK(All_Questions_Q4_F_Q),All_Questions_Q4_F_V="(All)",All_Questions_Q4_F_V="",ISBLANK(All_Questions_Q4_F_V)),1,IFERROR(IF(ISNUMBER(SEARCH("|"&amp;INDEX(INDIRECT(All_Questions_Q4_F_resolved_column),99)&amp;"|",("|" &amp; SUBSTITUTE(All_Questions_Q4_F_resolved_criteria, ", ", "|") &amp; "|"))),1,0),0))*1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IF(OR(All_Questions_Q5_F_Q="(None)",All_Questions_Q5_F_Q="",ISBLANK(All_Questions_Q5_F_Q),All_Questions_Q5_F_V="(All)",All_Questions_Q5_F_V="",ISBLANK(All_Questions_Q5_F_V)),1,IFERROR(IF(ISNUMBER(SEARCH("|"&amp;INDEX(INDIRECT(All_Questions_Q5_F_resolved_column),99)&amp;"|",("|" &amp; SUBSTITUTE(All_Questions_Q5_F_resolved_criteria, ", ", "|") &amp; "|"))),1,0),0))*1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IF(OR(All_Questions_Q4_F_Q="(None)",All_Questions_Q4_F_Q="",ISBLANK(All_Questions_Q4_F_Q),All_Questions_Q4_F_V="(All)",All_Questions_Q4_F_V="",ISBLANK(All_Questions_Q4_F_V)),1,IFERROR(IF(ISNUMBER(SEARCH("|"&amp;INDEX(INDIRECT(All_Questions_Q4_F_resolved_column),100)&amp;"|",("|" &amp; SUBSTITUTE(All_Questions_Q4_F_resolved_criteria, ", ", "|") &amp; "|"))),1,0),0))*1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IF(OR(All_Questions_Q5_F_Q="(None)",All_Questions_Q5_F_Q="",ISBLANK(All_Questions_Q5_F_Q),All_Questions_Q5_F_V="(All)",All_Questions_Q5_F_V="",ISBLANK(All_Questions_Q5_F_V)),1,IFERROR(IF(ISNUMBER(SEARCH("|"&amp;INDEX(INDIRECT(All_Questions_Q5_F_resolved_column),100)&amp;"|",("|" &amp; SUBSTITUTE(All_Questions_Q5_F_resolved_criteria, ", ", "|") &amp; "|"))),1,0),0))*1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IF(OR(All_Questions_Q4_F_Q="(None)",All_Questions_Q4_F_Q="",ISBLANK(All_Questions_Q4_F_Q),All_Questions_Q4_F_V="(All)",All_Questions_Q4_F_V="",ISBLANK(All_Questions_Q4_F_V)),1,IFERROR(IF(ISNUMBER(SEARCH("|"&amp;INDEX(INDIRECT(All_Questions_Q4_F_resolved_column),101)&amp;"|",("|" &amp; SUBSTITUTE(All_Questions_Q4_F_resolved_criteria, ", ", "|") &amp; "|"))),1,0),0))*1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IF(OR(All_Questions_Q5_F_Q="(None)",All_Questions_Q5_F_Q="",ISBLANK(All_Questions_Q5_F_Q),All_Questions_Q5_F_V="(All)",All_Questions_Q5_F_V="",ISBLANK(All_Questions_Q5_F_V)),1,IFERROR(IF(ISNUMBER(SEARCH("|"&amp;INDEX(INDIRECT(All_Questions_Q5_F_resolved_column),101)&amp;"|",("|" &amp; SUBSTITUTE(All_Questions_Q5_F_resolved_criteria, ", ", "|") &amp; "|"))),1,0),0))*1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IF(OR(All_Questions_Q4_F_Q="(None)",All_Questions_Q4_F_Q="",ISBLANK(All_Questions_Q4_F_Q),All_Questions_Q4_F_V="(All)",All_Questions_Q4_F_V="",ISBLANK(All_Questions_Q4_F_V)),1,IFERROR(IF(ISNUMBER(SEARCH("|"&amp;INDEX(INDIRECT(All_Questions_Q4_F_resolved_column),102)&amp;"|",("|" &amp; SUBSTITUTE(All_Questions_Q4_F_resolved_criteria, ", ", "|") &amp; "|"))),1,0),0))*1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IF(OR(All_Questions_Q5_F_Q="(None)",All_Questions_Q5_F_Q="",ISBLANK(All_Questions_Q5_F_Q),All_Questions_Q5_F_V="(All)",All_Questions_Q5_F_V="",ISBLANK(All_Questions_Q5_F_V)),1,IFERROR(IF(ISNUMBER(SEARCH("|"&amp;INDEX(INDIRECT(All_Questions_Q5_F_resolved_column),102)&amp;"|",("|" &amp; SUBSTITUTE(All_Questions_Q5_F_resolved_criteria, ", ", "|") &amp; "|"))),1,0),0))*1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IF(OR(All_Questions_Q4_F_Q="(None)",All_Questions_Q4_F_Q="",ISBLANK(All_Questions_Q4_F_Q),All_Questions_Q4_F_V="(All)",All_Questions_Q4_F_V="",ISBLANK(All_Questions_Q4_F_V)),1,IFERROR(IF(ISNUMBER(SEARCH("|"&amp;INDEX(INDIRECT(All_Questions_Q4_F_resolved_column),103)&amp;"|",("|" &amp; SUBSTITUTE(All_Questions_Q4_F_resolved_criteria, ", ", "|") &amp; "|"))),1,0),0))*1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IF(OR(All_Questions_Q5_F_Q="(None)",All_Questions_Q5_F_Q="",ISBLANK(All_Questions_Q5_F_Q),All_Questions_Q5_F_V="(All)",All_Questions_Q5_F_V="",ISBLANK(All_Questions_Q5_F_V)),1,IFERROR(IF(ISNUMBER(SEARCH("|"&amp;INDEX(INDIRECT(All_Questions_Q5_F_resolved_column),103)&amp;"|",("|" &amp; SUBSTITUTE(All_Questions_Q5_F_resolved_criteria, ", ", "|") &amp; "|"))),1,0),0))*1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IF(OR(All_Questions_Q4_F_Q="(None)",All_Questions_Q4_F_Q="",ISBLANK(All_Questions_Q4_F_Q),All_Questions_Q4_F_V="(All)",All_Questions_Q4_F_V="",ISBLANK(All_Questions_Q4_F_V)),1,IFERROR(IF(ISNUMBER(SEARCH("|"&amp;INDEX(INDIRECT(All_Questions_Q4_F_resolved_column),104)&amp;"|",("|" &amp; SUBSTITUTE(All_Questions_Q4_F_resolved_criteria, ", ", "|") &amp; "|"))),1,0),0))*1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IF(OR(All_Questions_Q5_F_Q="(None)",All_Questions_Q5_F_Q="",ISBLANK(All_Questions_Q5_F_Q),All_Questions_Q5_F_V="(All)",All_Questions_Q5_F_V="",ISBLANK(All_Questions_Q5_F_V)),1,IFERROR(IF(ISNUMBER(SEARCH("|"&amp;INDEX(INDIRECT(All_Questions_Q5_F_resolved_column),104)&amp;"|",("|" &amp; SUBSTITUTE(All_Questions_Q5_F_resolved_criteria, ", ", "|") &amp; "|"))),1,0),0))*1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IF(OR(All_Questions_Q4_F_Q="(None)",All_Questions_Q4_F_Q="",ISBLANK(All_Questions_Q4_F_Q),All_Questions_Q4_F_V="(All)",All_Questions_Q4_F_V="",ISBLANK(All_Questions_Q4_F_V)),1,IFERROR(IF(ISNUMBER(SEARCH("|"&amp;INDEX(INDIRECT(All_Questions_Q4_F_resolved_column),105)&amp;"|",("|" &amp; SUBSTITUTE(All_Questions_Q4_F_resolved_criteria, ", ", "|") &amp; "|"))),1,0),0))*1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IF(OR(All_Questions_Q5_F_Q="(None)",All_Questions_Q5_F_Q="",ISBLANK(All_Questions_Q5_F_Q),All_Questions_Q5_F_V="(All)",All_Questions_Q5_F_V="",ISBLANK(All_Questions_Q5_F_V)),1,IFERROR(IF(ISNUMBER(SEARCH("|"&amp;INDEX(INDIRECT(All_Questions_Q5_F_resolved_column),105)&amp;"|",("|" &amp; SUBSTITUTE(All_Questions_Q5_F_resolved_criteria, ", ", "|") &amp; "|"))),1,0),0))*1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IF(OR(All_Questions_Q4_F_Q="(None)",All_Questions_Q4_F_Q="",ISBLANK(All_Questions_Q4_F_Q),All_Questions_Q4_F_V="(All)",All_Questions_Q4_F_V="",ISBLANK(All_Questions_Q4_F_V)),1,IFERROR(IF(ISNUMBER(SEARCH("|"&amp;INDEX(INDIRECT(All_Questions_Q4_F_resolved_column),106)&amp;"|",("|" &amp; SUBSTITUTE(All_Questions_Q4_F_resolved_criteria, ", ", "|") &amp; "|"))),1,0),0))*1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IF(OR(All_Questions_Q5_F_Q="(None)",All_Questions_Q5_F_Q="",ISBLANK(All_Questions_Q5_F_Q),All_Questions_Q5_F_V="(All)",All_Questions_Q5_F_V="",ISBLANK(All_Questions_Q5_F_V)),1,IFERROR(IF(ISNUMBER(SEARCH("|"&amp;INDEX(INDIRECT(All_Questions_Q5_F_resolved_column),106)&amp;"|",("|" &amp; SUBSTITUTE(All_Questions_Q5_F_resolved_criteria, ", ", "|") &amp; "|"))),1,0),0))*1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IF(OR(All_Questions_Q4_F_Q="(None)",All_Questions_Q4_F_Q="",ISBLANK(All_Questions_Q4_F_Q),All_Questions_Q4_F_V="(All)",All_Questions_Q4_F_V="",ISBLANK(All_Questions_Q4_F_V)),1,IFERROR(IF(ISNUMBER(SEARCH("|"&amp;INDEX(INDIRECT(All_Questions_Q4_F_resolved_column),107)&amp;"|",("|" &amp; SUBSTITUTE(All_Questions_Q4_F_resolved_criteria, ", ", "|") &amp; "|"))),1,0),0))*1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IF(OR(All_Questions_Q5_F_Q="(None)",All_Questions_Q5_F_Q="",ISBLANK(All_Questions_Q5_F_Q),All_Questions_Q5_F_V="(All)",All_Questions_Q5_F_V="",ISBLANK(All_Questions_Q5_F_V)),1,IFERROR(IF(ISNUMBER(SEARCH("|"&amp;INDEX(INDIRECT(All_Questions_Q5_F_resolved_column),107)&amp;"|",("|" &amp; SUBSTITUTE(All_Questions_Q5_F_resolved_criteria, ", ", "|") &amp; "|"))),1,0),0))*1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IF(OR(All_Questions_Q4_F_Q="(None)",All_Questions_Q4_F_Q="",ISBLANK(All_Questions_Q4_F_Q),All_Questions_Q4_F_V="(All)",All_Questions_Q4_F_V="",ISBLANK(All_Questions_Q4_F_V)),1,IFERROR(IF(ISNUMBER(SEARCH("|"&amp;INDEX(INDIRECT(All_Questions_Q4_F_resolved_column),108)&amp;"|",("|" &amp; SUBSTITUTE(All_Questions_Q4_F_resolved_criteria, ", ", "|") &amp; "|"))),1,0),0))*1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IF(OR(All_Questions_Q5_F_Q="(None)",All_Questions_Q5_F_Q="",ISBLANK(All_Questions_Q5_F_Q),All_Questions_Q5_F_V="(All)",All_Questions_Q5_F_V="",ISBLANK(All_Questions_Q5_F_V)),1,IFERROR(IF(ISNUMBER(SEARCH("|"&amp;INDEX(INDIRECT(All_Questions_Q5_F_resolved_column),108)&amp;"|",("|" &amp; SUBSTITUTE(All_Questions_Q5_F_resolved_criteria, ", ", "|") &amp; "|"))),1,0),0))*1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IF(OR(All_Questions_Q4_F_Q="(None)",All_Questions_Q4_F_Q="",ISBLANK(All_Questions_Q4_F_Q),All_Questions_Q4_F_V="(All)",All_Questions_Q4_F_V="",ISBLANK(All_Questions_Q4_F_V)),1,IFERROR(IF(ISNUMBER(SEARCH("|"&amp;INDEX(INDIRECT(All_Questions_Q4_F_resolved_column),109)&amp;"|",("|" &amp; SUBSTITUTE(All_Questions_Q4_F_resolved_criteria, ", ", "|") &amp; "|"))),1,0),0))*1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IF(OR(All_Questions_Q5_F_Q="(None)",All_Questions_Q5_F_Q="",ISBLANK(All_Questions_Q5_F_Q),All_Questions_Q5_F_V="(All)",All_Questions_Q5_F_V="",ISBLANK(All_Questions_Q5_F_V)),1,IFERROR(IF(ISNUMBER(SEARCH("|"&amp;INDEX(INDIRECT(All_Questions_Q5_F_resolved_column),109)&amp;"|",("|" &amp; SUBSTITUTE(All_Questions_Q5_F_resolved_criteria, ", ", "|") &amp; "|"))),1,0),0))*1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IF(OR(All_Questions_Q4_F_Q="(None)",All_Questions_Q4_F_Q="",ISBLANK(All_Questions_Q4_F_Q),All_Questions_Q4_F_V="(All)",All_Questions_Q4_F_V="",ISBLANK(All_Questions_Q4_F_V)),1,IFERROR(IF(ISNUMBER(SEARCH("|"&amp;INDEX(INDIRECT(All_Questions_Q4_F_resolved_column),110)&amp;"|",("|" &amp; SUBSTITUTE(All_Questions_Q4_F_resolved_criteria, ", ", "|") &amp; "|"))),1,0),0))*1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IF(OR(All_Questions_Q5_F_Q="(None)",All_Questions_Q5_F_Q="",ISBLANK(All_Questions_Q5_F_Q),All_Questions_Q5_F_V="(All)",All_Questions_Q5_F_V="",ISBLANK(All_Questions_Q5_F_V)),1,IFERROR(IF(ISNUMBER(SEARCH("|"&amp;INDEX(INDIRECT(All_Questions_Q5_F_resolved_column),110)&amp;"|",("|" &amp; SUBSTITUTE(All_Questions_Q5_F_resolved_criteria, ", ", "|") &amp; "|"))),1,0),0))*1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IF(OR(All_Questions_Q4_F_Q="(None)",All_Questions_Q4_F_Q="",ISBLANK(All_Questions_Q4_F_Q),All_Questions_Q4_F_V="(All)",All_Questions_Q4_F_V="",ISBLANK(All_Questions_Q4_F_V)),1,IFERROR(IF(ISNUMBER(SEARCH("|"&amp;INDEX(INDIRECT(All_Questions_Q4_F_resolved_column),111)&amp;"|",("|" &amp; SUBSTITUTE(All_Questions_Q4_F_resolved_criteria, ", ", "|") &amp; "|"))),1,0),0))*1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IF(OR(All_Questions_Q5_F_Q="(None)",All_Questions_Q5_F_Q="",ISBLANK(All_Questions_Q5_F_Q),All_Questions_Q5_F_V="(All)",All_Questions_Q5_F_V="",ISBLANK(All_Questions_Q5_F_V)),1,IFERROR(IF(ISNUMBER(SEARCH("|"&amp;INDEX(INDIRECT(All_Questions_Q5_F_resolved_column),111)&amp;"|",("|" &amp; SUBSTITUTE(All_Questions_Q5_F_resolved_criteria, ", ", "|") &amp; "|"))),1,0),0))*1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IF(OR(All_Questions_Q4_F_Q="(None)",All_Questions_Q4_F_Q="",ISBLANK(All_Questions_Q4_F_Q),All_Questions_Q4_F_V="(All)",All_Questions_Q4_F_V="",ISBLANK(All_Questions_Q4_F_V)),1,IFERROR(IF(ISNUMBER(SEARCH("|"&amp;INDEX(INDIRECT(All_Questions_Q4_F_resolved_column),112)&amp;"|",("|" &amp; SUBSTITUTE(All_Questions_Q4_F_resolved_criteria, ", ", "|") &amp; "|"))),1,0),0))*1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IF(OR(All_Questions_Q5_F_Q="(None)",All_Questions_Q5_F_Q="",ISBLANK(All_Questions_Q5_F_Q),All_Questions_Q5_F_V="(All)",All_Questions_Q5_F_V="",ISBLANK(All_Questions_Q5_F_V)),1,IFERROR(IF(ISNUMBER(SEARCH("|"&amp;INDEX(INDIRECT(All_Questions_Q5_F_resolved_column),112)&amp;"|",("|" &amp; SUBSTITUTE(All_Questions_Q5_F_resolved_criteria, ", ", "|") &amp; "|"))),1,0),0))*1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IF(OR(All_Questions_Q4_F_Q="(None)",All_Questions_Q4_F_Q="",ISBLANK(All_Questions_Q4_F_Q),All_Questions_Q4_F_V="(All)",All_Questions_Q4_F_V="",ISBLANK(All_Questions_Q4_F_V)),1,IFERROR(IF(ISNUMBER(SEARCH("|"&amp;INDEX(INDIRECT(All_Questions_Q4_F_resolved_column),113)&amp;"|",("|" &amp; SUBSTITUTE(All_Questions_Q4_F_resolved_criteria, ", ", "|") &amp; "|"))),1,0),0))*1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IF(OR(All_Questions_Q5_F_Q="(None)",All_Questions_Q5_F_Q="",ISBLANK(All_Questions_Q5_F_Q),All_Questions_Q5_F_V="(All)",All_Questions_Q5_F_V="",ISBLANK(All_Questions_Q5_F_V)),1,IFERROR(IF(ISNUMBER(SEARCH("|"&amp;INDEX(INDIRECT(All_Questions_Q5_F_resolved_column),113)&amp;"|",("|" &amp; SUBSTITUTE(All_Questions_Q5_F_resolved_criteria, ", ", "|") &amp; "|"))),1,0),0))*1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IF(OR(All_Questions_Q4_F_Q="(None)",All_Questions_Q4_F_Q="",ISBLANK(All_Questions_Q4_F_Q),All_Questions_Q4_F_V="(All)",All_Questions_Q4_F_V="",ISBLANK(All_Questions_Q4_F_V)),1,IFERROR(IF(ISNUMBER(SEARCH("|"&amp;INDEX(INDIRECT(All_Questions_Q4_F_resolved_column),114)&amp;"|",("|" &amp; SUBSTITUTE(All_Questions_Q4_F_resolved_criteria, ", ", "|") &amp; "|"))),1,0),0))*1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IF(OR(All_Questions_Q5_F_Q="(None)",All_Questions_Q5_F_Q="",ISBLANK(All_Questions_Q5_F_Q),All_Questions_Q5_F_V="(All)",All_Questions_Q5_F_V="",ISBLANK(All_Questions_Q5_F_V)),1,IFERROR(IF(ISNUMBER(SEARCH("|"&amp;INDEX(INDIRECT(All_Questions_Q5_F_resolved_column),114)&amp;"|",("|" &amp; SUBSTITUTE(All_Questions_Q5_F_resolved_criteria, ", ", "|") &amp; "|"))),1,0),0))*1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IF(OR(All_Questions_Q4_F_Q="(None)",All_Questions_Q4_F_Q="",ISBLANK(All_Questions_Q4_F_Q),All_Questions_Q4_F_V="(All)",All_Questions_Q4_F_V="",ISBLANK(All_Questions_Q4_F_V)),1,IFERROR(IF(ISNUMBER(SEARCH("|"&amp;INDEX(INDIRECT(All_Questions_Q4_F_resolved_column),115)&amp;"|",("|" &amp; SUBSTITUTE(All_Questions_Q4_F_resolved_criteria, ", ", "|") &amp; "|"))),1,0),0))*1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IF(OR(All_Questions_Q5_F_Q="(None)",All_Questions_Q5_F_Q="",ISBLANK(All_Questions_Q5_F_Q),All_Questions_Q5_F_V="(All)",All_Questions_Q5_F_V="",ISBLANK(All_Questions_Q5_F_V)),1,IFERROR(IF(ISNUMBER(SEARCH("|"&amp;INDEX(INDIRECT(All_Questions_Q5_F_resolved_column),115)&amp;"|",("|" &amp; SUBSTITUTE(All_Questions_Q5_F_resolved_criteria, ", ", "|") &amp; "|"))),1,0),0))*1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IF(OR(All_Questions_Q4_F_Q="(None)",All_Questions_Q4_F_Q="",ISBLANK(All_Questions_Q4_F_Q),All_Questions_Q4_F_V="(All)",All_Questions_Q4_F_V="",ISBLANK(All_Questions_Q4_F_V)),1,IFERROR(IF(ISNUMBER(SEARCH("|"&amp;INDEX(INDIRECT(All_Questions_Q4_F_resolved_column),116)&amp;"|",("|" &amp; SUBSTITUTE(All_Questions_Q4_F_resolved_criteria, ", ", "|") &amp; "|"))),1,0),0))*1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IF(OR(All_Questions_Q5_F_Q="(None)",All_Questions_Q5_F_Q="",ISBLANK(All_Questions_Q5_F_Q),All_Questions_Q5_F_V="(All)",All_Questions_Q5_F_V="",ISBLANK(All_Questions_Q5_F_V)),1,IFERROR(IF(ISNUMBER(SEARCH("|"&amp;INDEX(INDIRECT(All_Questions_Q5_F_resolved_column),116)&amp;"|",("|" &amp; SUBSTITUTE(All_Questions_Q5_F_resolved_criteria, ", ", "|") &amp; "|"))),1,0),0))*1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IF(OR(All_Questions_Q4_F_Q="(None)",All_Questions_Q4_F_Q="",ISBLANK(All_Questions_Q4_F_Q),All_Questions_Q4_F_V="(All)",All_Questions_Q4_F_V="",ISBLANK(All_Questions_Q4_F_V)),1,IFERROR(IF(ISNUMBER(SEARCH("|"&amp;INDEX(INDIRECT(All_Questions_Q4_F_resolved_column),117)&amp;"|",("|" &amp; SUBSTITUTE(All_Questions_Q4_F_resolved_criteria, ", ", "|") &amp; "|"))),1,0),0))*1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IF(OR(All_Questions_Q5_F_Q="(None)",All_Questions_Q5_F_Q="",ISBLANK(All_Questions_Q5_F_Q),All_Questions_Q5_F_V="(All)",All_Questions_Q5_F_V="",ISBLANK(All_Questions_Q5_F_V)),1,IFERROR(IF(ISNUMBER(SEARCH("|"&amp;INDEX(INDIRECT(All_Questions_Q5_F_resolved_column),117)&amp;"|",("|" &amp; SUBSTITUTE(All_Questions_Q5_F_resolved_criteria, ", ", "|") &amp; "|"))),1,0),0))*1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IF(OR(All_Questions_Q4_F_Q="(None)",All_Questions_Q4_F_Q="",ISBLANK(All_Questions_Q4_F_Q),All_Questions_Q4_F_V="(All)",All_Questions_Q4_F_V="",ISBLANK(All_Questions_Q4_F_V)),1,IFERROR(IF(ISNUMBER(SEARCH("|"&amp;INDEX(INDIRECT(All_Questions_Q4_F_resolved_column),118)&amp;"|",("|" &amp; SUBSTITUTE(All_Questions_Q4_F_resolved_criteria, ", ", "|") &amp; "|"))),1,0),0))*1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IF(OR(All_Questions_Q5_F_Q="(None)",All_Questions_Q5_F_Q="",ISBLANK(All_Questions_Q5_F_Q),All_Questions_Q5_F_V="(All)",All_Questions_Q5_F_V="",ISBLANK(All_Questions_Q5_F_V)),1,IFERROR(IF(ISNUMBER(SEARCH("|"&amp;INDEX(INDIRECT(All_Questions_Q5_F_resolved_column),118)&amp;"|",("|" &amp; SUBSTITUTE(All_Questions_Q5_F_resolved_criteria, ", ", "|") &amp; "|"))),1,0),0))*1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IF(OR(All_Questions_Q4_F_Q="(None)",All_Questions_Q4_F_Q="",ISBLANK(All_Questions_Q4_F_Q),All_Questions_Q4_F_V="(All)",All_Questions_Q4_F_V="",ISBLANK(All_Questions_Q4_F_V)),1,IFERROR(IF(ISNUMBER(SEARCH("|"&amp;INDEX(INDIRECT(All_Questions_Q4_F_resolved_column),119)&amp;"|",("|" &amp; SUBSTITUTE(All_Questions_Q4_F_resolved_criteria, ", ", "|") &amp; "|"))),1,0),0))*1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IF(OR(All_Questions_Q5_F_Q="(None)",All_Questions_Q5_F_Q="",ISBLANK(All_Questions_Q5_F_Q),All_Questions_Q5_F_V="(All)",All_Questions_Q5_F_V="",ISBLANK(All_Questions_Q5_F_V)),1,IFERROR(IF(ISNUMBER(SEARCH("|"&amp;INDEX(INDIRECT(All_Questions_Q5_F_resolved_column),119)&amp;"|",("|" &amp; SUBSTITUTE(All_Questions_Q5_F_resolved_criteria, ", ", "|") &amp; "|"))),1,0),0))*1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IF(OR(All_Questions_Q4_F_Q="(None)",All_Questions_Q4_F_Q="",ISBLANK(All_Questions_Q4_F_Q),All_Questions_Q4_F_V="(All)",All_Questions_Q4_F_V="",ISBLANK(All_Questions_Q4_F_V)),1,IFERROR(IF(ISNUMBER(SEARCH("|"&amp;INDEX(INDIRECT(All_Questions_Q4_F_resolved_column),120)&amp;"|",("|" &amp; SUBSTITUTE(All_Questions_Q4_F_resolved_criteria, ", ", "|") &amp; "|"))),1,0),0))*1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IF(OR(All_Questions_Q5_F_Q="(None)",All_Questions_Q5_F_Q="",ISBLANK(All_Questions_Q5_F_Q),All_Questions_Q5_F_V="(All)",All_Questions_Q5_F_V="",ISBLANK(All_Questions_Q5_F_V)),1,IFERROR(IF(ISNUMBER(SEARCH("|"&amp;INDEX(INDIRECT(All_Questions_Q5_F_resolved_column),120)&amp;"|",("|" &amp; SUBSTITUTE(All_Questions_Q5_F_resolved_criteria, ", ", "|") &amp; "|"))),1,0),0))*1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IF(OR(All_Questions_Q4_F_Q="(None)",All_Questions_Q4_F_Q="",ISBLANK(All_Questions_Q4_F_Q),All_Questions_Q4_F_V="(All)",All_Questions_Q4_F_V="",ISBLANK(All_Questions_Q4_F_V)),1,IFERROR(IF(ISNUMBER(SEARCH("|"&amp;INDEX(INDIRECT(All_Questions_Q4_F_resolved_column),121)&amp;"|",("|" &amp; SUBSTITUTE(All_Questions_Q4_F_resolved_criteria, ", ", "|") &amp; "|"))),1,0),0))*1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IF(OR(All_Questions_Q5_F_Q="(None)",All_Questions_Q5_F_Q="",ISBLANK(All_Questions_Q5_F_Q),All_Questions_Q5_F_V="(All)",All_Questions_Q5_F_V="",ISBLANK(All_Questions_Q5_F_V)),1,IFERROR(IF(ISNUMBER(SEARCH("|"&amp;INDEX(INDIRECT(All_Questions_Q5_F_resolved_column),121)&amp;"|",("|" &amp; SUBSTITUTE(All_Questions_Q5_F_resolved_criteria, ", ", "|") &amp; "|"))),1,0),0))*1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IF(OR(All_Questions_Q4_F_Q="(None)",All_Questions_Q4_F_Q="",ISBLANK(All_Questions_Q4_F_Q),All_Questions_Q4_F_V="(All)",All_Questions_Q4_F_V="",ISBLANK(All_Questions_Q4_F_V)),1,IFERROR(IF(ISNUMBER(SEARCH("|"&amp;INDEX(INDIRECT(All_Questions_Q4_F_resolved_column),122)&amp;"|",("|" &amp; SUBSTITUTE(All_Questions_Q4_F_resolved_criteria, ", ", "|") &amp; "|"))),1,0),0))*1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IF(OR(All_Questions_Q5_F_Q="(None)",All_Questions_Q5_F_Q="",ISBLANK(All_Questions_Q5_F_Q),All_Questions_Q5_F_V="(All)",All_Questions_Q5_F_V="",ISBLANK(All_Questions_Q5_F_V)),1,IFERROR(IF(ISNUMBER(SEARCH("|"&amp;INDEX(INDIRECT(All_Questions_Q5_F_resolved_column),122)&amp;"|",("|" &amp; SUBSTITUTE(All_Questions_Q5_F_resolved_criteria, ", ", "|") &amp; "|"))),1,0),0))*1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IF(OR(All_Questions_Q4_F_Q="(None)",All_Questions_Q4_F_Q="",ISBLANK(All_Questions_Q4_F_Q),All_Questions_Q4_F_V="(All)",All_Questions_Q4_F_V="",ISBLANK(All_Questions_Q4_F_V)),1,IFERROR(IF(ISNUMBER(SEARCH("|"&amp;INDEX(INDIRECT(All_Questions_Q4_F_resolved_column),123)&amp;"|",("|" &amp; SUBSTITUTE(All_Questions_Q4_F_resolved_criteria, ", ", "|") &amp; "|"))),1,0),0))*1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IF(OR(All_Questions_Q5_F_Q="(None)",All_Questions_Q5_F_Q="",ISBLANK(All_Questions_Q5_F_Q),All_Questions_Q5_F_V="(All)",All_Questions_Q5_F_V="",ISBLANK(All_Questions_Q5_F_V)),1,IFERROR(IF(ISNUMBER(SEARCH("|"&amp;INDEX(INDIRECT(All_Questions_Q5_F_resolved_column),123)&amp;"|",("|" &amp; SUBSTITUTE(All_Questions_Q5_F_resolved_criteria, ", ", "|") &amp; "|"))),1,0),0))*1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IF(OR(All_Questions_Q4_F_Q="(None)",All_Questions_Q4_F_Q="",ISBLANK(All_Questions_Q4_F_Q),All_Questions_Q4_F_V="(All)",All_Questions_Q4_F_V="",ISBLANK(All_Questions_Q4_F_V)),1,IFERROR(IF(ISNUMBER(SEARCH("|"&amp;INDEX(INDIRECT(All_Questions_Q4_F_resolved_column),124)&amp;"|",("|" &amp; SUBSTITUTE(All_Questions_Q4_F_resolved_criteria, ", ", "|") &amp; "|"))),1,0),0))*1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IF(OR(All_Questions_Q5_F_Q="(None)",All_Questions_Q5_F_Q="",ISBLANK(All_Questions_Q5_F_Q),All_Questions_Q5_F_V="(All)",All_Questions_Q5_F_V="",ISBLANK(All_Questions_Q5_F_V)),1,IFERROR(IF(ISNUMBER(SEARCH("|"&amp;INDEX(INDIRECT(All_Questions_Q5_F_resolved_column),124)&amp;"|",("|" &amp; SUBSTITUTE(All_Questions_Q5_F_resolved_criteria, ", ", "|") &amp; "|"))),1,0),0))*1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IF(OR(All_Questions_Q4_F_Q="(None)",All_Questions_Q4_F_Q="",ISBLANK(All_Questions_Q4_F_Q),All_Questions_Q4_F_V="(All)",All_Questions_Q4_F_V="",ISBLANK(All_Questions_Q4_F_V)),1,IFERROR(IF(ISNUMBER(SEARCH("|"&amp;INDEX(INDIRECT(All_Questions_Q4_F_resolved_column),125)&amp;"|",("|" &amp; SUBSTITUTE(All_Questions_Q4_F_resolved_criteria, ", ", "|") &amp; "|"))),1,0),0))*1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IF(OR(All_Questions_Q5_F_Q="(None)",All_Questions_Q5_F_Q="",ISBLANK(All_Questions_Q5_F_Q),All_Questions_Q5_F_V="(All)",All_Questions_Q5_F_V="",ISBLANK(All_Questions_Q5_F_V)),1,IFERROR(IF(ISNUMBER(SEARCH("|"&amp;INDEX(INDIRECT(All_Questions_Q5_F_resolved_column),125)&amp;"|",("|" &amp; SUBSTITUTE(All_Questions_Q5_F_resolved_criteria, ", ", "|") &amp; "|"))),1,0),0))*1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IF(OR(All_Questions_Q4_F_Q="(None)",All_Questions_Q4_F_Q="",ISBLANK(All_Questions_Q4_F_Q),All_Questions_Q4_F_V="(All)",All_Questions_Q4_F_V="",ISBLANK(All_Questions_Q4_F_V)),1,IFERROR(IF(ISNUMBER(SEARCH("|"&amp;INDEX(INDIRECT(All_Questions_Q4_F_resolved_column),126)&amp;"|",("|" &amp; SUBSTITUTE(All_Questions_Q4_F_resolved_criteria, ", ", "|") &amp; "|"))),1,0),0))*1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IF(OR(All_Questions_Q5_F_Q="(None)",All_Questions_Q5_F_Q="",ISBLANK(All_Questions_Q5_F_Q),All_Questions_Q5_F_V="(All)",All_Questions_Q5_F_V="",ISBLANK(All_Questions_Q5_F_V)),1,IFERROR(IF(ISNUMBER(SEARCH("|"&amp;INDEX(INDIRECT(All_Questions_Q5_F_resolved_column),126)&amp;"|",("|" &amp; SUBSTITUTE(All_Questions_Q5_F_resolved_criteria, ", ", "|") &amp; "|"))),1,0),0))*1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IF(OR(All_Questions_Q4_F_Q="(None)",All_Questions_Q4_F_Q="",ISBLANK(All_Questions_Q4_F_Q),All_Questions_Q4_F_V="(All)",All_Questions_Q4_F_V="",ISBLANK(All_Questions_Q4_F_V)),1,IFERROR(IF(ISNUMBER(SEARCH("|"&amp;INDEX(INDIRECT(All_Questions_Q4_F_resolved_column),127)&amp;"|",("|" &amp; SUBSTITUTE(All_Questions_Q4_F_resolved_criteria, ", ", "|") &amp; "|"))),1,0),0))*1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IF(OR(All_Questions_Q5_F_Q="(None)",All_Questions_Q5_F_Q="",ISBLANK(All_Questions_Q5_F_Q),All_Questions_Q5_F_V="(All)",All_Questions_Q5_F_V="",ISBLANK(All_Questions_Q5_F_V)),1,IFERROR(IF(ISNUMBER(SEARCH("|"&amp;INDEX(INDIRECT(All_Questions_Q5_F_resolved_column),127)&amp;"|",("|" &amp; SUBSTITUTE(All_Questions_Q5_F_resolved_criteria, ", ", "|") &amp; "|"))),1,0),0))*1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IF(OR(All_Questions_Q4_F_Q="(None)",All_Questions_Q4_F_Q="",ISBLANK(All_Questions_Q4_F_Q),All_Questions_Q4_F_V="(All)",All_Questions_Q4_F_V="",ISBLANK(All_Questions_Q4_F_V)),1,IFERROR(IF(ISNUMBER(SEARCH("|"&amp;INDEX(INDIRECT(All_Questions_Q4_F_resolved_column),128)&amp;"|",("|" &amp; SUBSTITUTE(All_Questions_Q4_F_resolved_criteria, ", ", "|") &amp; "|"))),1,0),0))*1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IF(OR(All_Questions_Q5_F_Q="(None)",All_Questions_Q5_F_Q="",ISBLANK(All_Questions_Q5_F_Q),All_Questions_Q5_F_V="(All)",All_Questions_Q5_F_V="",ISBLANK(All_Questions_Q5_F_V)),1,IFERROR(IF(ISNUMBER(SEARCH("|"&amp;INDEX(INDIRECT(All_Questions_Q5_F_resolved_column),128)&amp;"|",("|" &amp; SUBSTITUTE(All_Questions_Q5_F_resolved_criteria, ", ", "|") &amp; "|"))),1,0),0))*1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IF(OR(All_Questions_Q4_F_Q="(None)",All_Questions_Q4_F_Q="",ISBLANK(All_Questions_Q4_F_Q),All_Questions_Q4_F_V="(All)",All_Questions_Q4_F_V="",ISBLANK(All_Questions_Q4_F_V)),1,IFERROR(IF(ISNUMBER(SEARCH("|"&amp;INDEX(INDIRECT(All_Questions_Q4_F_resolved_column),129)&amp;"|",("|" &amp; SUBSTITUTE(All_Questions_Q4_F_resolved_criteria, ", ", "|") &amp; "|"))),1,0),0))*1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IF(OR(All_Questions_Q5_F_Q="(None)",All_Questions_Q5_F_Q="",ISBLANK(All_Questions_Q5_F_Q),All_Questions_Q5_F_V="(All)",All_Questions_Q5_F_V="",ISBLANK(All_Questions_Q5_F_V)),1,IFERROR(IF(ISNUMBER(SEARCH("|"&amp;INDEX(INDIRECT(All_Questions_Q5_F_resolved_column),129)&amp;"|",("|" &amp; SUBSTITUTE(All_Questions_Q5_F_resolved_criteria, ", ", "|") &amp; "|"))),1,0),0))*1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IF(OR(All_Questions_Q4_F_Q="(None)",All_Questions_Q4_F_Q="",ISBLANK(All_Questions_Q4_F_Q),All_Questions_Q4_F_V="(All)",All_Questions_Q4_F_V="",ISBLANK(All_Questions_Q4_F_V)),1,IFERROR(IF(ISNUMBER(SEARCH("|"&amp;INDEX(INDIRECT(All_Questions_Q4_F_resolved_column),130)&amp;"|",("|" &amp; SUBSTITUTE(All_Questions_Q4_F_resolved_criteria, ", ", "|") &amp; "|"))),1,0),0))*1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IF(OR(All_Questions_Q5_F_Q="(None)",All_Questions_Q5_F_Q="",ISBLANK(All_Questions_Q5_F_Q),All_Questions_Q5_F_V="(All)",All_Questions_Q5_F_V="",ISBLANK(All_Questions_Q5_F_V)),1,IFERROR(IF(ISNUMBER(SEARCH("|"&amp;INDEX(INDIRECT(All_Questions_Q5_F_resolved_column),130)&amp;"|",("|" &amp; SUBSTITUTE(All_Questions_Q5_F_resolved_criteria, ", ", "|") &amp; "|"))),1,0),0))*1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IF(OR(All_Questions_Q4_F_Q="(None)",All_Questions_Q4_F_Q="",ISBLANK(All_Questions_Q4_F_Q),All_Questions_Q4_F_V="(All)",All_Questions_Q4_F_V="",ISBLANK(All_Questions_Q4_F_V)),1,IFERROR(IF(ISNUMBER(SEARCH("|"&amp;INDEX(INDIRECT(All_Questions_Q4_F_resolved_column),131)&amp;"|",("|" &amp; SUBSTITUTE(All_Questions_Q4_F_resolved_criteria, ", ", "|") &amp; "|"))),1,0),0))*1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IF(OR(All_Questions_Q5_F_Q="(None)",All_Questions_Q5_F_Q="",ISBLANK(All_Questions_Q5_F_Q),All_Questions_Q5_F_V="(All)",All_Questions_Q5_F_V="",ISBLANK(All_Questions_Q5_F_V)),1,IFERROR(IF(ISNUMBER(SEARCH("|"&amp;INDEX(INDIRECT(All_Questions_Q5_F_resolved_column),131)&amp;"|",("|" &amp; SUBSTITUTE(All_Questions_Q5_F_resolved_criteria, ", ", "|") &amp; "|"))),1,0),0))*1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IF(OR(All_Questions_Q4_F_Q="(None)",All_Questions_Q4_F_Q="",ISBLANK(All_Questions_Q4_F_Q),All_Questions_Q4_F_V="(All)",All_Questions_Q4_F_V="",ISBLANK(All_Questions_Q4_F_V)),1,IFERROR(IF(ISNUMBER(SEARCH("|"&amp;INDEX(INDIRECT(All_Questions_Q4_F_resolved_column),132)&amp;"|",("|" &amp; SUBSTITUTE(All_Questions_Q4_F_resolved_criteria, ", ", "|") &amp; "|"))),1,0),0))*1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IF(OR(All_Questions_Q5_F_Q="(None)",All_Questions_Q5_F_Q="",ISBLANK(All_Questions_Q5_F_Q),All_Questions_Q5_F_V="(All)",All_Questions_Q5_F_V="",ISBLANK(All_Questions_Q5_F_V)),1,IFERROR(IF(ISNUMBER(SEARCH("|"&amp;INDEX(INDIRECT(All_Questions_Q5_F_resolved_column),132)&amp;"|",("|" &amp; SUBSTITUTE(All_Questions_Q5_F_resolved_criteria, ", ", "|") &amp; "|"))),1,0),0))*1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IF(OR(All_Questions_Q4_F_Q="(None)",All_Questions_Q4_F_Q="",ISBLANK(All_Questions_Q4_F_Q),All_Questions_Q4_F_V="(All)",All_Questions_Q4_F_V="",ISBLANK(All_Questions_Q4_F_V)),1,IFERROR(IF(ISNUMBER(SEARCH("|"&amp;INDEX(INDIRECT(All_Questions_Q4_F_resolved_column),133)&amp;"|",("|" &amp; SUBSTITUTE(All_Questions_Q4_F_resolved_criteria, ", ", "|") &amp; "|"))),1,0),0))*1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IF(OR(All_Questions_Q5_F_Q="(None)",All_Questions_Q5_F_Q="",ISBLANK(All_Questions_Q5_F_Q),All_Questions_Q5_F_V="(All)",All_Questions_Q5_F_V="",ISBLANK(All_Questions_Q5_F_V)),1,IFERROR(IF(ISNUMBER(SEARCH("|"&amp;INDEX(INDIRECT(All_Questions_Q5_F_resolved_column),133)&amp;"|",("|" &amp; SUBSTITUTE(All_Questions_Q5_F_resolved_criteria, ", ", "|") &amp; "|"))),1,0),0))*1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IF(OR(All_Questions_Q4_F_Q="(None)",All_Questions_Q4_F_Q="",ISBLANK(All_Questions_Q4_F_Q),All_Questions_Q4_F_V="(All)",All_Questions_Q4_F_V="",ISBLANK(All_Questions_Q4_F_V)),1,IFERROR(IF(ISNUMBER(SEARCH("|"&amp;INDEX(INDIRECT(All_Questions_Q4_F_resolved_column),134)&amp;"|",("|" &amp; SUBSTITUTE(All_Questions_Q4_F_resolved_criteria, ", ", "|") &amp; "|"))),1,0),0))*1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IF(OR(All_Questions_Q5_F_Q="(None)",All_Questions_Q5_F_Q="",ISBLANK(All_Questions_Q5_F_Q),All_Questions_Q5_F_V="(All)",All_Questions_Q5_F_V="",ISBLANK(All_Questions_Q5_F_V)),1,IFERROR(IF(ISNUMBER(SEARCH("|"&amp;INDEX(INDIRECT(All_Questions_Q5_F_resolved_column),134)&amp;"|",("|" &amp; SUBSTITUTE(All_Questions_Q5_F_resolved_criteria, ", ", "|") &amp; "|"))),1,0),0))*1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IF(OR(All_Questions_Q4_F_Q="(None)",All_Questions_Q4_F_Q="",ISBLANK(All_Questions_Q4_F_Q),All_Questions_Q4_F_V="(All)",All_Questions_Q4_F_V="",ISBLANK(All_Questions_Q4_F_V)),1,IFERROR(IF(ISNUMBER(SEARCH("|"&amp;INDEX(INDIRECT(All_Questions_Q4_F_resolved_column),135)&amp;"|",("|" &amp; SUBSTITUTE(All_Questions_Q4_F_resolved_criteria, ", ", "|") &amp; "|"))),1,0),0))*1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IF(OR(All_Questions_Q5_F_Q="(None)",All_Questions_Q5_F_Q="",ISBLANK(All_Questions_Q5_F_Q),All_Questions_Q5_F_V="(All)",All_Questions_Q5_F_V="",ISBLANK(All_Questions_Q5_F_V)),1,IFERROR(IF(ISNUMBER(SEARCH("|"&amp;INDEX(INDIRECT(All_Questions_Q5_F_resolved_column),135)&amp;"|",("|" &amp; SUBSTITUTE(All_Questions_Q5_F_resolved_criteria, ", ", "|") &amp; "|"))),1,0),0))*1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IF(OR(All_Questions_Q4_F_Q="(None)",All_Questions_Q4_F_Q="",ISBLANK(All_Questions_Q4_F_Q),All_Questions_Q4_F_V="(All)",All_Questions_Q4_F_V="",ISBLANK(All_Questions_Q4_F_V)),1,IFERROR(IF(ISNUMBER(SEARCH("|"&amp;INDEX(INDIRECT(All_Questions_Q4_F_resolved_column),136)&amp;"|",("|" &amp; SUBSTITUTE(All_Questions_Q4_F_resolved_criteria, ", ", "|") &amp; "|"))),1,0),0))*1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IF(OR(All_Questions_Q5_F_Q="(None)",All_Questions_Q5_F_Q="",ISBLANK(All_Questions_Q5_F_Q),All_Questions_Q5_F_V="(All)",All_Questions_Q5_F_V="",ISBLANK(All_Questions_Q5_F_V)),1,IFERROR(IF(ISNUMBER(SEARCH("|"&amp;INDEX(INDIRECT(All_Questions_Q5_F_resolved_column),136)&amp;"|",("|" &amp; SUBSTITUTE(All_Questions_Q5_F_resolved_criteria, ", ", "|") &amp; "|"))),1,0),0))*1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IF(OR(All_Questions_Q4_F_Q="(None)",All_Questions_Q4_F_Q="",ISBLANK(All_Questions_Q4_F_Q),All_Questions_Q4_F_V="(All)",All_Questions_Q4_F_V="",ISBLANK(All_Questions_Q4_F_V)),1,IFERROR(IF(ISNUMBER(SEARCH("|"&amp;INDEX(INDIRECT(All_Questions_Q4_F_resolved_column),137)&amp;"|",("|" &amp; SUBSTITUTE(All_Questions_Q4_F_resolved_criteria, ", ", "|") &amp; "|"))),1,0),0))*1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IF(OR(All_Questions_Q5_F_Q="(None)",All_Questions_Q5_F_Q="",ISBLANK(All_Questions_Q5_F_Q),All_Questions_Q5_F_V="(All)",All_Questions_Q5_F_V="",ISBLANK(All_Questions_Q5_F_V)),1,IFERROR(IF(ISNUMBER(SEARCH("|"&amp;INDEX(INDIRECT(All_Questions_Q5_F_resolved_column),137)&amp;"|",("|" &amp; SUBSTITUTE(All_Questions_Q5_F_resolved_criteria, ", ", "|") &amp; "|"))),1,0),0))*1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IF(OR(All_Questions_Q4_F_Q="(None)",All_Questions_Q4_F_Q="",ISBLANK(All_Questions_Q4_F_Q),All_Questions_Q4_F_V="(All)",All_Questions_Q4_F_V="",ISBLANK(All_Questions_Q4_F_V)),1,IFERROR(IF(ISNUMBER(SEARCH("|"&amp;INDEX(INDIRECT(All_Questions_Q4_F_resolved_column),138)&amp;"|",("|" &amp; SUBSTITUTE(All_Questions_Q4_F_resolved_criteria, ", ", "|") &amp; "|"))),1,0),0))*1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IF(OR(All_Questions_Q5_F_Q="(None)",All_Questions_Q5_F_Q="",ISBLANK(All_Questions_Q5_F_Q),All_Questions_Q5_F_V="(All)",All_Questions_Q5_F_V="",ISBLANK(All_Questions_Q5_F_V)),1,IFERROR(IF(ISNUMBER(SEARCH("|"&amp;INDEX(INDIRECT(All_Questions_Q5_F_resolved_column),138)&amp;"|",("|" &amp; SUBSTITUTE(All_Questions_Q5_F_resolved_criteria, ", ", "|") &amp; "|"))),1,0),0))*1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IF(OR(All_Questions_Q4_F_Q="(None)",All_Questions_Q4_F_Q="",ISBLANK(All_Questions_Q4_F_Q),All_Questions_Q4_F_V="(All)",All_Questions_Q4_F_V="",ISBLANK(All_Questions_Q4_F_V)),1,IFERROR(IF(ISNUMBER(SEARCH("|"&amp;INDEX(INDIRECT(All_Questions_Q4_F_resolved_column),139)&amp;"|",("|" &amp; SUBSTITUTE(All_Questions_Q4_F_resolved_criteria, ", ", "|") &amp; "|"))),1,0),0))*1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IF(OR(All_Questions_Q5_F_Q="(None)",All_Questions_Q5_F_Q="",ISBLANK(All_Questions_Q5_F_Q),All_Questions_Q5_F_V="(All)",All_Questions_Q5_F_V="",ISBLANK(All_Questions_Q5_F_V)),1,IFERROR(IF(ISNUMBER(SEARCH("|"&amp;INDEX(INDIRECT(All_Questions_Q5_F_resolved_column),139)&amp;"|",("|" &amp; SUBSTITUTE(All_Questions_Q5_F_resolved_criteria, ", ", "|") &amp; "|"))),1,0),0))*1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IF(OR(All_Questions_Q4_F_Q="(None)",All_Questions_Q4_F_Q="",ISBLANK(All_Questions_Q4_F_Q),All_Questions_Q4_F_V="(All)",All_Questions_Q4_F_V="",ISBLANK(All_Questions_Q4_F_V)),1,IFERROR(IF(ISNUMBER(SEARCH("|"&amp;INDEX(INDIRECT(All_Questions_Q4_F_resolved_column),140)&amp;"|",("|" &amp; SUBSTITUTE(All_Questions_Q4_F_resolved_criteria, ", ", "|") &amp; "|"))),1,0),0))*1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IF(OR(All_Questions_Q5_F_Q="(None)",All_Questions_Q5_F_Q="",ISBLANK(All_Questions_Q5_F_Q),All_Questions_Q5_F_V="(All)",All_Questions_Q5_F_V="",ISBLANK(All_Questions_Q5_F_V)),1,IFERROR(IF(ISNUMBER(SEARCH("|"&amp;INDEX(INDIRECT(All_Questions_Q5_F_resolved_column),140)&amp;"|",("|" &amp; SUBSTITUTE(All_Questions_Q5_F_resolved_criteria, ", ", "|") &amp; "|"))),1,0),0))*1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IF(OR(All_Questions_Q4_F_Q="(None)",All_Questions_Q4_F_Q="",ISBLANK(All_Questions_Q4_F_Q),All_Questions_Q4_F_V="(All)",All_Questions_Q4_F_V="",ISBLANK(All_Questions_Q4_F_V)),1,IFERROR(IF(ISNUMBER(SEARCH("|"&amp;INDEX(INDIRECT(All_Questions_Q4_F_resolved_column),141)&amp;"|",("|" &amp; SUBSTITUTE(All_Questions_Q4_F_resolved_criteria, ", ", "|") &amp; "|"))),1,0),0))*1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IF(OR(All_Questions_Q5_F_Q="(None)",All_Questions_Q5_F_Q="",ISBLANK(All_Questions_Q5_F_Q),All_Questions_Q5_F_V="(All)",All_Questions_Q5_F_V="",ISBLANK(All_Questions_Q5_F_V)),1,IFERROR(IF(ISNUMBER(SEARCH("|"&amp;INDEX(INDIRECT(All_Questions_Q5_F_resolved_column),141)&amp;"|",("|" &amp; SUBSTITUTE(All_Questions_Q5_F_resolved_criteria, ", ", "|") &amp; "|"))),1,0),0))*1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IF(OR(All_Questions_Q4_F_Q="(None)",All_Questions_Q4_F_Q="",ISBLANK(All_Questions_Q4_F_Q),All_Questions_Q4_F_V="(All)",All_Questions_Q4_F_V="",ISBLANK(All_Questions_Q4_F_V)),1,IFERROR(IF(ISNUMBER(SEARCH("|"&amp;INDEX(INDIRECT(All_Questions_Q4_F_resolved_column),142)&amp;"|",("|" &amp; SUBSTITUTE(All_Questions_Q4_F_resolved_criteria, ", ", "|") &amp; "|"))),1,0),0))*1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IF(OR(All_Questions_Q5_F_Q="(None)",All_Questions_Q5_F_Q="",ISBLANK(All_Questions_Q5_F_Q),All_Questions_Q5_F_V="(All)",All_Questions_Q5_F_V="",ISBLANK(All_Questions_Q5_F_V)),1,IFERROR(IF(ISNUMBER(SEARCH("|"&amp;INDEX(INDIRECT(All_Questions_Q5_F_resolved_column),142)&amp;"|",("|" &amp; SUBSTITUTE(All_Questions_Q5_F_resolved_criteria, ", ", "|") &amp; "|"))),1,0),0))*1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IF(OR(All_Questions_Q4_F_Q="(None)",All_Questions_Q4_F_Q="",ISBLANK(All_Questions_Q4_F_Q),All_Questions_Q4_F_V="(All)",All_Questions_Q4_F_V="",ISBLANK(All_Questions_Q4_F_V)),1,IFERROR(IF(ISNUMBER(SEARCH("|"&amp;INDEX(INDIRECT(All_Questions_Q4_F_resolved_column),143)&amp;"|",("|" &amp; SUBSTITUTE(All_Questions_Q4_F_resolved_criteria, ", ", "|") &amp; "|"))),1,0),0))*1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IF(OR(All_Questions_Q5_F_Q="(None)",All_Questions_Q5_F_Q="",ISBLANK(All_Questions_Q5_F_Q),All_Questions_Q5_F_V="(All)",All_Questions_Q5_F_V="",ISBLANK(All_Questions_Q5_F_V)),1,IFERROR(IF(ISNUMBER(SEARCH("|"&amp;INDEX(INDIRECT(All_Questions_Q5_F_resolved_column),143)&amp;"|",("|" &amp; SUBSTITUTE(All_Questions_Q5_F_resolved_criteria, ", ", "|") &amp; "|"))),1,0),0))*1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IF(OR(All_Questions_Q4_F_Q="(None)",All_Questions_Q4_F_Q="",ISBLANK(All_Questions_Q4_F_Q),All_Questions_Q4_F_V="(All)",All_Questions_Q4_F_V="",ISBLANK(All_Questions_Q4_F_V)),1,IFERROR(IF(ISNUMBER(SEARCH("|"&amp;INDEX(INDIRECT(All_Questions_Q4_F_resolved_column),144)&amp;"|",("|" &amp; SUBSTITUTE(All_Questions_Q4_F_resolved_criteria, ", ", "|") &amp; "|"))),1,0),0))*1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IF(OR(All_Questions_Q5_F_Q="(None)",All_Questions_Q5_F_Q="",ISBLANK(All_Questions_Q5_F_Q),All_Questions_Q5_F_V="(All)",All_Questions_Q5_F_V="",ISBLANK(All_Questions_Q5_F_V)),1,IFERROR(IF(ISNUMBER(SEARCH("|"&amp;INDEX(INDIRECT(All_Questions_Q5_F_resolved_column),144)&amp;"|",("|" &amp; SUBSTITUTE(All_Questions_Q5_F_resolved_criteria, ", ", "|") &amp; "|"))),1,0),0))*1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IF(OR(All_Questions_Q4_F_Q="(None)",All_Questions_Q4_F_Q="",ISBLANK(All_Questions_Q4_F_Q),All_Questions_Q4_F_V="(All)",All_Questions_Q4_F_V="",ISBLANK(All_Questions_Q4_F_V)),1,IFERROR(IF(ISNUMBER(SEARCH("|"&amp;INDEX(INDIRECT(All_Questions_Q4_F_resolved_column),145)&amp;"|",("|" &amp; SUBSTITUTE(All_Questions_Q4_F_resolved_criteria, ", ", "|") &amp; "|"))),1,0),0))*1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IF(OR(All_Questions_Q5_F_Q="(None)",All_Questions_Q5_F_Q="",ISBLANK(All_Questions_Q5_F_Q),All_Questions_Q5_F_V="(All)",All_Questions_Q5_F_V="",ISBLANK(All_Questions_Q5_F_V)),1,IFERROR(IF(ISNUMBER(SEARCH("|"&amp;INDEX(INDIRECT(All_Questions_Q5_F_resolved_column),145)&amp;"|",("|" &amp; SUBSTITUTE(All_Questions_Q5_F_resolved_criteria, ", ", "|") &amp; "|"))),1,0),0))*1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IF(OR(All_Questions_Q4_F_Q="(None)",All_Questions_Q4_F_Q="",ISBLANK(All_Questions_Q4_F_Q),All_Questions_Q4_F_V="(All)",All_Questions_Q4_F_V="",ISBLANK(All_Questions_Q4_F_V)),1,IFERROR(IF(ISNUMBER(SEARCH("|"&amp;INDEX(INDIRECT(All_Questions_Q4_F_resolved_column),146)&amp;"|",("|" &amp; SUBSTITUTE(All_Questions_Q4_F_resolved_criteria, ", ", "|") &amp; "|"))),1,0),0))*1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IF(OR(All_Questions_Q5_F_Q="(None)",All_Questions_Q5_F_Q="",ISBLANK(All_Questions_Q5_F_Q),All_Questions_Q5_F_V="(All)",All_Questions_Q5_F_V="",ISBLANK(All_Questions_Q5_F_V)),1,IFERROR(IF(ISNUMBER(SEARCH("|"&amp;INDEX(INDIRECT(All_Questions_Q5_F_resolved_column),146)&amp;"|",("|" &amp; SUBSTITUTE(All_Questions_Q5_F_resolved_criteria, ", ", "|") &amp; "|"))),1,0),0))*1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IF(OR(All_Questions_Q4_F_Q="(None)",All_Questions_Q4_F_Q="",ISBLANK(All_Questions_Q4_F_Q),All_Questions_Q4_F_V="(All)",All_Questions_Q4_F_V="",ISBLANK(All_Questions_Q4_F_V)),1,IFERROR(IF(ISNUMBER(SEARCH("|"&amp;INDEX(INDIRECT(All_Questions_Q4_F_resolved_column),147)&amp;"|",("|" &amp; SUBSTITUTE(All_Questions_Q4_F_resolved_criteria, ", ", "|") &amp; "|"))),1,0),0))*1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IF(OR(All_Questions_Q5_F_Q="(None)",All_Questions_Q5_F_Q="",ISBLANK(All_Questions_Q5_F_Q),All_Questions_Q5_F_V="(All)",All_Questions_Q5_F_V="",ISBLANK(All_Questions_Q5_F_V)),1,IFERROR(IF(ISNUMBER(SEARCH("|"&amp;INDEX(INDIRECT(All_Questions_Q5_F_resolved_column),147)&amp;"|",("|" &amp; SUBSTITUTE(All_Questions_Q5_F_resolved_criteria, ", ", "|") &amp; "|"))),1,0),0))*1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IF(OR(All_Questions_Q4_F_Q="(None)",All_Questions_Q4_F_Q="",ISBLANK(All_Questions_Q4_F_Q),All_Questions_Q4_F_V="(All)",All_Questions_Q4_F_V="",ISBLANK(All_Questions_Q4_F_V)),1,IFERROR(IF(ISNUMBER(SEARCH("|"&amp;INDEX(INDIRECT(All_Questions_Q4_F_resolved_column),148)&amp;"|",("|" &amp; SUBSTITUTE(All_Questions_Q4_F_resolved_criteria, ", ", "|") &amp; "|"))),1,0),0))*1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IF(OR(All_Questions_Q5_F_Q="(None)",All_Questions_Q5_F_Q="",ISBLANK(All_Questions_Q5_F_Q),All_Questions_Q5_F_V="(All)",All_Questions_Q5_F_V="",ISBLANK(All_Questions_Q5_F_V)),1,IFERROR(IF(ISNUMBER(SEARCH("|"&amp;INDEX(INDIRECT(All_Questions_Q5_F_resolved_column),148)&amp;"|",("|" &amp; SUBSTITUTE(All_Questions_Q5_F_resolved_criteria, ", ", "|") &amp; "|"))),1,0),0))*1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IF(OR(All_Questions_Q4_F_Q="(None)",All_Questions_Q4_F_Q="",ISBLANK(All_Questions_Q4_F_Q),All_Questions_Q4_F_V="(All)",All_Questions_Q4_F_V="",ISBLANK(All_Questions_Q4_F_V)),1,IFERROR(IF(ISNUMBER(SEARCH("|"&amp;INDEX(INDIRECT(All_Questions_Q4_F_resolved_column),149)&amp;"|",("|" &amp; SUBSTITUTE(All_Questions_Q4_F_resolved_criteria, ", ", "|") &amp; "|"))),1,0),0))*1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IF(OR(All_Questions_Q5_F_Q="(None)",All_Questions_Q5_F_Q="",ISBLANK(All_Questions_Q5_F_Q),All_Questions_Q5_F_V="(All)",All_Questions_Q5_F_V="",ISBLANK(All_Questions_Q5_F_V)),1,IFERROR(IF(ISNUMBER(SEARCH("|"&amp;INDEX(INDIRECT(All_Questions_Q5_F_resolved_column),149)&amp;"|",("|" &amp; SUBSTITUTE(All_Questions_Q5_F_resolved_criteria, ", ", "|") &amp; "|"))),1,0),0))*1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IF(OR(All_Questions_Q4_F_Q="(None)",All_Questions_Q4_F_Q="",ISBLANK(All_Questions_Q4_F_Q),All_Questions_Q4_F_V="(All)",All_Questions_Q4_F_V="",ISBLANK(All_Questions_Q4_F_V)),1,IFERROR(IF(ISNUMBER(SEARCH("|"&amp;INDEX(INDIRECT(All_Questions_Q4_F_resolved_column),150)&amp;"|",("|" &amp; SUBSTITUTE(All_Questions_Q4_F_resolved_criteria, ", ", "|") &amp; "|"))),1,0),0))*1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IF(OR(All_Questions_Q5_F_Q="(None)",All_Questions_Q5_F_Q="",ISBLANK(All_Questions_Q5_F_Q),All_Questions_Q5_F_V="(All)",All_Questions_Q5_F_V="",ISBLANK(All_Questions_Q5_F_V)),1,IFERROR(IF(ISNUMBER(SEARCH("|"&amp;INDEX(INDIRECT(All_Questions_Q5_F_resolved_column),150)&amp;"|",("|" &amp; SUBSTITUTE(All_Questions_Q5_F_resolved_criteria, ", ", "|") &amp; "|"))),1,0),0))*1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IF(OR(All_Questions_Q4_F_Q="(None)",All_Questions_Q4_F_Q="",ISBLANK(All_Questions_Q4_F_Q),All_Questions_Q4_F_V="(All)",All_Questions_Q4_F_V="",ISBLANK(All_Questions_Q4_F_V)),1,IFERROR(IF(ISNUMBER(SEARCH("|"&amp;INDEX(INDIRECT(All_Questions_Q4_F_resolved_column),151)&amp;"|",("|" &amp; SUBSTITUTE(All_Questions_Q4_F_resolved_criteria, ", ", "|") &amp; "|"))),1,0),0))*1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IF(OR(All_Questions_Q5_F_Q="(None)",All_Questions_Q5_F_Q="",ISBLANK(All_Questions_Q5_F_Q),All_Questions_Q5_F_V="(All)",All_Questions_Q5_F_V="",ISBLANK(All_Questions_Q5_F_V)),1,IFERROR(IF(ISNUMBER(SEARCH("|"&amp;INDEX(INDIRECT(All_Questions_Q5_F_resolved_column),151)&amp;"|",("|" &amp; SUBSTITUTE(All_Questions_Q5_F_resolved_criteria, ", ", "|") &amp; "|"))),1,0),0))*1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IF(OR(All_Questions_Q4_F_Q="(None)",All_Questions_Q4_F_Q="",ISBLANK(All_Questions_Q4_F_Q),All_Questions_Q4_F_V="(All)",All_Questions_Q4_F_V="",ISBLANK(All_Questions_Q4_F_V)),1,IFERROR(IF(ISNUMBER(SEARCH("|"&amp;INDEX(INDIRECT(All_Questions_Q4_F_resolved_column),152)&amp;"|",("|" &amp; SUBSTITUTE(All_Questions_Q4_F_resolved_criteria, ", ", "|") &amp; "|"))),1,0),0))*1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IF(OR(All_Questions_Q5_F_Q="(None)",All_Questions_Q5_F_Q="",ISBLANK(All_Questions_Q5_F_Q),All_Questions_Q5_F_V="(All)",All_Questions_Q5_F_V="",ISBLANK(All_Questions_Q5_F_V)),1,IFERROR(IF(ISNUMBER(SEARCH("|"&amp;INDEX(INDIRECT(All_Questions_Q5_F_resolved_column),152)&amp;"|",("|" &amp; SUBSTITUTE(All_Questions_Q5_F_resolved_criteria, ", ", "|") &amp; "|"))),1,0),0))*1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IF(OR(All_Questions_Q4_F_Q="(None)",All_Questions_Q4_F_Q="",ISBLANK(All_Questions_Q4_F_Q),All_Questions_Q4_F_V="(All)",All_Questions_Q4_F_V="",ISBLANK(All_Questions_Q4_F_V)),1,IFERROR(IF(ISNUMBER(SEARCH("|"&amp;INDEX(INDIRECT(All_Questions_Q4_F_resolved_column),153)&amp;"|",("|" &amp; SUBSTITUTE(All_Questions_Q4_F_resolved_criteria, ", ", "|") &amp; "|"))),1,0),0))*1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IF(OR(All_Questions_Q5_F_Q="(None)",All_Questions_Q5_F_Q="",ISBLANK(All_Questions_Q5_F_Q),All_Questions_Q5_F_V="(All)",All_Questions_Q5_F_V="",ISBLANK(All_Questions_Q5_F_V)),1,IFERROR(IF(ISNUMBER(SEARCH("|"&amp;INDEX(INDIRECT(All_Questions_Q5_F_resolved_column),153)&amp;"|",("|" &amp; SUBSTITUTE(All_Questions_Q5_F_resolved_criteria, ", ", "|") &amp; "|"))),1,0),0))*1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IF(OR(All_Questions_Q4_F_Q="(None)",All_Questions_Q4_F_Q="",ISBLANK(All_Questions_Q4_F_Q),All_Questions_Q4_F_V="(All)",All_Questions_Q4_F_V="",ISBLANK(All_Questions_Q4_F_V)),1,IFERROR(IF(ISNUMBER(SEARCH("|"&amp;INDEX(INDIRECT(All_Questions_Q4_F_resolved_column),154)&amp;"|",("|" &amp; SUBSTITUTE(All_Questions_Q4_F_resolved_criteria, ", ", "|") &amp; "|"))),1,0),0))*1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IF(OR(All_Questions_Q5_F_Q="(None)",All_Questions_Q5_F_Q="",ISBLANK(All_Questions_Q5_F_Q),All_Questions_Q5_F_V="(All)",All_Questions_Q5_F_V="",ISBLANK(All_Questions_Q5_F_V)),1,IFERROR(IF(ISNUMBER(SEARCH("|"&amp;INDEX(INDIRECT(All_Questions_Q5_F_resolved_column),154)&amp;"|",("|" &amp; SUBSTITUTE(All_Questions_Q5_F_resolved_criteria, ", ", "|") &amp; "|"))),1,0),0))*1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IF(OR(All_Questions_Q4_F_Q="(None)",All_Questions_Q4_F_Q="",ISBLANK(All_Questions_Q4_F_Q),All_Questions_Q4_F_V="(All)",All_Questions_Q4_F_V="",ISBLANK(All_Questions_Q4_F_V)),1,IFERROR(IF(ISNUMBER(SEARCH("|"&amp;INDEX(INDIRECT(All_Questions_Q4_F_resolved_column),155)&amp;"|",("|" &amp; SUBSTITUTE(All_Questions_Q4_F_resolved_criteria, ", ", "|") &amp; "|"))),1,0),0))*1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IF(OR(All_Questions_Q5_F_Q="(None)",All_Questions_Q5_F_Q="",ISBLANK(All_Questions_Q5_F_Q),All_Questions_Q5_F_V="(All)",All_Questions_Q5_F_V="",ISBLANK(All_Questions_Q5_F_V)),1,IFERROR(IF(ISNUMBER(SEARCH("|"&amp;INDEX(INDIRECT(All_Questions_Q5_F_resolved_column),155)&amp;"|",("|" &amp; SUBSTITUTE(All_Questions_Q5_F_resolved_criteria, ", ", "|") &amp; "|"))),1,0),0))*1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IF(OR(All_Questions_Q4_F_Q="(None)",All_Questions_Q4_F_Q="",ISBLANK(All_Questions_Q4_F_Q),All_Questions_Q4_F_V="(All)",All_Questions_Q4_F_V="",ISBLANK(All_Questions_Q4_F_V)),1,IFERROR(IF(ISNUMBER(SEARCH("|"&amp;INDEX(INDIRECT(All_Questions_Q4_F_resolved_column),156)&amp;"|",("|" &amp; SUBSTITUTE(All_Questions_Q4_F_resolved_criteria, ", ", "|") &amp; "|"))),1,0),0))*1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IF(OR(All_Questions_Q5_F_Q="(None)",All_Questions_Q5_F_Q="",ISBLANK(All_Questions_Q5_F_Q),All_Questions_Q5_F_V="(All)",All_Questions_Q5_F_V="",ISBLANK(All_Questions_Q5_F_V)),1,IFERROR(IF(ISNUMBER(SEARCH("|"&amp;INDEX(INDIRECT(All_Questions_Q5_F_resolved_column),156)&amp;"|",("|" &amp; SUBSTITUTE(All_Questions_Q5_F_resolved_criteria, ", ", "|") &amp; "|"))),1,0),0))*1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IF(OR(All_Questions_Q4_F_Q="(None)",All_Questions_Q4_F_Q="",ISBLANK(All_Questions_Q4_F_Q),All_Questions_Q4_F_V="(All)",All_Questions_Q4_F_V="",ISBLANK(All_Questions_Q4_F_V)),1,IFERROR(IF(ISNUMBER(SEARCH("|"&amp;INDEX(INDIRECT(All_Questions_Q4_F_resolved_column),157)&amp;"|",("|" &amp; SUBSTITUTE(All_Questions_Q4_F_resolved_criteria, ", ", "|") &amp; "|"))),1,0),0))*1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IF(OR(All_Questions_Q5_F_Q="(None)",All_Questions_Q5_F_Q="",ISBLANK(All_Questions_Q5_F_Q),All_Questions_Q5_F_V="(All)",All_Questions_Q5_F_V="",ISBLANK(All_Questions_Q5_F_V)),1,IFERROR(IF(ISNUMBER(SEARCH("|"&amp;INDEX(INDIRECT(All_Questions_Q5_F_resolved_column),157)&amp;"|",("|" &amp; SUBSTITUTE(All_Questions_Q5_F_resolved_criteria, ", ", "|") &amp; "|"))),1,0),0))*1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IF(OR(All_Questions_Q4_F_Q="(None)",All_Questions_Q4_F_Q="",ISBLANK(All_Questions_Q4_F_Q),All_Questions_Q4_F_V="(All)",All_Questions_Q4_F_V="",ISBLANK(All_Questions_Q4_F_V)),1,IFERROR(IF(ISNUMBER(SEARCH("|"&amp;INDEX(INDIRECT(All_Questions_Q4_F_resolved_column),158)&amp;"|",("|" &amp; SUBSTITUTE(All_Questions_Q4_F_resolved_criteria, ", ", "|") &amp; "|"))),1,0),0))*1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IF(OR(All_Questions_Q5_F_Q="(None)",All_Questions_Q5_F_Q="",ISBLANK(All_Questions_Q5_F_Q),All_Questions_Q5_F_V="(All)",All_Questions_Q5_F_V="",ISBLANK(All_Questions_Q5_F_V)),1,IFERROR(IF(ISNUMBER(SEARCH("|"&amp;INDEX(INDIRECT(All_Questions_Q5_F_resolved_column),158)&amp;"|",("|" &amp; SUBSTITUTE(All_Questions_Q5_F_resolved_criteria, ", ", "|") &amp; "|"))),1,0),0))*1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IF(OR(All_Questions_Q4_F_Q="(None)",All_Questions_Q4_F_Q="",ISBLANK(All_Questions_Q4_F_Q),All_Questions_Q4_F_V="(All)",All_Questions_Q4_F_V="",ISBLANK(All_Questions_Q4_F_V)),1,IFERROR(IF(ISNUMBER(SEARCH("|"&amp;INDEX(INDIRECT(All_Questions_Q4_F_resolved_column),159)&amp;"|",("|" &amp; SUBSTITUTE(All_Questions_Q4_F_resolved_criteria, ", ", "|") &amp; "|"))),1,0),0))*1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IF(OR(All_Questions_Q5_F_Q="(None)",All_Questions_Q5_F_Q="",ISBLANK(All_Questions_Q5_F_Q),All_Questions_Q5_F_V="(All)",All_Questions_Q5_F_V="",ISBLANK(All_Questions_Q5_F_V)),1,IFERROR(IF(ISNUMBER(SEARCH("|"&amp;INDEX(INDIRECT(All_Questions_Q5_F_resolved_column),159)&amp;"|",("|" &amp; SUBSTITUTE(All_Questions_Q5_F_resolved_criteria, ", ", "|") &amp; "|"))),1,0),0))*1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IF(OR(All_Questions_Q4_F_Q="(None)",All_Questions_Q4_F_Q="",ISBLANK(All_Questions_Q4_F_Q),All_Questions_Q4_F_V="(All)",All_Questions_Q4_F_V="",ISBLANK(All_Questions_Q4_F_V)),1,IFERROR(IF(ISNUMBER(SEARCH("|"&amp;INDEX(INDIRECT(All_Questions_Q4_F_resolved_column),160)&amp;"|",("|" &amp; SUBSTITUTE(All_Questions_Q4_F_resolved_criteria, ", ", "|") &amp; "|"))),1,0),0))*1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IF(OR(All_Questions_Q5_F_Q="(None)",All_Questions_Q5_F_Q="",ISBLANK(All_Questions_Q5_F_Q),All_Questions_Q5_F_V="(All)",All_Questions_Q5_F_V="",ISBLANK(All_Questions_Q5_F_V)),1,IFERROR(IF(ISNUMBER(SEARCH("|"&amp;INDEX(INDIRECT(All_Questions_Q5_F_resolved_column),160)&amp;"|",("|" &amp; SUBSTITUTE(All_Questions_Q5_F_resolved_criteria, ", ", "|") &amp; "|"))),1,0),0))*1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IF(OR(All_Questions_Q4_F_Q="(None)",All_Questions_Q4_F_Q="",ISBLANK(All_Questions_Q4_F_Q),All_Questions_Q4_F_V="(All)",All_Questions_Q4_F_V="",ISBLANK(All_Questions_Q4_F_V)),1,IFERROR(IF(ISNUMBER(SEARCH("|"&amp;INDEX(INDIRECT(All_Questions_Q4_F_resolved_column),161)&amp;"|",("|" &amp; SUBSTITUTE(All_Questions_Q4_F_resolved_criteria, ", ", "|") &amp; "|"))),1,0),0))*1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IF(OR(All_Questions_Q5_F_Q="(None)",All_Questions_Q5_F_Q="",ISBLANK(All_Questions_Q5_F_Q),All_Questions_Q5_F_V="(All)",All_Questions_Q5_F_V="",ISBLANK(All_Questions_Q5_F_V)),1,IFERROR(IF(ISNUMBER(SEARCH("|"&amp;INDEX(INDIRECT(All_Questions_Q5_F_resolved_column),161)&amp;"|",("|" &amp; SUBSTITUTE(All_Questions_Q5_F_resolved_criteria, ", ", "|") &amp; "|"))),1,0),0))*1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IF(OR(All_Questions_Q4_F_Q="(None)",All_Questions_Q4_F_Q="",ISBLANK(All_Questions_Q4_F_Q),All_Questions_Q4_F_V="(All)",All_Questions_Q4_F_V="",ISBLANK(All_Questions_Q4_F_V)),1,IFERROR(IF(ISNUMBER(SEARCH("|"&amp;INDEX(INDIRECT(All_Questions_Q4_F_resolved_column),162)&amp;"|",("|" &amp; SUBSTITUTE(All_Questions_Q4_F_resolved_criteria, ", ", "|") &amp; "|"))),1,0),0))*1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IF(OR(All_Questions_Q5_F_Q="(None)",All_Questions_Q5_F_Q="",ISBLANK(All_Questions_Q5_F_Q),All_Questions_Q5_F_V="(All)",All_Questions_Q5_F_V="",ISBLANK(All_Questions_Q5_F_V)),1,IFERROR(IF(ISNUMBER(SEARCH("|"&amp;INDEX(INDIRECT(All_Questions_Q5_F_resolved_column),162)&amp;"|",("|" &amp; SUBSTITUTE(All_Questions_Q5_F_resolved_criteria, ", ", "|") &amp; "|"))),1,0),0))*1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IF(OR(All_Questions_Q4_F_Q="(None)",All_Questions_Q4_F_Q="",ISBLANK(All_Questions_Q4_F_Q),All_Questions_Q4_F_V="(All)",All_Questions_Q4_F_V="",ISBLANK(All_Questions_Q4_F_V)),1,IFERROR(IF(ISNUMBER(SEARCH("|"&amp;INDEX(INDIRECT(All_Questions_Q4_F_resolved_column),163)&amp;"|",("|" &amp; SUBSTITUTE(All_Questions_Q4_F_resolved_criteria, ", ", "|") &amp; "|"))),1,0),0))*1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IF(OR(All_Questions_Q5_F_Q="(None)",All_Questions_Q5_F_Q="",ISBLANK(All_Questions_Q5_F_Q),All_Questions_Q5_F_V="(All)",All_Questions_Q5_F_V="",ISBLANK(All_Questions_Q5_F_V)),1,IFERROR(IF(ISNUMBER(SEARCH("|"&amp;INDEX(INDIRECT(All_Questions_Q5_F_resolved_column),163)&amp;"|",("|" &amp; SUBSTITUTE(All_Questions_Q5_F_resolved_criteria, ", ", "|") &amp; "|"))),1,0),0))*1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IF(OR(All_Questions_Q4_F_Q="(None)",All_Questions_Q4_F_Q="",ISBLANK(All_Questions_Q4_F_Q),All_Questions_Q4_F_V="(All)",All_Questions_Q4_F_V="",ISBLANK(All_Questions_Q4_F_V)),1,IFERROR(IF(ISNUMBER(SEARCH("|"&amp;INDEX(INDIRECT(All_Questions_Q4_F_resolved_column),164)&amp;"|",("|" &amp; SUBSTITUTE(All_Questions_Q4_F_resolved_criteria, ", ", "|") &amp; "|"))),1,0),0))*1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IF(OR(All_Questions_Q5_F_Q="(None)",All_Questions_Q5_F_Q="",ISBLANK(All_Questions_Q5_F_Q),All_Questions_Q5_F_V="(All)",All_Questions_Q5_F_V="",ISBLANK(All_Questions_Q5_F_V)),1,IFERROR(IF(ISNUMBER(SEARCH("|"&amp;INDEX(INDIRECT(All_Questions_Q5_F_resolved_column),164)&amp;"|",("|" &amp; SUBSTITUTE(All_Questions_Q5_F_resolved_criteria, ", ", "|") &amp; "|"))),1,0),0))*1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IF(OR(All_Questions_Q4_F_Q="(None)",All_Questions_Q4_F_Q="",ISBLANK(All_Questions_Q4_F_Q),All_Questions_Q4_F_V="(All)",All_Questions_Q4_F_V="",ISBLANK(All_Questions_Q4_F_V)),1,IFERROR(IF(ISNUMBER(SEARCH("|"&amp;INDEX(INDIRECT(All_Questions_Q4_F_resolved_column),165)&amp;"|",("|" &amp; SUBSTITUTE(All_Questions_Q4_F_resolved_criteria, ", ", "|") &amp; "|"))),1,0),0))*1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IF(OR(All_Questions_Q5_F_Q="(None)",All_Questions_Q5_F_Q="",ISBLANK(All_Questions_Q5_F_Q),All_Questions_Q5_F_V="(All)",All_Questions_Q5_F_V="",ISBLANK(All_Questions_Q5_F_V)),1,IFERROR(IF(ISNUMBER(SEARCH("|"&amp;INDEX(INDIRECT(All_Questions_Q5_F_resolved_column),165)&amp;"|",("|" &amp; SUBSTITUTE(All_Questions_Q5_F_resolved_criteria, ", ", "|") &amp; "|"))),1,0),0))*1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IF(OR(All_Questions_Q4_F_Q="(None)",All_Questions_Q4_F_Q="",ISBLANK(All_Questions_Q4_F_Q),All_Questions_Q4_F_V="(All)",All_Questions_Q4_F_V="",ISBLANK(All_Questions_Q4_F_V)),1,IFERROR(IF(ISNUMBER(SEARCH("|"&amp;INDEX(INDIRECT(All_Questions_Q4_F_resolved_column),166)&amp;"|",("|" &amp; SUBSTITUTE(All_Questions_Q4_F_resolved_criteria, ", ", "|") &amp; "|"))),1,0),0))*1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IF(OR(All_Questions_Q5_F_Q="(None)",All_Questions_Q5_F_Q="",ISBLANK(All_Questions_Q5_F_Q),All_Questions_Q5_F_V="(All)",All_Questions_Q5_F_V="",ISBLANK(All_Questions_Q5_F_V)),1,IFERROR(IF(ISNUMBER(SEARCH("|"&amp;INDEX(INDIRECT(All_Questions_Q5_F_resolved_column),166)&amp;"|",("|" &amp; SUBSTITUTE(All_Questions_Q5_F_resolved_criteria, ", ", "|") &amp; "|"))),1,0),0))*1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IF(OR(All_Questions_Q4_F_Q="(None)",All_Questions_Q4_F_Q="",ISBLANK(All_Questions_Q4_F_Q),All_Questions_Q4_F_V="(All)",All_Questions_Q4_F_V="",ISBLANK(All_Questions_Q4_F_V)),1,IFERROR(IF(ISNUMBER(SEARCH("|"&amp;INDEX(INDIRECT(All_Questions_Q4_F_resolved_column),167)&amp;"|",("|" &amp; SUBSTITUTE(All_Questions_Q4_F_resolved_criteria, ", ", "|") &amp; "|"))),1,0),0))*1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IF(OR(All_Questions_Q5_F_Q="(None)",All_Questions_Q5_F_Q="",ISBLANK(All_Questions_Q5_F_Q),All_Questions_Q5_F_V="(All)",All_Questions_Q5_F_V="",ISBLANK(All_Questions_Q5_F_V)),1,IFERROR(IF(ISNUMBER(SEARCH("|"&amp;INDEX(INDIRECT(All_Questions_Q5_F_resolved_column),167)&amp;"|",("|" &amp; SUBSTITUTE(All_Questions_Q5_F_resolved_criteria, ", ", "|") &amp; "|"))),1,0),0))*1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IF(OR(All_Questions_Q4_F_Q="(None)",All_Questions_Q4_F_Q="",ISBLANK(All_Questions_Q4_F_Q),All_Questions_Q4_F_V="(All)",All_Questions_Q4_F_V="",ISBLANK(All_Questions_Q4_F_V)),1,IFERROR(IF(ISNUMBER(SEARCH("|"&amp;INDEX(INDIRECT(All_Questions_Q4_F_resolved_column),168)&amp;"|",("|" &amp; SUBSTITUTE(All_Questions_Q4_F_resolved_criteria, ", ", "|") &amp; "|"))),1,0),0))*1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IF(OR(All_Questions_Q5_F_Q="(None)",All_Questions_Q5_F_Q="",ISBLANK(All_Questions_Q5_F_Q),All_Questions_Q5_F_V="(All)",All_Questions_Q5_F_V="",ISBLANK(All_Questions_Q5_F_V)),1,IFERROR(IF(ISNUMBER(SEARCH("|"&amp;INDEX(INDIRECT(All_Questions_Q5_F_resolved_column),168)&amp;"|",("|" &amp; SUBSTITUTE(All_Questions_Q5_F_resolved_criteria, ", ", "|") &amp; "|"))),1,0),0))*1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IF(OR(All_Questions_Q4_F_Q="(None)",All_Questions_Q4_F_Q="",ISBLANK(All_Questions_Q4_F_Q),All_Questions_Q4_F_V="(All)",All_Questions_Q4_F_V="",ISBLANK(All_Questions_Q4_F_V)),1,IFERROR(IF(ISNUMBER(SEARCH("|"&amp;INDEX(INDIRECT(All_Questions_Q4_F_resolved_column),169)&amp;"|",("|" &amp; SUBSTITUTE(All_Questions_Q4_F_resolved_criteria, ", ", "|") &amp; "|"))),1,0),0))*1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IF(OR(All_Questions_Q5_F_Q="(None)",All_Questions_Q5_F_Q="",ISBLANK(All_Questions_Q5_F_Q),All_Questions_Q5_F_V="(All)",All_Questions_Q5_F_V="",ISBLANK(All_Questions_Q5_F_V)),1,IFERROR(IF(ISNUMBER(SEARCH("|"&amp;INDEX(INDIRECT(All_Questions_Q5_F_resolved_column),169)&amp;"|",("|" &amp; SUBSTITUTE(All_Questions_Q5_F_resolved_criteria, ", ", "|") &amp; "|"))),1,0),0))*1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IF(OR(All_Questions_Q4_F_Q="(None)",All_Questions_Q4_F_Q="",ISBLANK(All_Questions_Q4_F_Q),All_Questions_Q4_F_V="(All)",All_Questions_Q4_F_V="",ISBLANK(All_Questions_Q4_F_V)),1,IFERROR(IF(ISNUMBER(SEARCH("|"&amp;INDEX(INDIRECT(All_Questions_Q4_F_resolved_column),170)&amp;"|",("|" &amp; SUBSTITUTE(All_Questions_Q4_F_resolved_criteria, ", ", "|") &amp; "|"))),1,0),0))*1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IF(OR(All_Questions_Q5_F_Q="(None)",All_Questions_Q5_F_Q="",ISBLANK(All_Questions_Q5_F_Q),All_Questions_Q5_F_V="(All)",All_Questions_Q5_F_V="",ISBLANK(All_Questions_Q5_F_V)),1,IFERROR(IF(ISNUMBER(SEARCH("|"&amp;INDEX(INDIRECT(All_Questions_Q5_F_resolved_column),170)&amp;"|",("|" &amp; SUBSTITUTE(All_Questions_Q5_F_resolved_criteria, ", ", "|") &amp; "|"))),1,0),0))*1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IF(OR(All_Questions_Q4_F_Q="(None)",All_Questions_Q4_F_Q="",ISBLANK(All_Questions_Q4_F_Q),All_Questions_Q4_F_V="(All)",All_Questions_Q4_F_V="",ISBLANK(All_Questions_Q4_F_V)),1,IFERROR(IF(ISNUMBER(SEARCH("|"&amp;INDEX(INDIRECT(All_Questions_Q4_F_resolved_column),171)&amp;"|",("|" &amp; SUBSTITUTE(All_Questions_Q4_F_resolved_criteria, ", ", "|") &amp; "|"))),1,0),0))*1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IF(OR(All_Questions_Q5_F_Q="(None)",All_Questions_Q5_F_Q="",ISBLANK(All_Questions_Q5_F_Q),All_Questions_Q5_F_V="(All)",All_Questions_Q5_F_V="",ISBLANK(All_Questions_Q5_F_V)),1,IFERROR(IF(ISNUMBER(SEARCH("|"&amp;INDEX(INDIRECT(All_Questions_Q5_F_resolved_column),171)&amp;"|",("|" &amp; SUBSTITUTE(All_Questions_Q5_F_resolved_criteria, ", ", "|") &amp; "|"))),1,0),0))*1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IF(OR(All_Questions_Q4_F_Q="(None)",All_Questions_Q4_F_Q="",ISBLANK(All_Questions_Q4_F_Q),All_Questions_Q4_F_V="(All)",All_Questions_Q4_F_V="",ISBLANK(All_Questions_Q4_F_V)),1,IFERROR(IF(ISNUMBER(SEARCH("|"&amp;INDEX(INDIRECT(All_Questions_Q4_F_resolved_column),172)&amp;"|",("|" &amp; SUBSTITUTE(All_Questions_Q4_F_resolved_criteria, ", ", "|") &amp; "|"))),1,0),0))*1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IF(OR(All_Questions_Q5_F_Q="(None)",All_Questions_Q5_F_Q="",ISBLANK(All_Questions_Q5_F_Q),All_Questions_Q5_F_V="(All)",All_Questions_Q5_F_V="",ISBLANK(All_Questions_Q5_F_V)),1,IFERROR(IF(ISNUMBER(SEARCH("|"&amp;INDEX(INDIRECT(All_Questions_Q5_F_resolved_column),172)&amp;"|",("|" &amp; SUBSTITUTE(All_Questions_Q5_F_resolved_criteria, ", ", "|") &amp; "|"))),1,0),0))*1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IF(OR(All_Questions_Q4_F_Q="(None)",All_Questions_Q4_F_Q="",ISBLANK(All_Questions_Q4_F_Q),All_Questions_Q4_F_V="(All)",All_Questions_Q4_F_V="",ISBLANK(All_Questions_Q4_F_V)),1,IFERROR(IF(ISNUMBER(SEARCH("|"&amp;INDEX(INDIRECT(All_Questions_Q4_F_resolved_column),173)&amp;"|",("|" &amp; SUBSTITUTE(All_Questions_Q4_F_resolved_criteria, ", ", "|") &amp; "|"))),1,0),0))*1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IF(OR(All_Questions_Q5_F_Q="(None)",All_Questions_Q5_F_Q="",ISBLANK(All_Questions_Q5_F_Q),All_Questions_Q5_F_V="(All)",All_Questions_Q5_F_V="",ISBLANK(All_Questions_Q5_F_V)),1,IFERROR(IF(ISNUMBER(SEARCH("|"&amp;INDEX(INDIRECT(All_Questions_Q5_F_resolved_column),173)&amp;"|",("|" &amp; SUBSTITUTE(All_Questions_Q5_F_resolved_criteria, ", ", "|") &amp; "|"))),1,0),0))*1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IF(OR(All_Questions_Q4_F_Q="(None)",All_Questions_Q4_F_Q="",ISBLANK(All_Questions_Q4_F_Q),All_Questions_Q4_F_V="(All)",All_Questions_Q4_F_V="",ISBLANK(All_Questions_Q4_F_V)),1,IFERROR(IF(ISNUMBER(SEARCH("|"&amp;INDEX(INDIRECT(All_Questions_Q4_F_resolved_column),174)&amp;"|",("|" &amp; SUBSTITUTE(All_Questions_Q4_F_resolved_criteria, ", ", "|") &amp; "|"))),1,0),0))*1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IF(OR(All_Questions_Q5_F_Q="(None)",All_Questions_Q5_F_Q="",ISBLANK(All_Questions_Q5_F_Q),All_Questions_Q5_F_V="(All)",All_Questions_Q5_F_V="",ISBLANK(All_Questions_Q5_F_V)),1,IFERROR(IF(ISNUMBER(SEARCH("|"&amp;INDEX(INDIRECT(All_Questions_Q5_F_resolved_column),174)&amp;"|",("|" &amp; SUBSTITUTE(All_Questions_Q5_F_resolved_criteria, ", ", "|") &amp; "|"))),1,0),0))*1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IF(OR(All_Questions_Q4_F_Q="(None)",All_Questions_Q4_F_Q="",ISBLANK(All_Questions_Q4_F_Q),All_Questions_Q4_F_V="(All)",All_Questions_Q4_F_V="",ISBLANK(All_Questions_Q4_F_V)),1,IFERROR(IF(ISNUMBER(SEARCH("|"&amp;INDEX(INDIRECT(All_Questions_Q4_F_resolved_column),175)&amp;"|",("|" &amp; SUBSTITUTE(All_Questions_Q4_F_resolved_criteria, ", ", "|") &amp; "|"))),1,0),0))*1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IF(OR(All_Questions_Q5_F_Q="(None)",All_Questions_Q5_F_Q="",ISBLANK(All_Questions_Q5_F_Q),All_Questions_Q5_F_V="(All)",All_Questions_Q5_F_V="",ISBLANK(All_Questions_Q5_F_V)),1,IFERROR(IF(ISNUMBER(SEARCH("|"&amp;INDEX(INDIRECT(All_Questions_Q5_F_resolved_column),175)&amp;"|",("|" &amp; SUBSTITUTE(All_Questions_Q5_F_resolved_criteria, ", ", "|") &amp; "|"))),1,0),0))*1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IF(OR(All_Questions_Q4_F_Q="(None)",All_Questions_Q4_F_Q="",ISBLANK(All_Questions_Q4_F_Q),All_Questions_Q4_F_V="(All)",All_Questions_Q4_F_V="",ISBLANK(All_Questions_Q4_F_V)),1,IFERROR(IF(ISNUMBER(SEARCH("|"&amp;INDEX(INDIRECT(All_Questions_Q4_F_resolved_column),176)&amp;"|",("|" &amp; SUBSTITUTE(All_Questions_Q4_F_resolved_criteria, ", ", "|") &amp; "|"))),1,0),0))*1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IF(OR(All_Questions_Q5_F_Q="(None)",All_Questions_Q5_F_Q="",ISBLANK(All_Questions_Q5_F_Q),All_Questions_Q5_F_V="(All)",All_Questions_Q5_F_V="",ISBLANK(All_Questions_Q5_F_V)),1,IFERROR(IF(ISNUMBER(SEARCH("|"&amp;INDEX(INDIRECT(All_Questions_Q5_F_resolved_column),176)&amp;"|",("|" &amp; SUBSTITUTE(All_Questions_Q5_F_resolved_criteria, ", ", "|") &amp; "|"))),1,0),0))*1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IF(OR(All_Questions_Q4_F_Q="(None)",All_Questions_Q4_F_Q="",ISBLANK(All_Questions_Q4_F_Q),All_Questions_Q4_F_V="(All)",All_Questions_Q4_F_V="",ISBLANK(All_Questions_Q4_F_V)),1,IFERROR(IF(ISNUMBER(SEARCH("|"&amp;INDEX(INDIRECT(All_Questions_Q4_F_resolved_column),177)&amp;"|",("|" &amp; SUBSTITUTE(All_Questions_Q4_F_resolved_criteria, ", ", "|") &amp; "|"))),1,0),0))*1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IF(OR(All_Questions_Q5_F_Q="(None)",All_Questions_Q5_F_Q="",ISBLANK(All_Questions_Q5_F_Q),All_Questions_Q5_F_V="(All)",All_Questions_Q5_F_V="",ISBLANK(All_Questions_Q5_F_V)),1,IFERROR(IF(ISNUMBER(SEARCH("|"&amp;INDEX(INDIRECT(All_Questions_Q5_F_resolved_column),177)&amp;"|",("|" &amp; SUBSTITUTE(All_Questions_Q5_F_resolved_criteria, ", ", "|") &amp; "|"))),1,0),0))*1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IF(OR(All_Questions_Q4_F_Q="(None)",All_Questions_Q4_F_Q="",ISBLANK(All_Questions_Q4_F_Q),All_Questions_Q4_F_V="(All)",All_Questions_Q4_F_V="",ISBLANK(All_Questions_Q4_F_V)),1,IFERROR(IF(ISNUMBER(SEARCH("|"&amp;INDEX(INDIRECT(All_Questions_Q4_F_resolved_column),178)&amp;"|",("|" &amp; SUBSTITUTE(All_Questions_Q4_F_resolved_criteria, ", ", "|") &amp; "|"))),1,0),0))*1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IF(OR(All_Questions_Q5_F_Q="(None)",All_Questions_Q5_F_Q="",ISBLANK(All_Questions_Q5_F_Q),All_Questions_Q5_F_V="(All)",All_Questions_Q5_F_V="",ISBLANK(All_Questions_Q5_F_V)),1,IFERROR(IF(ISNUMBER(SEARCH("|"&amp;INDEX(INDIRECT(All_Questions_Q5_F_resolved_column),178)&amp;"|",("|" &amp; SUBSTITUTE(All_Questions_Q5_F_resolved_criteria, ", ", "|") &amp; "|"))),1,0),0))*1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IF(OR(All_Questions_Q4_F_Q="(None)",All_Questions_Q4_F_Q="",ISBLANK(All_Questions_Q4_F_Q),All_Questions_Q4_F_V="(All)",All_Questions_Q4_F_V="",ISBLANK(All_Questions_Q4_F_V)),1,IFERROR(IF(ISNUMBER(SEARCH("|"&amp;INDEX(INDIRECT(All_Questions_Q4_F_resolved_column),179)&amp;"|",("|" &amp; SUBSTITUTE(All_Questions_Q4_F_resolved_criteria, ", ", "|") &amp; "|"))),1,0),0))*1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IF(OR(All_Questions_Q5_F_Q="(None)",All_Questions_Q5_F_Q="",ISBLANK(All_Questions_Q5_F_Q),All_Questions_Q5_F_V="(All)",All_Questions_Q5_F_V="",ISBLANK(All_Questions_Q5_F_V)),1,IFERROR(IF(ISNUMBER(SEARCH("|"&amp;INDEX(INDIRECT(All_Questions_Q5_F_resolved_column),179)&amp;"|",("|" &amp; SUBSTITUTE(All_Questions_Q5_F_resolved_criteria, ", ", "|") &amp; "|"))),1,0),0))*1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IF(OR(All_Questions_Q4_F_Q="(None)",All_Questions_Q4_F_Q="",ISBLANK(All_Questions_Q4_F_Q),All_Questions_Q4_F_V="(All)",All_Questions_Q4_F_V="",ISBLANK(All_Questions_Q4_F_V)),1,IFERROR(IF(ISNUMBER(SEARCH("|"&amp;INDEX(INDIRECT(All_Questions_Q4_F_resolved_column),180)&amp;"|",("|" &amp; SUBSTITUTE(All_Questions_Q4_F_resolved_criteria, ", ", "|") &amp; "|"))),1,0),0))*1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IF(OR(All_Questions_Q5_F_Q="(None)",All_Questions_Q5_F_Q="",ISBLANK(All_Questions_Q5_F_Q),All_Questions_Q5_F_V="(All)",All_Questions_Q5_F_V="",ISBLANK(All_Questions_Q5_F_V)),1,IFERROR(IF(ISNUMBER(SEARCH("|"&amp;INDEX(INDIRECT(All_Questions_Q5_F_resolved_column),180)&amp;"|",("|" &amp; SUBSTITUTE(All_Questions_Q5_F_resolved_criteria, ", ", "|") &amp; "|"))),1,0),0))*1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IF(OR(All_Questions_Q4_F_Q="(None)",All_Questions_Q4_F_Q="",ISBLANK(All_Questions_Q4_F_Q),All_Questions_Q4_F_V="(All)",All_Questions_Q4_F_V="",ISBLANK(All_Questions_Q4_F_V)),1,IFERROR(IF(ISNUMBER(SEARCH("|"&amp;INDEX(INDIRECT(All_Questions_Q4_F_resolved_column),181)&amp;"|",("|" &amp; SUBSTITUTE(All_Questions_Q4_F_resolved_criteria, ", ", "|") &amp; "|"))),1,0),0))*1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IF(OR(All_Questions_Q5_F_Q="(None)",All_Questions_Q5_F_Q="",ISBLANK(All_Questions_Q5_F_Q),All_Questions_Q5_F_V="(All)",All_Questions_Q5_F_V="",ISBLANK(All_Questions_Q5_F_V)),1,IFERROR(IF(ISNUMBER(SEARCH("|"&amp;INDEX(INDIRECT(All_Questions_Q5_F_resolved_column),181)&amp;"|",("|" &amp; SUBSTITUTE(All_Questions_Q5_F_resolved_criteria, ", ", "|") &amp; "|"))),1,0),0))*1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IF(OR(All_Questions_Q4_F_Q="(None)",All_Questions_Q4_F_Q="",ISBLANK(All_Questions_Q4_F_Q),All_Questions_Q4_F_V="(All)",All_Questions_Q4_F_V="",ISBLANK(All_Questions_Q4_F_V)),1,IFERROR(IF(ISNUMBER(SEARCH("|"&amp;INDEX(INDIRECT(All_Questions_Q4_F_resolved_column),182)&amp;"|",("|" &amp; SUBSTITUTE(All_Questions_Q4_F_resolved_criteria, ", ", "|") &amp; "|"))),1,0),0))*1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IF(OR(All_Questions_Q5_F_Q="(None)",All_Questions_Q5_F_Q="",ISBLANK(All_Questions_Q5_F_Q),All_Questions_Q5_F_V="(All)",All_Questions_Q5_F_V="",ISBLANK(All_Questions_Q5_F_V)),1,IFERROR(IF(ISNUMBER(SEARCH("|"&amp;INDEX(INDIRECT(All_Questions_Q5_F_resolved_column),182)&amp;"|",("|" &amp; SUBSTITUTE(All_Questions_Q5_F_resolved_criteria, ", ", "|") &amp; "|"))),1,0),0))*1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IF(OR(All_Questions_Q4_F_Q="(None)",All_Questions_Q4_F_Q="",ISBLANK(All_Questions_Q4_F_Q),All_Questions_Q4_F_V="(All)",All_Questions_Q4_F_V="",ISBLANK(All_Questions_Q4_F_V)),1,IFERROR(IF(ISNUMBER(SEARCH("|"&amp;INDEX(INDIRECT(All_Questions_Q4_F_resolved_column),183)&amp;"|",("|" &amp; SUBSTITUTE(All_Questions_Q4_F_resolved_criteria, ", ", "|") &amp; "|"))),1,0),0))*1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IF(OR(All_Questions_Q5_F_Q="(None)",All_Questions_Q5_F_Q="",ISBLANK(All_Questions_Q5_F_Q),All_Questions_Q5_F_V="(All)",All_Questions_Q5_F_V="",ISBLANK(All_Questions_Q5_F_V)),1,IFERROR(IF(ISNUMBER(SEARCH("|"&amp;INDEX(INDIRECT(All_Questions_Q5_F_resolved_column),183)&amp;"|",("|" &amp; SUBSTITUTE(All_Questions_Q5_F_resolved_criteria, ", ", "|") &amp; "|"))),1,0),0))*1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IF(OR(All_Questions_Q4_F_Q="(None)",All_Questions_Q4_F_Q="",ISBLANK(All_Questions_Q4_F_Q),All_Questions_Q4_F_V="(All)",All_Questions_Q4_F_V="",ISBLANK(All_Questions_Q4_F_V)),1,IFERROR(IF(ISNUMBER(SEARCH("|"&amp;INDEX(INDIRECT(All_Questions_Q4_F_resolved_column),184)&amp;"|",("|" &amp; SUBSTITUTE(All_Questions_Q4_F_resolved_criteria, ", ", "|") &amp; "|"))),1,0),0))*1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IF(OR(All_Questions_Q5_F_Q="(None)",All_Questions_Q5_F_Q="",ISBLANK(All_Questions_Q5_F_Q),All_Questions_Q5_F_V="(All)",All_Questions_Q5_F_V="",ISBLANK(All_Questions_Q5_F_V)),1,IFERROR(IF(ISNUMBER(SEARCH("|"&amp;INDEX(INDIRECT(All_Questions_Q5_F_resolved_column),184)&amp;"|",("|" &amp; SUBSTITUTE(All_Questions_Q5_F_resolved_criteria, ", ", "|") &amp; "|"))),1,0),0))*1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IF(OR(All_Questions_Q4_F_Q="(None)",All_Questions_Q4_F_Q="",ISBLANK(All_Questions_Q4_F_Q),All_Questions_Q4_F_V="(All)",All_Questions_Q4_F_V="",ISBLANK(All_Questions_Q4_F_V)),1,IFERROR(IF(ISNUMBER(SEARCH("|"&amp;INDEX(INDIRECT(All_Questions_Q4_F_resolved_column),185)&amp;"|",("|" &amp; SUBSTITUTE(All_Questions_Q4_F_resolved_criteria, ", ", "|") &amp; "|"))),1,0),0))*1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IF(OR(All_Questions_Q5_F_Q="(None)",All_Questions_Q5_F_Q="",ISBLANK(All_Questions_Q5_F_Q),All_Questions_Q5_F_V="(All)",All_Questions_Q5_F_V="",ISBLANK(All_Questions_Q5_F_V)),1,IFERROR(IF(ISNUMBER(SEARCH("|"&amp;INDEX(INDIRECT(All_Questions_Q5_F_resolved_column),185)&amp;"|",("|" &amp; SUBSTITUTE(All_Questions_Q5_F_resolved_criteria, ", ", "|") &amp; "|"))),1,0),0))*1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IF(OR(All_Questions_Q4_F_Q="(None)",All_Questions_Q4_F_Q="",ISBLANK(All_Questions_Q4_F_Q),All_Questions_Q4_F_V="(All)",All_Questions_Q4_F_V="",ISBLANK(All_Questions_Q4_F_V)),1,IFERROR(IF(ISNUMBER(SEARCH("|"&amp;INDEX(INDIRECT(All_Questions_Q4_F_resolved_column),186)&amp;"|",("|" &amp; SUBSTITUTE(All_Questions_Q4_F_resolved_criteria, ", ", "|") &amp; "|"))),1,0),0))*1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IF(OR(All_Questions_Q5_F_Q="(None)",All_Questions_Q5_F_Q="",ISBLANK(All_Questions_Q5_F_Q),All_Questions_Q5_F_V="(All)",All_Questions_Q5_F_V="",ISBLANK(All_Questions_Q5_F_V)),1,IFERROR(IF(ISNUMBER(SEARCH("|"&amp;INDEX(INDIRECT(All_Questions_Q5_F_resolved_column),186)&amp;"|",("|" &amp; SUBSTITUTE(All_Questions_Q5_F_resolved_criteria, ", ", "|") &amp; "|"))),1,0),0))*1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IF(OR(All_Questions_Q4_F_Q="(None)",All_Questions_Q4_F_Q="",ISBLANK(All_Questions_Q4_F_Q),All_Questions_Q4_F_V="(All)",All_Questions_Q4_F_V="",ISBLANK(All_Questions_Q4_F_V)),1,IFERROR(IF(ISNUMBER(SEARCH("|"&amp;INDEX(INDIRECT(All_Questions_Q4_F_resolved_column),187)&amp;"|",("|" &amp; SUBSTITUTE(All_Questions_Q4_F_resolved_criteria, ", ", "|") &amp; "|"))),1,0),0))*1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IF(OR(All_Questions_Q5_F_Q="(None)",All_Questions_Q5_F_Q="",ISBLANK(All_Questions_Q5_F_Q),All_Questions_Q5_F_V="(All)",All_Questions_Q5_F_V="",ISBLANK(All_Questions_Q5_F_V)),1,IFERROR(IF(ISNUMBER(SEARCH("|"&amp;INDEX(INDIRECT(All_Questions_Q5_F_resolved_column),187)&amp;"|",("|" &amp; SUBSTITUTE(All_Questions_Q5_F_resolved_criteria, ", ", "|") &amp; "|"))),1,0),0))*1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IF(OR(All_Questions_Q4_F_Q="(None)",All_Questions_Q4_F_Q="",ISBLANK(All_Questions_Q4_F_Q),All_Questions_Q4_F_V="(All)",All_Questions_Q4_F_V="",ISBLANK(All_Questions_Q4_F_V)),1,IFERROR(IF(ISNUMBER(SEARCH("|"&amp;INDEX(INDIRECT(All_Questions_Q4_F_resolved_column),188)&amp;"|",("|" &amp; SUBSTITUTE(All_Questions_Q4_F_resolved_criteria, ", ", "|") &amp; "|"))),1,0),0))*1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IF(OR(All_Questions_Q5_F_Q="(None)",All_Questions_Q5_F_Q="",ISBLANK(All_Questions_Q5_F_Q),All_Questions_Q5_F_V="(All)",All_Questions_Q5_F_V="",ISBLANK(All_Questions_Q5_F_V)),1,IFERROR(IF(ISNUMBER(SEARCH("|"&amp;INDEX(INDIRECT(All_Questions_Q5_F_resolved_column),188)&amp;"|",("|" &amp; SUBSTITUTE(All_Questions_Q5_F_resolved_criteria, ", ", "|") &amp; "|"))),1,0),0))*1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IF(OR(All_Questions_Q4_F_Q="(None)",All_Questions_Q4_F_Q="",ISBLANK(All_Questions_Q4_F_Q),All_Questions_Q4_F_V="(All)",All_Questions_Q4_F_V="",ISBLANK(All_Questions_Q4_F_V)),1,IFERROR(IF(ISNUMBER(SEARCH("|"&amp;INDEX(INDIRECT(All_Questions_Q4_F_resolved_column),189)&amp;"|",("|" &amp; SUBSTITUTE(All_Questions_Q4_F_resolved_criteria, ", ", "|") &amp; "|"))),1,0),0))*1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IF(OR(All_Questions_Q5_F_Q="(None)",All_Questions_Q5_F_Q="",ISBLANK(All_Questions_Q5_F_Q),All_Questions_Q5_F_V="(All)",All_Questions_Q5_F_V="",ISBLANK(All_Questions_Q5_F_V)),1,IFERROR(IF(ISNUMBER(SEARCH("|"&amp;INDEX(INDIRECT(All_Questions_Q5_F_resolved_column),189)&amp;"|",("|" &amp; SUBSTITUTE(All_Questions_Q5_F_resolved_criteria, ", ", "|") &amp; "|"))),1,0),0))*1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IF(OR(All_Questions_Q4_F_Q="(None)",All_Questions_Q4_F_Q="",ISBLANK(All_Questions_Q4_F_Q),All_Questions_Q4_F_V="(All)",All_Questions_Q4_F_V="",ISBLANK(All_Questions_Q4_F_V)),1,IFERROR(IF(ISNUMBER(SEARCH("|"&amp;INDEX(INDIRECT(All_Questions_Q4_F_resolved_column),190)&amp;"|",("|" &amp; SUBSTITUTE(All_Questions_Q4_F_resolved_criteria, ", ", "|") &amp; "|"))),1,0),0))*1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IF(OR(All_Questions_Q5_F_Q="(None)",All_Questions_Q5_F_Q="",ISBLANK(All_Questions_Q5_F_Q),All_Questions_Q5_F_V="(All)",All_Questions_Q5_F_V="",ISBLANK(All_Questions_Q5_F_V)),1,IFERROR(IF(ISNUMBER(SEARCH("|"&amp;INDEX(INDIRECT(All_Questions_Q5_F_resolved_column),190)&amp;"|",("|" &amp; SUBSTITUTE(All_Questions_Q5_F_resolved_criteria, ", ", "|") &amp; "|"))),1,0),0))*1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IF(OR(All_Questions_Q4_F_Q="(None)",All_Questions_Q4_F_Q="",ISBLANK(All_Questions_Q4_F_Q),All_Questions_Q4_F_V="(All)",All_Questions_Q4_F_V="",ISBLANK(All_Questions_Q4_F_V)),1,IFERROR(IF(ISNUMBER(SEARCH("|"&amp;INDEX(INDIRECT(All_Questions_Q4_F_resolved_column),191)&amp;"|",("|" &amp; SUBSTITUTE(All_Questions_Q4_F_resolved_criteria, ", ", "|") &amp; "|"))),1,0),0))*1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IF(OR(All_Questions_Q5_F_Q="(None)",All_Questions_Q5_F_Q="",ISBLANK(All_Questions_Q5_F_Q),All_Questions_Q5_F_V="(All)",All_Questions_Q5_F_V="",ISBLANK(All_Questions_Q5_F_V)),1,IFERROR(IF(ISNUMBER(SEARCH("|"&amp;INDEX(INDIRECT(All_Questions_Q5_F_resolved_column),191)&amp;"|",("|" &amp; SUBSTITUTE(All_Questions_Q5_F_resolved_criteria, ", ", "|") &amp; "|"))),1,0),0))*1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IF(OR(All_Questions_Q4_F_Q="(None)",All_Questions_Q4_F_Q="",ISBLANK(All_Questions_Q4_F_Q),All_Questions_Q4_F_V="(All)",All_Questions_Q4_F_V="",ISBLANK(All_Questions_Q4_F_V)),1,IFERROR(IF(ISNUMBER(SEARCH("|"&amp;INDEX(INDIRECT(All_Questions_Q4_F_resolved_column),192)&amp;"|",("|" &amp; SUBSTITUTE(All_Questions_Q4_F_resolved_criteria, ", ", "|") &amp; "|"))),1,0),0))*1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IF(OR(All_Questions_Q5_F_Q="(None)",All_Questions_Q5_F_Q="",ISBLANK(All_Questions_Q5_F_Q),All_Questions_Q5_F_V="(All)",All_Questions_Q5_F_V="",ISBLANK(All_Questions_Q5_F_V)),1,IFERROR(IF(ISNUMBER(SEARCH("|"&amp;INDEX(INDIRECT(All_Questions_Q5_F_resolved_column),192)&amp;"|",("|" &amp; SUBSTITUTE(All_Questions_Q5_F_resolved_criteria, ", ", "|") &amp; "|"))),1,0),0))*1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IF(OR(All_Questions_Q4_F_Q="(None)",All_Questions_Q4_F_Q="",ISBLANK(All_Questions_Q4_F_Q),All_Questions_Q4_F_V="(All)",All_Questions_Q4_F_V="",ISBLANK(All_Questions_Q4_F_V)),1,IFERROR(IF(ISNUMBER(SEARCH("|"&amp;INDEX(INDIRECT(All_Questions_Q4_F_resolved_column),193)&amp;"|",("|" &amp; SUBSTITUTE(All_Questions_Q4_F_resolved_criteria, ", ", "|") &amp; "|"))),1,0),0))*1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IF(OR(All_Questions_Q5_F_Q="(None)",All_Questions_Q5_F_Q="",ISBLANK(All_Questions_Q5_F_Q),All_Questions_Q5_F_V="(All)",All_Questions_Q5_F_V="",ISBLANK(All_Questions_Q5_F_V)),1,IFERROR(IF(ISNUMBER(SEARCH("|"&amp;INDEX(INDIRECT(All_Questions_Q5_F_resolved_column),193)&amp;"|",("|" &amp; SUBSTITUTE(All_Questions_Q5_F_resolved_criteria, ", ", "|") &amp; "|"))),1,0),0))*1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IF(OR(All_Questions_Q4_F_Q="(None)",All_Questions_Q4_F_Q="",ISBLANK(All_Questions_Q4_F_Q),All_Questions_Q4_F_V="(All)",All_Questions_Q4_F_V="",ISBLANK(All_Questions_Q4_F_V)),1,IFERROR(IF(ISNUMBER(SEARCH("|"&amp;INDEX(INDIRECT(All_Questions_Q4_F_resolved_column),194)&amp;"|",("|" &amp; SUBSTITUTE(All_Questions_Q4_F_resolved_criteria, ", ", "|") &amp; "|"))),1,0),0))*1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IF(OR(All_Questions_Q5_F_Q="(None)",All_Questions_Q5_F_Q="",ISBLANK(All_Questions_Q5_F_Q),All_Questions_Q5_F_V="(All)",All_Questions_Q5_F_V="",ISBLANK(All_Questions_Q5_F_V)),1,IFERROR(IF(ISNUMBER(SEARCH("|"&amp;INDEX(INDIRECT(All_Questions_Q5_F_resolved_column),194)&amp;"|",("|" &amp; SUBSTITUTE(All_Questions_Q5_F_resolved_criteria, ", ", "|") &amp; "|"))),1,0),0))*1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IF(OR(All_Questions_Q4_F_Q="(None)",All_Questions_Q4_F_Q="",ISBLANK(All_Questions_Q4_F_Q),All_Questions_Q4_F_V="(All)",All_Questions_Q4_F_V="",ISBLANK(All_Questions_Q4_F_V)),1,IFERROR(IF(ISNUMBER(SEARCH("|"&amp;INDEX(INDIRECT(All_Questions_Q4_F_resolved_column),195)&amp;"|",("|" &amp; SUBSTITUTE(All_Questions_Q4_F_resolved_criteria, ", ", "|") &amp; "|"))),1,0),0))*1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IF(OR(All_Questions_Q5_F_Q="(None)",All_Questions_Q5_F_Q="",ISBLANK(All_Questions_Q5_F_Q),All_Questions_Q5_F_V="(All)",All_Questions_Q5_F_V="",ISBLANK(All_Questions_Q5_F_V)),1,IFERROR(IF(ISNUMBER(SEARCH("|"&amp;INDEX(INDIRECT(All_Questions_Q5_F_resolved_column),195)&amp;"|",("|" &amp; SUBSTITUTE(All_Questions_Q5_F_resolved_criteria, ", ", "|") &amp; "|"))),1,0),0))*1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IF(OR(All_Questions_Q4_F_Q="(None)",All_Questions_Q4_F_Q="",ISBLANK(All_Questions_Q4_F_Q),All_Questions_Q4_F_V="(All)",All_Questions_Q4_F_V="",ISBLANK(All_Questions_Q4_F_V)),1,IFERROR(IF(ISNUMBER(SEARCH("|"&amp;INDEX(INDIRECT(All_Questions_Q4_F_resolved_column),196)&amp;"|",("|" &amp; SUBSTITUTE(All_Questions_Q4_F_resolved_criteria, ", ", "|") &amp; "|"))),1,0),0))*1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IF(OR(All_Questions_Q5_F_Q="(None)",All_Questions_Q5_F_Q="",ISBLANK(All_Questions_Q5_F_Q),All_Questions_Q5_F_V="(All)",All_Questions_Q5_F_V="",ISBLANK(All_Questions_Q5_F_V)),1,IFERROR(IF(ISNUMBER(SEARCH("|"&amp;INDEX(INDIRECT(All_Questions_Q5_F_resolved_column),196)&amp;"|",("|" &amp; SUBSTITUTE(All_Questions_Q5_F_resolved_criteria, ", ", "|") &amp; "|"))),1,0),0))*1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IF(OR(All_Questions_Q4_F_Q="(None)",All_Questions_Q4_F_Q="",ISBLANK(All_Questions_Q4_F_Q),All_Questions_Q4_F_V="(All)",All_Questions_Q4_F_V="",ISBLANK(All_Questions_Q4_F_V)),1,IFERROR(IF(ISNUMBER(SEARCH("|"&amp;INDEX(INDIRECT(All_Questions_Q4_F_resolved_column),197)&amp;"|",("|" &amp; SUBSTITUTE(All_Questions_Q4_F_resolved_criteria, ", ", "|") &amp; "|"))),1,0),0))*1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IF(OR(All_Questions_Q5_F_Q="(None)",All_Questions_Q5_F_Q="",ISBLANK(All_Questions_Q5_F_Q),All_Questions_Q5_F_V="(All)",All_Questions_Q5_F_V="",ISBLANK(All_Questions_Q5_F_V)),1,IFERROR(IF(ISNUMBER(SEARCH("|"&amp;INDEX(INDIRECT(All_Questions_Q5_F_resolved_column),197)&amp;"|",("|" &amp; SUBSTITUTE(All_Questions_Q5_F_resolved_criteria, ", ", "|") &amp; "|"))),1,0),0))*1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IF(OR(All_Questions_Q4_F_Q="(None)",All_Questions_Q4_F_Q="",ISBLANK(All_Questions_Q4_F_Q),All_Questions_Q4_F_V="(All)",All_Questions_Q4_F_V="",ISBLANK(All_Questions_Q4_F_V)),1,IFERROR(IF(ISNUMBER(SEARCH("|"&amp;INDEX(INDIRECT(All_Questions_Q4_F_resolved_column),198)&amp;"|",("|" &amp; SUBSTITUTE(All_Questions_Q4_F_resolved_criteria, ", ", "|") &amp; "|"))),1,0),0))*1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IF(OR(All_Questions_Q5_F_Q="(None)",All_Questions_Q5_F_Q="",ISBLANK(All_Questions_Q5_F_Q),All_Questions_Q5_F_V="(All)",All_Questions_Q5_F_V="",ISBLANK(All_Questions_Q5_F_V)),1,IFERROR(IF(ISNUMBER(SEARCH("|"&amp;INDEX(INDIRECT(All_Questions_Q5_F_resolved_column),198)&amp;"|",("|" &amp; SUBSTITUTE(All_Questions_Q5_F_resolved_criteria, ", ", "|") &amp; "|"))),1,0),0))*1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IF(OR(All_Questions_Q4_F_Q="(None)",All_Questions_Q4_F_Q="",ISBLANK(All_Questions_Q4_F_Q),All_Questions_Q4_F_V="(All)",All_Questions_Q4_F_V="",ISBLANK(All_Questions_Q4_F_V)),1,IFERROR(IF(ISNUMBER(SEARCH("|"&amp;INDEX(INDIRECT(All_Questions_Q4_F_resolved_column),199)&amp;"|",("|" &amp; SUBSTITUTE(All_Questions_Q4_F_resolved_criteria, ", ", "|") &amp; "|"))),1,0),0))*1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IF(OR(All_Questions_Q5_F_Q="(None)",All_Questions_Q5_F_Q="",ISBLANK(All_Questions_Q5_F_Q),All_Questions_Q5_F_V="(All)",All_Questions_Q5_F_V="",ISBLANK(All_Questions_Q5_F_V)),1,IFERROR(IF(ISNUMBER(SEARCH("|"&amp;INDEX(INDIRECT(All_Questions_Q5_F_resolved_column),199)&amp;"|",("|" &amp; SUBSTITUTE(All_Questions_Q5_F_resolved_criteria, ", ", "|") &amp; "|"))),1,0),0))*1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IF(OR(All_Questions_Q4_F_Q="(None)",All_Questions_Q4_F_Q="",ISBLANK(All_Questions_Q4_F_Q),All_Questions_Q4_F_V="(All)",All_Questions_Q4_F_V="",ISBLANK(All_Questions_Q4_F_V)),1,IFERROR(IF(ISNUMBER(SEARCH("|"&amp;INDEX(INDIRECT(All_Questions_Q4_F_resolved_column),200)&amp;"|",("|" &amp; SUBSTITUTE(All_Questions_Q4_F_resolved_criteria, ", ", "|") &amp; "|"))),1,0),0))*1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IF(OR(All_Questions_Q5_F_Q="(None)",All_Questions_Q5_F_Q="",ISBLANK(All_Questions_Q5_F_Q),All_Questions_Q5_F_V="(All)",All_Questions_Q5_F_V="",ISBLANK(All_Questions_Q5_F_V)),1,IFERROR(IF(ISNUMBER(SEARCH("|"&amp;INDEX(INDIRECT(All_Questions_Q5_F_resolved_column),200)&amp;"|",("|" &amp; SUBSTITUTE(All_Questions_Q5_F_resolved_criteria, ", ", "|") &amp; "|"))),1,0),0))*1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IF(OR(All_Questions_Q4_F_Q="(None)",All_Questions_Q4_F_Q="",ISBLANK(All_Questions_Q4_F_Q),All_Questions_Q4_F_V="(All)",All_Questions_Q4_F_V="",ISBLANK(All_Questions_Q4_F_V)),1,IFERROR(IF(ISNUMBER(SEARCH("|"&amp;INDEX(INDIRECT(All_Questions_Q4_F_resolved_column),201)&amp;"|",("|" &amp; SUBSTITUTE(All_Questions_Q4_F_resolved_criteria, ", ", "|") &amp; "|"))),1,0),0))*1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IF(OR(All_Questions_Q5_F_Q="(None)",All_Questions_Q5_F_Q="",ISBLANK(All_Questions_Q5_F_Q),All_Questions_Q5_F_V="(All)",All_Questions_Q5_F_V="",ISBLANK(All_Questions_Q5_F_V)),1,IFERROR(IF(ISNUMBER(SEARCH("|"&amp;INDEX(INDIRECT(All_Questions_Q5_F_resolved_column),201)&amp;"|",("|" &amp; SUBSTITUTE(All_Questions_Q5_F_resolved_criteria, ", ", "|") &amp; "|"))),1,0),0))*1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IF(OR(All_Questions_Q4_F_Q="(None)",All_Questions_Q4_F_Q="",ISBLANK(All_Questions_Q4_F_Q),All_Questions_Q4_F_V="(All)",All_Questions_Q4_F_V="",ISBLANK(All_Questions_Q4_F_V)),1,IFERROR(IF(ISNUMBER(SEARCH("|"&amp;INDEX(INDIRECT(All_Questions_Q4_F_resolved_column),202)&amp;"|",("|" &amp; SUBSTITUTE(All_Questions_Q4_F_resolved_criteria, ", ", "|") &amp; "|"))),1,0),0))*1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IF(OR(All_Questions_Q5_F_Q="(None)",All_Questions_Q5_F_Q="",ISBLANK(All_Questions_Q5_F_Q),All_Questions_Q5_F_V="(All)",All_Questions_Q5_F_V="",ISBLANK(All_Questions_Q5_F_V)),1,IFERROR(IF(ISNUMBER(SEARCH("|"&amp;INDEX(INDIRECT(All_Questions_Q5_F_resolved_column),202)&amp;"|",("|" &amp; SUBSTITUTE(All_Questions_Q5_F_resolved_criteria, ", ", "|") &amp; "|"))),1,0),0))*1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IF(OR(All_Questions_Q4_F_Q="(None)",All_Questions_Q4_F_Q="",ISBLANK(All_Questions_Q4_F_Q),All_Questions_Q4_F_V="(All)",All_Questions_Q4_F_V="",ISBLANK(All_Questions_Q4_F_V)),1,IFERROR(IF(ISNUMBER(SEARCH("|"&amp;INDEX(INDIRECT(All_Questions_Q4_F_resolved_column),203)&amp;"|",("|" &amp; SUBSTITUTE(All_Questions_Q4_F_resolved_criteria, ", ", "|") &amp; "|"))),1,0),0))*1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IF(OR(All_Questions_Q5_F_Q="(None)",All_Questions_Q5_F_Q="",ISBLANK(All_Questions_Q5_F_Q),All_Questions_Q5_F_V="(All)",All_Questions_Q5_F_V="",ISBLANK(All_Questions_Q5_F_V)),1,IFERROR(IF(ISNUMBER(SEARCH("|"&amp;INDEX(INDIRECT(All_Questions_Q5_F_resolved_column),203)&amp;"|",("|" &amp; SUBSTITUTE(All_Questions_Q5_F_resolved_criteria, ", ", "|") &amp; "|"))),1,0),0))*1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IF(OR(All_Questions_Q4_F_Q="(None)",All_Questions_Q4_F_Q="",ISBLANK(All_Questions_Q4_F_Q),All_Questions_Q4_F_V="(All)",All_Questions_Q4_F_V="",ISBLANK(All_Questions_Q4_F_V)),1,IFERROR(IF(ISNUMBER(SEARCH("|"&amp;INDEX(INDIRECT(All_Questions_Q4_F_resolved_column),204)&amp;"|",("|" &amp; SUBSTITUTE(All_Questions_Q4_F_resolved_criteria, ", ", "|") &amp; "|"))),1,0),0))*1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IF(OR(All_Questions_Q5_F_Q="(None)",All_Questions_Q5_F_Q="",ISBLANK(All_Questions_Q5_F_Q),All_Questions_Q5_F_V="(All)",All_Questions_Q5_F_V="",ISBLANK(All_Questions_Q5_F_V)),1,IFERROR(IF(ISNUMBER(SEARCH("|"&amp;INDEX(INDIRECT(All_Questions_Q5_F_resolved_column),204)&amp;"|",("|" &amp; SUBSTITUTE(All_Questions_Q5_F_resolved_criteria, ", ", "|") &amp; "|"))),1,0),0))*1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IF(OR(All_Questions_Q4_F_Q="(None)",All_Questions_Q4_F_Q="",ISBLANK(All_Questions_Q4_F_Q),All_Questions_Q4_F_V="(All)",All_Questions_Q4_F_V="",ISBLANK(All_Questions_Q4_F_V)),1,IFERROR(IF(ISNUMBER(SEARCH("|"&amp;INDEX(INDIRECT(All_Questions_Q4_F_resolved_column),205)&amp;"|",("|" &amp; SUBSTITUTE(All_Questions_Q4_F_resolved_criteria, ", ", "|") &amp; "|"))),1,0),0))*1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IF(OR(All_Questions_Q5_F_Q="(None)",All_Questions_Q5_F_Q="",ISBLANK(All_Questions_Q5_F_Q),All_Questions_Q5_F_V="(All)",All_Questions_Q5_F_V="",ISBLANK(All_Questions_Q5_F_V)),1,IFERROR(IF(ISNUMBER(SEARCH("|"&amp;INDEX(INDIRECT(All_Questions_Q5_F_resolved_column),205)&amp;"|",("|" &amp; SUBSTITUTE(All_Questions_Q5_F_resolved_criteria, ", ", "|") &amp; "|"))),1,0),0))*1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IF(OR(All_Questions_Q4_F_Q="(None)",All_Questions_Q4_F_Q="",ISBLANK(All_Questions_Q4_F_Q),All_Questions_Q4_F_V="(All)",All_Questions_Q4_F_V="",ISBLANK(All_Questions_Q4_F_V)),1,IFERROR(IF(ISNUMBER(SEARCH("|"&amp;INDEX(INDIRECT(All_Questions_Q4_F_resolved_column),206)&amp;"|",("|" &amp; SUBSTITUTE(All_Questions_Q4_F_resolved_criteria, ", ", "|") &amp; "|"))),1,0),0))*1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IF(OR(All_Questions_Q5_F_Q="(None)",All_Questions_Q5_F_Q="",ISBLANK(All_Questions_Q5_F_Q),All_Questions_Q5_F_V="(All)",All_Questions_Q5_F_V="",ISBLANK(All_Questions_Q5_F_V)),1,IFERROR(IF(ISNUMBER(SEARCH("|"&amp;INDEX(INDIRECT(All_Questions_Q5_F_resolved_column),206)&amp;"|",("|" &amp; SUBSTITUTE(All_Questions_Q5_F_resolved_criteria,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  <c r="N1" t="inlineStr">
        <is>
          <t>Cross_Tab_Questions</t>
        </is>
      </c>
      <c r="O1" t="inlineStr">
        <is>
          <t>Cross_Tab_Questions_Data_Names</t>
        </is>
      </c>
      <c r="P1" t="inlineStr">
        <is>
          <t>Cross_Tab_Questions_Options_Names</t>
        </is>
      </c>
      <c r="Q1" t="inlineStr">
        <is>
          <t>Q4_filter_values_options</t>
        </is>
      </c>
      <c r="R1" t="inlineStr">
        <is>
          <t>Q4_filter_values_local_options</t>
        </is>
      </c>
      <c r="S1" t="inlineStr">
        <is>
          <t>Q5_filter_values_options</t>
        </is>
      </c>
      <c r="T1" t="inlineStr">
        <is>
          <t>Q5_filter_values_local_options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(None)</t>
        </is>
      </c>
      <c r="O2" t="inlineStr">
        <is>
          <t>'_RawData'!$A$2:$A$207</t>
        </is>
      </c>
      <c r="P2" t="inlineStr">
        <is>
          <t>'_Options'!$E$2:$E$2</t>
        </is>
      </c>
      <c r="Q2" t="inlineStr">
        <is>
          <t>(All)</t>
        </is>
      </c>
      <c r="R2" t="inlineStr">
        <is>
          <t>(Inherit)</t>
        </is>
      </c>
      <c r="S2" t="inlineStr">
        <is>
          <t>(All)</t>
        </is>
      </c>
      <c r="T2" t="inlineStr">
        <is>
          <t>(Inherit)</t>
        </is>
      </c>
      <c r="V2" t="inlineStr">
        <is>
          <t>Q4 - Business Needs|Revenue intelligence</t>
        </is>
      </c>
      <c r="W2" t="inlineStr">
        <is>
          <t>'_RawData'!$B$2:$B$207</t>
        </is>
      </c>
      <c r="X2" t="inlineStr">
        <is>
          <t>Selected</t>
        </is>
      </c>
    </row>
    <row r="3">
      <c r="A3" t="inlineStr">
        <is>
          <t>Q4 - Business Needs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'_Options'!$Q$2:$Q$4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Q3" t="inlineStr">
        <is>
          <t>Revenue intelligence</t>
        </is>
      </c>
      <c r="R3" t="inlineStr">
        <is>
          <t>(All)</t>
        </is>
      </c>
      <c r="S3" t="inlineStr">
        <is>
          <t>Cost pressure</t>
        </is>
      </c>
      <c r="T3" t="inlineStr">
        <is>
          <t>(All)</t>
        </is>
      </c>
      <c r="V3" t="inlineStr">
        <is>
          <t>Q4 - Business Needs|Other business need</t>
        </is>
      </c>
      <c r="W3" t="inlineStr">
        <is>
          <t>'_RawData'!$C$2:$C$207</t>
        </is>
      </c>
      <c r="X3" t="inlineStr">
        <is>
          <t>Selected</t>
        </is>
      </c>
    </row>
    <row r="4">
      <c r="A4" t="inlineStr">
        <is>
          <t>Q5 - Pressures</t>
        </is>
      </c>
      <c r="B4" t="inlineStr">
        <is>
          <t>Q4 - Business Needs</t>
        </is>
      </c>
      <c r="C4" t="inlineStr">
        <is>
          <t>'_RawData'!$D$2:$D$207</t>
        </is>
      </c>
      <c r="D4" t="inlineStr">
        <is>
          <t>'_Options'!$S$2:$S$4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  <c r="Q4" t="inlineStr">
        <is>
          <t>Other business need</t>
        </is>
      </c>
      <c r="R4" t="inlineStr">
        <is>
          <t>Revenue intelligence</t>
        </is>
      </c>
      <c r="S4" t="inlineStr">
        <is>
          <t>Other pressure</t>
        </is>
      </c>
      <c r="T4" t="inlineStr">
        <is>
          <t>Cost pressure</t>
        </is>
      </c>
      <c r="V4" t="inlineStr">
        <is>
          <t>Q5 - Pressures|Cost pressure</t>
        </is>
      </c>
      <c r="W4" t="inlineStr">
        <is>
          <t>'_RawData'!$D$2:$D$207</t>
        </is>
      </c>
      <c r="X4" t="inlineStr">
        <is>
          <t>Selected</t>
        </is>
      </c>
    </row>
    <row r="5">
      <c r="B5" t="inlineStr">
        <is>
          <t>Q5 - Pressures</t>
        </is>
      </c>
      <c r="R5" t="inlineStr">
        <is>
          <t>Other business need</t>
        </is>
      </c>
      <c r="T5" t="inlineStr">
        <is>
          <t>Other pressure</t>
        </is>
      </c>
      <c r="V5" t="inlineStr">
        <is>
          <t>Q5 - Pressures|Other pressure</t>
        </is>
      </c>
      <c r="W5" t="inlineStr">
        <is>
          <t>'_RawData'!$E$2:$E$207</t>
        </is>
      </c>
      <c r="X5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IFERROR(INDEX(All_Questions_Value_Data_Names,MATCH(All_Questions_Q4_F_Q&amp;"|"&amp;All_Questions_Q4_F_V,All_Questions_Value_Keys,0)),IFERROR(INDEX(All_Questions_Data_Names,MATCH(All_Questions_Q4_F_Q,All_Questions,0)),"'_RawData'!$A:$A"))</f>
        <v>respondent_id_data</v>
      </c>
      <c r="G13" t="str">
        <f>"|" &amp; SUBSTITUTE(All_Questions_Q4_F_V, ", ", "|") &amp; "|"</f>
        <v>|(All)|</v>
      </c>
      <c r="H13" t="str">
        <f>IFERROR(INDEX(All_Questions_Value_Criteria,MATCH(All_Questions_Q4_F_Q&amp;"|"&amp;All_Questions_Q4_F_V,All_Questions_Value_Keys,0)),All_Questions_Q4_F_V)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</row>
    <row r="20">
      <c r="A20" s="4" t="inlineStr">
        <is>
          <t>Total responses</t>
        </is>
      </c>
      <c r="B20" s="4" t="n">
        <v>224</v>
      </c>
      <c r="C20" s="4" t="n"/>
      <c r="D20" s="4" t="n"/>
    </row>
    <row r="21"/>
    <row r="22">
      <c r="A22" s="4" t="inlineStr">
        <is>
          <t>Option</t>
        </is>
      </c>
      <c r="B22" s="2" t="str">
        <f>IF(All_Questions_Q4_CT="(None)","",IFERROR(INDEX(INDIRECT(IFERROR(INDEX(Cross_Tab_Questions_Options_Names,MATCH(All_Questions_Q4_CT,Cross_Tab_Questions,0)),"'_Options'!$E$2:$E$2")),2),""))</f>
        <v/>
      </c>
      <c r="C22" s="2" t="str">
        <f>IF(All_Questions_Q4_CT="(None)","",IFERROR(INDEX(INDIRECT(IFERROR(INDEX(Cross_Tab_Questions_Options_Names,MATCH(All_Questions_Q4_CT,Cross_Tab_Questions,0)),"'_Options'!$E$2:$E$2")),3),""))</f>
        <v/>
      </c>
      <c r="D22" s="2" t="str">
        <f>IF(All_Questions_Q4_CT="(None)","",IFERROR(INDEX(INDIRECT(IFERROR(INDEX(Cross_Tab_Questions_Options_Names,MATCH(All_Questions_Q4_CT,Cross_Tab_Questions,0)),"'_Options'!$E$2:$E$2")),4),""))</f>
        <v/>
      </c>
      <c r="E22" s="2" t="str">
        <f>IF(All_Questions_Q4_CT="(None)","",IFERROR(INDEX(INDIRECT(IFERROR(INDEX(Cross_Tab_Questions_Options_Names,MATCH(All_Questions_Q4_CT,Cross_Tab_Questions,0)),"'_Options'!$E$2:$E$2")),5),""))</f>
        <v/>
      </c>
      <c r="F22" s="2" t="str">
        <f>IF(All_Questions_Q4_CT="(None)","",IFERROR(INDEX(INDIRECT(IFERROR(INDEX(Cross_Tab_Questions_Options_Names,MATCH(All_Questions_Q4_CT,Cross_Tab_Questions,0)),"'_Options'!$E$2:$E$2")),6),""))</f>
        <v/>
      </c>
      <c r="G22" s="2" t="str">
        <f>IF(All_Questions_Q4_CT="(None)","",IFERROR(INDEX(INDIRECT(IFERROR(INDEX(Cross_Tab_Questions_Options_Names,MATCH(All_Questions_Q4_CT,Cross_Tab_Questions,0)),"'_Options'!$E$2:$E$2")),7),""))</f>
        <v/>
      </c>
      <c r="H22" s="2" t="str">
        <f>IF(All_Questions_Q4_CT="(None)","",IFERROR(INDEX(INDIRECT(IFERROR(INDEX(Cross_Tab_Questions_Options_Names,MATCH(All_Questions_Q4_CT,Cross_Tab_Questions,0)),"'_Options'!$E$2:$E$2")),8),""))</f>
        <v/>
      </c>
      <c r="I22" s="2" t="str">
        <f>IF(All_Questions_Q4_CT="(None)","",IFERROR(INDEX(INDIRECT(IFERROR(INDEX(Cross_Tab_Questions_Options_Names,MATCH(All_Questions_Q4_CT,Cross_Tab_Questions,0)),"'_Options'!$E$2:$E$2")),9),""))</f>
        <v/>
      </c>
      <c r="J22" s="2" t="str">
        <f>IF(All_Questions_Q4_CT="(None)","",IFERROR(INDEX(INDIRECT(IFERROR(INDEX(Cross_Tab_Questions_Options_Names,MATCH(All_Questions_Q4_CT,Cross_Tab_Questions,0)),"'_Options'!$E$2:$E$2")),10),""))</f>
        <v/>
      </c>
      <c r="K22" s="2" t="str">
        <f>IF(All_Questions_Q4_CT="(None)","",IFERROR(INDEX(INDIRECT(IFERROR(INDEX(Cross_Tab_Questions_Options_Names,MATCH(All_Questions_Q4_CT,Cross_Tab_Questions,0)),"'_Options'!$E$2:$E$2")),11),""))</f>
        <v/>
      </c>
      <c r="L22" s="2" t="str">
        <f>IF(All_Questions_Q4_CT="(None)","",IFERROR(INDEX(INDIRECT(IFERROR(INDEX(Cross_Tab_Questions_Options_Names,MATCH(All_Questions_Q4_CT,Cross_Tab_Questions,0)),"'_Options'!$E$2:$E$2")),12),""))</f>
        <v/>
      </c>
      <c r="M22" s="2" t="str">
        <f>IF(All_Questions_Q4_CT="(None)","",IF(COUNTA(INDIRECT(IFERROR(INDEX(Cross_Tab_Questions_Options_Names,MATCH(All_Questions_Q4_CT,Cross_Tab_Questions,0)),"'_Options'!$E$2:$E$2")))-1&gt;11,"Other",IFERROR(INDEX(INDIRECT(IFERROR(INDEX(Cross_Tab_Questions_Options_Names,MATCH(All_Questions_Q4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% selected</t>
        </is>
      </c>
      <c r="C23" s="4" t="inlineStr">
        <is>
          <t>% selected</t>
        </is>
      </c>
      <c r="D23" s="4" t="inlineStr">
        <is>
          <t>% selected</t>
        </is>
      </c>
      <c r="E23" s="4" t="inlineStr">
        <is>
          <t>% selected</t>
        </is>
      </c>
      <c r="F23" s="4" t="inlineStr">
        <is>
          <t>% selected</t>
        </is>
      </c>
      <c r="G23" s="4" t="inlineStr">
        <is>
          <t>% selected</t>
        </is>
      </c>
      <c r="H23" s="4" t="inlineStr">
        <is>
          <t>% selected</t>
        </is>
      </c>
      <c r="I23" s="4" t="inlineStr">
        <is>
          <t>% selected</t>
        </is>
      </c>
      <c r="J23" s="4" t="inlineStr">
        <is>
          <t>% selected</t>
        </is>
      </c>
      <c r="K23" s="4" t="inlineStr">
        <is>
          <t>% selected</t>
        </is>
      </c>
      <c r="L23" s="4" t="inlineStr">
        <is>
          <t>% selected</t>
        </is>
      </c>
      <c r="M23" s="4" t="inlineStr">
        <is>
          <t>% selected</t>
        </is>
      </c>
      <c r="N23" s="4" t="inlineStr">
        <is>
          <t>% selected</t>
        </is>
      </c>
    </row>
    <row r="24">
      <c r="A24" t="inlineStr">
        <is>
          <t>Revenue intelligence</t>
        </is>
      </c>
      <c r="B24" s="7">
        <f>IF(OR(All_Questions_Q4_CT="(None)",B$22=""),"",IF(B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0.6844660194174758</v>
      </c>
      <c r="C24" s="7">
        <f>IF(OR(All_Questions_Q4_CT="(None)",C$22=""),"",IF(C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0.6844660194174758</v>
      </c>
      <c r="D24" s="7">
        <f>IF(OR(All_Questions_Q4_CT="(None)",D$22=""),"",IF(D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0.6844660194174758</v>
      </c>
      <c r="E24" s="7">
        <f>IF(OR(All_Questions_Q4_CT="(None)",E$22=""),"",IF(E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0.6844660194174758</v>
      </c>
      <c r="F24" s="7">
        <f>IF(OR(All_Questions_Q4_CT="(None)",F$22=""),"",IF(F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0.6844660194174758</v>
      </c>
      <c r="G24" s="7">
        <f>IF(OR(All_Questions_Q4_CT="(None)",G$22=""),"",IF(G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0.6844660194174758</v>
      </c>
      <c r="H24" s="7">
        <f>IF(OR(All_Questions_Q4_CT="(None)",H$22=""),"",IF(H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0.6844660194174758</v>
      </c>
      <c r="I24" s="7">
        <f>IF(OR(All_Questions_Q4_CT="(None)",I$22=""),"",IF(I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0.6844660194174758</v>
      </c>
      <c r="J24" s="7">
        <f>IF(OR(All_Questions_Q4_CT="(None)",J$22=""),"",IF(J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0.6844660194174758</v>
      </c>
      <c r="K24" s="7">
        <f>IF(OR(All_Questions_Q4_CT="(None)",K$22=""),"",IF(K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0.6844660194174758</v>
      </c>
      <c r="L24" s="7">
        <f>IF(OR(All_Questions_Q4_CT="(None)",L$22=""),"",IF(L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0.6844660194174758</v>
      </c>
      <c r="M24" s="7">
        <f>IF(OR(All_Questions_Q4_CT="(None)",M$22=""),"",IF(M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0.6844660194174758</v>
      </c>
      <c r="N24" s="7">
        <f>IF(All_Questions_Q4_CT="(None)","",IFERROR(COUNTIFS(Q4r1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0.6844660194174758</v>
      </c>
    </row>
    <row r="25">
      <c r="A25" t="inlineStr">
        <is>
          <t>Other business need</t>
        </is>
      </c>
      <c r="B25" s="7">
        <f>IF(OR(All_Questions_Q4_CT="(None)",B$22=""),"",IF(B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0.4029126213592233</v>
      </c>
      <c r="C25" s="7">
        <f>IF(OR(All_Questions_Q4_CT="(None)",C$22=""),"",IF(C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0.4029126213592233</v>
      </c>
      <c r="D25" s="7">
        <f>IF(OR(All_Questions_Q4_CT="(None)",D$22=""),"",IF(D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0.4029126213592233</v>
      </c>
      <c r="E25" s="7">
        <f>IF(OR(All_Questions_Q4_CT="(None)",E$22=""),"",IF(E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0.4029126213592233</v>
      </c>
      <c r="F25" s="7">
        <f>IF(OR(All_Questions_Q4_CT="(None)",F$22=""),"",IF(F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0.4029126213592233</v>
      </c>
      <c r="G25" s="7">
        <f>IF(OR(All_Questions_Q4_CT="(None)",G$22=""),"",IF(G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0.4029126213592233</v>
      </c>
      <c r="H25" s="7">
        <f>IF(OR(All_Questions_Q4_CT="(None)",H$22=""),"",IF(H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0.4029126213592233</v>
      </c>
      <c r="I25" s="7">
        <f>IF(OR(All_Questions_Q4_CT="(None)",I$22=""),"",IF(I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0.4029126213592233</v>
      </c>
      <c r="J25" s="7">
        <f>IF(OR(All_Questions_Q4_CT="(None)",J$22=""),"",IF(J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0.4029126213592233</v>
      </c>
      <c r="K25" s="7">
        <f>IF(OR(All_Questions_Q4_CT="(None)",K$22=""),"",IF(K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0.4029126213592233</v>
      </c>
      <c r="L25" s="7">
        <f>IF(OR(All_Questions_Q4_CT="(None)",L$22=""),"",IF(L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0.4029126213592233</v>
      </c>
      <c r="M25" s="7">
        <f>IF(OR(All_Questions_Q4_CT="(None)",M$22=""),"",IF(M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0.4029126213592233</v>
      </c>
      <c r="N25" s="7">
        <f>IF(All_Questions_Q4_CT="(None)","",IFERROR(COUNTIFS(Q4r2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0.4029126213592233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Q5 - Pressures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IFERROR(INDEX(All_Questions_Value_Data_Names,MATCH(All_Questions_Q5_F_Q&amp;"|"&amp;All_Questions_Q5_F_V,All_Questions_Value_Keys,0)),IFERROR(INDEX(All_Questions_Data_Names,MATCH(All_Questions_Q5_F_Q,All_Questions,0)),"'_RawData'!$A:$A"))</f>
        <v>respondent_id_data</v>
      </c>
      <c r="G30" t="str">
        <f>"|" &amp; SUBSTITUTE(All_Questions_Q5_F_V, ", ", "|") &amp; "|"</f>
        <v>|(All)|</v>
      </c>
      <c r="H30" t="str">
        <f>IFERROR(INDEX(All_Questions_Value_Criteria,MATCH(All_Questions_Q5_F_Q&amp;"|"&amp;All_Questions_Q5_F_V,All_Questions_Value_Keys,0)),All_Questions_Q5_F_V)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Option</t>
        </is>
      </c>
      <c r="B33" s="4" t="inlineStr">
        <is>
          <t>Count</t>
        </is>
      </c>
      <c r="C33" s="4" t="inlineStr">
        <is>
          <t>%</t>
        </is>
      </c>
      <c r="D33" s="4" t="inlineStr">
        <is>
          <t>Denominator</t>
        </is>
      </c>
    </row>
    <row r="34">
      <c r="A34" t="inlineStr">
        <is>
          <t>Cost pressure</t>
        </is>
      </c>
      <c r="B34">
        <f>COUNTIFS(Q5r1_data,"Selected",passes_workbook_filters_data,1,passes_workbook_custom_filters_data,1,All_Questions_passes_local_filters_data,1,All_Questions_Q5_F_passes_per_q_filter_data,1)</f>
        <v>119</v>
      </c>
      <c r="C34" s="7">
        <f>IFERROR(B34/SUMPRODUCT(--((--(Q5r1_data&lt;&gt;"")+--(Q5r2_data&lt;&gt;""))&gt;0),--(passes_workbook_filters_data=1),--(passes_workbook_custom_filters_data=1),--(All_Questions_passes_local_filters_data=1),--(All_Questions_Q5_F_passes_per_q_filter_data=1)),0)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34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</row>
    <row r="35">
      <c r="A35" t="inlineStr">
        <is>
          <t>Other pressure</t>
        </is>
      </c>
      <c r="B35">
        <f>COUNTIFS(Q5r2_data,"Selected",passes_workbook_filters_data,1,passes_workbook_custom_filters_data,1,All_Questions_passes_local_filters_data,1,All_Questions_Q5_F_passes_per_q_filter_data,1)</f>
        <v>77</v>
      </c>
      <c r="C35" s="7">
        <f>IFERROR(B35/SUMPRODUCT(--((--(Q5r1_data&lt;&gt;"")+--(Q5r2_data&lt;&gt;""))&gt;0),--(passes_workbook_filters_data=1),--(passes_workbook_custom_filters_data=1),--(All_Questions_passes_local_filters_data=1),--(All_Questions_Q5_F_passes_per_q_filter_data=1)),0)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35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</row>
    <row r="36">
      <c r="A36" s="15" t="inlineStr">
        <is>
          <t>Total respondents</t>
        </is>
      </c>
      <c r="B36" s="15" t="n">
        <v>196</v>
      </c>
      <c r="C36" s="15" t="n"/>
      <c r="D36" s="15" t="n"/>
    </row>
    <row r="37">
      <c r="A37" s="4" t="inlineStr">
        <is>
          <t>Total responses</t>
        </is>
      </c>
      <c r="B37" s="4" t="n">
        <v>196</v>
      </c>
      <c r="C37" s="4" t="n"/>
      <c r="D37" s="4" t="n"/>
    </row>
    <row r="38"/>
    <row r="39">
      <c r="A39" s="4" t="inlineStr">
        <is>
          <t>Option</t>
        </is>
      </c>
      <c r="B39" s="2" t="str">
        <f>IF(All_Questions_Q5_CT="(None)","",IFERROR(INDEX(INDIRECT(IFERROR(INDEX(Cross_Tab_Questions_Options_Names,MATCH(All_Questions_Q5_CT,Cross_Tab_Questions,0)),"'_Options'!$E$2:$E$2")),2),""))</f>
        <v/>
      </c>
      <c r="C39" s="2" t="str">
        <f>IF(All_Questions_Q5_CT="(None)","",IFERROR(INDEX(INDIRECT(IFERROR(INDEX(Cross_Tab_Questions_Options_Names,MATCH(All_Questions_Q5_CT,Cross_Tab_Questions,0)),"'_Options'!$E$2:$E$2")),3),""))</f>
        <v/>
      </c>
      <c r="D39" s="2" t="str">
        <f>IF(All_Questions_Q5_CT="(None)","",IFERROR(INDEX(INDIRECT(IFERROR(INDEX(Cross_Tab_Questions_Options_Names,MATCH(All_Questions_Q5_CT,Cross_Tab_Questions,0)),"'_Options'!$E$2:$E$2")),4),""))</f>
        <v/>
      </c>
      <c r="E39" s="2" t="str">
        <f>IF(All_Questions_Q5_CT="(None)","",IFERROR(INDEX(INDIRECT(IFERROR(INDEX(Cross_Tab_Questions_Options_Names,MATCH(All_Questions_Q5_CT,Cross_Tab_Questions,0)),"'_Options'!$E$2:$E$2")),5),""))</f>
        <v/>
      </c>
      <c r="F39" s="2" t="str">
        <f>IF(All_Questions_Q5_CT="(None)","",IFERROR(INDEX(INDIRECT(IFERROR(INDEX(Cross_Tab_Questions_Options_Names,MATCH(All_Questions_Q5_CT,Cross_Tab_Questions,0)),"'_Options'!$E$2:$E$2")),6),""))</f>
        <v/>
      </c>
      <c r="G39" s="2" t="str">
        <f>IF(All_Questions_Q5_CT="(None)","",IFERROR(INDEX(INDIRECT(IFERROR(INDEX(Cross_Tab_Questions_Options_Names,MATCH(All_Questions_Q5_CT,Cross_Tab_Questions,0)),"'_Options'!$E$2:$E$2")),7),""))</f>
        <v/>
      </c>
      <c r="H39" s="2" t="str">
        <f>IF(All_Questions_Q5_CT="(None)","",IFERROR(INDEX(INDIRECT(IFERROR(INDEX(Cross_Tab_Questions_Options_Names,MATCH(All_Questions_Q5_CT,Cross_Tab_Questions,0)),"'_Options'!$E$2:$E$2")),8),""))</f>
        <v/>
      </c>
      <c r="I39" s="2" t="str">
        <f>IF(All_Questions_Q5_CT="(None)","",IFERROR(INDEX(INDIRECT(IFERROR(INDEX(Cross_Tab_Questions_Options_Names,MATCH(All_Questions_Q5_CT,Cross_Tab_Questions,0)),"'_Options'!$E$2:$E$2")),9),""))</f>
        <v/>
      </c>
      <c r="J39" s="2" t="str">
        <f>IF(All_Questions_Q5_CT="(None)","",IFERROR(INDEX(INDIRECT(IFERROR(INDEX(Cross_Tab_Questions_Options_Names,MATCH(All_Questions_Q5_CT,Cross_Tab_Questions,0)),"'_Options'!$E$2:$E$2")),10),""))</f>
        <v/>
      </c>
      <c r="K39" s="2" t="str">
        <f>IF(All_Questions_Q5_CT="(None)","",IFERROR(INDEX(INDIRECT(IFERROR(INDEX(Cross_Tab_Questions_Options_Names,MATCH(All_Questions_Q5_CT,Cross_Tab_Questions,0)),"'_Options'!$E$2:$E$2")),11),""))</f>
        <v/>
      </c>
      <c r="L39" s="2" t="str">
        <f>IF(All_Questions_Q5_CT="(None)","",IFERROR(INDEX(INDIRECT(IFERROR(INDEX(Cross_Tab_Questions_Options_Names,MATCH(All_Questions_Q5_CT,Cross_Tab_Questions,0)),"'_Options'!$E$2:$E$2")),12),""))</f>
        <v/>
      </c>
      <c r="M39" s="2" t="str">
        <f>IF(All_Questions_Q5_CT="(None)","",IF(COUNTA(INDIRECT(IFERROR(INDEX(Cross_Tab_Questions_Options_Names,MATCH(All_Questions_Q5_CT,Cross_Tab_Questions,0)),"'_Options'!$E$2:$E$2")))-1&gt;11,"Other",IFERROR(INDEX(INDIRECT(IFERROR(INDEX(Cross_Tab_Questions_Options_Names,MATCH(All_Questions_Q5_CT,Cross_Tab_Questions,0)),"'_Options'!$E$2:$E$2")),13),"")))</f>
        <v/>
      </c>
      <c r="N39" s="4" t="inlineStr">
        <is>
          <t>Total</t>
        </is>
      </c>
    </row>
    <row r="40">
      <c r="A40" s="4" t="inlineStr"/>
      <c r="B40" s="4" t="inlineStr">
        <is>
          <t>% selected</t>
        </is>
      </c>
      <c r="C40" s="4" t="inlineStr">
        <is>
          <t>% selected</t>
        </is>
      </c>
      <c r="D40" s="4" t="inlineStr">
        <is>
          <t>% selected</t>
        </is>
      </c>
      <c r="E40" s="4" t="inlineStr">
        <is>
          <t>% selected</t>
        </is>
      </c>
      <c r="F40" s="4" t="inlineStr">
        <is>
          <t>% selected</t>
        </is>
      </c>
      <c r="G40" s="4" t="inlineStr">
        <is>
          <t>% selected</t>
        </is>
      </c>
      <c r="H40" s="4" t="inlineStr">
        <is>
          <t>% selected</t>
        </is>
      </c>
      <c r="I40" s="4" t="inlineStr">
        <is>
          <t>% selected</t>
        </is>
      </c>
      <c r="J40" s="4" t="inlineStr">
        <is>
          <t>% selected</t>
        </is>
      </c>
      <c r="K40" s="4" t="inlineStr">
        <is>
          <t>% selected</t>
        </is>
      </c>
      <c r="L40" s="4" t="inlineStr">
        <is>
          <t>% selected</t>
        </is>
      </c>
      <c r="M40" s="4" t="inlineStr">
        <is>
          <t>% selected</t>
        </is>
      </c>
      <c r="N40" s="4" t="inlineStr">
        <is>
          <t>% selected</t>
        </is>
      </c>
    </row>
    <row r="41">
      <c r="A41" t="inlineStr">
        <is>
          <t>Cost pressure</t>
        </is>
      </c>
      <c r="B41" s="7">
        <f>IF(OR(All_Questions_Q5_CT="(None)",B$39=""),"",IF(B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0.6071428571428571</v>
      </c>
      <c r="C41" s="7">
        <f>IF(OR(All_Questions_Q5_CT="(None)",C$39=""),"",IF(C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0.6071428571428571</v>
      </c>
      <c r="D41" s="7">
        <f>IF(OR(All_Questions_Q5_CT="(None)",D$39=""),"",IF(D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0.6071428571428571</v>
      </c>
      <c r="E41" s="7">
        <f>IF(OR(All_Questions_Q5_CT="(None)",E$39=""),"",IF(E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0.6071428571428571</v>
      </c>
      <c r="F41" s="7">
        <f>IF(OR(All_Questions_Q5_CT="(None)",F$39=""),"",IF(F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0.6071428571428571</v>
      </c>
      <c r="G41" s="7">
        <f>IF(OR(All_Questions_Q5_CT="(None)",G$39=""),"",IF(G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0.6071428571428571</v>
      </c>
      <c r="H41" s="7">
        <f>IF(OR(All_Questions_Q5_CT="(None)",H$39=""),"",IF(H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0.6071428571428571</v>
      </c>
      <c r="I41" s="7">
        <f>IF(OR(All_Questions_Q5_CT="(None)",I$39=""),"",IF(I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0.6071428571428571</v>
      </c>
      <c r="J41" s="7">
        <f>IF(OR(All_Questions_Q5_CT="(None)",J$39=""),"",IF(J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0.6071428571428571</v>
      </c>
      <c r="K41" s="7">
        <f>IF(OR(All_Questions_Q5_CT="(None)",K$39=""),"",IF(K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0.6071428571428571</v>
      </c>
      <c r="L41" s="7">
        <f>IF(OR(All_Questions_Q5_CT="(None)",L$39=""),"",IF(L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0.6071428571428571</v>
      </c>
      <c r="M41" s="7">
        <f>IF(OR(All_Questions_Q5_CT="(None)",M$39=""),"",IF(M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0.6071428571428571</v>
      </c>
      <c r="N41" s="7">
        <f>IF(All_Questions_Q5_CT="(None)","",IFERROR(COUNTIFS(Q5r1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0.6071428571428571</v>
      </c>
    </row>
    <row r="42">
      <c r="A42" t="inlineStr">
        <is>
          <t>Other pressure</t>
        </is>
      </c>
      <c r="B42" s="7">
        <f>IF(OR(All_Questions_Q5_CT="(None)",B$39=""),"",IF(B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0.39285714285714285</v>
      </c>
      <c r="C42" s="7">
        <f>IF(OR(All_Questions_Q5_CT="(None)",C$39=""),"",IF(C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0.39285714285714285</v>
      </c>
      <c r="D42" s="7">
        <f>IF(OR(All_Questions_Q5_CT="(None)",D$39=""),"",IF(D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0.39285714285714285</v>
      </c>
      <c r="E42" s="7">
        <f>IF(OR(All_Questions_Q5_CT="(None)",E$39=""),"",IF(E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0.39285714285714285</v>
      </c>
      <c r="F42" s="7">
        <f>IF(OR(All_Questions_Q5_CT="(None)",F$39=""),"",IF(F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0.39285714285714285</v>
      </c>
      <c r="G42" s="7">
        <f>IF(OR(All_Questions_Q5_CT="(None)",G$39=""),"",IF(G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0.39285714285714285</v>
      </c>
      <c r="H42" s="7">
        <f>IF(OR(All_Questions_Q5_CT="(None)",H$39=""),"",IF(H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0.39285714285714285</v>
      </c>
      <c r="I42" s="7">
        <f>IF(OR(All_Questions_Q5_CT="(None)",I$39=""),"",IF(I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0.39285714285714285</v>
      </c>
      <c r="J42" s="7">
        <f>IF(OR(All_Questions_Q5_CT="(None)",J$39=""),"",IF(J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0.39285714285714285</v>
      </c>
      <c r="K42" s="7">
        <f>IF(OR(All_Questions_Q5_CT="(None)",K$39=""),"",IF(K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0.39285714285714285</v>
      </c>
      <c r="L42" s="7">
        <f>IF(OR(All_Questions_Q5_CT="(None)",L$39=""),"",IF(L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0.39285714285714285</v>
      </c>
      <c r="M42" s="7">
        <f>IF(OR(All_Questions_Q5_CT="(None)",M$39=""),"",IF(M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0.39285714285714285</v>
      </c>
      <c r="N42" s="7">
        <f>IF(All_Questions_Q5_CT="(None)","",IFERROR(COUNTIFS(Q5r2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0.39285714285714285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4:B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4:C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1:D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1:E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1:F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3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2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Q4</t>
        </is>
      </c>
      <c r="D2" t="inlineStr">
        <is>
          <t>Q4r1</t>
        </is>
      </c>
      <c r="E2" t="inlineStr">
        <is>
          <t>All_Questions_Q4_CT = B$22</t>
        </is>
      </c>
      <c r="H2">
        <f>IF(OR(All_Questions_Q4_CT="(None)",B$22=""),"",IF(B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</v>
      </c>
      <c r="I2" t="n">
        <v>0.6844660194174758</v>
      </c>
      <c r="J2" t="n">
        <v>0</v>
      </c>
      <c r="K2" t="n">
        <v>0</v>
      </c>
      <c r="L2" t="inlineStr">
        <is>
          <t>2026-06-09T11:19:24.080982+00:00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Q4</t>
        </is>
      </c>
      <c r="D3" t="inlineStr">
        <is>
          <t>Q4r1</t>
        </is>
      </c>
      <c r="E3" t="inlineStr">
        <is>
          <t>All_Questions_Q4_CT = C$22</t>
        </is>
      </c>
      <c r="H3">
        <f>IF(OR(All_Questions_Q4_CT="(None)",C$22=""),"",IF(C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</v>
      </c>
      <c r="I3" t="n">
        <v>0.6844660194174758</v>
      </c>
      <c r="J3" t="n">
        <v>0</v>
      </c>
      <c r="K3" t="n">
        <v>0</v>
      </c>
      <c r="L3" t="inlineStr">
        <is>
          <t>2026-06-09T11:19:24.081294+00:00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Q4</t>
        </is>
      </c>
      <c r="D4" t="inlineStr">
        <is>
          <t>Q4r1</t>
        </is>
      </c>
      <c r="E4" t="inlineStr">
        <is>
          <t>All_Questions_Q4_CT = D$22</t>
        </is>
      </c>
      <c r="H4">
        <f>IF(OR(All_Questions_Q4_CT="(None)",D$22=""),"",IF(D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</v>
      </c>
      <c r="I4" t="n">
        <v>0.6844660194174758</v>
      </c>
      <c r="J4" t="n">
        <v>0</v>
      </c>
      <c r="K4" t="n">
        <v>0</v>
      </c>
      <c r="L4" t="inlineStr">
        <is>
          <t>2026-06-09T11:19:24.081563+00:00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Q4</t>
        </is>
      </c>
      <c r="D5" t="inlineStr">
        <is>
          <t>Q4r1</t>
        </is>
      </c>
      <c r="E5" t="inlineStr">
        <is>
          <t>All_Questions_Q4_CT = E$22</t>
        </is>
      </c>
      <c r="H5">
        <f>IF(OR(All_Questions_Q4_CT="(None)",E$22=""),"",IF(E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</v>
      </c>
      <c r="I5" t="n">
        <v>0.6844660194174758</v>
      </c>
      <c r="J5" t="n">
        <v>0</v>
      </c>
      <c r="K5" t="n">
        <v>0</v>
      </c>
      <c r="L5" t="inlineStr">
        <is>
          <t>2026-06-09T11:19:24.081830+00:00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Q4</t>
        </is>
      </c>
      <c r="D6" t="inlineStr">
        <is>
          <t>Q4r1</t>
        </is>
      </c>
      <c r="E6" t="inlineStr">
        <is>
          <t>All_Questions_Q4_CT = F$22</t>
        </is>
      </c>
      <c r="H6">
        <f>IF(OR(All_Questions_Q4_CT="(None)",F$22=""),"",IF(F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</v>
      </c>
      <c r="I6" t="n">
        <v>0.6844660194174758</v>
      </c>
      <c r="J6" t="n">
        <v>0</v>
      </c>
      <c r="K6" t="n">
        <v>0</v>
      </c>
      <c r="L6" t="inlineStr">
        <is>
          <t>2026-06-09T11:19:24.082142+00:00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Q4</t>
        </is>
      </c>
      <c r="D7" t="inlineStr">
        <is>
          <t>Q4r1</t>
        </is>
      </c>
      <c r="E7" t="inlineStr">
        <is>
          <t>All_Questions_Q4_CT = G$22</t>
        </is>
      </c>
      <c r="H7">
        <f>IF(OR(All_Questions_Q4_CT="(None)",G$22=""),"",IF(G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</v>
      </c>
      <c r="I7" t="n">
        <v>0.6844660194174758</v>
      </c>
      <c r="J7" t="n">
        <v>0</v>
      </c>
      <c r="K7" t="n">
        <v>0</v>
      </c>
      <c r="L7" t="inlineStr">
        <is>
          <t>2026-06-09T11:19:24.082404+00:00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Q4</t>
        </is>
      </c>
      <c r="D8" t="inlineStr">
        <is>
          <t>Q4r1</t>
        </is>
      </c>
      <c r="E8" t="inlineStr">
        <is>
          <t>All_Questions_Q4_CT = H$22</t>
        </is>
      </c>
      <c r="H8">
        <f>IF(OR(All_Questions_Q4_CT="(None)",H$22=""),"",IF(H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</v>
      </c>
      <c r="I8" t="n">
        <v>0.6844660194174758</v>
      </c>
      <c r="J8" t="n">
        <v>0</v>
      </c>
      <c r="K8" t="n">
        <v>0</v>
      </c>
      <c r="L8" t="inlineStr">
        <is>
          <t>2026-06-09T11:19:24.082664+00:00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Q4</t>
        </is>
      </c>
      <c r="D9" t="inlineStr">
        <is>
          <t>Q4r1</t>
        </is>
      </c>
      <c r="E9" t="inlineStr">
        <is>
          <t>All_Questions_Q4_CT = I$22</t>
        </is>
      </c>
      <c r="H9">
        <f>IF(OR(All_Questions_Q4_CT="(None)",I$22=""),"",IF(I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</v>
      </c>
      <c r="I9" t="n">
        <v>0.6844660194174758</v>
      </c>
      <c r="J9" t="n">
        <v>0</v>
      </c>
      <c r="K9" t="n">
        <v>0</v>
      </c>
      <c r="L9" t="inlineStr">
        <is>
          <t>2026-06-09T11:19:24.082971+00:00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Q4</t>
        </is>
      </c>
      <c r="D10" t="inlineStr">
        <is>
          <t>Q4r1</t>
        </is>
      </c>
      <c r="E10" t="inlineStr">
        <is>
          <t>All_Questions_Q4_CT = J$22</t>
        </is>
      </c>
      <c r="H10">
        <f>IF(OR(All_Questions_Q4_CT="(None)",J$22=""),"",IF(J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</v>
      </c>
      <c r="I10" t="n">
        <v>0.6844660194174758</v>
      </c>
      <c r="J10" t="n">
        <v>0</v>
      </c>
      <c r="K10" t="n">
        <v>0</v>
      </c>
      <c r="L10" t="inlineStr">
        <is>
          <t>2026-06-09T11:19:24.083246+00:00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Q4</t>
        </is>
      </c>
      <c r="D11" t="inlineStr">
        <is>
          <t>Q4r1</t>
        </is>
      </c>
      <c r="E11" t="inlineStr">
        <is>
          <t>All_Questions_Q4_CT = K$22</t>
        </is>
      </c>
      <c r="H11">
        <f>IF(OR(All_Questions_Q4_CT="(None)",K$22=""),"",IF(K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</v>
      </c>
      <c r="I11" t="n">
        <v>0.6844660194174758</v>
      </c>
      <c r="J11" t="n">
        <v>0</v>
      </c>
      <c r="K11" t="n">
        <v>0</v>
      </c>
      <c r="L11" t="inlineStr">
        <is>
          <t>2026-06-09T11:19:24.083504+00:00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Q4</t>
        </is>
      </c>
      <c r="D12" t="inlineStr">
        <is>
          <t>Q4r1</t>
        </is>
      </c>
      <c r="E12" t="inlineStr">
        <is>
          <t>All_Questions_Q4_CT = L$22</t>
        </is>
      </c>
      <c r="H12">
        <f>IF(OR(All_Questions_Q4_CT="(None)",L$22=""),"",IF(L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</v>
      </c>
      <c r="I12" t="n">
        <v>0.6844660194174758</v>
      </c>
      <c r="J12" t="n">
        <v>0</v>
      </c>
      <c r="K12" t="n">
        <v>0</v>
      </c>
      <c r="L12" t="inlineStr">
        <is>
          <t>2026-06-09T11:19:24.083760+00:00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Q4</t>
        </is>
      </c>
      <c r="D13" t="inlineStr">
        <is>
          <t>Q4r1</t>
        </is>
      </c>
      <c r="E13" t="inlineStr">
        <is>
          <t>All_Questions_Q4_CT = M$22</t>
        </is>
      </c>
      <c r="H13">
        <f>IF(OR(All_Questions_Q4_CT="(None)",M$22=""),"",IF(M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</v>
      </c>
      <c r="I13" t="n">
        <v>0.6844660194174758</v>
      </c>
      <c r="J13" t="n">
        <v>0</v>
      </c>
      <c r="K13" t="n">
        <v>0</v>
      </c>
      <c r="L13" t="inlineStr">
        <is>
          <t>2026-06-09T11:19:24.084159+00:00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Q4</t>
        </is>
      </c>
      <c r="D14" t="inlineStr">
        <is>
          <t>Q4r2</t>
        </is>
      </c>
      <c r="E14" t="inlineStr">
        <is>
          <t>All_Questions_Q4_CT = B$22</t>
        </is>
      </c>
      <c r="H14">
        <f>IF(OR(All_Questions_Q4_CT="(None)",B$22=""),"",IF(B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</v>
      </c>
      <c r="I14" t="n">
        <v>0.4029126213592233</v>
      </c>
      <c r="J14" t="n">
        <v>0</v>
      </c>
      <c r="K14" t="n">
        <v>0</v>
      </c>
      <c r="L14" t="inlineStr">
        <is>
          <t>2026-06-09T11:19:24.084625+00:00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Q4</t>
        </is>
      </c>
      <c r="D15" t="inlineStr">
        <is>
          <t>Q4r2</t>
        </is>
      </c>
      <c r="E15" t="inlineStr">
        <is>
          <t>All_Questions_Q4_CT = C$22</t>
        </is>
      </c>
      <c r="H15">
        <f>IF(OR(All_Questions_Q4_CT="(None)",C$22=""),"",IF(C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</v>
      </c>
      <c r="I15" t="n">
        <v>0.4029126213592233</v>
      </c>
      <c r="J15" t="n">
        <v>0</v>
      </c>
      <c r="K15" t="n">
        <v>0</v>
      </c>
      <c r="L15" t="inlineStr">
        <is>
          <t>2026-06-09T11:19:24.084881+00:00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Q4</t>
        </is>
      </c>
      <c r="D16" t="inlineStr">
        <is>
          <t>Q4r2</t>
        </is>
      </c>
      <c r="E16" t="inlineStr">
        <is>
          <t>All_Questions_Q4_CT = D$22</t>
        </is>
      </c>
      <c r="H16">
        <f>IF(OR(All_Questions_Q4_CT="(None)",D$22=""),"",IF(D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</v>
      </c>
      <c r="I16" t="n">
        <v>0.4029126213592233</v>
      </c>
      <c r="J16" t="n">
        <v>0</v>
      </c>
      <c r="K16" t="n">
        <v>0</v>
      </c>
      <c r="L16" t="inlineStr">
        <is>
          <t>2026-06-09T11:19:24.085188+00:00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Q4</t>
        </is>
      </c>
      <c r="D17" t="inlineStr">
        <is>
          <t>Q4r2</t>
        </is>
      </c>
      <c r="E17" t="inlineStr">
        <is>
          <t>All_Questions_Q4_CT = E$22</t>
        </is>
      </c>
      <c r="H17">
        <f>IF(OR(All_Questions_Q4_CT="(None)",E$22=""),"",IF(E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</v>
      </c>
      <c r="I17" t="n">
        <v>0.4029126213592233</v>
      </c>
      <c r="J17" t="n">
        <v>0</v>
      </c>
      <c r="K17" t="n">
        <v>0</v>
      </c>
      <c r="L17" t="inlineStr">
        <is>
          <t>2026-06-09T11:19:24.085443+00:00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Q4</t>
        </is>
      </c>
      <c r="D18" t="inlineStr">
        <is>
          <t>Q4r2</t>
        </is>
      </c>
      <c r="E18" t="inlineStr">
        <is>
          <t>All_Questions_Q4_CT = F$22</t>
        </is>
      </c>
      <c r="H18">
        <f>IF(OR(All_Questions_Q4_CT="(None)",F$22=""),"",IF(F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</v>
      </c>
      <c r="I18" t="n">
        <v>0.4029126213592233</v>
      </c>
      <c r="J18" t="n">
        <v>0</v>
      </c>
      <c r="K18" t="n">
        <v>0</v>
      </c>
      <c r="L18" t="inlineStr">
        <is>
          <t>2026-06-09T11:19:24.085698+00:00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Q4</t>
        </is>
      </c>
      <c r="D19" t="inlineStr">
        <is>
          <t>Q4r2</t>
        </is>
      </c>
      <c r="E19" t="inlineStr">
        <is>
          <t>All_Questions_Q4_CT = G$22</t>
        </is>
      </c>
      <c r="H19">
        <f>IF(OR(All_Questions_Q4_CT="(None)",G$22=""),"",IF(G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</v>
      </c>
      <c r="I19" t="n">
        <v>0.4029126213592233</v>
      </c>
      <c r="J19" t="n">
        <v>0</v>
      </c>
      <c r="K19" t="n">
        <v>0</v>
      </c>
      <c r="L19" t="inlineStr">
        <is>
          <t>2026-06-09T11:19:24.085995+00:00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Q4</t>
        </is>
      </c>
      <c r="D20" t="inlineStr">
        <is>
          <t>Q4r2</t>
        </is>
      </c>
      <c r="E20" t="inlineStr">
        <is>
          <t>All_Questions_Q4_CT = H$22</t>
        </is>
      </c>
      <c r="H20">
        <f>IF(OR(All_Questions_Q4_CT="(None)",H$22=""),"",IF(H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</v>
      </c>
      <c r="I20" t="n">
        <v>0.4029126213592233</v>
      </c>
      <c r="J20" t="n">
        <v>0</v>
      </c>
      <c r="K20" t="n">
        <v>0</v>
      </c>
      <c r="L20" t="inlineStr">
        <is>
          <t>2026-06-09T11:19:24.086262+00:00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Q4</t>
        </is>
      </c>
      <c r="D21" t="inlineStr">
        <is>
          <t>Q4r2</t>
        </is>
      </c>
      <c r="E21" t="inlineStr">
        <is>
          <t>All_Questions_Q4_CT = I$22</t>
        </is>
      </c>
      <c r="H21">
        <f>IF(OR(All_Questions_Q4_CT="(None)",I$22=""),"",IF(I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</v>
      </c>
      <c r="I21" t="n">
        <v>0.4029126213592233</v>
      </c>
      <c r="J21" t="n">
        <v>0</v>
      </c>
      <c r="K21" t="n">
        <v>0</v>
      </c>
      <c r="L21" t="inlineStr">
        <is>
          <t>2026-06-09T11:19:24.086566+00:00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Q4</t>
        </is>
      </c>
      <c r="D22" t="inlineStr">
        <is>
          <t>Q4r2</t>
        </is>
      </c>
      <c r="E22" t="inlineStr">
        <is>
          <t>All_Questions_Q4_CT = J$22</t>
        </is>
      </c>
      <c r="H22">
        <f>IF(OR(All_Questions_Q4_CT="(None)",J$22=""),"",IF(J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</v>
      </c>
      <c r="I22" t="n">
        <v>0.4029126213592233</v>
      </c>
      <c r="J22" t="n">
        <v>0</v>
      </c>
      <c r="K22" t="n">
        <v>0</v>
      </c>
      <c r="L22" t="inlineStr">
        <is>
          <t>2026-06-09T11:19:24.086831+00:00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Q4</t>
        </is>
      </c>
      <c r="D23" t="inlineStr">
        <is>
          <t>Q4r2</t>
        </is>
      </c>
      <c r="E23" t="inlineStr">
        <is>
          <t>All_Questions_Q4_CT = K$22</t>
        </is>
      </c>
      <c r="H23">
        <f>IF(OR(All_Questions_Q4_CT="(None)",K$22=""),"",IF(K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</v>
      </c>
      <c r="I23" t="n">
        <v>0.4029126213592233</v>
      </c>
      <c r="J23" t="n">
        <v>0</v>
      </c>
      <c r="K23" t="n">
        <v>0</v>
      </c>
      <c r="L23" t="inlineStr">
        <is>
          <t>2026-06-09T11:19:24.087150+00:00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Q4</t>
        </is>
      </c>
      <c r="D24" t="inlineStr">
        <is>
          <t>Q4r2</t>
        </is>
      </c>
      <c r="E24" t="inlineStr">
        <is>
          <t>All_Questions_Q4_CT = L$22</t>
        </is>
      </c>
      <c r="H24">
        <f>IF(OR(All_Questions_Q4_CT="(None)",L$22=""),"",IF(L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</v>
      </c>
      <c r="I24" t="n">
        <v>0.4029126213592233</v>
      </c>
      <c r="J24" t="n">
        <v>0</v>
      </c>
      <c r="K24" t="n">
        <v>0</v>
      </c>
      <c r="L24" t="inlineStr">
        <is>
          <t>2026-06-09T11:19:24.087409+00:00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Q4</t>
        </is>
      </c>
      <c r="D25" t="inlineStr">
        <is>
          <t>Q4r2</t>
        </is>
      </c>
      <c r="E25" t="inlineStr">
        <is>
          <t>All_Questions_Q4_CT = M$22</t>
        </is>
      </c>
      <c r="H25">
        <f>IF(OR(All_Questions_Q4_CT="(None)",M$22=""),"",IF(M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</v>
      </c>
      <c r="I25" t="n">
        <v>0.4029126213592233</v>
      </c>
      <c r="J25" t="n">
        <v>0</v>
      </c>
      <c r="K25" t="n">
        <v>0</v>
      </c>
      <c r="L25" t="inlineStr">
        <is>
          <t>2026-06-09T11:19:24.087738+00:00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Q5</t>
        </is>
      </c>
      <c r="D26" t="inlineStr">
        <is>
          <t>Q5r1</t>
        </is>
      </c>
      <c r="E26" t="inlineStr">
        <is>
          <t>All_Questions_Q5_CT = B$39</t>
        </is>
      </c>
      <c r="H26">
        <f>IF(OR(All_Questions_Q5_CT="(None)",B$39=""),"",IF(B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</v>
      </c>
      <c r="I26" t="n">
        <v>0.6071428571428571</v>
      </c>
      <c r="J26" t="n">
        <v>0</v>
      </c>
      <c r="K26" t="n">
        <v>0</v>
      </c>
      <c r="L26" t="inlineStr">
        <is>
          <t>2026-06-09T11:19:24.124632+00:00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Q5</t>
        </is>
      </c>
      <c r="D27" t="inlineStr">
        <is>
          <t>Q5r1</t>
        </is>
      </c>
      <c r="E27" t="inlineStr">
        <is>
          <t>All_Questions_Q5_CT = C$39</t>
        </is>
      </c>
      <c r="H27">
        <f>IF(OR(All_Questions_Q5_CT="(None)",C$39=""),"",IF(C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</v>
      </c>
      <c r="I27" t="n">
        <v>0.6071428571428571</v>
      </c>
      <c r="J27" t="n">
        <v>0</v>
      </c>
      <c r="K27" t="n">
        <v>0</v>
      </c>
      <c r="L27" t="inlineStr">
        <is>
          <t>2026-06-09T11:19:24.124932+00:00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Q5</t>
        </is>
      </c>
      <c r="D28" t="inlineStr">
        <is>
          <t>Q5r1</t>
        </is>
      </c>
      <c r="E28" t="inlineStr">
        <is>
          <t>All_Questions_Q5_CT = D$39</t>
        </is>
      </c>
      <c r="H28">
        <f>IF(OR(All_Questions_Q5_CT="(None)",D$39=""),"",IF(D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</v>
      </c>
      <c r="I28" t="n">
        <v>0.6071428571428571</v>
      </c>
      <c r="J28" t="n">
        <v>0</v>
      </c>
      <c r="K28" t="n">
        <v>0</v>
      </c>
      <c r="L28" t="inlineStr">
        <is>
          <t>2026-06-09T11:19:24.125222+00:00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Q5</t>
        </is>
      </c>
      <c r="D29" t="inlineStr">
        <is>
          <t>Q5r1</t>
        </is>
      </c>
      <c r="E29" t="inlineStr">
        <is>
          <t>All_Questions_Q5_CT = E$39</t>
        </is>
      </c>
      <c r="H29">
        <f>IF(OR(All_Questions_Q5_CT="(None)",E$39=""),"",IF(E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</v>
      </c>
      <c r="I29" t="n">
        <v>0.6071428571428571</v>
      </c>
      <c r="J29" t="n">
        <v>0</v>
      </c>
      <c r="K29" t="n">
        <v>0</v>
      </c>
      <c r="L29" t="inlineStr">
        <is>
          <t>2026-06-09T11:19:24.125483+00:00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Q5</t>
        </is>
      </c>
      <c r="D30" t="inlineStr">
        <is>
          <t>Q5r1</t>
        </is>
      </c>
      <c r="E30" t="inlineStr">
        <is>
          <t>All_Questions_Q5_CT = F$39</t>
        </is>
      </c>
      <c r="H30">
        <f>IF(OR(All_Questions_Q5_CT="(None)",F$39=""),"",IF(F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</v>
      </c>
      <c r="I30" t="n">
        <v>0.6071428571428571</v>
      </c>
      <c r="J30" t="n">
        <v>0</v>
      </c>
      <c r="K30" t="n">
        <v>0</v>
      </c>
      <c r="L30" t="inlineStr">
        <is>
          <t>2026-06-09T11:19:24.125737+00:00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Q5</t>
        </is>
      </c>
      <c r="D31" t="inlineStr">
        <is>
          <t>Q5r1</t>
        </is>
      </c>
      <c r="E31" t="inlineStr">
        <is>
          <t>All_Questions_Q5_CT = G$39</t>
        </is>
      </c>
      <c r="H31">
        <f>IF(OR(All_Questions_Q5_CT="(None)",G$39=""),"",IF(G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</v>
      </c>
      <c r="I31" t="n">
        <v>0.6071428571428571</v>
      </c>
      <c r="J31" t="n">
        <v>0</v>
      </c>
      <c r="K31" t="n">
        <v>0</v>
      </c>
      <c r="L31" t="inlineStr">
        <is>
          <t>2026-06-09T11:19:24.126041+00:00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Q5</t>
        </is>
      </c>
      <c r="D32" t="inlineStr">
        <is>
          <t>Q5r1</t>
        </is>
      </c>
      <c r="E32" t="inlineStr">
        <is>
          <t>All_Questions_Q5_CT = H$39</t>
        </is>
      </c>
      <c r="H32">
        <f>IF(OR(All_Questions_Q5_CT="(None)",H$39=""),"",IF(H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</v>
      </c>
      <c r="I32" t="n">
        <v>0.6071428571428571</v>
      </c>
      <c r="J32" t="n">
        <v>0</v>
      </c>
      <c r="K32" t="n">
        <v>0</v>
      </c>
      <c r="L32" t="inlineStr">
        <is>
          <t>2026-06-09T11:19:24.126314+00:00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Q5</t>
        </is>
      </c>
      <c r="D33" t="inlineStr">
        <is>
          <t>Q5r1</t>
        </is>
      </c>
      <c r="E33" t="inlineStr">
        <is>
          <t>All_Questions_Q5_CT = I$39</t>
        </is>
      </c>
      <c r="H33">
        <f>IF(OR(All_Questions_Q5_CT="(None)",I$39=""),"",IF(I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</v>
      </c>
      <c r="I33" t="n">
        <v>0.6071428571428571</v>
      </c>
      <c r="J33" t="n">
        <v>0</v>
      </c>
      <c r="K33" t="n">
        <v>0</v>
      </c>
      <c r="L33" t="inlineStr">
        <is>
          <t>2026-06-09T11:19:24.126573+00:00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Q5</t>
        </is>
      </c>
      <c r="D34" t="inlineStr">
        <is>
          <t>Q5r1</t>
        </is>
      </c>
      <c r="E34" t="inlineStr">
        <is>
          <t>All_Questions_Q5_CT = J$39</t>
        </is>
      </c>
      <c r="H34">
        <f>IF(OR(All_Questions_Q5_CT="(None)",J$39=""),"",IF(J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</v>
      </c>
      <c r="I34" t="n">
        <v>0.6071428571428571</v>
      </c>
      <c r="J34" t="n">
        <v>0</v>
      </c>
      <c r="K34" t="n">
        <v>0</v>
      </c>
      <c r="L34" t="inlineStr">
        <is>
          <t>2026-06-09T11:19:24.126829+00:00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Q5</t>
        </is>
      </c>
      <c r="D35" t="inlineStr">
        <is>
          <t>Q5r1</t>
        </is>
      </c>
      <c r="E35" t="inlineStr">
        <is>
          <t>All_Questions_Q5_CT = K$39</t>
        </is>
      </c>
      <c r="H35">
        <f>IF(OR(All_Questions_Q5_CT="(None)",K$39=""),"",IF(K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</v>
      </c>
      <c r="I35" t="n">
        <v>0.6071428571428571</v>
      </c>
      <c r="J35" t="n">
        <v>0</v>
      </c>
      <c r="K35" t="n">
        <v>0</v>
      </c>
      <c r="L35" t="inlineStr">
        <is>
          <t>2026-06-09T11:19:24.127135+00:00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Q5</t>
        </is>
      </c>
      <c r="D36" t="inlineStr">
        <is>
          <t>Q5r1</t>
        </is>
      </c>
      <c r="E36" t="inlineStr">
        <is>
          <t>All_Questions_Q5_CT = L$39</t>
        </is>
      </c>
      <c r="H36">
        <f>IF(OR(All_Questions_Q5_CT="(None)",L$39=""),"",IF(L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</v>
      </c>
      <c r="I36" t="n">
        <v>0.6071428571428571</v>
      </c>
      <c r="J36" t="n">
        <v>0</v>
      </c>
      <c r="K36" t="n">
        <v>0</v>
      </c>
      <c r="L36" t="inlineStr">
        <is>
          <t>2026-06-09T11:19:24.127393+00:00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Q5</t>
        </is>
      </c>
      <c r="D37" t="inlineStr">
        <is>
          <t>Q5r1</t>
        </is>
      </c>
      <c r="E37" t="inlineStr">
        <is>
          <t>All_Questions_Q5_CT = M$39</t>
        </is>
      </c>
      <c r="H37">
        <f>IF(OR(All_Questions_Q5_CT="(None)",M$39=""),"",IF(M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</v>
      </c>
      <c r="I37" t="n">
        <v>0.6071428571428571</v>
      </c>
      <c r="J37" t="n">
        <v>0</v>
      </c>
      <c r="K37" t="n">
        <v>0</v>
      </c>
      <c r="L37" t="inlineStr">
        <is>
          <t>2026-06-09T11:19:24.127723+00:00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Q5</t>
        </is>
      </c>
      <c r="D38" t="inlineStr">
        <is>
          <t>Q5r2</t>
        </is>
      </c>
      <c r="E38" t="inlineStr">
        <is>
          <t>All_Questions_Q5_CT = B$39</t>
        </is>
      </c>
      <c r="H38">
        <f>IF(OR(All_Questions_Q5_CT="(None)",B$39=""),"",IF(B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</v>
      </c>
      <c r="I38" t="n">
        <v>0.3928571428571428</v>
      </c>
      <c r="J38" t="n">
        <v>0</v>
      </c>
      <c r="K38" t="n">
        <v>0</v>
      </c>
      <c r="L38" t="inlineStr">
        <is>
          <t>2026-06-09T11:19:24.128236+00:00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Q5</t>
        </is>
      </c>
      <c r="D39" t="inlineStr">
        <is>
          <t>Q5r2</t>
        </is>
      </c>
      <c r="E39" t="inlineStr">
        <is>
          <t>All_Questions_Q5_CT = C$39</t>
        </is>
      </c>
      <c r="H39">
        <f>IF(OR(All_Questions_Q5_CT="(None)",C$39=""),"",IF(C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</v>
      </c>
      <c r="I39" t="n">
        <v>0.3928571428571428</v>
      </c>
      <c r="J39" t="n">
        <v>0</v>
      </c>
      <c r="K39" t="n">
        <v>0</v>
      </c>
      <c r="L39" t="inlineStr">
        <is>
          <t>2026-06-09T11:19:24.128497+00:00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Q5</t>
        </is>
      </c>
      <c r="D40" t="inlineStr">
        <is>
          <t>Q5r2</t>
        </is>
      </c>
      <c r="E40" t="inlineStr">
        <is>
          <t>All_Questions_Q5_CT = D$39</t>
        </is>
      </c>
      <c r="H40">
        <f>IF(OR(All_Questions_Q5_CT="(None)",D$39=""),"",IF(D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</v>
      </c>
      <c r="I40" t="n">
        <v>0.3928571428571428</v>
      </c>
      <c r="J40" t="n">
        <v>0</v>
      </c>
      <c r="K40" t="n">
        <v>0</v>
      </c>
      <c r="L40" t="inlineStr">
        <is>
          <t>2026-06-09T11:19:24.128752+00:00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Q5</t>
        </is>
      </c>
      <c r="D41" t="inlineStr">
        <is>
          <t>Q5r2</t>
        </is>
      </c>
      <c r="E41" t="inlineStr">
        <is>
          <t>All_Questions_Q5_CT = E$39</t>
        </is>
      </c>
      <c r="H41">
        <f>IF(OR(All_Questions_Q5_CT="(None)",E$39=""),"",IF(E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</v>
      </c>
      <c r="I41" t="n">
        <v>0.3928571428571428</v>
      </c>
      <c r="J41" t="n">
        <v>0</v>
      </c>
      <c r="K41" t="n">
        <v>0</v>
      </c>
      <c r="L41" t="inlineStr">
        <is>
          <t>2026-06-09T11:19:24.129062+00:00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Q5</t>
        </is>
      </c>
      <c r="D42" t="inlineStr">
        <is>
          <t>Q5r2</t>
        </is>
      </c>
      <c r="E42" t="inlineStr">
        <is>
          <t>All_Questions_Q5_CT = F$39</t>
        </is>
      </c>
      <c r="H42">
        <f>IF(OR(All_Questions_Q5_CT="(None)",F$39=""),"",IF(F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</v>
      </c>
      <c r="I42" t="n">
        <v>0.3928571428571428</v>
      </c>
      <c r="J42" t="n">
        <v>0</v>
      </c>
      <c r="K42" t="n">
        <v>0</v>
      </c>
      <c r="L42" t="inlineStr">
        <is>
          <t>2026-06-09T11:19:24.129324+00:00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Q5</t>
        </is>
      </c>
      <c r="D43" t="inlineStr">
        <is>
          <t>Q5r2</t>
        </is>
      </c>
      <c r="E43" t="inlineStr">
        <is>
          <t>All_Questions_Q5_CT = G$39</t>
        </is>
      </c>
      <c r="H43">
        <f>IF(OR(All_Questions_Q5_CT="(None)",G$39=""),"",IF(G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</v>
      </c>
      <c r="I43" t="n">
        <v>0.3928571428571428</v>
      </c>
      <c r="J43" t="n">
        <v>0</v>
      </c>
      <c r="K43" t="n">
        <v>0</v>
      </c>
      <c r="L43" t="inlineStr">
        <is>
          <t>2026-06-09T11:19:24.129580+00:00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Q5</t>
        </is>
      </c>
      <c r="D44" t="inlineStr">
        <is>
          <t>Q5r2</t>
        </is>
      </c>
      <c r="E44" t="inlineStr">
        <is>
          <t>All_Questions_Q5_CT = H$39</t>
        </is>
      </c>
      <c r="H44">
        <f>IF(OR(All_Questions_Q5_CT="(None)",H$39=""),"",IF(H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</v>
      </c>
      <c r="I44" t="n">
        <v>0.3928571428571428</v>
      </c>
      <c r="J44" t="n">
        <v>0</v>
      </c>
      <c r="K44" t="n">
        <v>0</v>
      </c>
      <c r="L44" t="inlineStr">
        <is>
          <t>2026-06-09T11:19:24.129833+00:00</t>
        </is>
      </c>
    </row>
    <row r="45">
      <c r="A45" t="inlineStr">
        <is>
          <t>All Questions</t>
        </is>
      </c>
      <c r="B45" t="inlineStr">
        <is>
          <t>cross_tab_by_selection_rate</t>
        </is>
      </c>
      <c r="C45" t="inlineStr">
        <is>
          <t>Q5</t>
        </is>
      </c>
      <c r="D45" t="inlineStr">
        <is>
          <t>Q5r2</t>
        </is>
      </c>
      <c r="E45" t="inlineStr">
        <is>
          <t>All_Questions_Q5_CT = I$39</t>
        </is>
      </c>
      <c r="H45">
        <f>IF(OR(All_Questions_Q5_CT="(None)",I$39=""),"",IF(I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</v>
      </c>
      <c r="I45" t="n">
        <v>0.3928571428571428</v>
      </c>
      <c r="J45" t="n">
        <v>0</v>
      </c>
      <c r="K45" t="n">
        <v>0</v>
      </c>
      <c r="L45" t="inlineStr">
        <is>
          <t>2026-06-09T11:19:24.130148+00:00</t>
        </is>
      </c>
    </row>
    <row r="46">
      <c r="A46" t="inlineStr">
        <is>
          <t>All Questions</t>
        </is>
      </c>
      <c r="B46" t="inlineStr">
        <is>
          <t>cross_tab_by_selection_rate</t>
        </is>
      </c>
      <c r="C46" t="inlineStr">
        <is>
          <t>Q5</t>
        </is>
      </c>
      <c r="D46" t="inlineStr">
        <is>
          <t>Q5r2</t>
        </is>
      </c>
      <c r="E46" t="inlineStr">
        <is>
          <t>All_Questions_Q5_CT = J$39</t>
        </is>
      </c>
      <c r="H46">
        <f>IF(OR(All_Questions_Q5_CT="(None)",J$39=""),"",IF(J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</v>
      </c>
      <c r="I46" t="n">
        <v>0.3928571428571428</v>
      </c>
      <c r="J46" t="n">
        <v>0</v>
      </c>
      <c r="K46" t="n">
        <v>0</v>
      </c>
      <c r="L46" t="inlineStr">
        <is>
          <t>2026-06-09T11:19:24.130412+00:00</t>
        </is>
      </c>
    </row>
    <row r="47">
      <c r="A47" t="inlineStr">
        <is>
          <t>All Questions</t>
        </is>
      </c>
      <c r="B47" t="inlineStr">
        <is>
          <t>cross_tab_by_selection_rate</t>
        </is>
      </c>
      <c r="C47" t="inlineStr">
        <is>
          <t>Q5</t>
        </is>
      </c>
      <c r="D47" t="inlineStr">
        <is>
          <t>Q5r2</t>
        </is>
      </c>
      <c r="E47" t="inlineStr">
        <is>
          <t>All_Questions_Q5_CT = K$39</t>
        </is>
      </c>
      <c r="H47">
        <f>IF(OR(All_Questions_Q5_CT="(None)",K$39=""),"",IF(K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</v>
      </c>
      <c r="I47" t="n">
        <v>0.3928571428571428</v>
      </c>
      <c r="J47" t="n">
        <v>0</v>
      </c>
      <c r="K47" t="n">
        <v>0</v>
      </c>
      <c r="L47" t="inlineStr">
        <is>
          <t>2026-06-09T11:19:24.130672+00:00</t>
        </is>
      </c>
    </row>
    <row r="48">
      <c r="A48" t="inlineStr">
        <is>
          <t>All Questions</t>
        </is>
      </c>
      <c r="B48" t="inlineStr">
        <is>
          <t>cross_tab_by_selection_rate</t>
        </is>
      </c>
      <c r="C48" t="inlineStr">
        <is>
          <t>Q5</t>
        </is>
      </c>
      <c r="D48" t="inlineStr">
        <is>
          <t>Q5r2</t>
        </is>
      </c>
      <c r="E48" t="inlineStr">
        <is>
          <t>All_Questions_Q5_CT = L$39</t>
        </is>
      </c>
      <c r="H48">
        <f>IF(OR(All_Questions_Q5_CT="(None)",L$39=""),"",IF(L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</v>
      </c>
      <c r="I48" t="n">
        <v>0.3928571428571428</v>
      </c>
      <c r="J48" t="n">
        <v>0</v>
      </c>
      <c r="K48" t="n">
        <v>0</v>
      </c>
      <c r="L48" t="inlineStr">
        <is>
          <t>2026-06-09T11:19:24.130973+00:00</t>
        </is>
      </c>
    </row>
    <row r="49">
      <c r="A49" t="inlineStr">
        <is>
          <t>All Questions</t>
        </is>
      </c>
      <c r="B49" t="inlineStr">
        <is>
          <t>cross_tab_by_selection_rate</t>
        </is>
      </c>
      <c r="C49" t="inlineStr">
        <is>
          <t>Q5</t>
        </is>
      </c>
      <c r="D49" t="inlineStr">
        <is>
          <t>Q5r2</t>
        </is>
      </c>
      <c r="E49" t="inlineStr">
        <is>
          <t>All_Questions_Q5_CT = M$39</t>
        </is>
      </c>
      <c r="H49">
        <f>IF(OR(All_Questions_Q5_CT="(None)",M$39=""),"",IF(M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</v>
      </c>
      <c r="I49" t="n">
        <v>0.3928571428571428</v>
      </c>
      <c r="J49" t="n">
        <v>0</v>
      </c>
      <c r="K49" t="n">
        <v>0</v>
      </c>
      <c r="L49" t="inlineStr">
        <is>
          <t>2026-06-09T11:19:24.131327+00:00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2026-06-09T11:19:23Z</dcterms:created>
  <dcterms:modified xmlns:dcterms="http://purl.org/dc/terms/" xmlns:xsi="http://www.w3.org/2001/XMLSchema-instance" xsi:type="dcterms:W3CDTF">2026-06-09T11:19:24Z</dcterms:modified>
</cp:coreProperties>
</file>