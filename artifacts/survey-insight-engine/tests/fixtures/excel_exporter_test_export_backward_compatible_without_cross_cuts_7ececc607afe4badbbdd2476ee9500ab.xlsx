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'_Options'!$A$2:$A$9</definedName>
    <definedName name="All_Questions_Local">'_Options'!$B$2:$B$10</definedName>
    <definedName name="None_options">'_Options'!$C$2:$C$2</definedName>
    <definedName name="Q_SS_EXPORT_options">'_Options'!$D$2:$D$4</definedName>
    <definedName name="Q_SS_EXPORT_local_options">'_Options'!$K$2:$K$5</definedName>
    <definedName name="Q_MS_EXPORTr1_options">'_Options'!$E$2:$E$3</definedName>
    <definedName name="Q_MS_EXPORTr1_local_options">'_Options'!$L$2:$L$4</definedName>
    <definedName name="Q_MS_EXPORTr2_options">'_Options'!$F$2:$F$3</definedName>
    <definedName name="Q_MS_EXPORTr2_local_options">'_Options'!$M$2:$M$4</definedName>
    <definedName name="Q_NUM_EXPORT_options">'_Options'!$G$2:$G$3</definedName>
    <definedName name="Q_NUM_EXPORT_local_options">'_Options'!$N$2:$N$4</definedName>
    <definedName name="Q_GRID_EXPORTr1_options">'_Options'!$H$2:$H$3</definedName>
    <definedName name="Q_GRID_EXPORTr1_local_options">'_Options'!$O$2:$O$4</definedName>
    <definedName name="Q_GRID_EXPORTr2_options">'_Options'!$I$2:$I$3</definedName>
    <definedName name="Q_GRID_EXPORTr2_local_options">'_Options'!$P$2:$P$4</definedName>
    <definedName name="Q_VERY_LONG_SINGLE_SELECT_EXPOR_options">'_Options'!$J$2:$J$4</definedName>
    <definedName name="Q_VERY_LONG_SINGLE_SELECT_EXPOR_local_options">'_Options'!$Q$2:$Q$5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Questions'!$C$22</definedName>
    <definedName name="All_Questions_Q_MS_EXPORT_F_V">'All Questions'!$E$22</definedName>
    <definedName name="All_Questions_Q_MS_EXPORT_F_resolved_column">'All Questions'!$F$22</definedName>
    <definedName name="All_Questions_Q_MS_EXPORT_F_wrapped">'All Questions'!$G$22</definedName>
    <definedName name="All_Questions_Q_MS_EXPORT_F_passes_per_q_filter_data">'_RawData'!$O$2:$O$11</definedName>
    <definedName name="All_Questions_Q_MS_EXPORT_CT">'All Questions'!$C$23</definedName>
    <definedName name="All_Questions_Q_NUM_EXPORT_F_Q">'All Questions'!$C$31</definedName>
    <definedName name="All_Questions_Q_NUM_EXPORT_F_V">'All Questions'!$E$31</definedName>
    <definedName name="All_Questions_Q_NUM_EXPORT_F_resolved_column">'All Questions'!$F$31</definedName>
    <definedName name="All_Questions_Q_NUM_EXPORT_F_wrapped">'All Questions'!$G$31</definedName>
    <definedName name="All_Questions_Q_NUM_EXPORT_F_passes_per_q_filter_data">'_RawData'!$P$2:$P$11</definedName>
    <definedName name="All_Questions_Q_NUM_EXPORT_CT">'All Questions'!$C$32</definedName>
    <definedName name="All_Questions_Q_GRID_EXPORT_F_Q">'All Questions'!$C$43</definedName>
    <definedName name="All_Questions_Q_GRID_EXPORT_F_V">'All Questions'!$E$43</definedName>
    <definedName name="All_Questions_Q_GRID_EXPORT_F_resolved_column">'All Questions'!$F$43</definedName>
    <definedName name="All_Questions_Q_GRID_EXPORT_F_wrapped">'All Questions'!$G$43</definedName>
    <definedName name="All_Questions_Q_GRID_EXPORT_F_passes_per_q_filter_data">'_RawData'!$Q$2:$Q$11</definedName>
    <definedName name="All_Questions_Q_GRID_EXPORT_CT">'All Questions'!$C$44</definedName>
    <definedName name="All_Questions_Q_VERY_LONG_SINGLE_SELECT_EXPORT_NAME_F_Q">'All Questions'!$C$52</definedName>
    <definedName name="All_Questions_Q_VERY_LONG_SINGLE_SELECT_EXPORT_NAME_F_V">'All Questions'!$E$52</definedName>
    <definedName name="All_Questions_Q_VERY_LONG_SINGLE_SELECT_EXPORT_NAME_F_resolved_column">'All Questions'!$F$52</definedName>
    <definedName name="All_Questions_Q_VERY_LONG_SINGLE_SELECT_EXPORT_NAME_F_wrapped">'All Questions'!$G$52</definedName>
    <definedName name="All_Questions_Q_VERY_LONG_SINGLE_SELECT_EXPORT_NAME_F_passes_per_q_filter_data">'_RawData'!$R$2:$R$11</definedName>
    <definedName name="All_Questions_Q_VERY_LONG_SINGLE_SELECT_EXPORT_NAME_CT">'All Questions'!$C$53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2" i="7"/>
  <c r="G22" i="7"/>
  <c r="G25" i="7"/>
  <c r="H25" i="7"/>
  <c r="I25" i="7"/>
  <c r="J25" i="7"/>
  <c r="K25" i="7"/>
  <c r="L25" i="7"/>
  <c r="M25" i="7"/>
  <c r="N25" i="7"/>
  <c r="B26" i="7"/>
  <c r="C26" i="7"/>
  <c r="D26" i="7"/>
  <c r="G26" i="7"/>
  <c r="H26" i="7"/>
  <c r="I26" i="7"/>
  <c r="J26" i="7"/>
  <c r="K26" i="7"/>
  <c r="L26" i="7"/>
  <c r="M26" i="7"/>
  <c r="N26" i="7"/>
  <c r="O26" i="7"/>
  <c r="B27" i="7"/>
  <c r="C27" i="7"/>
  <c r="D27" i="7"/>
  <c r="G27" i="7"/>
  <c r="H27" i="7"/>
  <c r="I27" i="7"/>
  <c r="J27" i="7"/>
  <c r="K27" i="7"/>
  <c r="L27" i="7"/>
  <c r="M27" i="7"/>
  <c r="N27" i="7"/>
  <c r="O27" i="7"/>
  <c r="F31" i="7"/>
  <c r="G31" i="7"/>
  <c r="B35" i="7"/>
  <c r="D35" i="7"/>
  <c r="B36" i="7"/>
  <c r="D36" i="7"/>
  <c r="B37" i="7"/>
  <c r="D37" i="7"/>
  <c r="D38" i="7"/>
  <c r="F43" i="7"/>
  <c r="G43" i="7"/>
  <c r="G46" i="7"/>
  <c r="H46" i="7"/>
  <c r="I46" i="7"/>
  <c r="J46" i="7"/>
  <c r="K46" i="7"/>
  <c r="L46" i="7"/>
  <c r="M46" i="7"/>
  <c r="N46" i="7"/>
  <c r="B47" i="7"/>
  <c r="C47" i="7"/>
  <c r="D47" i="7"/>
  <c r="G47" i="7"/>
  <c r="H47" i="7"/>
  <c r="I47" i="7"/>
  <c r="J47" i="7"/>
  <c r="K47" i="7"/>
  <c r="L47" i="7"/>
  <c r="M47" i="7"/>
  <c r="N47" i="7"/>
  <c r="O47" i="7"/>
  <c r="B48" i="7"/>
  <c r="C48" i="7"/>
  <c r="D48" i="7"/>
  <c r="G48" i="7"/>
  <c r="H48" i="7"/>
  <c r="I48" i="7"/>
  <c r="J48" i="7"/>
  <c r="K48" i="7"/>
  <c r="L48" i="7"/>
  <c r="M48" i="7"/>
  <c r="N48" i="7"/>
  <c r="O48" i="7"/>
  <c r="F52" i="7"/>
  <c r="G52" i="7"/>
  <c r="G55" i="7"/>
  <c r="H55" i="7"/>
  <c r="I55" i="7"/>
  <c r="J55" i="7"/>
  <c r="K55" i="7"/>
  <c r="L55" i="7"/>
  <c r="M55" i="7"/>
  <c r="N55" i="7"/>
  <c r="B56" i="7"/>
  <c r="C56" i="7"/>
  <c r="D56" i="7"/>
  <c r="G56" i="7"/>
  <c r="H56" i="7"/>
  <c r="I56" i="7"/>
  <c r="J56" i="7"/>
  <c r="K56" i="7"/>
  <c r="L56" i="7"/>
  <c r="M56" i="7"/>
  <c r="N56" i="7"/>
  <c r="O56" i="7"/>
  <c r="B57" i="7"/>
  <c r="C57" i="7"/>
  <c r="D57" i="7"/>
  <c r="G57" i="7"/>
  <c r="H57" i="7"/>
  <c r="I57" i="7"/>
  <c r="J57" i="7"/>
  <c r="K57" i="7"/>
  <c r="L57" i="7"/>
  <c r="M57" i="7"/>
  <c r="N57" i="7"/>
  <c r="O57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4" fillId="0" borderId="0"/>
  </cellStyleXfs>
  <cellXfs count="15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1" authorId="0" shapeId="0">
      <text>
        <t>Multi select export question</t>
      </text>
    </comment>
    <comment ref="A30" authorId="0" shapeId="0">
      <text>
        <t>Numeric export question</t>
      </text>
    </comment>
    <comment ref="A42" authorId="0" shapeId="0">
      <text>
        <t>Grid export question</t>
      </text>
    </comment>
    <comment ref="A51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8" headerRowCount="1">
  <autoFilter ref="A16:D1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5_1" displayName="T_All_Questions_25_1" ref="A25:D27" headerRowCount="1">
  <autoFilter ref="A25:D2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4_1" displayName="T_All_Questions_34_1" ref="A34:D38" headerRowCount="1">
  <autoFilter ref="A34:D38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6_1" displayName="T_All_Questions_46_1" ref="A46:D48" headerRowCount="1">
  <autoFilter ref="A46:D4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5_1" displayName="T_All_Questions_55_1" ref="A55:D57" headerRowCount="1">
  <autoFilter ref="A55:D5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IF(OR(F_Custom1_Q="(None)",F_Custom1_Q="",ISBLANK(F_Custom1_Q),F_Custom1_V="(All)",F_Custom1_V="",ISBLANK(F_Custom1_V)),1,IFERROR(IF(ISNUMBER(SEARCH("|"&amp;INDEX($A2:$H2,1,MATCH(F_Custom1_Q,$A$1:$H$1,0))&amp;"|",F_Custom1_wrapped)),1,0),0))</f>
        <v>1</v>
      </c>
      <c r="K2">
        <f>IF(OR(F_Custom2_Q="(None)",F_Custom2_Q="",ISBLANK(F_Custom2_Q),F_Custom2_V="(All)",F_Custom2_V="",ISBLANK(F_Custom2_V)),1,IFERROR(IF(ISNUMBER(SEARCH("|"&amp;INDEX($A2:$H2,1,MATCH(F_Custom2_Q,$A$1:$H$1,0))&amp;"|",F_Custom2_wrapped)),1,0),0))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2:$H2,1,MATCH(All_Questions_Q_SS_EXPORT_F_Q,$A$1:$H$1,0)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2:$H2,1,MATCH(All_Questions_Q_MS_EXPORT_F_Q,$A$1:$H$1,0)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2:$H2,1,MATCH(All_Questions_Q_NUM_EXPORT_F_Q,$A$1:$H$1,0)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2:$H2,1,MATCH(All_Questions_Q_GRID_EXPORT_F_Q,$A$1:$H$1,0)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2:$H2,1,MATCH(All_Questions_Q_VERY_LONG_SINGLE_SELECT_EXPORT_NAME_F_Q,$A$1:$H$1,0)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IF(OR(F_Custom1_Q="(None)",F_Custom1_Q="",ISBLANK(F_Custom1_Q),F_Custom1_V="(All)",F_Custom1_V="",ISBLANK(F_Custom1_V)),1,IFERROR(IF(ISNUMBER(SEARCH("|"&amp;INDEX($A3:$H3,1,MATCH(F_Custom1_Q,$A$1:$H$1,0))&amp;"|",F_Custom1_wrapped)),1,0),0))</f>
        <v>1</v>
      </c>
      <c r="K3">
        <f>IF(OR(F_Custom2_Q="(None)",F_Custom2_Q="",ISBLANK(F_Custom2_Q),F_Custom2_V="(All)",F_Custom2_V="",ISBLANK(F_Custom2_V)),1,IFERROR(IF(ISNUMBER(SEARCH("|"&amp;INDEX($A3:$H3,1,MATCH(F_Custom2_Q,$A$1:$H$1,0))&amp;"|",F_Custom2_wrapped)),1,0),0))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3:$H3,1,MATCH(All_Questions_Q_SS_EXPORT_F_Q,$A$1:$H$1,0)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3:$H3,1,MATCH(All_Questions_Q_MS_EXPORT_F_Q,$A$1:$H$1,0)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3:$H3,1,MATCH(All_Questions_Q_NUM_EXPORT_F_Q,$A$1:$H$1,0)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3:$H3,1,MATCH(All_Questions_Q_GRID_EXPORT_F_Q,$A$1:$H$1,0)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3:$H3,1,MATCH(All_Questions_Q_VERY_LONG_SINGLE_SELECT_EXPORT_NAME_F_Q,$A$1:$H$1,0)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IF(OR(F_Custom1_Q="(None)",F_Custom1_Q="",ISBLANK(F_Custom1_Q),F_Custom1_V="(All)",F_Custom1_V="",ISBLANK(F_Custom1_V)),1,IFERROR(IF(ISNUMBER(SEARCH("|"&amp;INDEX($A4:$H4,1,MATCH(F_Custom1_Q,$A$1:$H$1,0))&amp;"|",F_Custom1_wrapped)),1,0),0))</f>
        <v>1</v>
      </c>
      <c r="K4">
        <f>IF(OR(F_Custom2_Q="(None)",F_Custom2_Q="",ISBLANK(F_Custom2_Q),F_Custom2_V="(All)",F_Custom2_V="",ISBLANK(F_Custom2_V)),1,IFERROR(IF(ISNUMBER(SEARCH("|"&amp;INDEX($A4:$H4,1,MATCH(F_Custom2_Q,$A$1:$H$1,0))&amp;"|",F_Custom2_wrapped)),1,0),0))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4:$H4,1,MATCH(All_Questions_Q_SS_EXPORT_F_Q,$A$1:$H$1,0)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4:$H4,1,MATCH(All_Questions_Q_MS_EXPORT_F_Q,$A$1:$H$1,0)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4:$H4,1,MATCH(All_Questions_Q_NUM_EXPORT_F_Q,$A$1:$H$1,0)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4:$H4,1,MATCH(All_Questions_Q_GRID_EXPORT_F_Q,$A$1:$H$1,0)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4:$H4,1,MATCH(All_Questions_Q_VERY_LONG_SINGLE_SELECT_EXPORT_NAME_F_Q,$A$1:$H$1,0)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IF(OR(F_Custom1_Q="(None)",F_Custom1_Q="",ISBLANK(F_Custom1_Q),F_Custom1_V="(All)",F_Custom1_V="",ISBLANK(F_Custom1_V)),1,IFERROR(IF(ISNUMBER(SEARCH("|"&amp;INDEX($A5:$H5,1,MATCH(F_Custom1_Q,$A$1:$H$1,0))&amp;"|",F_Custom1_wrapped)),1,0),0))</f>
        <v>1</v>
      </c>
      <c r="K5">
        <f>IF(OR(F_Custom2_Q="(None)",F_Custom2_Q="",ISBLANK(F_Custom2_Q),F_Custom2_V="(All)",F_Custom2_V="",ISBLANK(F_Custom2_V)),1,IFERROR(IF(ISNUMBER(SEARCH("|"&amp;INDEX($A5:$H5,1,MATCH(F_Custom2_Q,$A$1:$H$1,0))&amp;"|",F_Custom2_wrapped)),1,0),0))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5:$H5,1,MATCH(All_Questions_Q_SS_EXPORT_F_Q,$A$1:$H$1,0)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5:$H5,1,MATCH(All_Questions_Q_MS_EXPORT_F_Q,$A$1:$H$1,0)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5:$H5,1,MATCH(All_Questions_Q_NUM_EXPORT_F_Q,$A$1:$H$1,0)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5:$H5,1,MATCH(All_Questions_Q_GRID_EXPORT_F_Q,$A$1:$H$1,0)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5:$H5,1,MATCH(All_Questions_Q_VERY_LONG_SINGLE_SELECT_EXPORT_NAME_F_Q,$A$1:$H$1,0)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IF(OR(F_Custom1_Q="(None)",F_Custom1_Q="",ISBLANK(F_Custom1_Q),F_Custom1_V="(All)",F_Custom1_V="",ISBLANK(F_Custom1_V)),1,IFERROR(IF(ISNUMBER(SEARCH("|"&amp;INDEX($A6:$H6,1,MATCH(F_Custom1_Q,$A$1:$H$1,0))&amp;"|",F_Custom1_wrapped)),1,0),0))</f>
        <v>1</v>
      </c>
      <c r="K6">
        <f>IF(OR(F_Custom2_Q="(None)",F_Custom2_Q="",ISBLANK(F_Custom2_Q),F_Custom2_V="(All)",F_Custom2_V="",ISBLANK(F_Custom2_V)),1,IFERROR(IF(ISNUMBER(SEARCH("|"&amp;INDEX($A6:$H6,1,MATCH(F_Custom2_Q,$A$1:$H$1,0))&amp;"|",F_Custom2_wrapped)),1,0),0))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6:$H6,1,MATCH(All_Questions_Q_SS_EXPORT_F_Q,$A$1:$H$1,0)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6:$H6,1,MATCH(All_Questions_Q_MS_EXPORT_F_Q,$A$1:$H$1,0)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6:$H6,1,MATCH(All_Questions_Q_NUM_EXPORT_F_Q,$A$1:$H$1,0)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6:$H6,1,MATCH(All_Questions_Q_GRID_EXPORT_F_Q,$A$1:$H$1,0)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6:$H6,1,MATCH(All_Questions_Q_VERY_LONG_SINGLE_SELECT_EXPORT_NAME_F_Q,$A$1:$H$1,0)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IF(OR(F_Custom1_Q="(None)",F_Custom1_Q="",ISBLANK(F_Custom1_Q),F_Custom1_V="(All)",F_Custom1_V="",ISBLANK(F_Custom1_V)),1,IFERROR(IF(ISNUMBER(SEARCH("|"&amp;INDEX($A7:$H7,1,MATCH(F_Custom1_Q,$A$1:$H$1,0))&amp;"|",F_Custom1_wrapped)),1,0),0))</f>
        <v>1</v>
      </c>
      <c r="K7">
        <f>IF(OR(F_Custom2_Q="(None)",F_Custom2_Q="",ISBLANK(F_Custom2_Q),F_Custom2_V="(All)",F_Custom2_V="",ISBLANK(F_Custom2_V)),1,IFERROR(IF(ISNUMBER(SEARCH("|"&amp;INDEX($A7:$H7,1,MATCH(F_Custom2_Q,$A$1:$H$1,0))&amp;"|",F_Custom2_wrapped)),1,0),0))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7:$H7,1,MATCH(All_Questions_Q_SS_EXPORT_F_Q,$A$1:$H$1,0)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7:$H7,1,MATCH(All_Questions_Q_MS_EXPORT_F_Q,$A$1:$H$1,0)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7:$H7,1,MATCH(All_Questions_Q_NUM_EXPORT_F_Q,$A$1:$H$1,0)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7:$H7,1,MATCH(All_Questions_Q_GRID_EXPORT_F_Q,$A$1:$H$1,0)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7:$H7,1,MATCH(All_Questions_Q_VERY_LONG_SINGLE_SELECT_EXPORT_NAME_F_Q,$A$1:$H$1,0)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IF(OR(F_Custom1_Q="(None)",F_Custom1_Q="",ISBLANK(F_Custom1_Q),F_Custom1_V="(All)",F_Custom1_V="",ISBLANK(F_Custom1_V)),1,IFERROR(IF(ISNUMBER(SEARCH("|"&amp;INDEX($A8:$H8,1,MATCH(F_Custom1_Q,$A$1:$H$1,0))&amp;"|",F_Custom1_wrapped)),1,0),0))</f>
        <v>1</v>
      </c>
      <c r="K8">
        <f>IF(OR(F_Custom2_Q="(None)",F_Custom2_Q="",ISBLANK(F_Custom2_Q),F_Custom2_V="(All)",F_Custom2_V="",ISBLANK(F_Custom2_V)),1,IFERROR(IF(ISNUMBER(SEARCH("|"&amp;INDEX($A8:$H8,1,MATCH(F_Custom2_Q,$A$1:$H$1,0))&amp;"|",F_Custom2_wrapped)),1,0),0))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8:$H8,1,MATCH(All_Questions_Q_SS_EXPORT_F_Q,$A$1:$H$1,0)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8:$H8,1,MATCH(All_Questions_Q_MS_EXPORT_F_Q,$A$1:$H$1,0)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8:$H8,1,MATCH(All_Questions_Q_NUM_EXPORT_F_Q,$A$1:$H$1,0)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8:$H8,1,MATCH(All_Questions_Q_GRID_EXPORT_F_Q,$A$1:$H$1,0)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8:$H8,1,MATCH(All_Questions_Q_VERY_LONG_SINGLE_SELECT_EXPORT_NAME_F_Q,$A$1:$H$1,0)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IF(OR(F_Custom1_Q="(None)",F_Custom1_Q="",ISBLANK(F_Custom1_Q),F_Custom1_V="(All)",F_Custom1_V="",ISBLANK(F_Custom1_V)),1,IFERROR(IF(ISNUMBER(SEARCH("|"&amp;INDEX($A9:$H9,1,MATCH(F_Custom1_Q,$A$1:$H$1,0))&amp;"|",F_Custom1_wrapped)),1,0),0))</f>
        <v>1</v>
      </c>
      <c r="K9">
        <f>IF(OR(F_Custom2_Q="(None)",F_Custom2_Q="",ISBLANK(F_Custom2_Q),F_Custom2_V="(All)",F_Custom2_V="",ISBLANK(F_Custom2_V)),1,IFERROR(IF(ISNUMBER(SEARCH("|"&amp;INDEX($A9:$H9,1,MATCH(F_Custom2_Q,$A$1:$H$1,0))&amp;"|",F_Custom2_wrapped)),1,0),0))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9:$H9,1,MATCH(All_Questions_Q_SS_EXPORT_F_Q,$A$1:$H$1,0)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9:$H9,1,MATCH(All_Questions_Q_MS_EXPORT_F_Q,$A$1:$H$1,0)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9:$H9,1,MATCH(All_Questions_Q_NUM_EXPORT_F_Q,$A$1:$H$1,0)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9:$H9,1,MATCH(All_Questions_Q_GRID_EXPORT_F_Q,$A$1:$H$1,0)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9:$H9,1,MATCH(All_Questions_Q_VERY_LONG_SINGLE_SELECT_EXPORT_NAME_F_Q,$A$1:$H$1,0)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IF(OR(F_Custom1_Q="(None)",F_Custom1_Q="",ISBLANK(F_Custom1_Q),F_Custom1_V="(All)",F_Custom1_V="",ISBLANK(F_Custom1_V)),1,IFERROR(IF(ISNUMBER(SEARCH("|"&amp;INDEX($A10:$H10,1,MATCH(F_Custom1_Q,$A$1:$H$1,0))&amp;"|",F_Custom1_wrapped)),1,0),0))</f>
        <v>1</v>
      </c>
      <c r="K10">
        <f>IF(OR(F_Custom2_Q="(None)",F_Custom2_Q="",ISBLANK(F_Custom2_Q),F_Custom2_V="(All)",F_Custom2_V="",ISBLANK(F_Custom2_V)),1,IFERROR(IF(ISNUMBER(SEARCH("|"&amp;INDEX($A10:$H10,1,MATCH(F_Custom2_Q,$A$1:$H$1,0))&amp;"|",F_Custom2_wrapped)),1,0),0))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10:$H10,1,MATCH(All_Questions_Q_SS_EXPORT_F_Q,$A$1:$H$1,0)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10:$H10,1,MATCH(All_Questions_Q_MS_EXPORT_F_Q,$A$1:$H$1,0)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10:$H10,1,MATCH(All_Questions_Q_NUM_EXPORT_F_Q,$A$1:$H$1,0)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10:$H10,1,MATCH(All_Questions_Q_GRID_EXPORT_F_Q,$A$1:$H$1,0)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10:$H10,1,MATCH(All_Questions_Q_VERY_LONG_SINGLE_SELECT_EXPORT_NAME_F_Q,$A$1:$H$1,0)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IF(OR(F_Custom1_Q="(None)",F_Custom1_Q="",ISBLANK(F_Custom1_Q),F_Custom1_V="(All)",F_Custom1_V="",ISBLANK(F_Custom1_V)),1,IFERROR(IF(ISNUMBER(SEARCH("|"&amp;INDEX($A11:$H11,1,MATCH(F_Custom1_Q,$A$1:$H$1,0))&amp;"|",F_Custom1_wrapped)),1,0),0))</f>
        <v>1</v>
      </c>
      <c r="K11">
        <f>IF(OR(F_Custom2_Q="(None)",F_Custom2_Q="",ISBLANK(F_Custom2_Q),F_Custom2_V="(All)",F_Custom2_V="",ISBLANK(F_Custom2_V)),1,IFERROR(IF(ISNUMBER(SEARCH("|"&amp;INDEX($A11:$H11,1,MATCH(F_Custom2_Q,$A$1:$H$1,0))&amp;"|",F_Custom2_wrapped)),1,0),0))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11:$H11,1,MATCH(All_Questions_Q_SS_EXPORT_F_Q,$A$1:$H$1,0)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11:$H11,1,MATCH(All_Questions_Q_MS_EXPORT_F_Q,$A$1:$H$1,0)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11:$H11,1,MATCH(All_Questions_Q_NUM_EXPORT_F_Q,$A$1:$H$1,0)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11:$H11,1,MATCH(All_Questions_Q_GRID_EXPORT_F_Q,$A$1:$H$1,0)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11:$H11,1,MATCH(All_Questions_Q_VERY_LONG_SINGLE_SELECT_EXPORT_NAME_F_Q,$A$1:$H$1,0)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None_options</t>
        </is>
      </c>
      <c r="D1" t="inlineStr">
        <is>
          <t>Q_SS_EXPORT_options</t>
        </is>
      </c>
      <c r="E1" t="inlineStr">
        <is>
          <t>Q_MS_EXPORTr1_options</t>
        </is>
      </c>
      <c r="F1" t="inlineStr">
        <is>
          <t>Q_MS_EXPORTr2_options</t>
        </is>
      </c>
      <c r="G1" t="inlineStr">
        <is>
          <t>Q_NUM_EXPORT_options</t>
        </is>
      </c>
      <c r="H1" t="inlineStr">
        <is>
          <t>Q_GRID_EXPORTr1_options</t>
        </is>
      </c>
      <c r="I1" t="inlineStr">
        <is>
          <t>Q_GRID_EXPORTr2_options</t>
        </is>
      </c>
      <c r="J1" t="inlineStr">
        <is>
          <t>Q_VERY_LONG_SINGLE_SELECT_EXPOR_options</t>
        </is>
      </c>
      <c r="K1" t="inlineStr">
        <is>
          <t>Q_SS_EXPORT_local_options</t>
        </is>
      </c>
      <c r="L1" t="inlineStr">
        <is>
          <t>Q_MS_EXPORTr1_local_options</t>
        </is>
      </c>
      <c r="M1" t="inlineStr">
        <is>
          <t>Q_MS_EXPORTr2_local_options</t>
        </is>
      </c>
      <c r="N1" t="inlineStr">
        <is>
          <t>Q_NUM_EXPORT_local_options</t>
        </is>
      </c>
      <c r="O1" t="inlineStr">
        <is>
          <t>Q_GRID_EXPORTr1_local_options</t>
        </is>
      </c>
      <c r="P1" t="inlineStr">
        <is>
          <t>Q_GRID_EXPORTr2_local_options</t>
        </is>
      </c>
      <c r="Q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(Inherit)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A3" t="inlineStr">
        <is>
          <t>Q_SS_EXPORT</t>
        </is>
      </c>
      <c r="B3" t="inlineStr">
        <is>
          <t>(None)</t>
        </is>
      </c>
      <c r="D3" t="inlineStr">
        <is>
          <t>Yes</t>
        </is>
      </c>
      <c r="E3" t="inlineStr">
        <is>
          <t>Selected</t>
        </is>
      </c>
      <c r="F3" t="inlineStr">
        <is>
          <t>Selected</t>
        </is>
      </c>
      <c r="G3" t="inlineStr">
        <is>
          <t>5.5</t>
        </is>
      </c>
      <c r="H3" t="inlineStr">
        <is>
          <t>Selected</t>
        </is>
      </c>
      <c r="I3" t="inlineStr">
        <is>
          <t>Selected</t>
        </is>
      </c>
      <c r="J3" t="inlineStr">
        <is>
          <t>A</t>
        </is>
      </c>
      <c r="K3" t="inlineStr">
        <is>
          <t>(All)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A4" t="inlineStr">
        <is>
          <t>Q_MS_EXPORTr1</t>
        </is>
      </c>
      <c r="B4" t="inlineStr">
        <is>
          <t>Q_SS_EXPORT</t>
        </is>
      </c>
      <c r="D4" t="inlineStr">
        <is>
          <t>No</t>
        </is>
      </c>
      <c r="J4" t="inlineStr">
        <is>
          <t>B</t>
        </is>
      </c>
      <c r="K4" t="inlineStr">
        <is>
          <t>Yes</t>
        </is>
      </c>
      <c r="L4" t="inlineStr">
        <is>
          <t>Selected</t>
        </is>
      </c>
      <c r="M4" t="inlineStr">
        <is>
          <t>Selected</t>
        </is>
      </c>
      <c r="N4" t="inlineStr">
        <is>
          <t>5.5</t>
        </is>
      </c>
      <c r="O4" t="inlineStr">
        <is>
          <t>Selected</t>
        </is>
      </c>
      <c r="P4" t="inlineStr">
        <is>
          <t>Selected</t>
        </is>
      </c>
      <c r="Q4" t="inlineStr">
        <is>
          <t>A</t>
        </is>
      </c>
    </row>
    <row r="5">
      <c r="A5" t="inlineStr">
        <is>
          <t>Q_MS_EXPORTr2</t>
        </is>
      </c>
      <c r="B5" t="inlineStr">
        <is>
          <t>Q_MS_EXPORTr1</t>
        </is>
      </c>
      <c r="K5" t="inlineStr">
        <is>
          <t>No</t>
        </is>
      </c>
      <c r="Q5" t="inlineStr">
        <is>
          <t>B</t>
        </is>
      </c>
    </row>
    <row r="6">
      <c r="A6" t="inlineStr">
        <is>
          <t>Q_NUM_EXPORT</t>
        </is>
      </c>
      <c r="B6" t="inlineStr">
        <is>
          <t>Q_MS_EXPORTr2</t>
        </is>
      </c>
    </row>
    <row r="7">
      <c r="A7" t="inlineStr">
        <is>
          <t>Q_GRID_EXPORTr1</t>
        </is>
      </c>
      <c r="B7" t="inlineStr">
        <is>
          <t>Q_NUM_EXPORT</t>
        </is>
      </c>
    </row>
    <row r="8">
      <c r="A8" t="inlineStr">
        <is>
          <t>Q_GRID_EXPORTr2</t>
        </is>
      </c>
      <c r="B8" t="inlineStr">
        <is>
          <t>Q_GRID_EXPORTr1</t>
        </is>
      </c>
    </row>
    <row r="9">
      <c r="A9" t="inlineStr">
        <is>
          <t>Q_VERY_LONG_SINGLE_SELECT_EXPOR</t>
        </is>
      </c>
      <c r="B9" t="inlineStr">
        <is>
          <t>Q_GRID_EXPORTr2</t>
        </is>
      </c>
    </row>
    <row r="10">
      <c r="B10" t="inlineStr">
        <is>
          <t>Q_VERY_LONG_SINGLE_SELECT_EXPOR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IF(F_Custom1_Q="(None)","respondent_id_data",F_Custom1_Q &amp; "_data")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IF(F_Custom2_Q="(None)","respondent_id_data",F_Custom2_Q &amp; "_data")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=INDIRECT(IF(F_Custom1_Q="(None)","None_options",F_Custom1_Q &amp; "_options"))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=INDIRECT(IF(F_Custom2_Q="(None)","None_options",F_Custom2_Q &amp; "_options"))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5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IF(All_Questions_F_Custom1_Q_resolved="(None)","respondent_id_data",All_Questions_F_Custom1_Q_resolved &amp; "_data")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IF(All_Questions_F_Custom2_Q_resolved="(None)","respondent_id_data",All_Questions_F_Custom2_Q_resolved &amp; "_data")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IF(All_Questions_Q_SS_EXPORT_F_Q="(None)","respondent_id_data",All_Questions_Q_SS_EXPORT_F_Q &amp; "_data")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IFERROR(INDEX(INDIRECT(All_Questions_Q_SS_EXPORT_CT &amp; "_options"),2),"")</f>
        <v/>
      </c>
      <c r="H16" t="str">
        <f>IFERROR(INDEX(INDIRECT(All_Questions_Q_SS_EXPORT_CT &amp; "_options"),3),"")</f>
        <v/>
      </c>
      <c r="I16" t="str">
        <f>IFERROR(INDEX(INDIRECT(All_Questions_Q_SS_EXPORT_CT &amp; "_options"),4),"")</f>
        <v/>
      </c>
      <c r="J16" t="str">
        <f>IFERROR(INDEX(INDIRECT(All_Questions_Q_SS_EXPORT_CT &amp; "_options"),5),"")</f>
        <v/>
      </c>
      <c r="K16" t="str">
        <f>IFERROR(INDEX(INDIRECT(All_Questions_Q_SS_EXPORT_CT &amp; "_options"),6),"")</f>
        <v/>
      </c>
      <c r="L16" t="str">
        <f>IFERROR(INDEX(INDIRECT(All_Questions_Q_SS_EXPORT_CT &amp; "_options"),7),"")</f>
        <v/>
      </c>
      <c r="M16" t="str">
        <f>IFERROR(INDEX(INDIRECT(All_Questions_Q_SS_EXPORT_CT &amp; "_options"),8),"")</f>
        <v/>
      </c>
      <c r="N16" t="str">
        <f>IFERROR(INDEX(INDIRECT(All_Questions_Q_SS_EXPORT_CT &amp; "_options"),9),"")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"_data"),N$16)</f>
        <v>0</v>
      </c>
      <c r="O18">
        <f>SUM(G18:N18)</f>
        <v>0</v>
      </c>
    </row>
    <row r="20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</row>
    <row r="21">
      <c r="A21" s="12" t="inlineStr">
        <is>
          <t>Q_MS_EXPORT - Multi select export question</t>
        </is>
      </c>
    </row>
    <row r="22">
      <c r="A22" s="13" t="inlineStr">
        <is>
          <t>Per-question filter</t>
        </is>
      </c>
      <c r="B22" t="inlineStr">
        <is>
          <t>Filter Q</t>
        </is>
      </c>
      <c r="C22" t="inlineStr">
        <is>
          <t>(None)</t>
        </is>
      </c>
      <c r="D22" t="inlineStr">
        <is>
          <t>Value</t>
        </is>
      </c>
      <c r="E22" t="inlineStr">
        <is>
          <t>(All)</t>
        </is>
      </c>
      <c r="F22" t="str">
        <f>IF(All_Questions_Q_MS_EXPORT_F_Q="(None)","respondent_id_data",All_Questions_Q_MS_EXPORT_F_Q &amp; "_data")</f>
        <v>respondent_id_data</v>
      </c>
      <c r="G22" t="str">
        <f>"|" &amp; SUBSTITUTE(All_Questions_Q_MS_EXPORT_F_V, ", ", "|") &amp; "|"</f>
        <v>|(All)|</v>
      </c>
    </row>
    <row r="23">
      <c r="A23" s="13" t="inlineStr">
        <is>
          <t>Cross-tab by</t>
        </is>
      </c>
      <c r="C23" t="inlineStr">
        <is>
          <t>(None)</t>
        </is>
      </c>
    </row>
    <row r="25">
      <c r="A25" s="4" t="inlineStr">
        <is>
          <t>Option</t>
        </is>
      </c>
      <c r="B25" s="4" t="inlineStr">
        <is>
          <t>Count</t>
        </is>
      </c>
      <c r="C25" s="4" t="inlineStr">
        <is>
          <t>%</t>
        </is>
      </c>
      <c r="D25" s="4" t="inlineStr">
        <is>
          <t>Denominator</t>
        </is>
      </c>
      <c r="F25" s="5" t="inlineStr">
        <is>
          <t>Option \ Cross-tab</t>
        </is>
      </c>
      <c r="G25" t="str">
        <f>IFERROR(INDEX(INDIRECT(All_Questions_Q_MS_EXPORT_CT &amp; "_options"),2),"")</f>
        <v/>
      </c>
      <c r="H25" t="str">
        <f>IFERROR(INDEX(INDIRECT(All_Questions_Q_MS_EXPORT_CT &amp; "_options"),3),"")</f>
        <v/>
      </c>
      <c r="I25" t="str">
        <f>IFERROR(INDEX(INDIRECT(All_Questions_Q_MS_EXPORT_CT &amp; "_options"),4),"")</f>
        <v/>
      </c>
      <c r="J25" t="str">
        <f>IFERROR(INDEX(INDIRECT(All_Questions_Q_MS_EXPORT_CT &amp; "_options"),5),"")</f>
        <v/>
      </c>
      <c r="K25" t="str">
        <f>IFERROR(INDEX(INDIRECT(All_Questions_Q_MS_EXPORT_CT &amp; "_options"),6),"")</f>
        <v/>
      </c>
      <c r="L25" t="str">
        <f>IFERROR(INDEX(INDIRECT(All_Questions_Q_MS_EXPORT_CT &amp; "_options"),7),"")</f>
        <v/>
      </c>
      <c r="M25" t="str">
        <f>IFERROR(INDEX(INDIRECT(All_Questions_Q_MS_EXPORT_CT &amp; "_options"),8),"")</f>
        <v/>
      </c>
      <c r="N25" t="str">
        <f>IFERROR(INDEX(INDIRECT(All_Questions_Q_MS_EXPORT_CT &amp; "_options"),9),"")</f>
        <v/>
      </c>
      <c r="O25" s="5" t="inlineStr">
        <is>
          <t>TOTAL</t>
        </is>
      </c>
    </row>
    <row r="26">
      <c r="A26" t="inlineStr">
        <is>
          <t>First</t>
        </is>
      </c>
      <c r="B26">
        <f>COUNTIFS(Q_MS_EXPORTr1_data,"Selected",passes_workbook_filters_data,1,passes_workbook_custom_filters_data,1,All_Questions_passes_local_filters_data,1,All_Questions_Q_MS_EXPORT_F_passes_per_q_filter_data,1)</f>
        <v>5</v>
      </c>
      <c r="C26" s="7">
        <f>IFERROR(B26/SUBTOTAL(9,B26:B27),0)</f>
        <v>0.7142857142857143</v>
      </c>
      <c r="D26" s="14">
        <f>SUBTOTAL(9,B26:B27)</f>
        <v>7</v>
      </c>
      <c r="F26" t="inlineStr">
        <is>
          <t>First</t>
        </is>
      </c>
      <c r="G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"_data"),G$25)</f>
        <v>0</v>
      </c>
      <c r="H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"_data"),H$25)</f>
        <v>0</v>
      </c>
      <c r="I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"_data"),I$25)</f>
        <v>0</v>
      </c>
      <c r="J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"_data"),J$25)</f>
        <v>0</v>
      </c>
      <c r="K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"_data"),K$25)</f>
        <v>0</v>
      </c>
      <c r="L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"_data"),L$25)</f>
        <v>0</v>
      </c>
      <c r="M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"_data"),M$25)</f>
        <v>0</v>
      </c>
      <c r="N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"_data"),N$25)</f>
        <v>0</v>
      </c>
      <c r="O26">
        <f>SUM(G26:N26)</f>
        <v>0</v>
      </c>
    </row>
    <row r="27">
      <c r="A27" t="inlineStr">
        <is>
          <t>Second</t>
        </is>
      </c>
      <c r="B27">
        <f>COUNTIFS(Q_MS_EXPORTr2_data,"Selected",passes_workbook_filters_data,1,passes_workbook_custom_filters_data,1,All_Questions_passes_local_filters_data,1,All_Questions_Q_MS_EXPORT_F_passes_per_q_filter_data,1)</f>
        <v>2</v>
      </c>
      <c r="C27" s="7">
        <f>IFERROR(B27/SUBTOTAL(9,B26:B27),0)</f>
        <v>0.2857142857142857</v>
      </c>
      <c r="D27" s="14">
        <f>SUBTOTAL(9,B26:B27)</f>
        <v>7</v>
      </c>
      <c r="F27" t="inlineStr">
        <is>
          <t>Second</t>
        </is>
      </c>
      <c r="G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"_data"),G$25)</f>
        <v>0</v>
      </c>
      <c r="H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"_data"),H$25)</f>
        <v>0</v>
      </c>
      <c r="I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"_data"),I$25)</f>
        <v>0</v>
      </c>
      <c r="J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"_data"),J$25)</f>
        <v>0</v>
      </c>
      <c r="K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"_data"),K$25)</f>
        <v>0</v>
      </c>
      <c r="L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"_data"),L$25)</f>
        <v>0</v>
      </c>
      <c r="M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"_data"),M$25)</f>
        <v>0</v>
      </c>
      <c r="N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"_data"),N$25)</f>
        <v>0</v>
      </c>
      <c r="O27">
        <f>SUM(G27:N27)</f>
        <v>0</v>
      </c>
    </row>
    <row r="29">
      <c r="A29" s="11" t="n"/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</row>
    <row r="30">
      <c r="A30" s="12" t="inlineStr">
        <is>
          <t>Q_NUM_EXPORT - Numeric export question</t>
        </is>
      </c>
    </row>
    <row r="31">
      <c r="A31" s="13" t="inlineStr">
        <is>
          <t>Per-question filter</t>
        </is>
      </c>
      <c r="B31" t="inlineStr">
        <is>
          <t>Filter Q</t>
        </is>
      </c>
      <c r="C31" t="inlineStr">
        <is>
          <t>(None)</t>
        </is>
      </c>
      <c r="D31" t="inlineStr">
        <is>
          <t>Value</t>
        </is>
      </c>
      <c r="E31" t="inlineStr">
        <is>
          <t>(All)</t>
        </is>
      </c>
      <c r="F31" t="str">
        <f>IF(All_Questions_Q_NUM_EXPORT_F_Q="(None)","respondent_id_data",All_Questions_Q_NUM_EXPORT_F_Q &amp; "_data")</f>
        <v>respondent_id_data</v>
      </c>
      <c r="G31" t="str">
        <f>"|" &amp; SUBSTITUTE(All_Questions_Q_NUM_EXPORT_F_V, ", ", "|") &amp; "|"</f>
        <v>|(All)|</v>
      </c>
    </row>
    <row r="32">
      <c r="A32" s="13" t="inlineStr">
        <is>
          <t>Cross-tab by</t>
        </is>
      </c>
      <c r="C32" t="inlineStr">
        <is>
          <t>(None)</t>
        </is>
      </c>
    </row>
    <row r="34">
      <c r="A34" s="4" t="inlineStr">
        <is>
          <t>Metric</t>
        </is>
      </c>
      <c r="B34" s="4" t="inlineStr">
        <is>
          <t>Value</t>
        </is>
      </c>
      <c r="C34" s="4" t="inlineStr">
        <is>
          <t>Note</t>
        </is>
      </c>
      <c r="D34" s="4" t="inlineStr">
        <is>
          <t>Denominator</t>
        </is>
      </c>
    </row>
    <row r="35">
      <c r="A35" t="inlineStr">
        <is>
          <t>Mean</t>
        </is>
      </c>
      <c r="B35">
        <f>IFERROR(AVERAGEIFS(Q_NUM_EXPORT_data,passes_workbook_filters_data,1,passes_workbook_custom_filters_data,1,All_Questions_passes_local_filters_data,1,All_Questions_Q_NUM_EXPORT_F_passes_per_q_filter_data,1),0)</f>
        <v>5.5</v>
      </c>
      <c r="D35">
        <f>COUNTIFS(Q_NUM_EXPORT_data,"&lt;&gt;",passes_workbook_filters_data,1,passes_workbook_custom_filters_data,1,All_Questions_passes_local_filters_data,1,All_Questions_Q_NUM_EXPORT_F_passes_per_q_filter_data,1)</f>
        <v>10</v>
      </c>
    </row>
    <row r="36">
      <c r="A36" t="inlineStr">
        <is>
          <t>Min</t>
        </is>
      </c>
      <c r="B36">
        <f>IFERROR(MINIFS(Q_NUM_EXPORT_data,passes_workbook_filters_data,1,passes_workbook_custom_filters_data,1,All_Questions_passes_local_filters_data,1,All_Questions_Q_NUM_EXPORT_F_passes_per_q_filter_data,1),0)</f>
        <v>1.0</v>
      </c>
      <c r="D36">
        <f>COUNTIFS(Q_NUM_EXPORT_data,"&lt;&gt;",passes_workbook_filters_data,1,passes_workbook_custom_filters_data,1,All_Questions_passes_local_filters_data,1,All_Questions_Q_NUM_EXPORT_F_passes_per_q_filter_data,1)</f>
        <v>10</v>
      </c>
    </row>
    <row r="37">
      <c r="A37" t="inlineStr">
        <is>
          <t>Max</t>
        </is>
      </c>
      <c r="B37">
        <f>IFERROR(MAXIFS(Q_NUM_EXPORT_data,passes_workbook_filters_data,1,passes_workbook_custom_filters_data,1,All_Questions_passes_local_filters_data,1,All_Questions_Q_NUM_EXPORT_F_passes_per_q_filter_data,1),0)</f>
        <v>10.0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Std</t>
        </is>
      </c>
      <c r="B38" t="n">
        <v>2.9</v>
      </c>
      <c r="C38" t="inlineStr">
        <is>
          <t>static baseline</t>
        </is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s="10" t="inlineStr">
        <is>
          <t>Median not available in filtered view - see static baseline in audit log.</t>
        </is>
      </c>
    </row>
    <row r="41">
      <c r="A41" s="11" t="n"/>
      <c r="B41" s="11" t="n"/>
      <c r="C41" s="11" t="n"/>
      <c r="D41" s="11" t="n"/>
      <c r="E41" s="11" t="n"/>
      <c r="F41" s="11" t="n"/>
      <c r="G41" s="11" t="n"/>
      <c r="H41" s="11" t="n"/>
      <c r="I41" s="11" t="n"/>
      <c r="J41" s="11" t="n"/>
    </row>
    <row r="42">
      <c r="A42" s="12" t="inlineStr">
        <is>
          <t>Q_GRID_EXPORT - Grid export question</t>
        </is>
      </c>
    </row>
    <row r="43">
      <c r="A43" s="13" t="inlineStr">
        <is>
          <t>Per-question filter</t>
        </is>
      </c>
      <c r="B43" t="inlineStr">
        <is>
          <t>Filter Q</t>
        </is>
      </c>
      <c r="C43" t="inlineStr">
        <is>
          <t>(None)</t>
        </is>
      </c>
      <c r="D43" t="inlineStr">
        <is>
          <t>Value</t>
        </is>
      </c>
      <c r="E43" t="inlineStr">
        <is>
          <t>(All)</t>
        </is>
      </c>
      <c r="F43" t="str">
        <f>IF(All_Questions_Q_GRID_EXPORT_F_Q="(None)","respondent_id_data",All_Questions_Q_GRID_EXPORT_F_Q &amp; "_data")</f>
        <v>respondent_id_data</v>
      </c>
      <c r="G43" t="str">
        <f>"|" &amp; SUBSTITUTE(All_Questions_Q_GRID_EXPORT_F_V, ", ", "|") &amp; "|"</f>
        <v>|(All)|</v>
      </c>
    </row>
    <row r="44">
      <c r="A44" s="13" t="inlineStr">
        <is>
          <t>Cross-tab by</t>
        </is>
      </c>
      <c r="C44" t="inlineStr">
        <is>
          <t>(None)</t>
        </is>
      </c>
    </row>
    <row r="46">
      <c r="A46" s="4" t="inlineStr">
        <is>
          <t>Option</t>
        </is>
      </c>
      <c r="B46" s="4" t="inlineStr">
        <is>
          <t>Count</t>
        </is>
      </c>
      <c r="C46" s="4" t="inlineStr">
        <is>
          <t>%</t>
        </is>
      </c>
      <c r="D46" s="4" t="inlineStr">
        <is>
          <t>Denominator</t>
        </is>
      </c>
      <c r="F46" s="5" t="inlineStr">
        <is>
          <t>Option \ Cross-tab</t>
        </is>
      </c>
      <c r="G46" t="str">
        <f>IFERROR(INDEX(INDIRECT(All_Questions_Q_GRID_EXPORT_CT &amp; "_options"),2),"")</f>
        <v/>
      </c>
      <c r="H46" t="str">
        <f>IFERROR(INDEX(INDIRECT(All_Questions_Q_GRID_EXPORT_CT &amp; "_options"),3),"")</f>
        <v/>
      </c>
      <c r="I46" t="str">
        <f>IFERROR(INDEX(INDIRECT(All_Questions_Q_GRID_EXPORT_CT &amp; "_options"),4),"")</f>
        <v/>
      </c>
      <c r="J46" t="str">
        <f>IFERROR(INDEX(INDIRECT(All_Questions_Q_GRID_EXPORT_CT &amp; "_options"),5),"")</f>
        <v/>
      </c>
      <c r="K46" t="str">
        <f>IFERROR(INDEX(INDIRECT(All_Questions_Q_GRID_EXPORT_CT &amp; "_options"),6),"")</f>
        <v/>
      </c>
      <c r="L46" t="str">
        <f>IFERROR(INDEX(INDIRECT(All_Questions_Q_GRID_EXPORT_CT &amp; "_options"),7),"")</f>
        <v/>
      </c>
      <c r="M46" t="str">
        <f>IFERROR(INDEX(INDIRECT(All_Questions_Q_GRID_EXPORT_CT &amp; "_options"),8),"")</f>
        <v/>
      </c>
      <c r="N46" t="str">
        <f>IFERROR(INDEX(INDIRECT(All_Questions_Q_GRID_EXPORT_CT &amp; "_options"),9),"")</f>
        <v/>
      </c>
      <c r="O46" s="5" t="inlineStr">
        <is>
          <t>TOTAL</t>
        </is>
      </c>
    </row>
    <row r="47">
      <c r="A47" t="inlineStr">
        <is>
          <t>Grid first row</t>
        </is>
      </c>
      <c r="B47">
        <f>COUNTIFS(Q_GRID_EXPORTr1_data,"Selected",passes_workbook_filters_data,1,passes_workbook_custom_filters_data,1,All_Questions_passes_local_filters_data,1,All_Questions_Q_GRID_EXPORT_F_passes_per_q_filter_data,1)</f>
        <v>10</v>
      </c>
      <c r="C47" s="7">
        <f>IFERROR(B47/SUBTOTAL(9,B47:B48),0)</f>
        <v>0.5</v>
      </c>
      <c r="D47" s="14">
        <f>SUBTOTAL(9,B47:B48)</f>
        <v>20</v>
      </c>
      <c r="F47" t="inlineStr">
        <is>
          <t>Grid first row</t>
        </is>
      </c>
      <c r="G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"_data"),G$46)</f>
        <v>0</v>
      </c>
      <c r="H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"_data"),H$46)</f>
        <v>0</v>
      </c>
      <c r="I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"_data"),I$46)</f>
        <v>0</v>
      </c>
      <c r="J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"_data"),J$46)</f>
        <v>0</v>
      </c>
      <c r="K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"_data"),K$46)</f>
        <v>0</v>
      </c>
      <c r="L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"_data"),L$46)</f>
        <v>0</v>
      </c>
      <c r="M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"_data"),M$46)</f>
        <v>0</v>
      </c>
      <c r="N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"_data"),N$46)</f>
        <v>0</v>
      </c>
      <c r="O47">
        <f>SUM(G47:N47)</f>
        <v>0</v>
      </c>
    </row>
    <row r="48">
      <c r="A48" t="inlineStr">
        <is>
          <t>Grid second row</t>
        </is>
      </c>
      <c r="B48">
        <f>COUNTIFS(Q_GRID_EXPORTr2_data,"Selected",passes_workbook_filters_data,1,passes_workbook_custom_filters_data,1,All_Questions_passes_local_filters_data,1,All_Questions_Q_GRID_EXPORT_F_passes_per_q_filter_data,1)</f>
        <v>10</v>
      </c>
      <c r="C48" s="7">
        <f>IFERROR(B48/SUBTOTAL(9,B47:B48),0)</f>
        <v>0.5</v>
      </c>
      <c r="D48" s="14">
        <f>SUBTOTAL(9,B47:B48)</f>
        <v>20</v>
      </c>
      <c r="F48" t="inlineStr">
        <is>
          <t>Grid second row</t>
        </is>
      </c>
      <c r="G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"_data"),G$46)</f>
        <v>0</v>
      </c>
      <c r="H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"_data"),H$46)</f>
        <v>0</v>
      </c>
      <c r="I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"_data"),I$46)</f>
        <v>0</v>
      </c>
      <c r="J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"_data"),J$46)</f>
        <v>0</v>
      </c>
      <c r="K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"_data"),K$46)</f>
        <v>0</v>
      </c>
      <c r="L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"_data"),L$46)</f>
        <v>0</v>
      </c>
      <c r="M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"_data"),M$46)</f>
        <v>0</v>
      </c>
      <c r="N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"_data"),N$46)</f>
        <v>0</v>
      </c>
      <c r="O48">
        <f>SUM(G48:N48)</f>
        <v>0</v>
      </c>
    </row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Q_VERY_LONG_SINGLE_SELECT_EXPORT_NAME - Long sheet name export question</t>
        </is>
      </c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 t="str">
        <f>IF(All_Questions_Q_VERY_LONG_SINGLE_SELECT_EXPORT_NAME_F_Q="(None)","respondent_id_data",All_Questions_Q_VERY_LONG_SINGLE_SELECT_EXPORT_NAME_F_Q &amp; "_data")</f>
        <v>respondent_id_data</v>
      </c>
      <c r="G52" t="str">
        <f>"|" &amp; SUBSTITUTE(All_Questions_Q_VERY_LONG_SINGLE_SELECT_EXPORT_NAME_F_V, ", ", "|") &amp; "|"</f>
        <v>|(All)|</v>
      </c>
    </row>
    <row r="53">
      <c r="A53" s="13" t="inlineStr">
        <is>
          <t>Cross-tab by</t>
        </is>
      </c>
      <c r="C53" t="inlineStr">
        <is>
          <t>(None)</t>
        </is>
      </c>
    </row>
    <row r="55">
      <c r="A55" s="4" t="inlineStr">
        <is>
          <t>Option</t>
        </is>
      </c>
      <c r="B55" s="4" t="inlineStr">
        <is>
          <t>Count</t>
        </is>
      </c>
      <c r="C55" s="4" t="inlineStr">
        <is>
          <t>%</t>
        </is>
      </c>
      <c r="D55" s="4" t="inlineStr">
        <is>
          <t>Denominator</t>
        </is>
      </c>
      <c r="F55" s="5" t="inlineStr">
        <is>
          <t>Option \ Cross-tab</t>
        </is>
      </c>
      <c r="G55" t="str">
        <f>IFERROR(INDEX(INDIRECT(All_Questions_Q_VERY_LONG_SINGLE_SELECT_EXPORT_NAME_CT &amp; "_options"),2),"")</f>
        <v/>
      </c>
      <c r="H55" t="str">
        <f>IFERROR(INDEX(INDIRECT(All_Questions_Q_VERY_LONG_SINGLE_SELECT_EXPORT_NAME_CT &amp; "_options"),3),"")</f>
        <v/>
      </c>
      <c r="I55" t="str">
        <f>IFERROR(INDEX(INDIRECT(All_Questions_Q_VERY_LONG_SINGLE_SELECT_EXPORT_NAME_CT &amp; "_options"),4),"")</f>
        <v/>
      </c>
      <c r="J55" t="str">
        <f>IFERROR(INDEX(INDIRECT(All_Questions_Q_VERY_LONG_SINGLE_SELECT_EXPORT_NAME_CT &amp; "_options"),5),"")</f>
        <v/>
      </c>
      <c r="K55" t="str">
        <f>IFERROR(INDEX(INDIRECT(All_Questions_Q_VERY_LONG_SINGLE_SELECT_EXPORT_NAME_CT &amp; "_options"),6),"")</f>
        <v/>
      </c>
      <c r="L55" t="str">
        <f>IFERROR(INDEX(INDIRECT(All_Questions_Q_VERY_LONG_SINGLE_SELECT_EXPORT_NAME_CT &amp; "_options"),7),"")</f>
        <v/>
      </c>
      <c r="M55" t="str">
        <f>IFERROR(INDEX(INDIRECT(All_Questions_Q_VERY_LONG_SINGLE_SELECT_EXPORT_NAME_CT &amp; "_options"),8),"")</f>
        <v/>
      </c>
      <c r="N55" t="str">
        <f>IFERROR(INDEX(INDIRECT(All_Questions_Q_VERY_LONG_SINGLE_SELECT_EXPORT_NAME_CT &amp; "_options"),9),"")</f>
        <v/>
      </c>
      <c r="O55" s="5" t="inlineStr">
        <is>
          <t>TOTAL</t>
        </is>
      </c>
    </row>
    <row r="56">
      <c r="A56" t="inlineStr">
        <is>
          <t>A</t>
        </is>
      </c>
      <c r="B56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6" s="7">
        <f>IFERROR(B56/SUBTOTAL(9,B56:B57),0)</f>
        <v>0.7</v>
      </c>
      <c r="D56" s="14">
        <f>SUBTOTAL(9,B56:B57)</f>
        <v>10</v>
      </c>
      <c r="F56" t="inlineStr">
        <is>
          <t>A</t>
        </is>
      </c>
      <c r="G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"_data"),G$55)</f>
        <v>0</v>
      </c>
      <c r="H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"_data"),H$55)</f>
        <v>0</v>
      </c>
      <c r="I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"_data"),I$55)</f>
        <v>0</v>
      </c>
      <c r="J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"_data"),J$55)</f>
        <v>0</v>
      </c>
      <c r="K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"_data"),K$55)</f>
        <v>0</v>
      </c>
      <c r="L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"_data"),L$55)</f>
        <v>0</v>
      </c>
      <c r="M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"_data"),M$55)</f>
        <v>0</v>
      </c>
      <c r="N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"_data"),N$55)</f>
        <v>0</v>
      </c>
      <c r="O56">
        <f>SUM(G56:N56)</f>
        <v>0</v>
      </c>
    </row>
    <row r="57">
      <c r="A57" t="inlineStr">
        <is>
          <t>B</t>
        </is>
      </c>
      <c r="B57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7" s="7">
        <f>IFERROR(B57/SUBTOTAL(9,B56:B57),0)</f>
        <v>0.3</v>
      </c>
      <c r="D57" s="14">
        <f>SUBTOTAL(9,B56:B57)</f>
        <v>10</v>
      </c>
      <c r="F57" t="inlineStr">
        <is>
          <t>B</t>
        </is>
      </c>
      <c r="G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"_data"),G$55)</f>
        <v>0</v>
      </c>
      <c r="H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"_data"),H$55)</f>
        <v>0</v>
      </c>
      <c r="I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"_data"),I$55)</f>
        <v>0</v>
      </c>
      <c r="J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"_data"),J$55)</f>
        <v>0</v>
      </c>
      <c r="K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"_data"),K$55)</f>
        <v>0</v>
      </c>
      <c r="L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"_data"),L$55)</f>
        <v>0</v>
      </c>
      <c r="M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"_data"),M$55)</f>
        <v>0</v>
      </c>
      <c r="N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"_data"),N$55)</f>
        <v>0</v>
      </c>
      <c r="O57">
        <f>SUM(G57:N57)</f>
        <v>0</v>
      </c>
    </row>
  </sheetData>
  <mergeCells count="6">
    <mergeCell ref="A1:J1"/>
    <mergeCell ref="A30:J30"/>
    <mergeCell ref="A21:J21"/>
    <mergeCell ref="A12:J12"/>
    <mergeCell ref="A42:J42"/>
    <mergeCell ref="A51:J51"/>
  </mergeCells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=INDIRECT(IF(All_Questions_F_Custom1_Q_resolved="(None)","None_options",All_Questions_F_Custom1_Q_resolved &amp; "_local_options"))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=INDIRECT(IF(All_Questions_F_Custom2_Q_resolved="(None)","None_options",All_Questions_F_Custom2_Q_resolved &amp; "_local_options"))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=INDIRECT(IF(All_Questions_Q_SS_EXPORT_F_Q="(None)","None_options",All_Questions_Q_SS_EXPORT_F_Q &amp; "_options"))</formula1>
    </dataValidation>
    <dataValidation sqref="C14" showDropDown="0" showInputMessage="0" showErrorMessage="0" allowBlank="1" type="list">
      <formula1>=All_Questions</formula1>
    </dataValidation>
    <dataValidation sqref="C22" showDropDown="0" showInputMessage="0" showErrorMessage="0" allowBlank="1" type="list">
      <formula1>=All_Questions</formula1>
    </dataValidation>
    <dataValidation sqref="E22" showDropDown="0" showInputMessage="0" showErrorMessage="0" allowBlank="1" type="list">
      <formula1>=INDIRECT(IF(All_Questions_Q_MS_EXPORT_F_Q="(None)","None_options",All_Questions_Q_MS_EXPORT_F_Q &amp; "_options"))</formula1>
    </dataValidation>
    <dataValidation sqref="C23" showDropDown="0" showInputMessage="0" showErrorMessage="0" allowBlank="1" type="list">
      <formula1>=All_Questions</formula1>
    </dataValidation>
    <dataValidation sqref="C31" showDropDown="0" showInputMessage="0" showErrorMessage="0" allowBlank="1" type="list">
      <formula1>=All_Questions</formula1>
    </dataValidation>
    <dataValidation sqref="E31" showDropDown="0" showInputMessage="0" showErrorMessage="0" allowBlank="1" type="list">
      <formula1>=INDIRECT(IF(All_Questions_Q_NUM_EXPORT_F_Q="(None)","None_options",All_Questions_Q_NUM_EXPORT_F_Q &amp; "_options"))</formula1>
    </dataValidation>
    <dataValidation sqref="C32" showDropDown="0" showInputMessage="0" showErrorMessage="0" allowBlank="1" type="list">
      <formula1>=All_Questions</formula1>
    </dataValidation>
    <dataValidation sqref="C43" showDropDown="0" showInputMessage="0" showErrorMessage="0" allowBlank="1" type="list">
      <formula1>=All_Questions</formula1>
    </dataValidation>
    <dataValidation sqref="E43" showDropDown="0" showInputMessage="0" showErrorMessage="0" allowBlank="1" type="list">
      <formula1>=INDIRECT(IF(All_Questions_Q_GRID_EXPORT_F_Q="(None)","None_options",All_Questions_Q_GRID_EXPORT_F_Q &amp; "_options"))</formula1>
    </dataValidation>
    <dataValidation sqref="C44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=INDIRECT(IF(All_Questions_Q_VERY_LONG_SINGLE_SELECT_EXPORT_NAME_F_Q="(None)","None_options",All_Questions_Q_VERY_LONG_SINGLE_SELECT_EXPORT_NAME_F_Q &amp; "_options"))</formula1>
    </dataValidation>
    <dataValidation sqref="C53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2026-05-15T06:07:34Z</dcterms:created>
  <dcterms:modified xmlns:dcterms="http://purl.org/dc/terms/" xmlns:xsi="http://www.w3.org/2001/XMLSchema-instance" xsi:type="dcterms:W3CDTF">2026-05-15T06:07:34Z</dcterms:modified>
</cp:coreProperties>
</file>