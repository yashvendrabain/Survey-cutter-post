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'_Options'!$A$2:$A$3</definedName>
    <definedName name="All_Questions_Local">'_Options'!$B$2:$B$4</definedName>
    <definedName name="Cross_Tab_Questions">'_Options'!$J$2:$J$2</definedName>
    <definedName name="Cross_Tab_Questions_Data_Names">'_Options'!$K$2:$K$2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Q_RATED_DIRECT_filter_values_options">'_Options'!$M$2:$M$22</definedName>
    <definedName name="Q_RATED_DIRECT_filter_values_local_options">'_Options'!$N$2:$N$23</definedName>
    <definedName name="All_Questions_Data_Names">'_Options'!$C$2:$C$3</definedName>
    <definedName name="All_Questions_Options_Names">'_Options'!$D$2:$D$3</definedName>
    <definedName name="Cross_Tab_Questions_Options_Names">'_Options'!$L$2:$L$2</definedName>
    <definedName name="All_Questions_Value_Keys">'_Options'!$P$2:$P$21</definedName>
    <definedName name="All_Questions_Value_Data_Names">'_Options'!$Q$2:$Q$21</definedName>
    <definedName name="All_Questions_Value_Criteria">'_Options'!$R$2:$R$21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resolved_criteria">'All Questions'!$H$13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F18" i="7"/>
  <c r="C19" i="7"/>
  <c r="D19" i="7"/>
  <c r="F19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("|" &amp; SUBSTITUTE(All_Questions_Q_RATED_DIRECT_F_resolved_criteria,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("|" &amp; SUBSTITUTE(All_Questions_Q_RATED_DIRECT_F_resolved_criteria, ", ", "|") &amp; "|"))),1,0),0))*1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("|" &amp; SUBSTITUTE(All_Questions_Q_RATED_DIRECT_F_resolved_criteria,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("|" &amp; SUBSTITUTE(All_Questions_Q_RATED_DIRECT_F_resolved_criteria,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M1" t="inlineStr">
        <is>
          <t>Q_RATED_DIRECT_filter_values_options</t>
        </is>
      </c>
      <c r="N1" t="inlineStr">
        <is>
          <t>Q_RATED_DIRECT_filter_values_local_options</t>
        </is>
      </c>
      <c r="P1" t="inlineStr">
        <is>
          <t>All_Questions_Value_Keys</t>
        </is>
      </c>
      <c r="Q1" t="inlineStr">
        <is>
          <t>All_Questions_Value_Data_Names</t>
        </is>
      </c>
      <c r="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'_RawData'!$A$2:$A$5</t>
        </is>
      </c>
      <c r="L2" t="inlineStr">
        <is>
          <t>'_Options'!$E$2:$E$2</t>
        </is>
      </c>
      <c r="M2" t="inlineStr">
        <is>
          <t>(All)</t>
        </is>
      </c>
      <c r="N2" t="inlineStr">
        <is>
          <t>(Inherit)</t>
        </is>
      </c>
      <c r="P2" t="inlineStr">
        <is>
          <t>Q_RATED_DIRECT - Q_Rated_Direct - Rate Direct Rows|Implementation speed: 1</t>
        </is>
      </c>
      <c r="Q2" t="inlineStr">
        <is>
          <t>'_RawData'!$B$2:$B$5</t>
        </is>
      </c>
      <c r="R2" t="inlineStr">
        <is>
          <t>1</t>
        </is>
      </c>
    </row>
    <row r="3">
      <c r="A3" t="inlineStr">
        <is>
          <t>Q_RATED_DIRECT - Q_Rated_Direct - Rate Direct Rows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'_Options'!$M$2:$M$22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  <c r="M3" t="inlineStr">
        <is>
          <t>Implementation speed: 1</t>
        </is>
      </c>
      <c r="N3" t="inlineStr">
        <is>
          <t>(All)</t>
        </is>
      </c>
      <c r="P3" t="inlineStr">
        <is>
          <t>Q_RATED_DIRECT - Q_Rated_Direct - Rate Direct Rows|Implementation speed: 2</t>
        </is>
      </c>
      <c r="Q3" t="inlineStr">
        <is>
          <t>'_RawData'!$B$2:$B$5</t>
        </is>
      </c>
      <c r="R3" t="inlineStr">
        <is>
          <t>2</t>
        </is>
      </c>
    </row>
    <row r="4">
      <c r="B4" t="inlineStr">
        <is>
          <t>Q_RATED_DIRECT - Q_Rated_Direct - Rate Direct Rows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M4" t="inlineStr">
        <is>
          <t>Implementation speed: 2</t>
        </is>
      </c>
      <c r="N4" t="inlineStr">
        <is>
          <t>Implementation speed: 1</t>
        </is>
      </c>
      <c r="P4" t="inlineStr">
        <is>
          <t>Q_RATED_DIRECT - Q_Rated_Direct - Rate Direct Rows|Implementation speed: 3</t>
        </is>
      </c>
      <c r="Q4" t="inlineStr">
        <is>
          <t>'_RawData'!$B$2:$B$5</t>
        </is>
      </c>
      <c r="R4" t="inlineStr">
        <is>
          <t>3</t>
        </is>
      </c>
    </row>
    <row r="5">
      <c r="H5" t="inlineStr">
        <is>
          <t>9</t>
        </is>
      </c>
      <c r="I5" t="inlineStr">
        <is>
          <t>7</t>
        </is>
      </c>
      <c r="M5" t="inlineStr">
        <is>
          <t>Implementation speed: 3</t>
        </is>
      </c>
      <c r="N5" t="inlineStr">
        <is>
          <t>Implementation speed: 2</t>
        </is>
      </c>
      <c r="P5" t="inlineStr">
        <is>
          <t>Q_RATED_DIRECT - Q_Rated_Direct - Rate Direct Rows|Implementation speed: 4</t>
        </is>
      </c>
      <c r="Q5" t="inlineStr">
        <is>
          <t>'_RawData'!$B$2:$B$5</t>
        </is>
      </c>
      <c r="R5" t="inlineStr">
        <is>
          <t>4</t>
        </is>
      </c>
    </row>
    <row r="6">
      <c r="M6" t="inlineStr">
        <is>
          <t>Implementation speed: 4</t>
        </is>
      </c>
      <c r="N6" t="inlineStr">
        <is>
          <t>Implementation speed: 3</t>
        </is>
      </c>
      <c r="P6" t="inlineStr">
        <is>
          <t>Q_RATED_DIRECT - Q_Rated_Direct - Rate Direct Rows|Implementation speed: 5</t>
        </is>
      </c>
      <c r="Q6" t="inlineStr">
        <is>
          <t>'_RawData'!$B$2:$B$5</t>
        </is>
      </c>
      <c r="R6" t="inlineStr">
        <is>
          <t>5</t>
        </is>
      </c>
    </row>
    <row r="7">
      <c r="M7" t="inlineStr">
        <is>
          <t>Implementation speed: 5</t>
        </is>
      </c>
      <c r="N7" t="inlineStr">
        <is>
          <t>Implementation speed: 4</t>
        </is>
      </c>
      <c r="P7" t="inlineStr">
        <is>
          <t>Q_RATED_DIRECT - Q_Rated_Direct - Rate Direct Rows|Implementation speed: 6</t>
        </is>
      </c>
      <c r="Q7" t="inlineStr">
        <is>
          <t>'_RawData'!$B$2:$B$5</t>
        </is>
      </c>
      <c r="R7" t="inlineStr">
        <is>
          <t>6</t>
        </is>
      </c>
    </row>
    <row r="8">
      <c r="M8" t="inlineStr">
        <is>
          <t>Implementation speed: 6</t>
        </is>
      </c>
      <c r="N8" t="inlineStr">
        <is>
          <t>Implementation speed: 5</t>
        </is>
      </c>
      <c r="P8" t="inlineStr">
        <is>
          <t>Q_RATED_DIRECT - Q_Rated_Direct - Rate Direct Rows|Implementation speed: 7</t>
        </is>
      </c>
      <c r="Q8" t="inlineStr">
        <is>
          <t>'_RawData'!$B$2:$B$5</t>
        </is>
      </c>
      <c r="R8" t="inlineStr">
        <is>
          <t>7</t>
        </is>
      </c>
    </row>
    <row r="9">
      <c r="M9" t="inlineStr">
        <is>
          <t>Implementation speed: 7</t>
        </is>
      </c>
      <c r="N9" t="inlineStr">
        <is>
          <t>Implementation speed: 6</t>
        </is>
      </c>
      <c r="P9" t="inlineStr">
        <is>
          <t>Q_RATED_DIRECT - Q_Rated_Direct - Rate Direct Rows|Implementation speed: 8</t>
        </is>
      </c>
      <c r="Q9" t="inlineStr">
        <is>
          <t>'_RawData'!$B$2:$B$5</t>
        </is>
      </c>
      <c r="R9" t="inlineStr">
        <is>
          <t>8</t>
        </is>
      </c>
    </row>
    <row r="10">
      <c r="M10" t="inlineStr">
        <is>
          <t>Implementation speed: 8</t>
        </is>
      </c>
      <c r="N10" t="inlineStr">
        <is>
          <t>Implementation speed: 7</t>
        </is>
      </c>
      <c r="P10" t="inlineStr">
        <is>
          <t>Q_RATED_DIRECT - Q_Rated_Direct - Rate Direct Rows|Implementation speed: 9</t>
        </is>
      </c>
      <c r="Q10" t="inlineStr">
        <is>
          <t>'_RawData'!$B$2:$B$5</t>
        </is>
      </c>
      <c r="R10" t="inlineStr">
        <is>
          <t>9</t>
        </is>
      </c>
    </row>
    <row r="11">
      <c r="M11" t="inlineStr">
        <is>
          <t>Implementation speed: 9</t>
        </is>
      </c>
      <c r="N11" t="inlineStr">
        <is>
          <t>Implementation speed: 8</t>
        </is>
      </c>
      <c r="P11" t="inlineStr">
        <is>
          <t>Q_RATED_DIRECT - Q_Rated_Direct - Rate Direct Rows|Implementation speed: 10</t>
        </is>
      </c>
      <c r="Q11" t="inlineStr">
        <is>
          <t>'_RawData'!$B$2:$B$5</t>
        </is>
      </c>
      <c r="R11" t="inlineStr">
        <is>
          <t>10</t>
        </is>
      </c>
    </row>
    <row r="12">
      <c r="M12" t="inlineStr">
        <is>
          <t>Implementation speed: 10</t>
        </is>
      </c>
      <c r="N12" t="inlineStr">
        <is>
          <t>Implementation speed: 9</t>
        </is>
      </c>
      <c r="P12" t="inlineStr">
        <is>
          <t>Q_RATED_DIRECT - Q_Rated_Direct - Rate Direct Rows|Integration fit: 1</t>
        </is>
      </c>
      <c r="Q12" t="inlineStr">
        <is>
          <t>'_RawData'!$C$2:$C$5</t>
        </is>
      </c>
      <c r="R12" t="inlineStr">
        <is>
          <t>1</t>
        </is>
      </c>
    </row>
    <row r="13">
      <c r="M13" t="inlineStr">
        <is>
          <t>Integration fit: 1</t>
        </is>
      </c>
      <c r="N13" t="inlineStr">
        <is>
          <t>Implementation speed: 10</t>
        </is>
      </c>
      <c r="P13" t="inlineStr">
        <is>
          <t>Q_RATED_DIRECT - Q_Rated_Direct - Rate Direct Rows|Integration fit: 2</t>
        </is>
      </c>
      <c r="Q13" t="inlineStr">
        <is>
          <t>'_RawData'!$C$2:$C$5</t>
        </is>
      </c>
      <c r="R13" t="inlineStr">
        <is>
          <t>2</t>
        </is>
      </c>
    </row>
    <row r="14">
      <c r="M14" t="inlineStr">
        <is>
          <t>Integration fit: 2</t>
        </is>
      </c>
      <c r="N14" t="inlineStr">
        <is>
          <t>Integration fit: 1</t>
        </is>
      </c>
      <c r="P14" t="inlineStr">
        <is>
          <t>Q_RATED_DIRECT - Q_Rated_Direct - Rate Direct Rows|Integration fit: 3</t>
        </is>
      </c>
      <c r="Q14" t="inlineStr">
        <is>
          <t>'_RawData'!$C$2:$C$5</t>
        </is>
      </c>
      <c r="R14" t="inlineStr">
        <is>
          <t>3</t>
        </is>
      </c>
    </row>
    <row r="15">
      <c r="M15" t="inlineStr">
        <is>
          <t>Integration fit: 3</t>
        </is>
      </c>
      <c r="N15" t="inlineStr">
        <is>
          <t>Integration fit: 2</t>
        </is>
      </c>
      <c r="P15" t="inlineStr">
        <is>
          <t>Q_RATED_DIRECT - Q_Rated_Direct - Rate Direct Rows|Integration fit: 4</t>
        </is>
      </c>
      <c r="Q15" t="inlineStr">
        <is>
          <t>'_RawData'!$C$2:$C$5</t>
        </is>
      </c>
      <c r="R15" t="inlineStr">
        <is>
          <t>4</t>
        </is>
      </c>
    </row>
    <row r="16">
      <c r="M16" t="inlineStr">
        <is>
          <t>Integration fit: 4</t>
        </is>
      </c>
      <c r="N16" t="inlineStr">
        <is>
          <t>Integration fit: 3</t>
        </is>
      </c>
      <c r="P16" t="inlineStr">
        <is>
          <t>Q_RATED_DIRECT - Q_Rated_Direct - Rate Direct Rows|Integration fit: 5</t>
        </is>
      </c>
      <c r="Q16" t="inlineStr">
        <is>
          <t>'_RawData'!$C$2:$C$5</t>
        </is>
      </c>
      <c r="R16" t="inlineStr">
        <is>
          <t>5</t>
        </is>
      </c>
    </row>
    <row r="17">
      <c r="M17" t="inlineStr">
        <is>
          <t>Integration fit: 5</t>
        </is>
      </c>
      <c r="N17" t="inlineStr">
        <is>
          <t>Integration fit: 4</t>
        </is>
      </c>
      <c r="P17" t="inlineStr">
        <is>
          <t>Q_RATED_DIRECT - Q_Rated_Direct - Rate Direct Rows|Integration fit: 6</t>
        </is>
      </c>
      <c r="Q17" t="inlineStr">
        <is>
          <t>'_RawData'!$C$2:$C$5</t>
        </is>
      </c>
      <c r="R17" t="inlineStr">
        <is>
          <t>6</t>
        </is>
      </c>
    </row>
    <row r="18">
      <c r="M18" t="inlineStr">
        <is>
          <t>Integration fit: 6</t>
        </is>
      </c>
      <c r="N18" t="inlineStr">
        <is>
          <t>Integration fit: 5</t>
        </is>
      </c>
      <c r="P18" t="inlineStr">
        <is>
          <t>Q_RATED_DIRECT - Q_Rated_Direct - Rate Direct Rows|Integration fit: 7</t>
        </is>
      </c>
      <c r="Q18" t="inlineStr">
        <is>
          <t>'_RawData'!$C$2:$C$5</t>
        </is>
      </c>
      <c r="R18" t="inlineStr">
        <is>
          <t>7</t>
        </is>
      </c>
    </row>
    <row r="19">
      <c r="M19" t="inlineStr">
        <is>
          <t>Integration fit: 7</t>
        </is>
      </c>
      <c r="N19" t="inlineStr">
        <is>
          <t>Integration fit: 6</t>
        </is>
      </c>
      <c r="P19" t="inlineStr">
        <is>
          <t>Q_RATED_DIRECT - Q_Rated_Direct - Rate Direct Rows|Integration fit: 8</t>
        </is>
      </c>
      <c r="Q19" t="inlineStr">
        <is>
          <t>'_RawData'!$C$2:$C$5</t>
        </is>
      </c>
      <c r="R19" t="inlineStr">
        <is>
          <t>8</t>
        </is>
      </c>
    </row>
    <row r="20">
      <c r="M20" t="inlineStr">
        <is>
          <t>Integration fit: 8</t>
        </is>
      </c>
      <c r="N20" t="inlineStr">
        <is>
          <t>Integration fit: 7</t>
        </is>
      </c>
      <c r="P20" t="inlineStr">
        <is>
          <t>Q_RATED_DIRECT - Q_Rated_Direct - Rate Direct Rows|Integration fit: 9</t>
        </is>
      </c>
      <c r="Q20" t="inlineStr">
        <is>
          <t>'_RawData'!$C$2:$C$5</t>
        </is>
      </c>
      <c r="R20" t="inlineStr">
        <is>
          <t>9</t>
        </is>
      </c>
    </row>
    <row r="21">
      <c r="M21" t="inlineStr">
        <is>
          <t>Integration fit: 9</t>
        </is>
      </c>
      <c r="N21" t="inlineStr">
        <is>
          <t>Integration fit: 8</t>
        </is>
      </c>
      <c r="P21" t="inlineStr">
        <is>
          <t>Q_RATED_DIRECT - Q_Rated_Direct - Rate Direct Rows|Integration fit: 10</t>
        </is>
      </c>
      <c r="Q21" t="inlineStr">
        <is>
          <t>'_RawData'!$C$2:$C$5</t>
        </is>
      </c>
      <c r="R21" t="inlineStr">
        <is>
          <t>10</t>
        </is>
      </c>
    </row>
    <row r="22">
      <c r="M22" t="inlineStr">
        <is>
          <t>Integration fit: 10</t>
        </is>
      </c>
      <c r="N22" t="inlineStr">
        <is>
          <t>Integration fit: 9</t>
        </is>
      </c>
    </row>
    <row r="23">
      <c r="N23" t="inlineStr">
        <is>
          <t>Integration fit: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IFERROR(INDEX(All_Questions_Value_Data_Names,MATCH(All_Questions_Q_RATED_DIRECT_F_Q&amp;"|"&amp;All_Questions_Q_RATED_DIRECT_F_V,All_Questions_Value_Keys,0)),IFERROR(INDEX(All_Questions_Data_Names,MATCH(All_Questions_Q_RATED_DIRECT_F_Q,All_Questions,0)),"'_RawData'!$A:$A"))</f>
        <v>respondent_id_data</v>
      </c>
      <c r="G13" t="str">
        <f>"|" &amp; SUBSTITUTE(All_Questions_Q_RATED_DIRECT_F_V, ", ", "|") &amp; "|"</f>
        <v>|(All)|</v>
      </c>
      <c r="H13" t="str">
        <f>IFERROR(INDEX(All_Questions_Value_Criteria,MATCH(All_Questions_Q_RATED_DIRECT_F_Q&amp;"|"&amp;All_Questions_Q_RATED_DIRECT_F_V,All_Questions_Value_Keys,0)),All_Questions_Q_RATED_DIRECT_F_V)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  <row r="21"/>
    <row r="22">
      <c r="F22" s="4" t="inlineStr">
        <is>
          <t>Option</t>
        </is>
      </c>
      <c r="G22" s="2" t="str">
        <f>IF(All_Questions_Q_RATED_DIRECT_CT="(None)","",IFERROR(INDEX(INDIRECT(IFERROR(INDEX(Cross_Tab_Questions_Options_Names,MATCH(All_Questions_Q_RATED_DIRECT_CT,Cross_Tab_Questions,0)),"'_Options'!$E$2:$E$2")),2),""))</f>
        <v/>
      </c>
      <c r="H22" s="2" t="str">
        <f>IF(All_Questions_Q_RATED_DIRECT_CT="(None)","",IFERROR(INDEX(INDIRECT(IFERROR(INDEX(Cross_Tab_Questions_Options_Names,MATCH(All_Questions_Q_RATED_DIRECT_CT,Cross_Tab_Questions,0)),"'_Options'!$E$2:$E$2")),3),""))</f>
        <v/>
      </c>
      <c r="I22" s="2" t="str">
        <f>IF(All_Questions_Q_RATED_DIRECT_CT="(None)","",IFERROR(INDEX(INDIRECT(IFERROR(INDEX(Cross_Tab_Questions_Options_Names,MATCH(All_Questions_Q_RATED_DIRECT_CT,Cross_Tab_Questions,0)),"'_Options'!$E$2:$E$2")),4),""))</f>
        <v/>
      </c>
      <c r="J22" s="2" t="str">
        <f>IF(All_Questions_Q_RATED_DIRECT_CT="(None)","",IFERROR(INDEX(INDIRECT(IFERROR(INDEX(Cross_Tab_Questions_Options_Names,MATCH(All_Questions_Q_RATED_DIRECT_CT,Cross_Tab_Questions,0)),"'_Options'!$E$2:$E$2")),5),""))</f>
        <v/>
      </c>
      <c r="K22" s="2" t="str">
        <f>IF(All_Questions_Q_RATED_DIRECT_CT="(None)","",IFERROR(INDEX(INDIRECT(IFERROR(INDEX(Cross_Tab_Questions_Options_Names,MATCH(All_Questions_Q_RATED_DIRECT_CT,Cross_Tab_Questions,0)),"'_Options'!$E$2:$E$2")),6),""))</f>
        <v/>
      </c>
      <c r="L22" s="2" t="str">
        <f>IF(All_Questions_Q_RATED_DIRECT_CT="(None)","",IFERROR(INDEX(INDIRECT(IFERROR(INDEX(Cross_Tab_Questions_Options_Names,MATCH(All_Questions_Q_RATED_DIRECT_CT,Cross_Tab_Questions,0)),"'_Options'!$E$2:$E$2")),7),""))</f>
        <v/>
      </c>
      <c r="M22" s="2" t="str">
        <f>IF(All_Questions_Q_RATED_DIRECT_CT="(None)","",IFERROR(INDEX(INDIRECT(IFERROR(INDEX(Cross_Tab_Questions_Options_Names,MATCH(All_Questions_Q_RATED_DIRECT_CT,Cross_Tab_Questions,0)),"'_Options'!$E$2:$E$2")),8),""))</f>
        <v/>
      </c>
      <c r="N22" s="2" t="str">
        <f>IF(All_Questions_Q_RATED_DIRECT_CT="(None)","",IFERROR(INDEX(INDIRECT(IFERROR(INDEX(Cross_Tab_Questions_Options_Names,MATCH(All_Questions_Q_RATED_DIRECT_CT,Cross_Tab_Questions,0)),"'_Options'!$E$2:$E$2")),9),""))</f>
        <v/>
      </c>
      <c r="O22" s="2" t="str">
        <f>IF(All_Questions_Q_RATED_DIRECT_CT="(None)","",IFERROR(INDEX(INDIRECT(IFERROR(INDEX(Cross_Tab_Questions_Options_Names,MATCH(All_Questions_Q_RATED_DIRECT_CT,Cross_Tab_Questions,0)),"'_Options'!$E$2:$E$2")),10),""))</f>
        <v/>
      </c>
      <c r="P22" s="2" t="str">
        <f>IF(All_Questions_Q_RATED_DIRECT_CT="(None)","",IFERROR(INDEX(INDIRECT(IFERROR(INDEX(Cross_Tab_Questions_Options_Names,MATCH(All_Questions_Q_RATED_DIRECT_CT,Cross_Tab_Questions,0)),"'_Options'!$E$2:$E$2")),11),""))</f>
        <v/>
      </c>
      <c r="Q22" s="2" t="str">
        <f>IF(All_Questions_Q_RATED_DIRECT_CT="(None)","",IFERROR(INDEX(INDIRECT(IFERROR(INDEX(Cross_Tab_Questions_Options_Names,MATCH(All_Questions_Q_RATED_DIRECT_CT,Cross_Tab_Questions,0)),"'_Options'!$E$2:$E$2")),12),""))</f>
        <v/>
      </c>
      <c r="R22" s="2" t="str">
        <f>IF(All_Questions_Q_RATED_DIRECT_CT="(None)","",IF(COUNTA(INDIRECT(IFERROR(INDEX(Cross_Tab_Questions_Options_Names,MATCH(All_Questions_Q_RATED_DIRECT_CT,Cross_Tab_Questions,0)),"'_Options'!$E$2:$E$2")))-1&gt;11,"Other",IFERROR(INDEX(INDIRECT(IFERROR(INDEX(Cross_Tab_Questions_Options_Names,MATCH(All_Questions_Q_RATED_DIRECT_CT,Cross_Tab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  <c r="O23" s="4" t="inlineStr">
        <is>
          <t>Mean</t>
        </is>
      </c>
      <c r="P23" s="4" t="inlineStr">
        <is>
          <t>Mean</t>
        </is>
      </c>
      <c r="Q23" s="4" t="inlineStr">
        <is>
          <t>Mean</t>
        </is>
      </c>
      <c r="R23" s="4" t="inlineStr">
        <is>
          <t>Mean</t>
        </is>
      </c>
      <c r="S23" s="4" t="inlineStr">
        <is>
          <t>Mean</t>
        </is>
      </c>
    </row>
    <row r="24">
      <c r="F24" t="inlineStr">
        <is>
          <t>Implementation speed</t>
        </is>
      </c>
      <c r="G24" s="17">
        <f>IF(OR(All_Questions_Q_RATED_DIRECT_CT="(None)",G$22=""),"",IF(G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G$22),"")))</f>
        <v>8.5</v>
      </c>
      <c r="H24" s="17">
        <f>IF(OR(All_Questions_Q_RATED_DIRECT_CT="(None)",H$22=""),"",IF(H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H$22),"")))</f>
        <v>8.5</v>
      </c>
      <c r="I24" s="17">
        <f>IF(OR(All_Questions_Q_RATED_DIRECT_CT="(None)",I$22=""),"",IF(I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I$22),"")))</f>
        <v>8.5</v>
      </c>
      <c r="J24" s="17">
        <f>IF(OR(All_Questions_Q_RATED_DIRECT_CT="(None)",J$22=""),"",IF(J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J$22),"")))</f>
        <v>8.5</v>
      </c>
      <c r="K24" s="17">
        <f>IF(OR(All_Questions_Q_RATED_DIRECT_CT="(None)",K$22=""),"",IF(K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K$22),"")))</f>
        <v>8.5</v>
      </c>
      <c r="L24" s="17">
        <f>IF(OR(All_Questions_Q_RATED_DIRECT_CT="(None)",L$22=""),"",IF(L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L$22),"")))</f>
        <v>8.5</v>
      </c>
      <c r="M24" s="17">
        <f>IF(OR(All_Questions_Q_RATED_DIRECT_CT="(None)",M$22=""),"",IF(M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M$22),"")))</f>
        <v>8.5</v>
      </c>
      <c r="N24" s="17">
        <f>IF(OR(All_Questions_Q_RATED_DIRECT_CT="(None)",N$22=""),"",IF(N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N$22),"")))</f>
        <v>8.5</v>
      </c>
      <c r="O24" s="17">
        <f>IF(OR(All_Questions_Q_RATED_DIRECT_CT="(None)",O$22=""),"",IF(O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O$22),"")))</f>
        <v>8.5</v>
      </c>
      <c r="P24" s="17">
        <f>IF(OR(All_Questions_Q_RATED_DIRECT_CT="(None)",P$22=""),"",IF(P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P$22),"")))</f>
        <v>8.5</v>
      </c>
      <c r="Q24" s="17">
        <f>IF(OR(All_Questions_Q_RATED_DIRECT_CT="(None)",Q$22=""),"",IF(Q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Q$22),"")))</f>
        <v>8.5</v>
      </c>
      <c r="R24" s="17">
        <f>IF(OR(All_Questions_Q_RATED_DIRECT_CT="(None)",R$22=""),"",IF(R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R$22),"")))</f>
        <v>8.5</v>
      </c>
      <c r="S24" s="17">
        <f>IF(All_Questions_Q_RATED_DIRECT_CT="(None)","",IFERROR(AVERAGEIFS(Q_RATED_DIRECTr1_data,Q_RATED_DIRECTr1_data,"&gt;=0",passes_workbook_filters_data,1,passes_workbook_custom_filters_data,1,All_Questions_passes_local_filters_data,1,All_Questions_Q_RATED_DIRECT_F_passes_per_q_filter_data,1),""))</f>
        <v>8.5</v>
      </c>
    </row>
    <row r="25">
      <c r="F25" t="inlineStr">
        <is>
          <t>Integration fit</t>
        </is>
      </c>
      <c r="G25" s="17">
        <f>IF(OR(All_Questions_Q_RATED_DIRECT_CT="(None)",G$22=""),"",IF(G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G$22),"")))</f>
        <v>6.5</v>
      </c>
      <c r="H25" s="17">
        <f>IF(OR(All_Questions_Q_RATED_DIRECT_CT="(None)",H$22=""),"",IF(H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H$22),"")))</f>
        <v>6.5</v>
      </c>
      <c r="I25" s="17">
        <f>IF(OR(All_Questions_Q_RATED_DIRECT_CT="(None)",I$22=""),"",IF(I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I$22),"")))</f>
        <v>6.5</v>
      </c>
      <c r="J25" s="17">
        <f>IF(OR(All_Questions_Q_RATED_DIRECT_CT="(None)",J$22=""),"",IF(J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J$22),"")))</f>
        <v>6.5</v>
      </c>
      <c r="K25" s="17">
        <f>IF(OR(All_Questions_Q_RATED_DIRECT_CT="(None)",K$22=""),"",IF(K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K$22),"")))</f>
        <v>6.5</v>
      </c>
      <c r="L25" s="17">
        <f>IF(OR(All_Questions_Q_RATED_DIRECT_CT="(None)",L$22=""),"",IF(L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L$22),"")))</f>
        <v>6.5</v>
      </c>
      <c r="M25" s="17">
        <f>IF(OR(All_Questions_Q_RATED_DIRECT_CT="(None)",M$22=""),"",IF(M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M$22),"")))</f>
        <v>6.5</v>
      </c>
      <c r="N25" s="17">
        <f>IF(OR(All_Questions_Q_RATED_DIRECT_CT="(None)",N$22=""),"",IF(N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N$22),"")))</f>
        <v>6.5</v>
      </c>
      <c r="O25" s="17">
        <f>IF(OR(All_Questions_Q_RATED_DIRECT_CT="(None)",O$22=""),"",IF(O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O$22),"")))</f>
        <v>6.5</v>
      </c>
      <c r="P25" s="17">
        <f>IF(OR(All_Questions_Q_RATED_DIRECT_CT="(None)",P$22=""),"",IF(P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P$22),"")))</f>
        <v>6.5</v>
      </c>
      <c r="Q25" s="17">
        <f>IF(OR(All_Questions_Q_RATED_DIRECT_CT="(None)",Q$22=""),"",IF(Q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Q$22),"")))</f>
        <v>6.5</v>
      </c>
      <c r="R25" s="17">
        <f>IF(OR(All_Questions_Q_RATED_DIRECT_CT="(None)",R$22=""),"",IF(R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R$22),"")))</f>
        <v>6.5</v>
      </c>
      <c r="S25" s="17">
        <f>IF(All_Questions_Q_RATED_DIRECT_CT="(None)","",IFERROR(AVERAGEIFS(Q_RATED_DIRECTr2_data,Q_RATED_DIRECTr2_data,"&gt;=0",passes_workbook_filters_data,1,passes_workbook_custom_filters_data,1,All_Questions_passes_local_filters_data,1,All_Questions_Q_RATED_DIRECT_F_passes_per_q_filter_data,1),""))</f>
        <v>6.5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IF(All_Questions_Q_RATED_DIRECT_CT="(None)","",COUNTIFS(respondent_id_data,"&lt;&gt;",passes_workbook_filters_data,1,passes_workbook_custom_filters_data,1,All_Questions_passes_local_filters_data,1,All_Questions_Q_RATED_DIRECT_F_passes_per_q_filter_data,1))</f>
        <v>0</v>
      </c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8" customWidth="1" min="4" max="4"/>
    <col width="40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Q_RATED_DIRECT</t>
        </is>
      </c>
      <c r="D2" t="inlineStr">
        <is>
          <t>Q_RATED_DIRECTr1</t>
        </is>
      </c>
      <c r="E2" t="inlineStr">
        <is>
          <t>All_Questions_Q_RATED_DIRECT_CT = G$22</t>
        </is>
      </c>
      <c r="H2">
        <f>IF(OR(All_Questions_Q_RATED_DIRECT_CT="(None)",G$22=""),"",IF(G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G$22),"")))</f>
        <v>0</v>
      </c>
      <c r="I2" t="n">
        <v>8.5</v>
      </c>
      <c r="J2" t="n">
        <v>0</v>
      </c>
      <c r="K2" t="n">
        <v>0</v>
      </c>
      <c r="L2" t="inlineStr">
        <is>
          <t>2026-06-09T06:48:43.028249+00:00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Q_RATED_DIRECT</t>
        </is>
      </c>
      <c r="D3" t="inlineStr">
        <is>
          <t>Q_RATED_DIRECTr1</t>
        </is>
      </c>
      <c r="E3" t="inlineStr">
        <is>
          <t>All_Questions_Q_RATED_DIRECT_CT = H$22</t>
        </is>
      </c>
      <c r="H3">
        <f>IF(OR(All_Questions_Q_RATED_DIRECT_CT="(None)",H$22=""),"",IF(H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H$22),"")))</f>
        <v>0</v>
      </c>
      <c r="I3" t="n">
        <v>8.5</v>
      </c>
      <c r="J3" t="n">
        <v>0</v>
      </c>
      <c r="K3" t="n">
        <v>0</v>
      </c>
      <c r="L3" t="inlineStr">
        <is>
          <t>2026-06-09T06:48:43.028308+00:00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Q_RATED_DIRECT</t>
        </is>
      </c>
      <c r="D4" t="inlineStr">
        <is>
          <t>Q_RATED_DIRECTr1</t>
        </is>
      </c>
      <c r="E4" t="inlineStr">
        <is>
          <t>All_Questions_Q_RATED_DIRECT_CT = I$22</t>
        </is>
      </c>
      <c r="H4">
        <f>IF(OR(All_Questions_Q_RATED_DIRECT_CT="(None)",I$22=""),"",IF(I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I$22),"")))</f>
        <v>0</v>
      </c>
      <c r="I4" t="n">
        <v>8.5</v>
      </c>
      <c r="J4" t="n">
        <v>0</v>
      </c>
      <c r="K4" t="n">
        <v>0</v>
      </c>
      <c r="L4" t="inlineStr">
        <is>
          <t>2026-06-09T06:48:43.028338+00:00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Q_RATED_DIRECT</t>
        </is>
      </c>
      <c r="D5" t="inlineStr">
        <is>
          <t>Q_RATED_DIRECTr1</t>
        </is>
      </c>
      <c r="E5" t="inlineStr">
        <is>
          <t>All_Questions_Q_RATED_DIRECT_CT = J$22</t>
        </is>
      </c>
      <c r="H5">
        <f>IF(OR(All_Questions_Q_RATED_DIRECT_CT="(None)",J$22=""),"",IF(J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J$22),"")))</f>
        <v>0</v>
      </c>
      <c r="I5" t="n">
        <v>8.5</v>
      </c>
      <c r="J5" t="n">
        <v>0</v>
      </c>
      <c r="K5" t="n">
        <v>0</v>
      </c>
      <c r="L5" t="inlineStr">
        <is>
          <t>2026-06-09T06:48:43.028367+00:00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Q_RATED_DIRECT</t>
        </is>
      </c>
      <c r="D6" t="inlineStr">
        <is>
          <t>Q_RATED_DIRECTr1</t>
        </is>
      </c>
      <c r="E6" t="inlineStr">
        <is>
          <t>All_Questions_Q_RATED_DIRECT_CT = K$22</t>
        </is>
      </c>
      <c r="H6">
        <f>IF(OR(All_Questions_Q_RATED_DIRECT_CT="(None)",K$22=""),"",IF(K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K$22),"")))</f>
        <v>0</v>
      </c>
      <c r="I6" t="n">
        <v>8.5</v>
      </c>
      <c r="J6" t="n">
        <v>0</v>
      </c>
      <c r="K6" t="n">
        <v>0</v>
      </c>
      <c r="L6" t="inlineStr">
        <is>
          <t>2026-06-09T06:48:43.028395+00:00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Q_RATED_DIRECT</t>
        </is>
      </c>
      <c r="D7" t="inlineStr">
        <is>
          <t>Q_RATED_DIRECTr1</t>
        </is>
      </c>
      <c r="E7" t="inlineStr">
        <is>
          <t>All_Questions_Q_RATED_DIRECT_CT = L$22</t>
        </is>
      </c>
      <c r="H7">
        <f>IF(OR(All_Questions_Q_RATED_DIRECT_CT="(None)",L$22=""),"",IF(L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L$22),"")))</f>
        <v>0</v>
      </c>
      <c r="I7" t="n">
        <v>8.5</v>
      </c>
      <c r="J7" t="n">
        <v>0</v>
      </c>
      <c r="K7" t="n">
        <v>0</v>
      </c>
      <c r="L7" t="inlineStr">
        <is>
          <t>2026-06-09T06:48:43.028422+00:00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Q_RATED_DIRECT</t>
        </is>
      </c>
      <c r="D8" t="inlineStr">
        <is>
          <t>Q_RATED_DIRECTr1</t>
        </is>
      </c>
      <c r="E8" t="inlineStr">
        <is>
          <t>All_Questions_Q_RATED_DIRECT_CT = M$22</t>
        </is>
      </c>
      <c r="H8">
        <f>IF(OR(All_Questions_Q_RATED_DIRECT_CT="(None)",M$22=""),"",IF(M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M$22),"")))</f>
        <v>0</v>
      </c>
      <c r="I8" t="n">
        <v>8.5</v>
      </c>
      <c r="J8" t="n">
        <v>0</v>
      </c>
      <c r="K8" t="n">
        <v>0</v>
      </c>
      <c r="L8" t="inlineStr">
        <is>
          <t>2026-06-09T06:48:43.028447+00:00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Q_RATED_DIRECT</t>
        </is>
      </c>
      <c r="D9" t="inlineStr">
        <is>
          <t>Q_RATED_DIRECTr1</t>
        </is>
      </c>
      <c r="E9" t="inlineStr">
        <is>
          <t>All_Questions_Q_RATED_DIRECT_CT = N$22</t>
        </is>
      </c>
      <c r="H9">
        <f>IF(OR(All_Questions_Q_RATED_DIRECT_CT="(None)",N$22=""),"",IF(N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N$22),"")))</f>
        <v>0</v>
      </c>
      <c r="I9" t="n">
        <v>8.5</v>
      </c>
      <c r="J9" t="n">
        <v>0</v>
      </c>
      <c r="K9" t="n">
        <v>0</v>
      </c>
      <c r="L9" t="inlineStr">
        <is>
          <t>2026-06-09T06:48:43.028473+00:00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Q_RATED_DIRECT</t>
        </is>
      </c>
      <c r="D10" t="inlineStr">
        <is>
          <t>Q_RATED_DIRECTr1</t>
        </is>
      </c>
      <c r="E10" t="inlineStr">
        <is>
          <t>All_Questions_Q_RATED_DIRECT_CT = O$22</t>
        </is>
      </c>
      <c r="H10">
        <f>IF(OR(All_Questions_Q_RATED_DIRECT_CT="(None)",O$22=""),"",IF(O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O$22),"")))</f>
        <v>0</v>
      </c>
      <c r="I10" t="n">
        <v>8.5</v>
      </c>
      <c r="J10" t="n">
        <v>0</v>
      </c>
      <c r="K10" t="n">
        <v>0</v>
      </c>
      <c r="L10" t="inlineStr">
        <is>
          <t>2026-06-09T06:48:43.028497+00:00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Q_RATED_DIRECT</t>
        </is>
      </c>
      <c r="D11" t="inlineStr">
        <is>
          <t>Q_RATED_DIRECTr1</t>
        </is>
      </c>
      <c r="E11" t="inlineStr">
        <is>
          <t>All_Questions_Q_RATED_DIRECT_CT = P$22</t>
        </is>
      </c>
      <c r="H11">
        <f>IF(OR(All_Questions_Q_RATED_DIRECT_CT="(None)",P$22=""),"",IF(P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P$22),"")))</f>
        <v>0</v>
      </c>
      <c r="I11" t="n">
        <v>8.5</v>
      </c>
      <c r="J11" t="n">
        <v>0</v>
      </c>
      <c r="K11" t="n">
        <v>0</v>
      </c>
      <c r="L11" t="inlineStr">
        <is>
          <t>2026-06-09T06:48:43.028523+00:00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Q_RATED_DIRECT</t>
        </is>
      </c>
      <c r="D12" t="inlineStr">
        <is>
          <t>Q_RATED_DIRECTr1</t>
        </is>
      </c>
      <c r="E12" t="inlineStr">
        <is>
          <t>All_Questions_Q_RATED_DIRECT_CT = Q$22</t>
        </is>
      </c>
      <c r="H12">
        <f>IF(OR(All_Questions_Q_RATED_DIRECT_CT="(None)",Q$22=""),"",IF(Q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Q$22),"")))</f>
        <v>0</v>
      </c>
      <c r="I12" t="n">
        <v>8.5</v>
      </c>
      <c r="J12" t="n">
        <v>0</v>
      </c>
      <c r="K12" t="n">
        <v>0</v>
      </c>
      <c r="L12" t="inlineStr">
        <is>
          <t>2026-06-09T06:48:43.028549+00:00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Q_RATED_DIRECT</t>
        </is>
      </c>
      <c r="D13" t="inlineStr">
        <is>
          <t>Q_RATED_DIRECTr1</t>
        </is>
      </c>
      <c r="E13" t="inlineStr">
        <is>
          <t>All_Questions_Q_RATED_DIRECT_CT = R$22</t>
        </is>
      </c>
      <c r="H13">
        <f>IF(OR(All_Questions_Q_RATED_DIRECT_CT="(None)",R$22=""),"",IF(R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R$22),"")))</f>
        <v>0</v>
      </c>
      <c r="I13" t="n">
        <v>8.5</v>
      </c>
      <c r="J13" t="n">
        <v>0</v>
      </c>
      <c r="K13" t="n">
        <v>0</v>
      </c>
      <c r="L13" t="inlineStr">
        <is>
          <t>2026-06-09T06:48:43.028584+00:00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Q_RATED_DIRECT</t>
        </is>
      </c>
      <c r="D14" t="inlineStr">
        <is>
          <t>Q_RATED_DIRECTr2</t>
        </is>
      </c>
      <c r="E14" t="inlineStr">
        <is>
          <t>All_Questions_Q_RATED_DIRECT_CT = G$22</t>
        </is>
      </c>
      <c r="H14">
        <f>IF(OR(All_Questions_Q_RATED_DIRECT_CT="(None)",G$22=""),"",IF(G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G$22),"")))</f>
        <v>0</v>
      </c>
      <c r="I14" t="n">
        <v>6.5</v>
      </c>
      <c r="J14" t="n">
        <v>0</v>
      </c>
      <c r="K14" t="n">
        <v>0</v>
      </c>
      <c r="L14" t="inlineStr">
        <is>
          <t>2026-06-09T06:48:43.028631+00:00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Q_RATED_DIRECT</t>
        </is>
      </c>
      <c r="D15" t="inlineStr">
        <is>
          <t>Q_RATED_DIRECTr2</t>
        </is>
      </c>
      <c r="E15" t="inlineStr">
        <is>
          <t>All_Questions_Q_RATED_DIRECT_CT = H$22</t>
        </is>
      </c>
      <c r="H15">
        <f>IF(OR(All_Questions_Q_RATED_DIRECT_CT="(None)",H$22=""),"",IF(H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H$22),"")))</f>
        <v>0</v>
      </c>
      <c r="I15" t="n">
        <v>6.5</v>
      </c>
      <c r="J15" t="n">
        <v>0</v>
      </c>
      <c r="K15" t="n">
        <v>0</v>
      </c>
      <c r="L15" t="inlineStr">
        <is>
          <t>2026-06-09T06:48:43.028657+00:00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Q_RATED_DIRECT</t>
        </is>
      </c>
      <c r="D16" t="inlineStr">
        <is>
          <t>Q_RATED_DIRECTr2</t>
        </is>
      </c>
      <c r="E16" t="inlineStr">
        <is>
          <t>All_Questions_Q_RATED_DIRECT_CT = I$22</t>
        </is>
      </c>
      <c r="H16">
        <f>IF(OR(All_Questions_Q_RATED_DIRECT_CT="(None)",I$22=""),"",IF(I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I$22),"")))</f>
        <v>0</v>
      </c>
      <c r="I16" t="n">
        <v>6.5</v>
      </c>
      <c r="J16" t="n">
        <v>0</v>
      </c>
      <c r="K16" t="n">
        <v>0</v>
      </c>
      <c r="L16" t="inlineStr">
        <is>
          <t>2026-06-09T06:48:43.028683+00:00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Q_RATED_DIRECT</t>
        </is>
      </c>
      <c r="D17" t="inlineStr">
        <is>
          <t>Q_RATED_DIRECTr2</t>
        </is>
      </c>
      <c r="E17" t="inlineStr">
        <is>
          <t>All_Questions_Q_RATED_DIRECT_CT = J$22</t>
        </is>
      </c>
      <c r="H17">
        <f>IF(OR(All_Questions_Q_RATED_DIRECT_CT="(None)",J$22=""),"",IF(J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J$22),"")))</f>
        <v>0</v>
      </c>
      <c r="I17" t="n">
        <v>6.5</v>
      </c>
      <c r="J17" t="n">
        <v>0</v>
      </c>
      <c r="K17" t="n">
        <v>0</v>
      </c>
      <c r="L17" t="inlineStr">
        <is>
          <t>2026-06-09T06:48:43.028708+00:00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Q_RATED_DIRECT</t>
        </is>
      </c>
      <c r="D18" t="inlineStr">
        <is>
          <t>Q_RATED_DIRECTr2</t>
        </is>
      </c>
      <c r="E18" t="inlineStr">
        <is>
          <t>All_Questions_Q_RATED_DIRECT_CT = K$22</t>
        </is>
      </c>
      <c r="H18">
        <f>IF(OR(All_Questions_Q_RATED_DIRECT_CT="(None)",K$22=""),"",IF(K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K$22),"")))</f>
        <v>0</v>
      </c>
      <c r="I18" t="n">
        <v>6.5</v>
      </c>
      <c r="J18" t="n">
        <v>0</v>
      </c>
      <c r="K18" t="n">
        <v>0</v>
      </c>
      <c r="L18" t="inlineStr">
        <is>
          <t>2026-06-09T06:48:43.028732+00:00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Q_RATED_DIRECT</t>
        </is>
      </c>
      <c r="D19" t="inlineStr">
        <is>
          <t>Q_RATED_DIRECTr2</t>
        </is>
      </c>
      <c r="E19" t="inlineStr">
        <is>
          <t>All_Questions_Q_RATED_DIRECT_CT = L$22</t>
        </is>
      </c>
      <c r="H19">
        <f>IF(OR(All_Questions_Q_RATED_DIRECT_CT="(None)",L$22=""),"",IF(L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L$22),"")))</f>
        <v>0</v>
      </c>
      <c r="I19" t="n">
        <v>6.5</v>
      </c>
      <c r="J19" t="n">
        <v>0</v>
      </c>
      <c r="K19" t="n">
        <v>0</v>
      </c>
      <c r="L19" t="inlineStr">
        <is>
          <t>2026-06-09T06:48:43.028757+00:00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Q_RATED_DIRECT</t>
        </is>
      </c>
      <c r="D20" t="inlineStr">
        <is>
          <t>Q_RATED_DIRECTr2</t>
        </is>
      </c>
      <c r="E20" t="inlineStr">
        <is>
          <t>All_Questions_Q_RATED_DIRECT_CT = M$22</t>
        </is>
      </c>
      <c r="H20">
        <f>IF(OR(All_Questions_Q_RATED_DIRECT_CT="(None)",M$22=""),"",IF(M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M$22),"")))</f>
        <v>0</v>
      </c>
      <c r="I20" t="n">
        <v>6.5</v>
      </c>
      <c r="J20" t="n">
        <v>0</v>
      </c>
      <c r="K20" t="n">
        <v>0</v>
      </c>
      <c r="L20" t="inlineStr">
        <is>
          <t>2026-06-09T06:48:43.028780+00:00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Q_RATED_DIRECT</t>
        </is>
      </c>
      <c r="D21" t="inlineStr">
        <is>
          <t>Q_RATED_DIRECTr2</t>
        </is>
      </c>
      <c r="E21" t="inlineStr">
        <is>
          <t>All_Questions_Q_RATED_DIRECT_CT = N$22</t>
        </is>
      </c>
      <c r="H21">
        <f>IF(OR(All_Questions_Q_RATED_DIRECT_CT="(None)",N$22=""),"",IF(N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N$22),"")))</f>
        <v>0</v>
      </c>
      <c r="I21" t="n">
        <v>6.5</v>
      </c>
      <c r="J21" t="n">
        <v>0</v>
      </c>
      <c r="K21" t="n">
        <v>0</v>
      </c>
      <c r="L21" t="inlineStr">
        <is>
          <t>2026-06-09T06:48:43.028806+00:00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Q_RATED_DIRECT</t>
        </is>
      </c>
      <c r="D22" t="inlineStr">
        <is>
          <t>Q_RATED_DIRECTr2</t>
        </is>
      </c>
      <c r="E22" t="inlineStr">
        <is>
          <t>All_Questions_Q_RATED_DIRECT_CT = O$22</t>
        </is>
      </c>
      <c r="H22">
        <f>IF(OR(All_Questions_Q_RATED_DIRECT_CT="(None)",O$22=""),"",IF(O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O$22),"")))</f>
        <v>0</v>
      </c>
      <c r="I22" t="n">
        <v>6.5</v>
      </c>
      <c r="J22" t="n">
        <v>0</v>
      </c>
      <c r="K22" t="n">
        <v>0</v>
      </c>
      <c r="L22" t="inlineStr">
        <is>
          <t>2026-06-09T06:48:43.028830+00:00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Q_RATED_DIRECT</t>
        </is>
      </c>
      <c r="D23" t="inlineStr">
        <is>
          <t>Q_RATED_DIRECTr2</t>
        </is>
      </c>
      <c r="E23" t="inlineStr">
        <is>
          <t>All_Questions_Q_RATED_DIRECT_CT = P$22</t>
        </is>
      </c>
      <c r="H23">
        <f>IF(OR(All_Questions_Q_RATED_DIRECT_CT="(None)",P$22=""),"",IF(P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P$22),"")))</f>
        <v>0</v>
      </c>
      <c r="I23" t="n">
        <v>6.5</v>
      </c>
      <c r="J23" t="n">
        <v>0</v>
      </c>
      <c r="K23" t="n">
        <v>0</v>
      </c>
      <c r="L23" t="inlineStr">
        <is>
          <t>2026-06-09T06:48:43.028853+00:00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Q_RATED_DIRECT</t>
        </is>
      </c>
      <c r="D24" t="inlineStr">
        <is>
          <t>Q_RATED_DIRECTr2</t>
        </is>
      </c>
      <c r="E24" t="inlineStr">
        <is>
          <t>All_Questions_Q_RATED_DIRECT_CT = Q$22</t>
        </is>
      </c>
      <c r="H24">
        <f>IF(OR(All_Questions_Q_RATED_DIRECT_CT="(None)",Q$22=""),"",IF(Q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Q$22),"")))</f>
        <v>0</v>
      </c>
      <c r="I24" t="n">
        <v>6.5</v>
      </c>
      <c r="J24" t="n">
        <v>0</v>
      </c>
      <c r="K24" t="n">
        <v>0</v>
      </c>
      <c r="L24" t="inlineStr">
        <is>
          <t>2026-06-09T06:48:43.028876+00:00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Q_RATED_DIRECT</t>
        </is>
      </c>
      <c r="D25" t="inlineStr">
        <is>
          <t>Q_RATED_DIRECTr2</t>
        </is>
      </c>
      <c r="E25" t="inlineStr">
        <is>
          <t>All_Questions_Q_RATED_DIRECT_CT = R$22</t>
        </is>
      </c>
      <c r="H25">
        <f>IF(OR(All_Questions_Q_RATED_DIRECT_CT="(None)",R$22=""),"",IF(R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R$22),"")))</f>
        <v>0</v>
      </c>
      <c r="I25" t="n">
        <v>6.5</v>
      </c>
      <c r="J25" t="n">
        <v>0</v>
      </c>
      <c r="K25" t="n">
        <v>0</v>
      </c>
      <c r="L25" t="inlineStr">
        <is>
          <t>2026-06-09T06:48:43.028958+00:00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2026-06-09T06:48:42Z</dcterms:created>
  <dcterms:modified xmlns:dcterms="http://purl.org/dc/terms/" xmlns:xsi="http://www.w3.org/2001/XMLSchema-instance" xsi:type="dcterms:W3CDTF">2026-06-09T06:48:43Z</dcterms:modified>
</cp:coreProperties>
</file>