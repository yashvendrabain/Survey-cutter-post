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(All_Questions_Q_SS_EXPORT_CT&lt;&gt;"(None)")*COUNTIFS(Q_SS_EXPORT_data,"Yes",passes_workbook_filters_data,1,INDIRECT(All_Questions_Q_SS_EXPORT_CT &amp; "_data"),G$16)</f>
        <v/>
      </c>
      <c r="H17">
        <f>(All_Questions_Q_SS_EXPORT_CT&lt;&gt;"(None)")*COUNTIFS(Q_SS_EXPORT_data,"Yes",passes_workbook_filters_data,1,INDIRECT(All_Questions_Q_SS_EXPORT_CT &amp; "_data"),H$16)</f>
        <v/>
      </c>
      <c r="I17">
        <f>(All_Questions_Q_SS_EXPORT_CT&lt;&gt;"(None)")*COUNTIFS(Q_SS_EXPORT_data,"Yes",passes_workbook_filters_data,1,INDIRECT(All_Questions_Q_SS_EXPORT_CT &amp; "_data"),I$16)</f>
        <v/>
      </c>
      <c r="J17">
        <f>(All_Questions_Q_SS_EXPORT_CT&lt;&gt;"(None)")*COUNTIFS(Q_SS_EXPORT_data,"Yes",passes_workbook_filters_data,1,INDIRECT(All_Questions_Q_SS_EXPORT_CT &amp; "_data"),J$16)</f>
        <v/>
      </c>
      <c r="K17">
        <f>(All_Questions_Q_SS_EXPORT_CT&lt;&gt;"(None)")*COUNTIFS(Q_SS_EXPORT_data,"Yes",passes_workbook_filters_data,1,INDIRECT(All_Questions_Q_SS_EXPORT_CT &amp; "_data"),K$16)</f>
        <v/>
      </c>
      <c r="L17">
        <f>(All_Questions_Q_SS_EXPORT_CT&lt;&gt;"(None)")*COUNTIFS(Q_SS_EXPORT_data,"Yes",passes_workbook_filters_data,1,INDIRECT(All_Questions_Q_SS_EXPORT_CT &amp; "_data"),L$16)</f>
        <v/>
      </c>
      <c r="M17">
        <f>(All_Questions_Q_SS_EXPORT_CT&lt;&gt;"(None)")*COUNTIFS(Q_SS_EXPORT_data,"Yes",passes_workbook_filters_data,1,INDIRECT(All_Questions_Q_SS_EXPORT_CT &amp; "_data"),M$16)</f>
        <v/>
      </c>
      <c r="N17">
        <f>(All_Questions_Q_SS_EXPORT_CT&lt;&gt;"(None)")*COUNTIFS(Q_SS_EXPORT_data,"Yes",passes_workbook_filters_data,1,INDIRECT(All_Questions_Q_SS_EXPORT_CT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(All_Questions_Q_SS_EXPORT_CT&lt;&gt;"(None)")*COUNTIFS(Q_SS_EXPORT_data,"No",passes_workbook_filters_data,1,INDIRECT(All_Questions_Q_SS_EXPORT_CT &amp; "_data"),G$16)</f>
        <v/>
      </c>
      <c r="H18">
        <f>(All_Questions_Q_SS_EXPORT_CT&lt;&gt;"(None)")*COUNTIFS(Q_SS_EXPORT_data,"No",passes_workbook_filters_data,1,INDIRECT(All_Questions_Q_SS_EXPORT_CT &amp; "_data"),H$16)</f>
        <v/>
      </c>
      <c r="I18">
        <f>(All_Questions_Q_SS_EXPORT_CT&lt;&gt;"(None)")*COUNTIFS(Q_SS_EXPORT_data,"No",passes_workbook_filters_data,1,INDIRECT(All_Questions_Q_SS_EXPORT_CT &amp; "_data"),I$16)</f>
        <v/>
      </c>
      <c r="J18">
        <f>(All_Questions_Q_SS_EXPORT_CT&lt;&gt;"(None)")*COUNTIFS(Q_SS_EXPORT_data,"No",passes_workbook_filters_data,1,INDIRECT(All_Questions_Q_SS_EXPORT_CT &amp; "_data"),J$16)</f>
        <v/>
      </c>
      <c r="K18">
        <f>(All_Questions_Q_SS_EXPORT_CT&lt;&gt;"(None)")*COUNTIFS(Q_SS_EXPORT_data,"No",passes_workbook_filters_data,1,INDIRECT(All_Questions_Q_SS_EXPORT_CT &amp; "_data"),K$16)</f>
        <v/>
      </c>
      <c r="L18">
        <f>(All_Questions_Q_SS_EXPORT_CT&lt;&gt;"(None)")*COUNTIFS(Q_SS_EXPORT_data,"No",passes_workbook_filters_data,1,INDIRECT(All_Questions_Q_SS_EXPORT_CT &amp; "_data"),L$16)</f>
        <v/>
      </c>
      <c r="M18">
        <f>(All_Questions_Q_SS_EXPORT_CT&lt;&gt;"(None)")*COUNTIFS(Q_SS_EXPORT_data,"No",passes_workbook_filters_data,1,INDIRECT(All_Questions_Q_SS_EXPORT_CT &amp; "_data"),M$16)</f>
        <v/>
      </c>
      <c r="N18">
        <f>(All_Questions_Q_SS_EXPORT_CT&lt;&gt;"(None)")*COUNTIFS(Q_SS_EXPORT_data,"No",passes_workbook_filters_data,1,INDIRECT(All_Questions_Q_SS_EXPORT_CT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(All_Questions_Q_MS_EXPORT_CT&lt;&gt;"(None)")*COUNTIFS(Q_MS_EXPORTr1_data,"Selected",passes_workbook_filters_data,1,INDIRECT(All_Questions_Q_MS_EXPORT_CT &amp; "_data"),G$25)</f>
        <v/>
      </c>
      <c r="H26">
        <f>(All_Questions_Q_MS_EXPORT_CT&lt;&gt;"(None)")*COUNTIFS(Q_MS_EXPORTr1_data,"Selected",passes_workbook_filters_data,1,INDIRECT(All_Questions_Q_MS_EXPORT_CT &amp; "_data"),H$25)</f>
        <v/>
      </c>
      <c r="I26">
        <f>(All_Questions_Q_MS_EXPORT_CT&lt;&gt;"(None)")*COUNTIFS(Q_MS_EXPORTr1_data,"Selected",passes_workbook_filters_data,1,INDIRECT(All_Questions_Q_MS_EXPORT_CT &amp; "_data"),I$25)</f>
        <v/>
      </c>
      <c r="J26">
        <f>(All_Questions_Q_MS_EXPORT_CT&lt;&gt;"(None)")*COUNTIFS(Q_MS_EXPORTr1_data,"Selected",passes_workbook_filters_data,1,INDIRECT(All_Questions_Q_MS_EXPORT_CT &amp; "_data"),J$25)</f>
        <v/>
      </c>
      <c r="K26">
        <f>(All_Questions_Q_MS_EXPORT_CT&lt;&gt;"(None)")*COUNTIFS(Q_MS_EXPORTr1_data,"Selected",passes_workbook_filters_data,1,INDIRECT(All_Questions_Q_MS_EXPORT_CT &amp; "_data"),K$25)</f>
        <v/>
      </c>
      <c r="L26">
        <f>(All_Questions_Q_MS_EXPORT_CT&lt;&gt;"(None)")*COUNTIFS(Q_MS_EXPORTr1_data,"Selected",passes_workbook_filters_data,1,INDIRECT(All_Questions_Q_MS_EXPORT_CT &amp; "_data"),L$25)</f>
        <v/>
      </c>
      <c r="M26">
        <f>(All_Questions_Q_MS_EXPORT_CT&lt;&gt;"(None)")*COUNTIFS(Q_MS_EXPORTr1_data,"Selected",passes_workbook_filters_data,1,INDIRECT(All_Questions_Q_MS_EXPORT_CT &amp; "_data"),M$25)</f>
        <v/>
      </c>
      <c r="N26">
        <f>(All_Questions_Q_MS_EXPORT_CT&lt;&gt;"(None)")*COUNTIFS(Q_MS_EXPORTr1_data,"Selected",passes_workbook_filters_data,1,INDIRECT(All_Questions_Q_MS_EXPORT_CT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(All_Questions_Q_MS_EXPORT_CT&lt;&gt;"(None)")*COUNTIFS(Q_MS_EXPORTr2_data,"Selected",passes_workbook_filters_data,1,INDIRECT(All_Questions_Q_MS_EXPORT_CT &amp; "_data"),G$25)</f>
        <v/>
      </c>
      <c r="H27">
        <f>(All_Questions_Q_MS_EXPORT_CT&lt;&gt;"(None)")*COUNTIFS(Q_MS_EXPORTr2_data,"Selected",passes_workbook_filters_data,1,INDIRECT(All_Questions_Q_MS_EXPORT_CT &amp; "_data"),H$25)</f>
        <v/>
      </c>
      <c r="I27">
        <f>(All_Questions_Q_MS_EXPORT_CT&lt;&gt;"(None)")*COUNTIFS(Q_MS_EXPORTr2_data,"Selected",passes_workbook_filters_data,1,INDIRECT(All_Questions_Q_MS_EXPORT_CT &amp; "_data"),I$25)</f>
        <v/>
      </c>
      <c r="J27">
        <f>(All_Questions_Q_MS_EXPORT_CT&lt;&gt;"(None)")*COUNTIFS(Q_MS_EXPORTr2_data,"Selected",passes_workbook_filters_data,1,INDIRECT(All_Questions_Q_MS_EXPORT_CT &amp; "_data"),J$25)</f>
        <v/>
      </c>
      <c r="K27">
        <f>(All_Questions_Q_MS_EXPORT_CT&lt;&gt;"(None)")*COUNTIFS(Q_MS_EXPORTr2_data,"Selected",passes_workbook_filters_data,1,INDIRECT(All_Questions_Q_MS_EXPORT_CT &amp; "_data"),K$25)</f>
        <v/>
      </c>
      <c r="L27">
        <f>(All_Questions_Q_MS_EXPORT_CT&lt;&gt;"(None)")*COUNTIFS(Q_MS_EXPORTr2_data,"Selected",passes_workbook_filters_data,1,INDIRECT(All_Questions_Q_MS_EXPORT_CT &amp; "_data"),L$25)</f>
        <v/>
      </c>
      <c r="M27">
        <f>(All_Questions_Q_MS_EXPORT_CT&lt;&gt;"(None)")*COUNTIFS(Q_MS_EXPORTr2_data,"Selected",passes_workbook_filters_data,1,INDIRECT(All_Questions_Q_MS_EXPORT_CT &amp; "_data"),M$25)</f>
        <v/>
      </c>
      <c r="N27">
        <f>(All_Questions_Q_MS_EXPORT_CT&lt;&gt;"(None)")*COUNTIFS(Q_MS_EXPORTr2_data,"Selected",passes_workbook_filters_data,1,INDIRECT(All_Questions_Q_MS_EXPORT_CT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IFERROR(AVERAGEIFS(Q_NUM_EXPORT_data,passes_workbook_filters_data,1),0)</f>
        <v/>
      </c>
      <c r="D35">
        <f>COUNTIFS(Q_NUM_EXPORT_data,"&lt;&gt;",passes_workbook_filters_data,1)</f>
        <v/>
      </c>
    </row>
    <row r="36">
      <c r="A36" t="inlineStr">
        <is>
          <t>Min</t>
        </is>
      </c>
      <c r="B36">
        <f>IFERROR(MINIFS(Q_NUM_EXPORT_data,passes_workbook_filters_data,1),0)</f>
        <v/>
      </c>
      <c r="D36">
        <f>COUNTIFS(Q_NUM_EXPORT_data,"&lt;&gt;",passes_workbook_filters_data,1)</f>
        <v/>
      </c>
    </row>
    <row r="37">
      <c r="A37" t="inlineStr">
        <is>
          <t>Max</t>
        </is>
      </c>
      <c r="B37">
        <f>IFERROR(MAXIFS(Q_NUM_EXPORT_data,passes_workbook_filters_data,1),0)</f>
        <v/>
      </c>
      <c r="D37">
        <f>COUNTIFS(Q_NUM_EXPORT_data,"&lt;&gt;",passes_workbook_filters_data,1)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(All_Questions_Q_GRID_EXPORT_CT&lt;&gt;"(None)")*COUNTIFS(Q_GRID_EXPORTr1_data,"Selected",passes_workbook_filters_data,1,INDIRECT(All_Questions_Q_GRID_EXPORT_CT &amp; "_data"),G$46)</f>
        <v/>
      </c>
      <c r="H47">
        <f>(All_Questions_Q_GRID_EXPORT_CT&lt;&gt;"(None)")*COUNTIFS(Q_GRID_EXPORTr1_data,"Selected",passes_workbook_filters_data,1,INDIRECT(All_Questions_Q_GRID_EXPORT_CT &amp; "_data"),H$46)</f>
        <v/>
      </c>
      <c r="I47">
        <f>(All_Questions_Q_GRID_EXPORT_CT&lt;&gt;"(None)")*COUNTIFS(Q_GRID_EXPORTr1_data,"Selected",passes_workbook_filters_data,1,INDIRECT(All_Questions_Q_GRID_EXPORT_CT &amp; "_data"),I$46)</f>
        <v/>
      </c>
      <c r="J47">
        <f>(All_Questions_Q_GRID_EXPORT_CT&lt;&gt;"(None)")*COUNTIFS(Q_GRID_EXPORTr1_data,"Selected",passes_workbook_filters_data,1,INDIRECT(All_Questions_Q_GRID_EXPORT_CT &amp; "_data"),J$46)</f>
        <v/>
      </c>
      <c r="K47">
        <f>(All_Questions_Q_GRID_EXPORT_CT&lt;&gt;"(None)")*COUNTIFS(Q_GRID_EXPORTr1_data,"Selected",passes_workbook_filters_data,1,INDIRECT(All_Questions_Q_GRID_EXPORT_CT &amp; "_data"),K$46)</f>
        <v/>
      </c>
      <c r="L47">
        <f>(All_Questions_Q_GRID_EXPORT_CT&lt;&gt;"(None)")*COUNTIFS(Q_GRID_EXPORTr1_data,"Selected",passes_workbook_filters_data,1,INDIRECT(All_Questions_Q_GRID_EXPORT_CT &amp; "_data"),L$46)</f>
        <v/>
      </c>
      <c r="M47">
        <f>(All_Questions_Q_GRID_EXPORT_CT&lt;&gt;"(None)")*COUNTIFS(Q_GRID_EXPORTr1_data,"Selected",passes_workbook_filters_data,1,INDIRECT(All_Questions_Q_GRID_EXPORT_CT &amp; "_data"),M$46)</f>
        <v/>
      </c>
      <c r="N47">
        <f>(All_Questions_Q_GRID_EXPORT_CT&lt;&gt;"(None)")*COUNTIFS(Q_GRID_EXPORTr1_data,"Selected",passes_workbook_filters_data,1,INDIRECT(All_Questions_Q_GRID_EXPORT_CT &amp; "_data"),N$46)</f>
        <v/>
      </c>
      <c r="O47">
        <f>SUM(G47:N47)</f>
        <v/>
      </c>
    </row>
    <row r="48">
      <c r="A48" t="inlineStr">
        <is>
          <t>Grid second row</t>
        </is>
      </c>
      <c r="B48">
        <f>COUNTIFS(Q_GRID_EXPORTr2_data,"Selected",passes_workbook_filters_data,1)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(All_Questions_Q_GRID_EXPORT_CT&lt;&gt;"(None)")*COUNTIFS(Q_GRID_EXPORTr2_data,"Selected",passes_workbook_filters_data,1,INDIRECT(All_Questions_Q_GRID_EXPORT_CT &amp; "_data"),G$46)</f>
        <v/>
      </c>
      <c r="H48">
        <f>(All_Questions_Q_GRID_EXPORT_CT&lt;&gt;"(None)")*COUNTIFS(Q_GRID_EXPORTr2_data,"Selected",passes_workbook_filters_data,1,INDIRECT(All_Questions_Q_GRID_EXPORT_CT &amp; "_data"),H$46)</f>
        <v/>
      </c>
      <c r="I48">
        <f>(All_Questions_Q_GRID_EXPORT_CT&lt;&gt;"(None)")*COUNTIFS(Q_GRID_EXPORTr2_data,"Selected",passes_workbook_filters_data,1,INDIRECT(All_Questions_Q_GRID_EXPORT_CT &amp; "_data"),I$46)</f>
        <v/>
      </c>
      <c r="J48">
        <f>(All_Questions_Q_GRID_EXPORT_CT&lt;&gt;"(None)")*COUNTIFS(Q_GRID_EXPORTr2_data,"Selected",passes_workbook_filters_data,1,INDIRECT(All_Questions_Q_GRID_EXPORT_CT &amp; "_data"),J$46)</f>
        <v/>
      </c>
      <c r="K48">
        <f>(All_Questions_Q_GRID_EXPORT_CT&lt;&gt;"(None)")*COUNTIFS(Q_GRID_EXPORTr2_data,"Selected",passes_workbook_filters_data,1,INDIRECT(All_Questions_Q_GRID_EXPORT_CT &amp; "_data"),K$46)</f>
        <v/>
      </c>
      <c r="L48">
        <f>(All_Questions_Q_GRID_EXPORT_CT&lt;&gt;"(None)")*COUNTIFS(Q_GRID_EXPORTr2_data,"Selected",passes_workbook_filters_data,1,INDIRECT(All_Questions_Q_GRID_EXPORT_CT &amp; "_data"),L$46)</f>
        <v/>
      </c>
      <c r="M48">
        <f>(All_Questions_Q_GRID_EXPORT_CT&lt;&gt;"(None)")*COUNTIFS(Q_GRID_EXPORTr2_data,"Selected",passes_workbook_filters_data,1,INDIRECT(All_Questions_Q_GRID_EXPORT_CT &amp; "_data"),M$46)</f>
        <v/>
      </c>
      <c r="N48">
        <f>(All_Questions_Q_GRID_EXPORT_CT&lt;&gt;"(None)")*COUNTIFS(Q_GRID_EXPORTr2_data,"Selected",passes_workbook_filters_data,1,INDIRECT(All_Questions_Q_GRID_EXPORT_CT &amp; "_data"),N$46)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(All_Questions_Q_VERY_LONG_SINGLE_SELECT_EXPORT_NAME_CT&lt;&gt;"(None)")*COUNTIFS(Q_VERY_LONG_SINGLE_SELECT_EXPOR_data,"A",passes_workbook_filters_data,1,INDIRECT(All_Questions_Q_VERY_LONG_SINGLE_SELECT_EXPORT_NAME_CT &amp; "_data"),G$55)</f>
        <v/>
      </c>
      <c r="H56">
        <f>(All_Questions_Q_VERY_LONG_SINGLE_SELECT_EXPORT_NAME_CT&lt;&gt;"(None)")*COUNTIFS(Q_VERY_LONG_SINGLE_SELECT_EXPOR_data,"A",passes_workbook_filters_data,1,INDIRECT(All_Questions_Q_VERY_LONG_SINGLE_SELECT_EXPORT_NAME_CT &amp; "_data"),H$55)</f>
        <v/>
      </c>
      <c r="I56">
        <f>(All_Questions_Q_VERY_LONG_SINGLE_SELECT_EXPORT_NAME_CT&lt;&gt;"(None)")*COUNTIFS(Q_VERY_LONG_SINGLE_SELECT_EXPOR_data,"A",passes_workbook_filters_data,1,INDIRECT(All_Questions_Q_VERY_LONG_SINGLE_SELECT_EXPORT_NAME_CT &amp; "_data"),I$55)</f>
        <v/>
      </c>
      <c r="J56">
        <f>(All_Questions_Q_VERY_LONG_SINGLE_SELECT_EXPORT_NAME_CT&lt;&gt;"(None)")*COUNTIFS(Q_VERY_LONG_SINGLE_SELECT_EXPOR_data,"A",passes_workbook_filters_data,1,INDIRECT(All_Questions_Q_VERY_LONG_SINGLE_SELECT_EXPORT_NAME_CT &amp; "_data"),J$55)</f>
        <v/>
      </c>
      <c r="K56">
        <f>(All_Questions_Q_VERY_LONG_SINGLE_SELECT_EXPORT_NAME_CT&lt;&gt;"(None)")*COUNTIFS(Q_VERY_LONG_SINGLE_SELECT_EXPOR_data,"A",passes_workbook_filters_data,1,INDIRECT(All_Questions_Q_VERY_LONG_SINGLE_SELECT_EXPORT_NAME_CT &amp; "_data"),K$55)</f>
        <v/>
      </c>
      <c r="L56">
        <f>(All_Questions_Q_VERY_LONG_SINGLE_SELECT_EXPORT_NAME_CT&lt;&gt;"(None)")*COUNTIFS(Q_VERY_LONG_SINGLE_SELECT_EXPOR_data,"A",passes_workbook_filters_data,1,INDIRECT(All_Questions_Q_VERY_LONG_SINGLE_SELECT_EXPORT_NAME_CT &amp; "_data"),L$55)</f>
        <v/>
      </c>
      <c r="M56">
        <f>(All_Questions_Q_VERY_LONG_SINGLE_SELECT_EXPORT_NAME_CT&lt;&gt;"(None)")*COUNTIFS(Q_VERY_LONG_SINGLE_SELECT_EXPOR_data,"A",passes_workbook_filters_data,1,INDIRECT(All_Questions_Q_VERY_LONG_SINGLE_SELECT_EXPORT_NAME_CT &amp; "_data"),M$55)</f>
        <v/>
      </c>
      <c r="N56">
        <f>(All_Questions_Q_VERY_LONG_SINGLE_SELECT_EXPORT_NAME_CT&lt;&gt;"(None)")*COUNTIFS(Q_VERY_LONG_SINGLE_SELECT_EXPOR_data,"A",passes_workbook_filters_data,1,INDIRECT(All_Questions_Q_VERY_LONG_SINGLE_SELECT_EXPORT_NAME_CT &amp; "_data"),N$55)</f>
        <v/>
      </c>
      <c r="O56">
        <f>SUM(G56:N56)</f>
        <v/>
      </c>
    </row>
    <row r="57">
      <c r="A57" t="inlineStr">
        <is>
          <t>B</t>
        </is>
      </c>
      <c r="B57">
        <f>COUNTIFS(Q_VERY_LONG_SINGLE_SELECT_EXPOR_data,"B",passes_workbook_filters_data,1)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(All_Questions_Q_VERY_LONG_SINGLE_SELECT_EXPORT_NAME_CT&lt;&gt;"(None)")*COUNTIFS(Q_VERY_LONG_SINGLE_SELECT_EXPOR_data,"B",passes_workbook_filters_data,1,INDIRECT(All_Questions_Q_VERY_LONG_SINGLE_SELECT_EXPORT_NAME_CT &amp; "_data"),G$55)</f>
        <v/>
      </c>
      <c r="H57">
        <f>(All_Questions_Q_VERY_LONG_SINGLE_SELECT_EXPORT_NAME_CT&lt;&gt;"(None)")*COUNTIFS(Q_VERY_LONG_SINGLE_SELECT_EXPOR_data,"B",passes_workbook_filters_data,1,INDIRECT(All_Questions_Q_VERY_LONG_SINGLE_SELECT_EXPORT_NAME_CT &amp; "_data"),H$55)</f>
        <v/>
      </c>
      <c r="I57">
        <f>(All_Questions_Q_VERY_LONG_SINGLE_SELECT_EXPORT_NAME_CT&lt;&gt;"(None)")*COUNTIFS(Q_VERY_LONG_SINGLE_SELECT_EXPOR_data,"B",passes_workbook_filters_data,1,INDIRECT(All_Questions_Q_VERY_LONG_SINGLE_SELECT_EXPORT_NAME_CT &amp; "_data"),I$55)</f>
        <v/>
      </c>
      <c r="J57">
        <f>(All_Questions_Q_VERY_LONG_SINGLE_SELECT_EXPORT_NAME_CT&lt;&gt;"(None)")*COUNTIFS(Q_VERY_LONG_SINGLE_SELECT_EXPOR_data,"B",passes_workbook_filters_data,1,INDIRECT(All_Questions_Q_VERY_LONG_SINGLE_SELECT_EXPORT_NAME_CT &amp; "_data"),J$55)</f>
        <v/>
      </c>
      <c r="K57">
        <f>(All_Questions_Q_VERY_LONG_SINGLE_SELECT_EXPORT_NAME_CT&lt;&gt;"(None)")*COUNTIFS(Q_VERY_LONG_SINGLE_SELECT_EXPOR_data,"B",passes_workbook_filters_data,1,INDIRECT(All_Questions_Q_VERY_LONG_SINGLE_SELECT_EXPORT_NAME_CT &amp; "_data"),K$55)</f>
        <v/>
      </c>
      <c r="L57">
        <f>(All_Questions_Q_VERY_LONG_SINGLE_SELECT_EXPORT_NAME_CT&lt;&gt;"(None)")*COUNTIFS(Q_VERY_LONG_SINGLE_SELECT_EXPOR_data,"B",passes_workbook_filters_data,1,INDIRECT(All_Questions_Q_VERY_LONG_SINGLE_SELECT_EXPORT_NAME_CT &amp; "_data"),L$55)</f>
        <v/>
      </c>
      <c r="M57">
        <f>(All_Questions_Q_VERY_LONG_SINGLE_SELECT_EXPORT_NAME_CT&lt;&gt;"(None)")*COUNTIFS(Q_VERY_LONG_SINGLE_SELECT_EXPOR_data,"B",passes_workbook_filters_data,1,INDIRECT(All_Questions_Q_VERY_LONG_SINGLE_SELECT_EXPORT_NAME_CT &amp; "_data"),M$55)</f>
        <v/>
      </c>
      <c r="N57">
        <f>(All_Questions_Q_VERY_LONG_SINGLE_SELECT_EXPORT_NAME_CT&lt;&gt;"(None)")*COUNTIFS(Q_VERY_LONG_SINGLE_SELECT_EXPOR_data,"B",passes_workbook_filters_data,1,INDIRECT(All_Questions_Q_VERY_LONG_SINGLE_SELECT_EXPORT_NAME_CT &amp; "_data"),N$55)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2026-05-14T17:36:42.299627+00:00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2026-05-14T17:36:42.300179+00:00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2026-05-14T17:36:42.300217+00:00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2026-05-14T17:36:42.301227+00:00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2026-05-14T17:36:42.301992+00:00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2026-05-14T17:36:42.302648+00:00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2026-05-14T17:36:42.303194+00:00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2026-05-14T17:36:42.303211+00:00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2026-05-14T17:36:42.303923+00:00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2026-05-14T17:36:42.304460+00:00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2026-05-14T17:36:42.304978+00:00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2026-05-14T17:36:42.305054+00:00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2026-05-14T17:36:42Z</dcterms:created>
  <dcterms:modified xmlns:dcterms="http://purl.org/dc/terms/" xmlns:xsi="http://www.w3.org/2001/XMLSchema-instance" xsi:type="dcterms:W3CDTF">2026-05-14T17:36:42Z</dcterms:modified>
</cp:coreProperties>
</file>