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IFERROR(INDEX(All_Questions_Data_Names,MATCH(Demographics_Q_MS_EXPORT_F_Q,All_Questions,0)),"'_RawData'!$A:$A")</f>
        <v>respondent_id_data</v>
      </c>
      <c r="G26" t="str">
        <f>"|" &amp; SUBSTITUTE(Demographics_Q_MS_EXPORT_F_V, ", ", "|") &amp; "|"</f>
        <v>|(All)|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IF(Demographics_Q_MS_EXPORT_CT="(None)","",IFERROR(INDEX(INDIRECT(IFERROR(INDEX(All_Questions_Options_Names,MATCH(Demographics_Q_MS_EXPORT_CT,All_Questions,0)),"'_Options'!$E$2:$E$2")),2),""))</f>
        <v/>
      </c>
      <c r="H29" s="2" t="str">
        <f>IF(Demographics_Q_MS_EXPORT_CT="(None)","",IFERROR(INDEX(INDIRECT(IFERROR(INDEX(All_Questions_Options_Names,MATCH(Demographics_Q_MS_EXPORT_CT,All_Questions,0)),"'_Options'!$E$2:$E$2")),3),""))</f>
        <v/>
      </c>
      <c r="I29" s="2" t="str">
        <f>IF(Demographics_Q_MS_EXPORT_CT="(None)","",IFERROR(INDEX(INDIRECT(IFERROR(INDEX(All_Questions_Options_Names,MATCH(Demographics_Q_MS_EXPORT_CT,All_Questions,0)),"'_Options'!$E$2:$E$2")),4),""))</f>
        <v/>
      </c>
      <c r="J29" s="2" t="str">
        <f>IF(Demographics_Q_MS_EXPORT_CT="(None)","",IFERROR(INDEX(INDIRECT(IFERROR(INDEX(All_Questions_Options_Names,MATCH(Demographics_Q_MS_EXPORT_CT,All_Questions,0)),"'_Options'!$E$2:$E$2")),5),""))</f>
        <v/>
      </c>
      <c r="K29" s="2" t="str">
        <f>IF(Demographics_Q_MS_EXPORT_CT="(None)","",IFERROR(INDEX(INDIRECT(IFERROR(INDEX(All_Questions_Options_Names,MATCH(Demographics_Q_MS_EXPORT_CT,All_Questions,0)),"'_Options'!$E$2:$E$2")),6),""))</f>
        <v/>
      </c>
      <c r="L29" s="2" t="str">
        <f>IF(Demographics_Q_MS_EXPORT_CT="(None)","",IFERROR(INDEX(INDIRECT(IFERROR(INDEX(All_Questions_Options_Names,MATCH(Demographics_Q_MS_EXPORT_CT,All_Questions,0)),"'_Options'!$E$2:$E$2")),7),""))</f>
        <v/>
      </c>
      <c r="M29" s="2" t="str">
        <f>IF(Demographics_Q_MS_EXPORT_CT="(None)","",IFERROR(INDEX(INDIRECT(IFERROR(INDEX(All_Questions_Options_Names,MATCH(Demographics_Q_MS_EXPORT_CT,All_Questions,0)),"'_Options'!$E$2:$E$2")),8),""))</f>
        <v/>
      </c>
      <c r="N29" s="2" t="str">
        <f>IF(Demographics_Q_MS_EXPORT_CT="(None)","",IFERROR(INDEX(INDIRECT(IFERROR(INDEX(All_Questions_Options_Names,MATCH(Demographics_Q_MS_EXPORT_CT,All_Questions,0)),"'_Options'!$E$2:$E$2")),9),""))</f>
        <v/>
      </c>
      <c r="O29" s="2" t="str">
        <f>IF(Demographics_Q_MS_EXPORT_CT="(None)","",IFERROR(INDEX(INDIRECT(IFERROR(INDEX(All_Questions_Options_Names,MATCH(Demographics_Q_MS_EXPORT_CT,All_Questions,0)),"'_Options'!$E$2:$E$2")),10),""))</f>
        <v/>
      </c>
      <c r="P29" s="2" t="str">
        <f>IF(Demographics_Q_MS_EXPORT_CT="(None)","",IFERROR(INDEX(INDIRECT(IFERROR(INDEX(All_Questions_Options_Names,MATCH(Demographics_Q_MS_EXPORT_CT,All_Questions,0)),"'_Options'!$E$2:$E$2")),11),""))</f>
        <v/>
      </c>
      <c r="Q29" s="2" t="str">
        <f>IF(Demographics_Q_MS_EXPORT_CT="(None)","",IFERROR(INDEX(INDIRECT(IFERROR(INDEX(All_Questions_Options_Names,MATCH(Demographics_Q_MS_EXPORT_CT,All_Questions,0)),"'_Options'!$E$2:$E$2")),12),""))</f>
        <v/>
      </c>
      <c r="R29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IF(All_Questions_Q_NUM_EXPORT_CT="(None)","",IFERROR(INDEX(INDIRECT(IFERROR(INDEX(All_Questions_Options_Names,MATCH(All_Questions_Q_NUM_EXPORT_CT,All_Questions,0)),"'_Options'!$E$2:$E$2")),2),""))</f>
        <v/>
      </c>
      <c r="H25" s="2" t="str">
        <f>IF(All_Questions_Q_NUM_EXPORT_CT="(None)","",IFERROR(INDEX(INDIRECT(IFERROR(INDEX(All_Questions_Options_Names,MATCH(All_Questions_Q_NUM_EXPORT_CT,All_Questions,0)),"'_Options'!$E$2:$E$2")),3),""))</f>
        <v/>
      </c>
      <c r="I25" s="2" t="str">
        <f>IF(All_Questions_Q_NUM_EXPORT_CT="(None)","",IFERROR(INDEX(INDIRECT(IFERROR(INDEX(All_Questions_Options_Names,MATCH(All_Questions_Q_NUM_EXPORT_CT,All_Questions,0)),"'_Options'!$E$2:$E$2")),4),""))</f>
        <v/>
      </c>
      <c r="J25" s="2" t="str">
        <f>IF(All_Questions_Q_NUM_EXPORT_CT="(None)","",IFERROR(INDEX(INDIRECT(IFERROR(INDEX(All_Questions_Options_Names,MATCH(All_Questions_Q_NUM_EXPORT_CT,All_Questions,0)),"'_Options'!$E$2:$E$2")),5),""))</f>
        <v/>
      </c>
      <c r="K25" s="2" t="str">
        <f>IF(All_Questions_Q_NUM_EXPORT_CT="(None)","",IFERROR(INDEX(INDIRECT(IFERROR(INDEX(All_Questions_Options_Names,MATCH(All_Questions_Q_NUM_EXPORT_CT,All_Questions,0)),"'_Options'!$E$2:$E$2")),6),""))</f>
        <v/>
      </c>
      <c r="L25" s="2" t="str">
        <f>IF(All_Questions_Q_NUM_EXPORT_CT="(None)","",IFERROR(INDEX(INDIRECT(IFERROR(INDEX(All_Questions_Options_Names,MATCH(All_Questions_Q_NUM_EXPORT_CT,All_Questions,0)),"'_Options'!$E$2:$E$2")),7),""))</f>
        <v/>
      </c>
      <c r="M25" s="2" t="str">
        <f>IF(All_Questions_Q_NUM_EXPORT_CT="(None)","",IFERROR(INDEX(INDIRECT(IFERROR(INDEX(All_Questions_Options_Names,MATCH(All_Questions_Q_NUM_EXPORT_CT,All_Questions,0)),"'_Options'!$E$2:$E$2")),8),""))</f>
        <v/>
      </c>
      <c r="N25" s="2" t="str">
        <f>IF(All_Questions_Q_NUM_EXPORT_CT="(None)","",IFERROR(INDEX(INDIRECT(IFERROR(INDEX(All_Questions_Options_Names,MATCH(All_Questions_Q_NUM_EXPORT_CT,All_Questions,0)),"'_Options'!$E$2:$E$2")),9),""))</f>
        <v/>
      </c>
      <c r="O25" s="2" t="str">
        <f>IF(All_Questions_Q_NUM_EXPORT_CT="(None)","",IFERROR(INDEX(INDIRECT(IFERROR(INDEX(All_Questions_Options_Names,MATCH(All_Questions_Q_NUM_EXPORT_CT,All_Questions,0)),"'_Options'!$E$2:$E$2")),10),""))</f>
        <v/>
      </c>
      <c r="P25" s="2" t="str">
        <f>IF(All_Questions_Q_NUM_EXPORT_CT="(None)","",IFERROR(INDEX(INDIRECT(IFERROR(INDEX(All_Questions_Options_Names,MATCH(All_Questions_Q_NUM_EXPORT_CT,All_Questions,0)),"'_Options'!$E$2:$E$2")),11),""))</f>
        <v/>
      </c>
      <c r="Q25" s="2" t="str">
        <f>IF(All_Questions_Q_NUM_EXPORT_CT="(None)","",IFERROR(INDEX(INDIRECT(IFERROR(INDEX(All_Questions_Options_Names,MATCH(All_Questions_Q_NUM_EXPORT_CT,All_Questions,0)),"'_Options'!$E$2:$E$2")),12),""))</f>
        <v/>
      </c>
      <c r="R2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IFERROR(INDEX(All_Questions_Data_Names,MATCH(All_Questions_Q_GRID_EXPORT_F_Q,All_Questions,0)),"'_RawData'!$A:$A")</f>
        <v>respondent_id_data</v>
      </c>
      <c r="G32" t="str">
        <f>"|" &amp; SUBSTITUTE(All_Questions_Q_GRID_EXPORT_F_V, ", ", "|") &amp; "|"</f>
        <v>|(All)|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IF(All_Questions_Q_GRID_EXPORT_CT="(None)","",IFERROR(INDEX(INDIRECT(IFERROR(INDEX(All_Questions_Options_Names,MATCH(All_Questions_Q_GRID_EXPORT_CT,All_Questions,0)),"'_Options'!$E$2:$E$2")),2),""))</f>
        <v/>
      </c>
      <c r="H42" s="2" t="str">
        <f>IF(All_Questions_Q_GRID_EXPORT_CT="(None)","",IFERROR(INDEX(INDIRECT(IFERROR(INDEX(All_Questions_Options_Names,MATCH(All_Questions_Q_GRID_EXPORT_CT,All_Questions,0)),"'_Options'!$E$2:$E$2")),3),""))</f>
        <v/>
      </c>
      <c r="I42" s="2" t="str">
        <f>IF(All_Questions_Q_GRID_EXPORT_CT="(None)","",IFERROR(INDEX(INDIRECT(IFERROR(INDEX(All_Questions_Options_Names,MATCH(All_Questions_Q_GRID_EXPORT_CT,All_Questions,0)),"'_Options'!$E$2:$E$2")),4),""))</f>
        <v/>
      </c>
      <c r="J42" s="2" t="str">
        <f>IF(All_Questions_Q_GRID_EXPORT_CT="(None)","",IFERROR(INDEX(INDIRECT(IFERROR(INDEX(All_Questions_Options_Names,MATCH(All_Questions_Q_GRID_EXPORT_CT,All_Questions,0)),"'_Options'!$E$2:$E$2")),5),""))</f>
        <v/>
      </c>
      <c r="K42" s="2" t="str">
        <f>IF(All_Questions_Q_GRID_EXPORT_CT="(None)","",IFERROR(INDEX(INDIRECT(IFERROR(INDEX(All_Questions_Options_Names,MATCH(All_Questions_Q_GRID_EXPORT_CT,All_Questions,0)),"'_Options'!$E$2:$E$2")),6),""))</f>
        <v/>
      </c>
      <c r="L42" s="2" t="str">
        <f>IF(All_Questions_Q_GRID_EXPORT_CT="(None)","",IFERROR(INDEX(INDIRECT(IFERROR(INDEX(All_Questions_Options_Names,MATCH(All_Questions_Q_GRID_EXPORT_CT,All_Questions,0)),"'_Options'!$E$2:$E$2")),7),""))</f>
        <v/>
      </c>
      <c r="M42" s="2" t="str">
        <f>IF(All_Questions_Q_GRID_EXPORT_CT="(None)","",IFERROR(INDEX(INDIRECT(IFERROR(INDEX(All_Questions_Options_Names,MATCH(All_Questions_Q_GRID_EXPORT_CT,All_Questions,0)),"'_Options'!$E$2:$E$2")),8),""))</f>
        <v/>
      </c>
      <c r="N42" s="2" t="str">
        <f>IF(All_Questions_Q_GRID_EXPORT_CT="(None)","",IFERROR(INDEX(INDIRECT(IFERROR(INDEX(All_Questions_Options_Names,MATCH(All_Questions_Q_GRID_EXPORT_CT,All_Questions,0)),"'_Options'!$E$2:$E$2")),9),""))</f>
        <v/>
      </c>
      <c r="O42" s="2" t="str">
        <f>IF(All_Questions_Q_GRID_EXPORT_CT="(None)","",IFERROR(INDEX(INDIRECT(IFERROR(INDEX(All_Questions_Options_Names,MATCH(All_Questions_Q_GRID_EXPORT_CT,All_Questions,0)),"'_Options'!$E$2:$E$2")),10),""))</f>
        <v/>
      </c>
      <c r="P42" s="2" t="str">
        <f>IF(All_Questions_Q_GRID_EXPORT_CT="(None)","",IFERROR(INDEX(INDIRECT(IFERROR(INDEX(All_Questions_Options_Names,MATCH(All_Questions_Q_GRID_EXPORT_CT,All_Questions,0)),"'_Options'!$E$2:$E$2")),11),""))</f>
        <v/>
      </c>
      <c r="Q42" s="2" t="str">
        <f>IF(All_Questions_Q_GRID_EXPORT_CT="(None)","",IFERROR(INDEX(INDIRECT(IFERROR(INDEX(All_Questions_Options_Names,MATCH(All_Questions_Q_GRID_EXPORT_CT,All_Questions,0)),"'_Options'!$E$2:$E$2")),12),""))</f>
        <v/>
      </c>
      <c r="R4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IFERROR(INDEX(All_Questions_Data_Names,MATCH(All_Questions_Q_VERY_LONG_SINGLE_SELECT_EXPORT_NAME_F_Q,All_Questions,0)),"'_RawData'!$A:$A")</f>
        <v>respondent_id_data</v>
      </c>
      <c r="G50" t="str">
        <f>"|" &amp; SUBSTITUTE(All_Questions_Q_VERY_LONG_SINGLE_SELECT_EXPORT_NAME_F_V, ", ", "|") &amp; "|"</f>
        <v>|(All)|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=All_Questions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2026-06-08T09:15:42.507265+00:00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2026-06-08T09:15:42.507308+00:00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2026-06-08T09:15:42.507338+00:00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2026-06-08T09:15:42.507365+00:00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2026-06-08T09:15:42.507392+00:00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2026-06-08T09:15:42.507417+00:00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2026-06-08T09:15:42.507445+00:00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2026-06-08T09:15:42.507471+00:00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2026-06-08T09:15:42.507496+00:00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2026-06-08T09:15:42.507522+00:00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2026-06-08T09:15:42.507548+00:00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2026-06-08T09:15:42.507582+00:00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2026-06-08T09:15:42.507632+00:00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2026-06-08T09:15:42.507658+00:00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2026-06-08T09:15:42.507683+00:00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2026-06-08T09:15:42.507709+00:00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2026-06-08T09:15:42.507735+00:00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2026-06-08T09:15:42.507761+00:00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2026-06-08T09:15:42.507786+00:00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2026-06-08T09:15:42.507810+00:00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2026-06-08T09:15:42.507837+00:00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2026-06-08T09:15:42.507865+00:00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2026-06-08T09:15:42.507890+00:00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2026-06-08T09:15:42.507922+00:00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2026-06-08T09:15:42.513427+00:00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2026-06-08T09:15:42.513458+00:00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2026-06-08T09:15:42.513479+00:00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2026-06-08T09:15:42.513498+00:00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2026-06-08T09:15:42.513518+00:00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2026-06-08T09:15:42.513536+00:00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2026-06-08T09:15:42.513554+00:00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2026-06-08T09:15:42.513571+00:00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2026-06-08T09:15:42.513589+00:00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2026-06-08T09:15:42.513607+00:00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2026-06-08T09:15:42.513627+00:00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2026-06-08T09:15:42.513653+00:00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2026-06-08T09:15:42Z</dcterms:created>
  <dcterms:modified xmlns:dcterms="http://purl.org/dc/terms/" xmlns:xsi="http://www.w3.org/2001/XMLSchema-instance" xsi:type="dcterms:W3CDTF">2026-06-08T09:15:42Z</dcterms:modified>
</cp:coreProperties>
</file>