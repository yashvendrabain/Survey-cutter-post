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1.xml" ContentType="application/vnd.openxmlformats-officedocument.spreadsheetml.comments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'_RawData'!$A$2:$A$1023</definedName>
    <definedName name="Q20r1_data">'_RawData'!$B$2:$B$1023</definedName>
    <definedName name="Q20r2_data">'_RawData'!$C$2:$C$1023</definedName>
    <definedName name="Q20r3_data">'_RawData'!$D$2:$D$1023</definedName>
    <definedName name="All_Questions">'_Options'!$A$2:$A$2</definedName>
    <definedName name="All_Questions_Local">'_Options'!$B$2:$B$3</definedName>
    <definedName name="All_Questions_Data_Names">'_Options'!$C$2:$C$2</definedName>
    <definedName name="All_Questions_Options_Names">'_Options'!$D$2:$D$2</definedName>
    <definedName name="None_options">'_Options'!$E$2:$E$2</definedName>
    <definedName name="Q20r1_options">'_Options'!$F$2:$F$3</definedName>
    <definedName name="Q20r1_local_options">'_Options'!$I$2:$I$4</definedName>
    <definedName name="Q20r2_options">'_Options'!$G$2:$G$3</definedName>
    <definedName name="Q20r2_local_options">'_Options'!$J$2:$J$4</definedName>
    <definedName name="Q20r3_options">'_Options'!$H$2:$H$3</definedName>
    <definedName name="Q20r3_local_options">'_Options'!$K$2:$K$4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'_RawData'!$E$2:$E$1023</definedName>
    <definedName name="F_Custom1_match_data">'_RawData'!$F$2:$F$1023</definedName>
    <definedName name="F_Custom2_match_data">'_RawData'!$G$2:$G$1023</definedName>
    <definedName name="passes_workbook_custom_filters_data">'_RawData'!$H$2:$H$1023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'_RawData'!$I$2:$I$1023</definedName>
    <definedName name="All_Questions_Q20_F_Q">'All Questions'!$C$13</definedName>
    <definedName name="All_Questions_Q20_F_V">'All Questions'!$E$13</definedName>
    <definedName name="All_Questions_Q20_F_resolved_column">'All Questions'!$F$13</definedName>
    <definedName name="All_Questions_Q20_F_wrapped">'All Questions'!$G$13</definedName>
    <definedName name="All_Questions_Q20_F_passes_per_q_filter_data">'_RawData'!$J$2:$J$1023</definedName>
    <definedName name="All_Questions_Q20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E2" i="1"/>
  <c r="F2" i="1"/>
  <c r="G2" i="1"/>
  <c r="H2" i="1"/>
  <c r="I2" i="1"/>
  <c r="J2" i="1"/>
  <c r="E3" i="1"/>
  <c r="F3" i="1"/>
  <c r="G3" i="1"/>
  <c r="H3" i="1"/>
  <c r="I3" i="1"/>
  <c r="J3" i="1"/>
  <c r="E4" i="1"/>
  <c r="F4" i="1"/>
  <c r="G4" i="1"/>
  <c r="H4" i="1"/>
  <c r="I4" i="1"/>
  <c r="J4" i="1"/>
  <c r="E5" i="1"/>
  <c r="F5" i="1"/>
  <c r="G5" i="1"/>
  <c r="H5" i="1"/>
  <c r="I5" i="1"/>
  <c r="J5" i="1"/>
  <c r="E6" i="1"/>
  <c r="F6" i="1"/>
  <c r="G6" i="1"/>
  <c r="H6" i="1"/>
  <c r="I6" i="1"/>
  <c r="J6" i="1"/>
  <c r="E7" i="1"/>
  <c r="F7" i="1"/>
  <c r="G7" i="1"/>
  <c r="H7" i="1"/>
  <c r="I7" i="1"/>
  <c r="J7" i="1"/>
  <c r="E8" i="1"/>
  <c r="F8" i="1"/>
  <c r="G8" i="1"/>
  <c r="H8" i="1"/>
  <c r="I8" i="1"/>
  <c r="J8" i="1"/>
  <c r="E9" i="1"/>
  <c r="F9" i="1"/>
  <c r="G9" i="1"/>
  <c r="H9" i="1"/>
  <c r="I9" i="1"/>
  <c r="J9" i="1"/>
  <c r="E10" i="1"/>
  <c r="F10" i="1"/>
  <c r="G10" i="1"/>
  <c r="H10" i="1"/>
  <c r="I10" i="1"/>
  <c r="J10" i="1"/>
  <c r="E11" i="1"/>
  <c r="F11" i="1"/>
  <c r="G11" i="1"/>
  <c r="H11" i="1"/>
  <c r="I11" i="1"/>
  <c r="J11" i="1"/>
  <c r="E12" i="1"/>
  <c r="F12" i="1"/>
  <c r="G12" i="1"/>
  <c r="H12" i="1"/>
  <c r="I12" i="1"/>
  <c r="J12" i="1"/>
  <c r="E13" i="1"/>
  <c r="F13" i="1"/>
  <c r="G13" i="1"/>
  <c r="H13" i="1"/>
  <c r="I13" i="1"/>
  <c r="J13" i="1"/>
  <c r="E14" i="1"/>
  <c r="F14" i="1"/>
  <c r="G14" i="1"/>
  <c r="H14" i="1"/>
  <c r="I14" i="1"/>
  <c r="J14" i="1"/>
  <c r="E15" i="1"/>
  <c r="F15" i="1"/>
  <c r="G15" i="1"/>
  <c r="H15" i="1"/>
  <c r="I15" i="1"/>
  <c r="J15" i="1"/>
  <c r="E16" i="1"/>
  <c r="F16" i="1"/>
  <c r="G16" i="1"/>
  <c r="H16" i="1"/>
  <c r="I16" i="1"/>
  <c r="J16" i="1"/>
  <c r="E17" i="1"/>
  <c r="F17" i="1"/>
  <c r="G17" i="1"/>
  <c r="H17" i="1"/>
  <c r="I17" i="1"/>
  <c r="J17" i="1"/>
  <c r="E18" i="1"/>
  <c r="F18" i="1"/>
  <c r="G18" i="1"/>
  <c r="H18" i="1"/>
  <c r="I18" i="1"/>
  <c r="J18" i="1"/>
  <c r="E19" i="1"/>
  <c r="F19" i="1"/>
  <c r="G19" i="1"/>
  <c r="H19" i="1"/>
  <c r="I19" i="1"/>
  <c r="J19" i="1"/>
  <c r="E20" i="1"/>
  <c r="F20" i="1"/>
  <c r="G20" i="1"/>
  <c r="H20" i="1"/>
  <c r="I20" i="1"/>
  <c r="J20" i="1"/>
  <c r="E21" i="1"/>
  <c r="F21" i="1"/>
  <c r="G21" i="1"/>
  <c r="H21" i="1"/>
  <c r="I21" i="1"/>
  <c r="J21" i="1"/>
  <c r="E22" i="1"/>
  <c r="F22" i="1"/>
  <c r="G22" i="1"/>
  <c r="H22" i="1"/>
  <c r="I22" i="1"/>
  <c r="J22" i="1"/>
  <c r="E23" i="1"/>
  <c r="F23" i="1"/>
  <c r="G23" i="1"/>
  <c r="H23" i="1"/>
  <c r="I23" i="1"/>
  <c r="J23" i="1"/>
  <c r="E24" i="1"/>
  <c r="F24" i="1"/>
  <c r="G24" i="1"/>
  <c r="H24" i="1"/>
  <c r="I24" i="1"/>
  <c r="J24" i="1"/>
  <c r="E25" i="1"/>
  <c r="F25" i="1"/>
  <c r="G25" i="1"/>
  <c r="H25" i="1"/>
  <c r="I25" i="1"/>
  <c r="J25" i="1"/>
  <c r="E26" i="1"/>
  <c r="F26" i="1"/>
  <c r="G26" i="1"/>
  <c r="H26" i="1"/>
  <c r="I26" i="1"/>
  <c r="J26" i="1"/>
  <c r="E27" i="1"/>
  <c r="F27" i="1"/>
  <c r="G27" i="1"/>
  <c r="H27" i="1"/>
  <c r="I27" i="1"/>
  <c r="J27" i="1"/>
  <c r="E28" i="1"/>
  <c r="F28" i="1"/>
  <c r="G28" i="1"/>
  <c r="H28" i="1"/>
  <c r="I28" i="1"/>
  <c r="J28" i="1"/>
  <c r="E29" i="1"/>
  <c r="F29" i="1"/>
  <c r="G29" i="1"/>
  <c r="H29" i="1"/>
  <c r="I29" i="1"/>
  <c r="J29" i="1"/>
  <c r="E30" i="1"/>
  <c r="F30" i="1"/>
  <c r="G30" i="1"/>
  <c r="H30" i="1"/>
  <c r="I30" i="1"/>
  <c r="J30" i="1"/>
  <c r="E31" i="1"/>
  <c r="F31" i="1"/>
  <c r="G31" i="1"/>
  <c r="H31" i="1"/>
  <c r="I31" i="1"/>
  <c r="J31" i="1"/>
  <c r="E32" i="1"/>
  <c r="F32" i="1"/>
  <c r="G32" i="1"/>
  <c r="H32" i="1"/>
  <c r="I32" i="1"/>
  <c r="J32" i="1"/>
  <c r="E33" i="1"/>
  <c r="F33" i="1"/>
  <c r="G33" i="1"/>
  <c r="H33" i="1"/>
  <c r="I33" i="1"/>
  <c r="J33" i="1"/>
  <c r="E34" i="1"/>
  <c r="F34" i="1"/>
  <c r="G34" i="1"/>
  <c r="H34" i="1"/>
  <c r="I34" i="1"/>
  <c r="J34" i="1"/>
  <c r="E35" i="1"/>
  <c r="F35" i="1"/>
  <c r="G35" i="1"/>
  <c r="H35" i="1"/>
  <c r="I35" i="1"/>
  <c r="J35" i="1"/>
  <c r="E36" i="1"/>
  <c r="F36" i="1"/>
  <c r="G36" i="1"/>
  <c r="H36" i="1"/>
  <c r="I36" i="1"/>
  <c r="J36" i="1"/>
  <c r="E37" i="1"/>
  <c r="F37" i="1"/>
  <c r="G37" i="1"/>
  <c r="H37" i="1"/>
  <c r="I37" i="1"/>
  <c r="J37" i="1"/>
  <c r="E38" i="1"/>
  <c r="F38" i="1"/>
  <c r="G38" i="1"/>
  <c r="H38" i="1"/>
  <c r="I38" i="1"/>
  <c r="J38" i="1"/>
  <c r="E39" i="1"/>
  <c r="F39" i="1"/>
  <c r="G39" i="1"/>
  <c r="H39" i="1"/>
  <c r="I39" i="1"/>
  <c r="J39" i="1"/>
  <c r="E40" i="1"/>
  <c r="F40" i="1"/>
  <c r="G40" i="1"/>
  <c r="H40" i="1"/>
  <c r="I40" i="1"/>
  <c r="J40" i="1"/>
  <c r="E41" i="1"/>
  <c r="F41" i="1"/>
  <c r="G41" i="1"/>
  <c r="H41" i="1"/>
  <c r="I41" i="1"/>
  <c r="J41" i="1"/>
  <c r="E42" i="1"/>
  <c r="F42" i="1"/>
  <c r="G42" i="1"/>
  <c r="H42" i="1"/>
  <c r="I42" i="1"/>
  <c r="J42" i="1"/>
  <c r="E43" i="1"/>
  <c r="F43" i="1"/>
  <c r="G43" i="1"/>
  <c r="H43" i="1"/>
  <c r="I43" i="1"/>
  <c r="J43" i="1"/>
  <c r="E44" i="1"/>
  <c r="F44" i="1"/>
  <c r="G44" i="1"/>
  <c r="H44" i="1"/>
  <c r="I44" i="1"/>
  <c r="J44" i="1"/>
  <c r="E45" i="1"/>
  <c r="F45" i="1"/>
  <c r="G45" i="1"/>
  <c r="H45" i="1"/>
  <c r="I45" i="1"/>
  <c r="J45" i="1"/>
  <c r="E46" i="1"/>
  <c r="F46" i="1"/>
  <c r="G46" i="1"/>
  <c r="H46" i="1"/>
  <c r="I46" i="1"/>
  <c r="J46" i="1"/>
  <c r="E47" i="1"/>
  <c r="F47" i="1"/>
  <c r="G47" i="1"/>
  <c r="H47" i="1"/>
  <c r="I47" i="1"/>
  <c r="J47" i="1"/>
  <c r="E48" i="1"/>
  <c r="F48" i="1"/>
  <c r="G48" i="1"/>
  <c r="H48" i="1"/>
  <c r="I48" i="1"/>
  <c r="J48" i="1"/>
  <c r="E49" i="1"/>
  <c r="F49" i="1"/>
  <c r="G49" i="1"/>
  <c r="H49" i="1"/>
  <c r="I49" i="1"/>
  <c r="J49" i="1"/>
  <c r="E50" i="1"/>
  <c r="F50" i="1"/>
  <c r="G50" i="1"/>
  <c r="H50" i="1"/>
  <c r="I50" i="1"/>
  <c r="J50" i="1"/>
  <c r="E51" i="1"/>
  <c r="F51" i="1"/>
  <c r="G51" i="1"/>
  <c r="H51" i="1"/>
  <c r="I51" i="1"/>
  <c r="J51" i="1"/>
  <c r="E52" i="1"/>
  <c r="F52" i="1"/>
  <c r="G52" i="1"/>
  <c r="H52" i="1"/>
  <c r="I52" i="1"/>
  <c r="J52" i="1"/>
  <c r="E53" i="1"/>
  <c r="F53" i="1"/>
  <c r="G53" i="1"/>
  <c r="H53" i="1"/>
  <c r="I53" i="1"/>
  <c r="J53" i="1"/>
  <c r="E54" i="1"/>
  <c r="F54" i="1"/>
  <c r="G54" i="1"/>
  <c r="H54" i="1"/>
  <c r="I54" i="1"/>
  <c r="J54" i="1"/>
  <c r="E55" i="1"/>
  <c r="F55" i="1"/>
  <c r="G55" i="1"/>
  <c r="H55" i="1"/>
  <c r="I55" i="1"/>
  <c r="J55" i="1"/>
  <c r="E56" i="1"/>
  <c r="F56" i="1"/>
  <c r="G56" i="1"/>
  <c r="H56" i="1"/>
  <c r="I56" i="1"/>
  <c r="J56" i="1"/>
  <c r="E57" i="1"/>
  <c r="F57" i="1"/>
  <c r="G57" i="1"/>
  <c r="H57" i="1"/>
  <c r="I57" i="1"/>
  <c r="J57" i="1"/>
  <c r="E58" i="1"/>
  <c r="F58" i="1"/>
  <c r="G58" i="1"/>
  <c r="H58" i="1"/>
  <c r="I58" i="1"/>
  <c r="J58" i="1"/>
  <c r="E59" i="1"/>
  <c r="F59" i="1"/>
  <c r="G59" i="1"/>
  <c r="H59" i="1"/>
  <c r="I59" i="1"/>
  <c r="J59" i="1"/>
  <c r="E60" i="1"/>
  <c r="F60" i="1"/>
  <c r="G60" i="1"/>
  <c r="H60" i="1"/>
  <c r="I60" i="1"/>
  <c r="J60" i="1"/>
  <c r="E61" i="1"/>
  <c r="F61" i="1"/>
  <c r="G61" i="1"/>
  <c r="H61" i="1"/>
  <c r="I61" i="1"/>
  <c r="J61" i="1"/>
  <c r="E62" i="1"/>
  <c r="F62" i="1"/>
  <c r="G62" i="1"/>
  <c r="H62" i="1"/>
  <c r="I62" i="1"/>
  <c r="J62" i="1"/>
  <c r="E63" i="1"/>
  <c r="F63" i="1"/>
  <c r="G63" i="1"/>
  <c r="H63" i="1"/>
  <c r="I63" i="1"/>
  <c r="J63" i="1"/>
  <c r="E64" i="1"/>
  <c r="F64" i="1"/>
  <c r="G64" i="1"/>
  <c r="H64" i="1"/>
  <c r="I64" i="1"/>
  <c r="J64" i="1"/>
  <c r="E65" i="1"/>
  <c r="F65" i="1"/>
  <c r="G65" i="1"/>
  <c r="H65" i="1"/>
  <c r="I65" i="1"/>
  <c r="J65" i="1"/>
  <c r="E66" i="1"/>
  <c r="F66" i="1"/>
  <c r="G66" i="1"/>
  <c r="H66" i="1"/>
  <c r="I66" i="1"/>
  <c r="J66" i="1"/>
  <c r="E67" i="1"/>
  <c r="F67" i="1"/>
  <c r="G67" i="1"/>
  <c r="H67" i="1"/>
  <c r="I67" i="1"/>
  <c r="J67" i="1"/>
  <c r="E68" i="1"/>
  <c r="F68" i="1"/>
  <c r="G68" i="1"/>
  <c r="H68" i="1"/>
  <c r="I68" i="1"/>
  <c r="J68" i="1"/>
  <c r="E69" i="1"/>
  <c r="F69" i="1"/>
  <c r="G69" i="1"/>
  <c r="H69" i="1"/>
  <c r="I69" i="1"/>
  <c r="J69" i="1"/>
  <c r="E70" i="1"/>
  <c r="F70" i="1"/>
  <c r="G70" i="1"/>
  <c r="H70" i="1"/>
  <c r="I70" i="1"/>
  <c r="J70" i="1"/>
  <c r="E71" i="1"/>
  <c r="F71" i="1"/>
  <c r="G71" i="1"/>
  <c r="H71" i="1"/>
  <c r="I71" i="1"/>
  <c r="J71" i="1"/>
  <c r="E72" i="1"/>
  <c r="F72" i="1"/>
  <c r="G72" i="1"/>
  <c r="H72" i="1"/>
  <c r="I72" i="1"/>
  <c r="J72" i="1"/>
  <c r="E73" i="1"/>
  <c r="F73" i="1"/>
  <c r="G73" i="1"/>
  <c r="H73" i="1"/>
  <c r="I73" i="1"/>
  <c r="J73" i="1"/>
  <c r="E74" i="1"/>
  <c r="F74" i="1"/>
  <c r="G74" i="1"/>
  <c r="H74" i="1"/>
  <c r="I74" i="1"/>
  <c r="J74" i="1"/>
  <c r="E75" i="1"/>
  <c r="F75" i="1"/>
  <c r="G75" i="1"/>
  <c r="H75" i="1"/>
  <c r="I75" i="1"/>
  <c r="J75" i="1"/>
  <c r="E76" i="1"/>
  <c r="F76" i="1"/>
  <c r="G76" i="1"/>
  <c r="H76" i="1"/>
  <c r="I76" i="1"/>
  <c r="J76" i="1"/>
  <c r="E77" i="1"/>
  <c r="F77" i="1"/>
  <c r="G77" i="1"/>
  <c r="H77" i="1"/>
  <c r="I77" i="1"/>
  <c r="J77" i="1"/>
  <c r="E78" i="1"/>
  <c r="F78" i="1"/>
  <c r="G78" i="1"/>
  <c r="H78" i="1"/>
  <c r="I78" i="1"/>
  <c r="J78" i="1"/>
  <c r="E79" i="1"/>
  <c r="F79" i="1"/>
  <c r="G79" i="1"/>
  <c r="H79" i="1"/>
  <c r="I79" i="1"/>
  <c r="J79" i="1"/>
  <c r="E80" i="1"/>
  <c r="F80" i="1"/>
  <c r="G80" i="1"/>
  <c r="H80" i="1"/>
  <c r="I80" i="1"/>
  <c r="J80" i="1"/>
  <c r="E81" i="1"/>
  <c r="F81" i="1"/>
  <c r="G81" i="1"/>
  <c r="H81" i="1"/>
  <c r="I81" i="1"/>
  <c r="J81" i="1"/>
  <c r="E82" i="1"/>
  <c r="F82" i="1"/>
  <c r="G82" i="1"/>
  <c r="H82" i="1"/>
  <c r="I82" i="1"/>
  <c r="J82" i="1"/>
  <c r="E83" i="1"/>
  <c r="F83" i="1"/>
  <c r="G83" i="1"/>
  <c r="H83" i="1"/>
  <c r="I83" i="1"/>
  <c r="J83" i="1"/>
  <c r="E84" i="1"/>
  <c r="F84" i="1"/>
  <c r="G84" i="1"/>
  <c r="H84" i="1"/>
  <c r="I84" i="1"/>
  <c r="J84" i="1"/>
  <c r="E85" i="1"/>
  <c r="F85" i="1"/>
  <c r="G85" i="1"/>
  <c r="H85" i="1"/>
  <c r="I85" i="1"/>
  <c r="J85" i="1"/>
  <c r="E86" i="1"/>
  <c r="F86" i="1"/>
  <c r="G86" i="1"/>
  <c r="H86" i="1"/>
  <c r="I86" i="1"/>
  <c r="J86" i="1"/>
  <c r="E87" i="1"/>
  <c r="F87" i="1"/>
  <c r="G87" i="1"/>
  <c r="H87" i="1"/>
  <c r="I87" i="1"/>
  <c r="J87" i="1"/>
  <c r="E88" i="1"/>
  <c r="F88" i="1"/>
  <c r="G88" i="1"/>
  <c r="H88" i="1"/>
  <c r="I88" i="1"/>
  <c r="J88" i="1"/>
  <c r="E89" i="1"/>
  <c r="F89" i="1"/>
  <c r="G89" i="1"/>
  <c r="H89" i="1"/>
  <c r="I89" i="1"/>
  <c r="J89" i="1"/>
  <c r="E90" i="1"/>
  <c r="F90" i="1"/>
  <c r="G90" i="1"/>
  <c r="H90" i="1"/>
  <c r="I90" i="1"/>
  <c r="J90" i="1"/>
  <c r="E91" i="1"/>
  <c r="F91" i="1"/>
  <c r="G91" i="1"/>
  <c r="H91" i="1"/>
  <c r="I91" i="1"/>
  <c r="J91" i="1"/>
  <c r="E92" i="1"/>
  <c r="F92" i="1"/>
  <c r="G92" i="1"/>
  <c r="H92" i="1"/>
  <c r="I92" i="1"/>
  <c r="J92" i="1"/>
  <c r="E93" i="1"/>
  <c r="F93" i="1"/>
  <c r="G93" i="1"/>
  <c r="H93" i="1"/>
  <c r="I93" i="1"/>
  <c r="J93" i="1"/>
  <c r="E94" i="1"/>
  <c r="F94" i="1"/>
  <c r="G94" i="1"/>
  <c r="H94" i="1"/>
  <c r="I94" i="1"/>
  <c r="J94" i="1"/>
  <c r="E95" i="1"/>
  <c r="F95" i="1"/>
  <c r="G95" i="1"/>
  <c r="H95" i="1"/>
  <c r="I95" i="1"/>
  <c r="J95" i="1"/>
  <c r="E96" i="1"/>
  <c r="F96" i="1"/>
  <c r="G96" i="1"/>
  <c r="H96" i="1"/>
  <c r="I96" i="1"/>
  <c r="J96" i="1"/>
  <c r="E97" i="1"/>
  <c r="F97" i="1"/>
  <c r="G97" i="1"/>
  <c r="H97" i="1"/>
  <c r="I97" i="1"/>
  <c r="J97" i="1"/>
  <c r="E98" i="1"/>
  <c r="F98" i="1"/>
  <c r="G98" i="1"/>
  <c r="H98" i="1"/>
  <c r="I98" i="1"/>
  <c r="J98" i="1"/>
  <c r="E99" i="1"/>
  <c r="F99" i="1"/>
  <c r="G99" i="1"/>
  <c r="H99" i="1"/>
  <c r="I99" i="1"/>
  <c r="J99" i="1"/>
  <c r="E100" i="1"/>
  <c r="F100" i="1"/>
  <c r="G100" i="1"/>
  <c r="H100" i="1"/>
  <c r="I100" i="1"/>
  <c r="J100" i="1"/>
  <c r="E101" i="1"/>
  <c r="F101" i="1"/>
  <c r="G101" i="1"/>
  <c r="H101" i="1"/>
  <c r="I101" i="1"/>
  <c r="J101" i="1"/>
  <c r="E102" i="1"/>
  <c r="F102" i="1"/>
  <c r="G102" i="1"/>
  <c r="H102" i="1"/>
  <c r="I102" i="1"/>
  <c r="J102" i="1"/>
  <c r="E103" i="1"/>
  <c r="F103" i="1"/>
  <c r="G103" i="1"/>
  <c r="H103" i="1"/>
  <c r="I103" i="1"/>
  <c r="J103" i="1"/>
  <c r="E104" i="1"/>
  <c r="F104" i="1"/>
  <c r="G104" i="1"/>
  <c r="H104" i="1"/>
  <c r="I104" i="1"/>
  <c r="J104" i="1"/>
  <c r="E105" i="1"/>
  <c r="F105" i="1"/>
  <c r="G105" i="1"/>
  <c r="H105" i="1"/>
  <c r="I105" i="1"/>
  <c r="J105" i="1"/>
  <c r="E106" i="1"/>
  <c r="F106" i="1"/>
  <c r="G106" i="1"/>
  <c r="H106" i="1"/>
  <c r="I106" i="1"/>
  <c r="J106" i="1"/>
  <c r="E107" i="1"/>
  <c r="F107" i="1"/>
  <c r="G107" i="1"/>
  <c r="H107" i="1"/>
  <c r="I107" i="1"/>
  <c r="J107" i="1"/>
  <c r="E108" i="1"/>
  <c r="F108" i="1"/>
  <c r="G108" i="1"/>
  <c r="H108" i="1"/>
  <c r="I108" i="1"/>
  <c r="J108" i="1"/>
  <c r="E109" i="1"/>
  <c r="F109" i="1"/>
  <c r="G109" i="1"/>
  <c r="H109" i="1"/>
  <c r="I109" i="1"/>
  <c r="J109" i="1"/>
  <c r="E110" i="1"/>
  <c r="F110" i="1"/>
  <c r="G110" i="1"/>
  <c r="H110" i="1"/>
  <c r="I110" i="1"/>
  <c r="J110" i="1"/>
  <c r="E111" i="1"/>
  <c r="F111" i="1"/>
  <c r="G111" i="1"/>
  <c r="H111" i="1"/>
  <c r="I111" i="1"/>
  <c r="J111" i="1"/>
  <c r="E112" i="1"/>
  <c r="F112" i="1"/>
  <c r="G112" i="1"/>
  <c r="H112" i="1"/>
  <c r="I112" i="1"/>
  <c r="J112" i="1"/>
  <c r="E113" i="1"/>
  <c r="F113" i="1"/>
  <c r="G113" i="1"/>
  <c r="H113" i="1"/>
  <c r="I113" i="1"/>
  <c r="J113" i="1"/>
  <c r="E114" i="1"/>
  <c r="F114" i="1"/>
  <c r="G114" i="1"/>
  <c r="H114" i="1"/>
  <c r="I114" i="1"/>
  <c r="J114" i="1"/>
  <c r="E115" i="1"/>
  <c r="F115" i="1"/>
  <c r="G115" i="1"/>
  <c r="H115" i="1"/>
  <c r="I115" i="1"/>
  <c r="J115" i="1"/>
  <c r="E116" i="1"/>
  <c r="F116" i="1"/>
  <c r="G116" i="1"/>
  <c r="H116" i="1"/>
  <c r="I116" i="1"/>
  <c r="J116" i="1"/>
  <c r="E117" i="1"/>
  <c r="F117" i="1"/>
  <c r="G117" i="1"/>
  <c r="H117" i="1"/>
  <c r="I117" i="1"/>
  <c r="J117" i="1"/>
  <c r="E118" i="1"/>
  <c r="F118" i="1"/>
  <c r="G118" i="1"/>
  <c r="H118" i="1"/>
  <c r="I118" i="1"/>
  <c r="J118" i="1"/>
  <c r="E119" i="1"/>
  <c r="F119" i="1"/>
  <c r="G119" i="1"/>
  <c r="H119" i="1"/>
  <c r="I119" i="1"/>
  <c r="J119" i="1"/>
  <c r="E120" i="1"/>
  <c r="F120" i="1"/>
  <c r="G120" i="1"/>
  <c r="H120" i="1"/>
  <c r="I120" i="1"/>
  <c r="J120" i="1"/>
  <c r="E121" i="1"/>
  <c r="F121" i="1"/>
  <c r="G121" i="1"/>
  <c r="H121" i="1"/>
  <c r="I121" i="1"/>
  <c r="J121" i="1"/>
  <c r="E122" i="1"/>
  <c r="F122" i="1"/>
  <c r="G122" i="1"/>
  <c r="H122" i="1"/>
  <c r="I122" i="1"/>
  <c r="J122" i="1"/>
  <c r="E123" i="1"/>
  <c r="F123" i="1"/>
  <c r="G123" i="1"/>
  <c r="H123" i="1"/>
  <c r="I123" i="1"/>
  <c r="J123" i="1"/>
  <c r="E124" i="1"/>
  <c r="F124" i="1"/>
  <c r="G124" i="1"/>
  <c r="H124" i="1"/>
  <c r="I124" i="1"/>
  <c r="J124" i="1"/>
  <c r="E125" i="1"/>
  <c r="F125" i="1"/>
  <c r="G125" i="1"/>
  <c r="H125" i="1"/>
  <c r="I125" i="1"/>
  <c r="J125" i="1"/>
  <c r="E126" i="1"/>
  <c r="F126" i="1"/>
  <c r="G126" i="1"/>
  <c r="H126" i="1"/>
  <c r="I126" i="1"/>
  <c r="J126" i="1"/>
  <c r="E127" i="1"/>
  <c r="F127" i="1"/>
  <c r="G127" i="1"/>
  <c r="H127" i="1"/>
  <c r="I127" i="1"/>
  <c r="J127" i="1"/>
  <c r="E128" i="1"/>
  <c r="F128" i="1"/>
  <c r="G128" i="1"/>
  <c r="H128" i="1"/>
  <c r="I128" i="1"/>
  <c r="J128" i="1"/>
  <c r="E129" i="1"/>
  <c r="F129" i="1"/>
  <c r="G129" i="1"/>
  <c r="H129" i="1"/>
  <c r="I129" i="1"/>
  <c r="J129" i="1"/>
  <c r="E130" i="1"/>
  <c r="F130" i="1"/>
  <c r="G130" i="1"/>
  <c r="H130" i="1"/>
  <c r="I130" i="1"/>
  <c r="J130" i="1"/>
  <c r="E131" i="1"/>
  <c r="F131" i="1"/>
  <c r="G131" i="1"/>
  <c r="H131" i="1"/>
  <c r="I131" i="1"/>
  <c r="J131" i="1"/>
  <c r="E132" i="1"/>
  <c r="F132" i="1"/>
  <c r="G132" i="1"/>
  <c r="H132" i="1"/>
  <c r="I132" i="1"/>
  <c r="J132" i="1"/>
  <c r="E133" i="1"/>
  <c r="F133" i="1"/>
  <c r="G133" i="1"/>
  <c r="H133" i="1"/>
  <c r="I133" i="1"/>
  <c r="J133" i="1"/>
  <c r="E134" i="1"/>
  <c r="F134" i="1"/>
  <c r="G134" i="1"/>
  <c r="H134" i="1"/>
  <c r="I134" i="1"/>
  <c r="J134" i="1"/>
  <c r="E135" i="1"/>
  <c r="F135" i="1"/>
  <c r="G135" i="1"/>
  <c r="H135" i="1"/>
  <c r="I135" i="1"/>
  <c r="J135" i="1"/>
  <c r="E136" i="1"/>
  <c r="F136" i="1"/>
  <c r="G136" i="1"/>
  <c r="H136" i="1"/>
  <c r="I136" i="1"/>
  <c r="J136" i="1"/>
  <c r="E137" i="1"/>
  <c r="F137" i="1"/>
  <c r="G137" i="1"/>
  <c r="H137" i="1"/>
  <c r="I137" i="1"/>
  <c r="J137" i="1"/>
  <c r="E138" i="1"/>
  <c r="F138" i="1"/>
  <c r="G138" i="1"/>
  <c r="H138" i="1"/>
  <c r="I138" i="1"/>
  <c r="J138" i="1"/>
  <c r="E139" i="1"/>
  <c r="F139" i="1"/>
  <c r="G139" i="1"/>
  <c r="H139" i="1"/>
  <c r="I139" i="1"/>
  <c r="J139" i="1"/>
  <c r="E140" i="1"/>
  <c r="F140" i="1"/>
  <c r="G140" i="1"/>
  <c r="H140" i="1"/>
  <c r="I140" i="1"/>
  <c r="J140" i="1"/>
  <c r="E141" i="1"/>
  <c r="F141" i="1"/>
  <c r="G141" i="1"/>
  <c r="H141" i="1"/>
  <c r="I141" i="1"/>
  <c r="J141" i="1"/>
  <c r="E142" i="1"/>
  <c r="F142" i="1"/>
  <c r="G142" i="1"/>
  <c r="H142" i="1"/>
  <c r="I142" i="1"/>
  <c r="J142" i="1"/>
  <c r="E143" i="1"/>
  <c r="F143" i="1"/>
  <c r="G143" i="1"/>
  <c r="H143" i="1"/>
  <c r="I143" i="1"/>
  <c r="J143" i="1"/>
  <c r="E144" i="1"/>
  <c r="F144" i="1"/>
  <c r="G144" i="1"/>
  <c r="H144" i="1"/>
  <c r="I144" i="1"/>
  <c r="J144" i="1"/>
  <c r="E145" i="1"/>
  <c r="F145" i="1"/>
  <c r="G145" i="1"/>
  <c r="H145" i="1"/>
  <c r="I145" i="1"/>
  <c r="J145" i="1"/>
  <c r="E146" i="1"/>
  <c r="F146" i="1"/>
  <c r="G146" i="1"/>
  <c r="H146" i="1"/>
  <c r="I146" i="1"/>
  <c r="J146" i="1"/>
  <c r="E147" i="1"/>
  <c r="F147" i="1"/>
  <c r="G147" i="1"/>
  <c r="H147" i="1"/>
  <c r="I147" i="1"/>
  <c r="J147" i="1"/>
  <c r="E148" i="1"/>
  <c r="F148" i="1"/>
  <c r="G148" i="1"/>
  <c r="H148" i="1"/>
  <c r="I148" i="1"/>
  <c r="J148" i="1"/>
  <c r="E149" i="1"/>
  <c r="F149" i="1"/>
  <c r="G149" i="1"/>
  <c r="H149" i="1"/>
  <c r="I149" i="1"/>
  <c r="J149" i="1"/>
  <c r="E150" i="1"/>
  <c r="F150" i="1"/>
  <c r="G150" i="1"/>
  <c r="H150" i="1"/>
  <c r="I150" i="1"/>
  <c r="J150" i="1"/>
  <c r="E151" i="1"/>
  <c r="F151" i="1"/>
  <c r="G151" i="1"/>
  <c r="H151" i="1"/>
  <c r="I151" i="1"/>
  <c r="J151" i="1"/>
  <c r="E152" i="1"/>
  <c r="F152" i="1"/>
  <c r="G152" i="1"/>
  <c r="H152" i="1"/>
  <c r="I152" i="1"/>
  <c r="J152" i="1"/>
  <c r="E153" i="1"/>
  <c r="F153" i="1"/>
  <c r="G153" i="1"/>
  <c r="H153" i="1"/>
  <c r="I153" i="1"/>
  <c r="J153" i="1"/>
  <c r="E154" i="1"/>
  <c r="F154" i="1"/>
  <c r="G154" i="1"/>
  <c r="H154" i="1"/>
  <c r="I154" i="1"/>
  <c r="J154" i="1"/>
  <c r="E155" i="1"/>
  <c r="F155" i="1"/>
  <c r="G155" i="1"/>
  <c r="H155" i="1"/>
  <c r="I155" i="1"/>
  <c r="J155" i="1"/>
  <c r="E156" i="1"/>
  <c r="F156" i="1"/>
  <c r="G156" i="1"/>
  <c r="H156" i="1"/>
  <c r="I156" i="1"/>
  <c r="J156" i="1"/>
  <c r="E157" i="1"/>
  <c r="F157" i="1"/>
  <c r="G157" i="1"/>
  <c r="H157" i="1"/>
  <c r="I157" i="1"/>
  <c r="J157" i="1"/>
  <c r="E158" i="1"/>
  <c r="F158" i="1"/>
  <c r="G158" i="1"/>
  <c r="H158" i="1"/>
  <c r="I158" i="1"/>
  <c r="J158" i="1"/>
  <c r="E159" i="1"/>
  <c r="F159" i="1"/>
  <c r="G159" i="1"/>
  <c r="H159" i="1"/>
  <c r="I159" i="1"/>
  <c r="J159" i="1"/>
  <c r="E160" i="1"/>
  <c r="F160" i="1"/>
  <c r="G160" i="1"/>
  <c r="H160" i="1"/>
  <c r="I160" i="1"/>
  <c r="J160" i="1"/>
  <c r="E161" i="1"/>
  <c r="F161" i="1"/>
  <c r="G161" i="1"/>
  <c r="H161" i="1"/>
  <c r="I161" i="1"/>
  <c r="J161" i="1"/>
  <c r="E162" i="1"/>
  <c r="F162" i="1"/>
  <c r="G162" i="1"/>
  <c r="H162" i="1"/>
  <c r="I162" i="1"/>
  <c r="J162" i="1"/>
  <c r="E163" i="1"/>
  <c r="F163" i="1"/>
  <c r="G163" i="1"/>
  <c r="H163" i="1"/>
  <c r="I163" i="1"/>
  <c r="J163" i="1"/>
  <c r="E164" i="1"/>
  <c r="F164" i="1"/>
  <c r="G164" i="1"/>
  <c r="H164" i="1"/>
  <c r="I164" i="1"/>
  <c r="J164" i="1"/>
  <c r="E165" i="1"/>
  <c r="F165" i="1"/>
  <c r="G165" i="1"/>
  <c r="H165" i="1"/>
  <c r="I165" i="1"/>
  <c r="J165" i="1"/>
  <c r="E166" i="1"/>
  <c r="F166" i="1"/>
  <c r="G166" i="1"/>
  <c r="H166" i="1"/>
  <c r="I166" i="1"/>
  <c r="J166" i="1"/>
  <c r="E167" i="1"/>
  <c r="F167" i="1"/>
  <c r="G167" i="1"/>
  <c r="H167" i="1"/>
  <c r="I167" i="1"/>
  <c r="J167" i="1"/>
  <c r="E168" i="1"/>
  <c r="F168" i="1"/>
  <c r="G168" i="1"/>
  <c r="H168" i="1"/>
  <c r="I168" i="1"/>
  <c r="J168" i="1"/>
  <c r="E169" i="1"/>
  <c r="F169" i="1"/>
  <c r="G169" i="1"/>
  <c r="H169" i="1"/>
  <c r="I169" i="1"/>
  <c r="J169" i="1"/>
  <c r="E170" i="1"/>
  <c r="F170" i="1"/>
  <c r="G170" i="1"/>
  <c r="H170" i="1"/>
  <c r="I170" i="1"/>
  <c r="J170" i="1"/>
  <c r="E171" i="1"/>
  <c r="F171" i="1"/>
  <c r="G171" i="1"/>
  <c r="H171" i="1"/>
  <c r="I171" i="1"/>
  <c r="J171" i="1"/>
  <c r="E172" i="1"/>
  <c r="F172" i="1"/>
  <c r="G172" i="1"/>
  <c r="H172" i="1"/>
  <c r="I172" i="1"/>
  <c r="J172" i="1"/>
  <c r="E173" i="1"/>
  <c r="F173" i="1"/>
  <c r="G173" i="1"/>
  <c r="H173" i="1"/>
  <c r="I173" i="1"/>
  <c r="J173" i="1"/>
  <c r="E174" i="1"/>
  <c r="F174" i="1"/>
  <c r="G174" i="1"/>
  <c r="H174" i="1"/>
  <c r="I174" i="1"/>
  <c r="J174" i="1"/>
  <c r="E175" i="1"/>
  <c r="F175" i="1"/>
  <c r="G175" i="1"/>
  <c r="H175" i="1"/>
  <c r="I175" i="1"/>
  <c r="J175" i="1"/>
  <c r="E176" i="1"/>
  <c r="F176" i="1"/>
  <c r="G176" i="1"/>
  <c r="H176" i="1"/>
  <c r="I176" i="1"/>
  <c r="J176" i="1"/>
  <c r="E177" i="1"/>
  <c r="F177" i="1"/>
  <c r="G177" i="1"/>
  <c r="H177" i="1"/>
  <c r="I177" i="1"/>
  <c r="J177" i="1"/>
  <c r="E178" i="1"/>
  <c r="F178" i="1"/>
  <c r="G178" i="1"/>
  <c r="H178" i="1"/>
  <c r="I178" i="1"/>
  <c r="J178" i="1"/>
  <c r="E179" i="1"/>
  <c r="F179" i="1"/>
  <c r="G179" i="1"/>
  <c r="H179" i="1"/>
  <c r="I179" i="1"/>
  <c r="J179" i="1"/>
  <c r="E180" i="1"/>
  <c r="F180" i="1"/>
  <c r="G180" i="1"/>
  <c r="H180" i="1"/>
  <c r="I180" i="1"/>
  <c r="J180" i="1"/>
  <c r="E181" i="1"/>
  <c r="F181" i="1"/>
  <c r="G181" i="1"/>
  <c r="H181" i="1"/>
  <c r="I181" i="1"/>
  <c r="J181" i="1"/>
  <c r="E182" i="1"/>
  <c r="F182" i="1"/>
  <c r="G182" i="1"/>
  <c r="H182" i="1"/>
  <c r="I182" i="1"/>
  <c r="J182" i="1"/>
  <c r="E183" i="1"/>
  <c r="F183" i="1"/>
  <c r="G183" i="1"/>
  <c r="H183" i="1"/>
  <c r="I183" i="1"/>
  <c r="J183" i="1"/>
  <c r="E184" i="1"/>
  <c r="F184" i="1"/>
  <c r="G184" i="1"/>
  <c r="H184" i="1"/>
  <c r="I184" i="1"/>
  <c r="J184" i="1"/>
  <c r="E185" i="1"/>
  <c r="F185" i="1"/>
  <c r="G185" i="1"/>
  <c r="H185" i="1"/>
  <c r="I185" i="1"/>
  <c r="J185" i="1"/>
  <c r="E186" i="1"/>
  <c r="F186" i="1"/>
  <c r="G186" i="1"/>
  <c r="H186" i="1"/>
  <c r="I186" i="1"/>
  <c r="J186" i="1"/>
  <c r="E187" i="1"/>
  <c r="F187" i="1"/>
  <c r="G187" i="1"/>
  <c r="H187" i="1"/>
  <c r="I187" i="1"/>
  <c r="J187" i="1"/>
  <c r="E188" i="1"/>
  <c r="F188" i="1"/>
  <c r="G188" i="1"/>
  <c r="H188" i="1"/>
  <c r="I188" i="1"/>
  <c r="J188" i="1"/>
  <c r="E189" i="1"/>
  <c r="F189" i="1"/>
  <c r="G189" i="1"/>
  <c r="H189" i="1"/>
  <c r="I189" i="1"/>
  <c r="J189" i="1"/>
  <c r="E190" i="1"/>
  <c r="F190" i="1"/>
  <c r="G190" i="1"/>
  <c r="H190" i="1"/>
  <c r="I190" i="1"/>
  <c r="J190" i="1"/>
  <c r="E191" i="1"/>
  <c r="F191" i="1"/>
  <c r="G191" i="1"/>
  <c r="H191" i="1"/>
  <c r="I191" i="1"/>
  <c r="J191" i="1"/>
  <c r="E192" i="1"/>
  <c r="F192" i="1"/>
  <c r="G192" i="1"/>
  <c r="H192" i="1"/>
  <c r="I192" i="1"/>
  <c r="J192" i="1"/>
  <c r="E193" i="1"/>
  <c r="F193" i="1"/>
  <c r="G193" i="1"/>
  <c r="H193" i="1"/>
  <c r="I193" i="1"/>
  <c r="J193" i="1"/>
  <c r="E194" i="1"/>
  <c r="F194" i="1"/>
  <c r="G194" i="1"/>
  <c r="H194" i="1"/>
  <c r="I194" i="1"/>
  <c r="J194" i="1"/>
  <c r="E195" i="1"/>
  <c r="F195" i="1"/>
  <c r="G195" i="1"/>
  <c r="H195" i="1"/>
  <c r="I195" i="1"/>
  <c r="J195" i="1"/>
  <c r="E196" i="1"/>
  <c r="F196" i="1"/>
  <c r="G196" i="1"/>
  <c r="H196" i="1"/>
  <c r="I196" i="1"/>
  <c r="J196" i="1"/>
  <c r="E197" i="1"/>
  <c r="F197" i="1"/>
  <c r="G197" i="1"/>
  <c r="H197" i="1"/>
  <c r="I197" i="1"/>
  <c r="J197" i="1"/>
  <c r="E198" i="1"/>
  <c r="F198" i="1"/>
  <c r="G198" i="1"/>
  <c r="H198" i="1"/>
  <c r="I198" i="1"/>
  <c r="J198" i="1"/>
  <c r="E199" i="1"/>
  <c r="F199" i="1"/>
  <c r="G199" i="1"/>
  <c r="H199" i="1"/>
  <c r="I199" i="1"/>
  <c r="J199" i="1"/>
  <c r="E200" i="1"/>
  <c r="F200" i="1"/>
  <c r="G200" i="1"/>
  <c r="H200" i="1"/>
  <c r="I200" i="1"/>
  <c r="J200" i="1"/>
  <c r="E201" i="1"/>
  <c r="F201" i="1"/>
  <c r="G201" i="1"/>
  <c r="H201" i="1"/>
  <c r="I201" i="1"/>
  <c r="J201" i="1"/>
  <c r="E202" i="1"/>
  <c r="F202" i="1"/>
  <c r="G202" i="1"/>
  <c r="H202" i="1"/>
  <c r="I202" i="1"/>
  <c r="J202" i="1"/>
  <c r="E203" i="1"/>
  <c r="F203" i="1"/>
  <c r="G203" i="1"/>
  <c r="H203" i="1"/>
  <c r="I203" i="1"/>
  <c r="J203" i="1"/>
  <c r="E204" i="1"/>
  <c r="F204" i="1"/>
  <c r="G204" i="1"/>
  <c r="H204" i="1"/>
  <c r="I204" i="1"/>
  <c r="J204" i="1"/>
  <c r="E205" i="1"/>
  <c r="F205" i="1"/>
  <c r="G205" i="1"/>
  <c r="H205" i="1"/>
  <c r="I205" i="1"/>
  <c r="J205" i="1"/>
  <c r="E206" i="1"/>
  <c r="F206" i="1"/>
  <c r="G206" i="1"/>
  <c r="H206" i="1"/>
  <c r="I206" i="1"/>
  <c r="J206" i="1"/>
  <c r="E207" i="1"/>
  <c r="F207" i="1"/>
  <c r="G207" i="1"/>
  <c r="H207" i="1"/>
  <c r="I207" i="1"/>
  <c r="J207" i="1"/>
  <c r="E208" i="1"/>
  <c r="F208" i="1"/>
  <c r="G208" i="1"/>
  <c r="H208" i="1"/>
  <c r="I208" i="1"/>
  <c r="J208" i="1"/>
  <c r="E209" i="1"/>
  <c r="F209" i="1"/>
  <c r="G209" i="1"/>
  <c r="H209" i="1"/>
  <c r="I209" i="1"/>
  <c r="J209" i="1"/>
  <c r="E210" i="1"/>
  <c r="F210" i="1"/>
  <c r="G210" i="1"/>
  <c r="H210" i="1"/>
  <c r="I210" i="1"/>
  <c r="J210" i="1"/>
  <c r="E211" i="1"/>
  <c r="F211" i="1"/>
  <c r="G211" i="1"/>
  <c r="H211" i="1"/>
  <c r="I211" i="1"/>
  <c r="J211" i="1"/>
  <c r="E212" i="1"/>
  <c r="F212" i="1"/>
  <c r="G212" i="1"/>
  <c r="H212" i="1"/>
  <c r="I212" i="1"/>
  <c r="J212" i="1"/>
  <c r="E213" i="1"/>
  <c r="F213" i="1"/>
  <c r="G213" i="1"/>
  <c r="H213" i="1"/>
  <c r="I213" i="1"/>
  <c r="J213" i="1"/>
  <c r="E214" i="1"/>
  <c r="F214" i="1"/>
  <c r="G214" i="1"/>
  <c r="H214" i="1"/>
  <c r="I214" i="1"/>
  <c r="J214" i="1"/>
  <c r="E215" i="1"/>
  <c r="F215" i="1"/>
  <c r="G215" i="1"/>
  <c r="H215" i="1"/>
  <c r="I215" i="1"/>
  <c r="J215" i="1"/>
  <c r="E216" i="1"/>
  <c r="F216" i="1"/>
  <c r="G216" i="1"/>
  <c r="H216" i="1"/>
  <c r="I216" i="1"/>
  <c r="J216" i="1"/>
  <c r="E217" i="1"/>
  <c r="F217" i="1"/>
  <c r="G217" i="1"/>
  <c r="H217" i="1"/>
  <c r="I217" i="1"/>
  <c r="J217" i="1"/>
  <c r="E218" i="1"/>
  <c r="F218" i="1"/>
  <c r="G218" i="1"/>
  <c r="H218" i="1"/>
  <c r="I218" i="1"/>
  <c r="J218" i="1"/>
  <c r="E219" i="1"/>
  <c r="F219" i="1"/>
  <c r="G219" i="1"/>
  <c r="H219" i="1"/>
  <c r="I219" i="1"/>
  <c r="J219" i="1"/>
  <c r="E220" i="1"/>
  <c r="F220" i="1"/>
  <c r="G220" i="1"/>
  <c r="H220" i="1"/>
  <c r="I220" i="1"/>
  <c r="J220" i="1"/>
  <c r="E221" i="1"/>
  <c r="F221" i="1"/>
  <c r="G221" i="1"/>
  <c r="H221" i="1"/>
  <c r="I221" i="1"/>
  <c r="J221" i="1"/>
  <c r="E222" i="1"/>
  <c r="F222" i="1"/>
  <c r="G222" i="1"/>
  <c r="H222" i="1"/>
  <c r="I222" i="1"/>
  <c r="J222" i="1"/>
  <c r="E223" i="1"/>
  <c r="F223" i="1"/>
  <c r="G223" i="1"/>
  <c r="H223" i="1"/>
  <c r="I223" i="1"/>
  <c r="J223" i="1"/>
  <c r="E224" i="1"/>
  <c r="F224" i="1"/>
  <c r="G224" i="1"/>
  <c r="H224" i="1"/>
  <c r="I224" i="1"/>
  <c r="J224" i="1"/>
  <c r="E225" i="1"/>
  <c r="F225" i="1"/>
  <c r="G225" i="1"/>
  <c r="H225" i="1"/>
  <c r="I225" i="1"/>
  <c r="J225" i="1"/>
  <c r="E226" i="1"/>
  <c r="F226" i="1"/>
  <c r="G226" i="1"/>
  <c r="H226" i="1"/>
  <c r="I226" i="1"/>
  <c r="J226" i="1"/>
  <c r="E227" i="1"/>
  <c r="F227" i="1"/>
  <c r="G227" i="1"/>
  <c r="H227" i="1"/>
  <c r="I227" i="1"/>
  <c r="J227" i="1"/>
  <c r="E228" i="1"/>
  <c r="F228" i="1"/>
  <c r="G228" i="1"/>
  <c r="H228" i="1"/>
  <c r="I228" i="1"/>
  <c r="J228" i="1"/>
  <c r="E229" i="1"/>
  <c r="F229" i="1"/>
  <c r="G229" i="1"/>
  <c r="H229" i="1"/>
  <c r="I229" i="1"/>
  <c r="J229" i="1"/>
  <c r="E230" i="1"/>
  <c r="F230" i="1"/>
  <c r="G230" i="1"/>
  <c r="H230" i="1"/>
  <c r="I230" i="1"/>
  <c r="J230" i="1"/>
  <c r="E231" i="1"/>
  <c r="F231" i="1"/>
  <c r="G231" i="1"/>
  <c r="H231" i="1"/>
  <c r="I231" i="1"/>
  <c r="J231" i="1"/>
  <c r="E232" i="1"/>
  <c r="F232" i="1"/>
  <c r="G232" i="1"/>
  <c r="H232" i="1"/>
  <c r="I232" i="1"/>
  <c r="J232" i="1"/>
  <c r="E233" i="1"/>
  <c r="F233" i="1"/>
  <c r="G233" i="1"/>
  <c r="H233" i="1"/>
  <c r="I233" i="1"/>
  <c r="J233" i="1"/>
  <c r="E234" i="1"/>
  <c r="F234" i="1"/>
  <c r="G234" i="1"/>
  <c r="H234" i="1"/>
  <c r="I234" i="1"/>
  <c r="J234" i="1"/>
  <c r="E235" i="1"/>
  <c r="F235" i="1"/>
  <c r="G235" i="1"/>
  <c r="H235" i="1"/>
  <c r="I235" i="1"/>
  <c r="J235" i="1"/>
  <c r="E236" i="1"/>
  <c r="F236" i="1"/>
  <c r="G236" i="1"/>
  <c r="H236" i="1"/>
  <c r="I236" i="1"/>
  <c r="J236" i="1"/>
  <c r="E237" i="1"/>
  <c r="F237" i="1"/>
  <c r="G237" i="1"/>
  <c r="H237" i="1"/>
  <c r="I237" i="1"/>
  <c r="J237" i="1"/>
  <c r="E238" i="1"/>
  <c r="F238" i="1"/>
  <c r="G238" i="1"/>
  <c r="H238" i="1"/>
  <c r="I238" i="1"/>
  <c r="J238" i="1"/>
  <c r="E239" i="1"/>
  <c r="F239" i="1"/>
  <c r="G239" i="1"/>
  <c r="H239" i="1"/>
  <c r="I239" i="1"/>
  <c r="J239" i="1"/>
  <c r="E240" i="1"/>
  <c r="F240" i="1"/>
  <c r="G240" i="1"/>
  <c r="H240" i="1"/>
  <c r="I240" i="1"/>
  <c r="J240" i="1"/>
  <c r="E241" i="1"/>
  <c r="F241" i="1"/>
  <c r="G241" i="1"/>
  <c r="H241" i="1"/>
  <c r="I241" i="1"/>
  <c r="J241" i="1"/>
  <c r="E242" i="1"/>
  <c r="F242" i="1"/>
  <c r="G242" i="1"/>
  <c r="H242" i="1"/>
  <c r="I242" i="1"/>
  <c r="J242" i="1"/>
  <c r="E243" i="1"/>
  <c r="F243" i="1"/>
  <c r="G243" i="1"/>
  <c r="H243" i="1"/>
  <c r="I243" i="1"/>
  <c r="J243" i="1"/>
  <c r="E244" i="1"/>
  <c r="F244" i="1"/>
  <c r="G244" i="1"/>
  <c r="H244" i="1"/>
  <c r="I244" i="1"/>
  <c r="J244" i="1"/>
  <c r="E245" i="1"/>
  <c r="F245" i="1"/>
  <c r="G245" i="1"/>
  <c r="H245" i="1"/>
  <c r="I245" i="1"/>
  <c r="J245" i="1"/>
  <c r="E246" i="1"/>
  <c r="F246" i="1"/>
  <c r="G246" i="1"/>
  <c r="H246" i="1"/>
  <c r="I246" i="1"/>
  <c r="J246" i="1"/>
  <c r="E247" i="1"/>
  <c r="F247" i="1"/>
  <c r="G247" i="1"/>
  <c r="H247" i="1"/>
  <c r="I247" i="1"/>
  <c r="J247" i="1"/>
  <c r="E248" i="1"/>
  <c r="F248" i="1"/>
  <c r="G248" i="1"/>
  <c r="H248" i="1"/>
  <c r="I248" i="1"/>
  <c r="J248" i="1"/>
  <c r="E249" i="1"/>
  <c r="F249" i="1"/>
  <c r="G249" i="1"/>
  <c r="H249" i="1"/>
  <c r="I249" i="1"/>
  <c r="J249" i="1"/>
  <c r="E250" i="1"/>
  <c r="F250" i="1"/>
  <c r="G250" i="1"/>
  <c r="H250" i="1"/>
  <c r="I250" i="1"/>
  <c r="J250" i="1"/>
  <c r="E251" i="1"/>
  <c r="F251" i="1"/>
  <c r="G251" i="1"/>
  <c r="H251" i="1"/>
  <c r="I251" i="1"/>
  <c r="J251" i="1"/>
  <c r="E252" i="1"/>
  <c r="F252" i="1"/>
  <c r="G252" i="1"/>
  <c r="H252" i="1"/>
  <c r="I252" i="1"/>
  <c r="J252" i="1"/>
  <c r="E253" i="1"/>
  <c r="F253" i="1"/>
  <c r="G253" i="1"/>
  <c r="H253" i="1"/>
  <c r="I253" i="1"/>
  <c r="J253" i="1"/>
  <c r="E254" i="1"/>
  <c r="F254" i="1"/>
  <c r="G254" i="1"/>
  <c r="H254" i="1"/>
  <c r="I254" i="1"/>
  <c r="J254" i="1"/>
  <c r="E255" i="1"/>
  <c r="F255" i="1"/>
  <c r="G255" i="1"/>
  <c r="H255" i="1"/>
  <c r="I255" i="1"/>
  <c r="J255" i="1"/>
  <c r="E256" i="1"/>
  <c r="F256" i="1"/>
  <c r="G256" i="1"/>
  <c r="H256" i="1"/>
  <c r="I256" i="1"/>
  <c r="J256" i="1"/>
  <c r="E257" i="1"/>
  <c r="F257" i="1"/>
  <c r="G257" i="1"/>
  <c r="H257" i="1"/>
  <c r="I257" i="1"/>
  <c r="J257" i="1"/>
  <c r="E258" i="1"/>
  <c r="F258" i="1"/>
  <c r="G258" i="1"/>
  <c r="H258" i="1"/>
  <c r="I258" i="1"/>
  <c r="J258" i="1"/>
  <c r="E259" i="1"/>
  <c r="F259" i="1"/>
  <c r="G259" i="1"/>
  <c r="H259" i="1"/>
  <c r="I259" i="1"/>
  <c r="J259" i="1"/>
  <c r="E260" i="1"/>
  <c r="F260" i="1"/>
  <c r="G260" i="1"/>
  <c r="H260" i="1"/>
  <c r="I260" i="1"/>
  <c r="J260" i="1"/>
  <c r="E261" i="1"/>
  <c r="F261" i="1"/>
  <c r="G261" i="1"/>
  <c r="H261" i="1"/>
  <c r="I261" i="1"/>
  <c r="J261" i="1"/>
  <c r="E262" i="1"/>
  <c r="F262" i="1"/>
  <c r="G262" i="1"/>
  <c r="H262" i="1"/>
  <c r="I262" i="1"/>
  <c r="J262" i="1"/>
  <c r="E263" i="1"/>
  <c r="F263" i="1"/>
  <c r="G263" i="1"/>
  <c r="H263" i="1"/>
  <c r="I263" i="1"/>
  <c r="J263" i="1"/>
  <c r="E264" i="1"/>
  <c r="F264" i="1"/>
  <c r="G264" i="1"/>
  <c r="H264" i="1"/>
  <c r="I264" i="1"/>
  <c r="J264" i="1"/>
  <c r="E265" i="1"/>
  <c r="F265" i="1"/>
  <c r="G265" i="1"/>
  <c r="H265" i="1"/>
  <c r="I265" i="1"/>
  <c r="J265" i="1"/>
  <c r="E266" i="1"/>
  <c r="F266" i="1"/>
  <c r="G266" i="1"/>
  <c r="H266" i="1"/>
  <c r="I266" i="1"/>
  <c r="J266" i="1"/>
  <c r="E267" i="1"/>
  <c r="F267" i="1"/>
  <c r="G267" i="1"/>
  <c r="H267" i="1"/>
  <c r="I267" i="1"/>
  <c r="J267" i="1"/>
  <c r="E268" i="1"/>
  <c r="F268" i="1"/>
  <c r="G268" i="1"/>
  <c r="H268" i="1"/>
  <c r="I268" i="1"/>
  <c r="J268" i="1"/>
  <c r="E269" i="1"/>
  <c r="F269" i="1"/>
  <c r="G269" i="1"/>
  <c r="H269" i="1"/>
  <c r="I269" i="1"/>
  <c r="J269" i="1"/>
  <c r="E270" i="1"/>
  <c r="F270" i="1"/>
  <c r="G270" i="1"/>
  <c r="H270" i="1"/>
  <c r="I270" i="1"/>
  <c r="J270" i="1"/>
  <c r="E271" i="1"/>
  <c r="F271" i="1"/>
  <c r="G271" i="1"/>
  <c r="H271" i="1"/>
  <c r="I271" i="1"/>
  <c r="J271" i="1"/>
  <c r="E272" i="1"/>
  <c r="F272" i="1"/>
  <c r="G272" i="1"/>
  <c r="H272" i="1"/>
  <c r="I272" i="1"/>
  <c r="J272" i="1"/>
  <c r="E273" i="1"/>
  <c r="F273" i="1"/>
  <c r="G273" i="1"/>
  <c r="H273" i="1"/>
  <c r="I273" i="1"/>
  <c r="J273" i="1"/>
  <c r="E274" i="1"/>
  <c r="F274" i="1"/>
  <c r="G274" i="1"/>
  <c r="H274" i="1"/>
  <c r="I274" i="1"/>
  <c r="J274" i="1"/>
  <c r="E275" i="1"/>
  <c r="F275" i="1"/>
  <c r="G275" i="1"/>
  <c r="H275" i="1"/>
  <c r="I275" i="1"/>
  <c r="J275" i="1"/>
  <c r="E276" i="1"/>
  <c r="F276" i="1"/>
  <c r="G276" i="1"/>
  <c r="H276" i="1"/>
  <c r="I276" i="1"/>
  <c r="J276" i="1"/>
  <c r="E277" i="1"/>
  <c r="F277" i="1"/>
  <c r="G277" i="1"/>
  <c r="H277" i="1"/>
  <c r="I277" i="1"/>
  <c r="J277" i="1"/>
  <c r="E278" i="1"/>
  <c r="F278" i="1"/>
  <c r="G278" i="1"/>
  <c r="H278" i="1"/>
  <c r="I278" i="1"/>
  <c r="J278" i="1"/>
  <c r="E279" i="1"/>
  <c r="F279" i="1"/>
  <c r="G279" i="1"/>
  <c r="H279" i="1"/>
  <c r="I279" i="1"/>
  <c r="J279" i="1"/>
  <c r="E280" i="1"/>
  <c r="F280" i="1"/>
  <c r="G280" i="1"/>
  <c r="H280" i="1"/>
  <c r="I280" i="1"/>
  <c r="J280" i="1"/>
  <c r="E281" i="1"/>
  <c r="F281" i="1"/>
  <c r="G281" i="1"/>
  <c r="H281" i="1"/>
  <c r="I281" i="1"/>
  <c r="J281" i="1"/>
  <c r="E282" i="1"/>
  <c r="F282" i="1"/>
  <c r="G282" i="1"/>
  <c r="H282" i="1"/>
  <c r="I282" i="1"/>
  <c r="J282" i="1"/>
  <c r="E283" i="1"/>
  <c r="F283" i="1"/>
  <c r="G283" i="1"/>
  <c r="H283" i="1"/>
  <c r="I283" i="1"/>
  <c r="J283" i="1"/>
  <c r="E284" i="1"/>
  <c r="F284" i="1"/>
  <c r="G284" i="1"/>
  <c r="H284" i="1"/>
  <c r="I284" i="1"/>
  <c r="J284" i="1"/>
  <c r="E285" i="1"/>
  <c r="F285" i="1"/>
  <c r="G285" i="1"/>
  <c r="H285" i="1"/>
  <c r="I285" i="1"/>
  <c r="J285" i="1"/>
  <c r="E286" i="1"/>
  <c r="F286" i="1"/>
  <c r="G286" i="1"/>
  <c r="H286" i="1"/>
  <c r="I286" i="1"/>
  <c r="J286" i="1"/>
  <c r="E287" i="1"/>
  <c r="F287" i="1"/>
  <c r="G287" i="1"/>
  <c r="H287" i="1"/>
  <c r="I287" i="1"/>
  <c r="J287" i="1"/>
  <c r="E288" i="1"/>
  <c r="F288" i="1"/>
  <c r="G288" i="1"/>
  <c r="H288" i="1"/>
  <c r="I288" i="1"/>
  <c r="J288" i="1"/>
  <c r="E289" i="1"/>
  <c r="F289" i="1"/>
  <c r="G289" i="1"/>
  <c r="H289" i="1"/>
  <c r="I289" i="1"/>
  <c r="J289" i="1"/>
  <c r="E290" i="1"/>
  <c r="F290" i="1"/>
  <c r="G290" i="1"/>
  <c r="H290" i="1"/>
  <c r="I290" i="1"/>
  <c r="J290" i="1"/>
  <c r="E291" i="1"/>
  <c r="F291" i="1"/>
  <c r="G291" i="1"/>
  <c r="H291" i="1"/>
  <c r="I291" i="1"/>
  <c r="J291" i="1"/>
  <c r="E292" i="1"/>
  <c r="F292" i="1"/>
  <c r="G292" i="1"/>
  <c r="H292" i="1"/>
  <c r="I292" i="1"/>
  <c r="J292" i="1"/>
  <c r="E293" i="1"/>
  <c r="F293" i="1"/>
  <c r="G293" i="1"/>
  <c r="H293" i="1"/>
  <c r="I293" i="1"/>
  <c r="J293" i="1"/>
  <c r="E294" i="1"/>
  <c r="F294" i="1"/>
  <c r="G294" i="1"/>
  <c r="H294" i="1"/>
  <c r="I294" i="1"/>
  <c r="J294" i="1"/>
  <c r="E295" i="1"/>
  <c r="F295" i="1"/>
  <c r="G295" i="1"/>
  <c r="H295" i="1"/>
  <c r="I295" i="1"/>
  <c r="J295" i="1"/>
  <c r="E296" i="1"/>
  <c r="F296" i="1"/>
  <c r="G296" i="1"/>
  <c r="H296" i="1"/>
  <c r="I296" i="1"/>
  <c r="J296" i="1"/>
  <c r="E297" i="1"/>
  <c r="F297" i="1"/>
  <c r="G297" i="1"/>
  <c r="H297" i="1"/>
  <c r="I297" i="1"/>
  <c r="J297" i="1"/>
  <c r="E298" i="1"/>
  <c r="F298" i="1"/>
  <c r="G298" i="1"/>
  <c r="H298" i="1"/>
  <c r="I298" i="1"/>
  <c r="J298" i="1"/>
  <c r="E299" i="1"/>
  <c r="F299" i="1"/>
  <c r="G299" i="1"/>
  <c r="H299" i="1"/>
  <c r="I299" i="1"/>
  <c r="J299" i="1"/>
  <c r="E300" i="1"/>
  <c r="F300" i="1"/>
  <c r="G300" i="1"/>
  <c r="H300" i="1"/>
  <c r="I300" i="1"/>
  <c r="J300" i="1"/>
  <c r="E301" i="1"/>
  <c r="F301" i="1"/>
  <c r="G301" i="1"/>
  <c r="H301" i="1"/>
  <c r="I301" i="1"/>
  <c r="J301" i="1"/>
  <c r="E302" i="1"/>
  <c r="F302" i="1"/>
  <c r="G302" i="1"/>
  <c r="H302" i="1"/>
  <c r="I302" i="1"/>
  <c r="J302" i="1"/>
  <c r="E303" i="1"/>
  <c r="F303" i="1"/>
  <c r="G303" i="1"/>
  <c r="H303" i="1"/>
  <c r="I303" i="1"/>
  <c r="J303" i="1"/>
  <c r="E304" i="1"/>
  <c r="F304" i="1"/>
  <c r="G304" i="1"/>
  <c r="H304" i="1"/>
  <c r="I304" i="1"/>
  <c r="J304" i="1"/>
  <c r="E305" i="1"/>
  <c r="F305" i="1"/>
  <c r="G305" i="1"/>
  <c r="H305" i="1"/>
  <c r="I305" i="1"/>
  <c r="J305" i="1"/>
  <c r="E306" i="1"/>
  <c r="F306" i="1"/>
  <c r="G306" i="1"/>
  <c r="H306" i="1"/>
  <c r="I306" i="1"/>
  <c r="J306" i="1"/>
  <c r="E307" i="1"/>
  <c r="F307" i="1"/>
  <c r="G307" i="1"/>
  <c r="H307" i="1"/>
  <c r="I307" i="1"/>
  <c r="J307" i="1"/>
  <c r="E308" i="1"/>
  <c r="F308" i="1"/>
  <c r="G308" i="1"/>
  <c r="H308" i="1"/>
  <c r="I308" i="1"/>
  <c r="J308" i="1"/>
  <c r="E309" i="1"/>
  <c r="F309" i="1"/>
  <c r="G309" i="1"/>
  <c r="H309" i="1"/>
  <c r="I309" i="1"/>
  <c r="J309" i="1"/>
  <c r="E310" i="1"/>
  <c r="F310" i="1"/>
  <c r="G310" i="1"/>
  <c r="H310" i="1"/>
  <c r="I310" i="1"/>
  <c r="J310" i="1"/>
  <c r="E311" i="1"/>
  <c r="F311" i="1"/>
  <c r="G311" i="1"/>
  <c r="H311" i="1"/>
  <c r="I311" i="1"/>
  <c r="J311" i="1"/>
  <c r="E312" i="1"/>
  <c r="F312" i="1"/>
  <c r="G312" i="1"/>
  <c r="H312" i="1"/>
  <c r="I312" i="1"/>
  <c r="J312" i="1"/>
  <c r="E313" i="1"/>
  <c r="F313" i="1"/>
  <c r="G313" i="1"/>
  <c r="H313" i="1"/>
  <c r="I313" i="1"/>
  <c r="J313" i="1"/>
  <c r="E314" i="1"/>
  <c r="F314" i="1"/>
  <c r="G314" i="1"/>
  <c r="H314" i="1"/>
  <c r="I314" i="1"/>
  <c r="J314" i="1"/>
  <c r="E315" i="1"/>
  <c r="F315" i="1"/>
  <c r="G315" i="1"/>
  <c r="H315" i="1"/>
  <c r="I315" i="1"/>
  <c r="J315" i="1"/>
  <c r="E316" i="1"/>
  <c r="F316" i="1"/>
  <c r="G316" i="1"/>
  <c r="H316" i="1"/>
  <c r="I316" i="1"/>
  <c r="J316" i="1"/>
  <c r="E317" i="1"/>
  <c r="F317" i="1"/>
  <c r="G317" i="1"/>
  <c r="H317" i="1"/>
  <c r="I317" i="1"/>
  <c r="J317" i="1"/>
  <c r="E318" i="1"/>
  <c r="F318" i="1"/>
  <c r="G318" i="1"/>
  <c r="H318" i="1"/>
  <c r="I318" i="1"/>
  <c r="J318" i="1"/>
  <c r="E319" i="1"/>
  <c r="F319" i="1"/>
  <c r="G319" i="1"/>
  <c r="H319" i="1"/>
  <c r="I319" i="1"/>
  <c r="J319" i="1"/>
  <c r="E320" i="1"/>
  <c r="F320" i="1"/>
  <c r="G320" i="1"/>
  <c r="H320" i="1"/>
  <c r="I320" i="1"/>
  <c r="J320" i="1"/>
  <c r="E321" i="1"/>
  <c r="F321" i="1"/>
  <c r="G321" i="1"/>
  <c r="H321" i="1"/>
  <c r="I321" i="1"/>
  <c r="J321" i="1"/>
  <c r="E322" i="1"/>
  <c r="F322" i="1"/>
  <c r="G322" i="1"/>
  <c r="H322" i="1"/>
  <c r="I322" i="1"/>
  <c r="J322" i="1"/>
  <c r="E323" i="1"/>
  <c r="F323" i="1"/>
  <c r="G323" i="1"/>
  <c r="H323" i="1"/>
  <c r="I323" i="1"/>
  <c r="J323" i="1"/>
  <c r="E324" i="1"/>
  <c r="F324" i="1"/>
  <c r="G324" i="1"/>
  <c r="H324" i="1"/>
  <c r="I324" i="1"/>
  <c r="J324" i="1"/>
  <c r="E325" i="1"/>
  <c r="F325" i="1"/>
  <c r="G325" i="1"/>
  <c r="H325" i="1"/>
  <c r="I325" i="1"/>
  <c r="J325" i="1"/>
  <c r="E326" i="1"/>
  <c r="F326" i="1"/>
  <c r="G326" i="1"/>
  <c r="H326" i="1"/>
  <c r="I326" i="1"/>
  <c r="J326" i="1"/>
  <c r="E327" i="1"/>
  <c r="F327" i="1"/>
  <c r="G327" i="1"/>
  <c r="H327" i="1"/>
  <c r="I327" i="1"/>
  <c r="J327" i="1"/>
  <c r="E328" i="1"/>
  <c r="F328" i="1"/>
  <c r="G328" i="1"/>
  <c r="H328" i="1"/>
  <c r="I328" i="1"/>
  <c r="J328" i="1"/>
  <c r="E329" i="1"/>
  <c r="F329" i="1"/>
  <c r="G329" i="1"/>
  <c r="H329" i="1"/>
  <c r="I329" i="1"/>
  <c r="J329" i="1"/>
  <c r="E330" i="1"/>
  <c r="F330" i="1"/>
  <c r="G330" i="1"/>
  <c r="H330" i="1"/>
  <c r="I330" i="1"/>
  <c r="J330" i="1"/>
  <c r="E331" i="1"/>
  <c r="F331" i="1"/>
  <c r="G331" i="1"/>
  <c r="H331" i="1"/>
  <c r="I331" i="1"/>
  <c r="J331" i="1"/>
  <c r="E332" i="1"/>
  <c r="F332" i="1"/>
  <c r="G332" i="1"/>
  <c r="H332" i="1"/>
  <c r="I332" i="1"/>
  <c r="J332" i="1"/>
  <c r="E333" i="1"/>
  <c r="F333" i="1"/>
  <c r="G333" i="1"/>
  <c r="H333" i="1"/>
  <c r="I333" i="1"/>
  <c r="J333" i="1"/>
  <c r="E334" i="1"/>
  <c r="F334" i="1"/>
  <c r="G334" i="1"/>
  <c r="H334" i="1"/>
  <c r="I334" i="1"/>
  <c r="J334" i="1"/>
  <c r="E335" i="1"/>
  <c r="F335" i="1"/>
  <c r="G335" i="1"/>
  <c r="H335" i="1"/>
  <c r="I335" i="1"/>
  <c r="J335" i="1"/>
  <c r="E336" i="1"/>
  <c r="F336" i="1"/>
  <c r="G336" i="1"/>
  <c r="H336" i="1"/>
  <c r="I336" i="1"/>
  <c r="J336" i="1"/>
  <c r="E337" i="1"/>
  <c r="F337" i="1"/>
  <c r="G337" i="1"/>
  <c r="H337" i="1"/>
  <c r="I337" i="1"/>
  <c r="J337" i="1"/>
  <c r="E338" i="1"/>
  <c r="F338" i="1"/>
  <c r="G338" i="1"/>
  <c r="H338" i="1"/>
  <c r="I338" i="1"/>
  <c r="J338" i="1"/>
  <c r="E339" i="1"/>
  <c r="F339" i="1"/>
  <c r="G339" i="1"/>
  <c r="H339" i="1"/>
  <c r="I339" i="1"/>
  <c r="J339" i="1"/>
  <c r="E340" i="1"/>
  <c r="F340" i="1"/>
  <c r="G340" i="1"/>
  <c r="H340" i="1"/>
  <c r="I340" i="1"/>
  <c r="J340" i="1"/>
  <c r="E341" i="1"/>
  <c r="F341" i="1"/>
  <c r="G341" i="1"/>
  <c r="H341" i="1"/>
  <c r="I341" i="1"/>
  <c r="J341" i="1"/>
  <c r="E342" i="1"/>
  <c r="F342" i="1"/>
  <c r="G342" i="1"/>
  <c r="H342" i="1"/>
  <c r="I342" i="1"/>
  <c r="J342" i="1"/>
  <c r="E343" i="1"/>
  <c r="F343" i="1"/>
  <c r="G343" i="1"/>
  <c r="H343" i="1"/>
  <c r="I343" i="1"/>
  <c r="J343" i="1"/>
  <c r="E344" i="1"/>
  <c r="F344" i="1"/>
  <c r="G344" i="1"/>
  <c r="H344" i="1"/>
  <c r="I344" i="1"/>
  <c r="J344" i="1"/>
  <c r="E345" i="1"/>
  <c r="F345" i="1"/>
  <c r="G345" i="1"/>
  <c r="H345" i="1"/>
  <c r="I345" i="1"/>
  <c r="J345" i="1"/>
  <c r="E346" i="1"/>
  <c r="F346" i="1"/>
  <c r="G346" i="1"/>
  <c r="H346" i="1"/>
  <c r="I346" i="1"/>
  <c r="J346" i="1"/>
  <c r="E347" i="1"/>
  <c r="F347" i="1"/>
  <c r="G347" i="1"/>
  <c r="H347" i="1"/>
  <c r="I347" i="1"/>
  <c r="J347" i="1"/>
  <c r="E348" i="1"/>
  <c r="F348" i="1"/>
  <c r="G348" i="1"/>
  <c r="H348" i="1"/>
  <c r="I348" i="1"/>
  <c r="J348" i="1"/>
  <c r="E349" i="1"/>
  <c r="F349" i="1"/>
  <c r="G349" i="1"/>
  <c r="H349" i="1"/>
  <c r="I349" i="1"/>
  <c r="J349" i="1"/>
  <c r="E350" i="1"/>
  <c r="F350" i="1"/>
  <c r="G350" i="1"/>
  <c r="H350" i="1"/>
  <c r="I350" i="1"/>
  <c r="J350" i="1"/>
  <c r="E351" i="1"/>
  <c r="F351" i="1"/>
  <c r="G351" i="1"/>
  <c r="H351" i="1"/>
  <c r="I351" i="1"/>
  <c r="J351" i="1"/>
  <c r="E352" i="1"/>
  <c r="F352" i="1"/>
  <c r="G352" i="1"/>
  <c r="H352" i="1"/>
  <c r="I352" i="1"/>
  <c r="J352" i="1"/>
  <c r="E353" i="1"/>
  <c r="F353" i="1"/>
  <c r="G353" i="1"/>
  <c r="H353" i="1"/>
  <c r="I353" i="1"/>
  <c r="J353" i="1"/>
  <c r="E354" i="1"/>
  <c r="F354" i="1"/>
  <c r="G354" i="1"/>
  <c r="H354" i="1"/>
  <c r="I354" i="1"/>
  <c r="J354" i="1"/>
  <c r="E355" i="1"/>
  <c r="F355" i="1"/>
  <c r="G355" i="1"/>
  <c r="H355" i="1"/>
  <c r="I355" i="1"/>
  <c r="J355" i="1"/>
  <c r="E356" i="1"/>
  <c r="F356" i="1"/>
  <c r="G356" i="1"/>
  <c r="H356" i="1"/>
  <c r="I356" i="1"/>
  <c r="J356" i="1"/>
  <c r="E357" i="1"/>
  <c r="F357" i="1"/>
  <c r="G357" i="1"/>
  <c r="H357" i="1"/>
  <c r="I357" i="1"/>
  <c r="J357" i="1"/>
  <c r="E358" i="1"/>
  <c r="F358" i="1"/>
  <c r="G358" i="1"/>
  <c r="H358" i="1"/>
  <c r="I358" i="1"/>
  <c r="J358" i="1"/>
  <c r="E359" i="1"/>
  <c r="F359" i="1"/>
  <c r="G359" i="1"/>
  <c r="H359" i="1"/>
  <c r="I359" i="1"/>
  <c r="J359" i="1"/>
  <c r="E360" i="1"/>
  <c r="F360" i="1"/>
  <c r="G360" i="1"/>
  <c r="H360" i="1"/>
  <c r="I360" i="1"/>
  <c r="J360" i="1"/>
  <c r="E361" i="1"/>
  <c r="F361" i="1"/>
  <c r="G361" i="1"/>
  <c r="H361" i="1"/>
  <c r="I361" i="1"/>
  <c r="J361" i="1"/>
  <c r="E362" i="1"/>
  <c r="F362" i="1"/>
  <c r="G362" i="1"/>
  <c r="H362" i="1"/>
  <c r="I362" i="1"/>
  <c r="J362" i="1"/>
  <c r="E363" i="1"/>
  <c r="F363" i="1"/>
  <c r="G363" i="1"/>
  <c r="H363" i="1"/>
  <c r="I363" i="1"/>
  <c r="J363" i="1"/>
  <c r="E364" i="1"/>
  <c r="F364" i="1"/>
  <c r="G364" i="1"/>
  <c r="H364" i="1"/>
  <c r="I364" i="1"/>
  <c r="J364" i="1"/>
  <c r="E365" i="1"/>
  <c r="F365" i="1"/>
  <c r="G365" i="1"/>
  <c r="H365" i="1"/>
  <c r="I365" i="1"/>
  <c r="J365" i="1"/>
  <c r="E366" i="1"/>
  <c r="F366" i="1"/>
  <c r="G366" i="1"/>
  <c r="H366" i="1"/>
  <c r="I366" i="1"/>
  <c r="J366" i="1"/>
  <c r="E367" i="1"/>
  <c r="F367" i="1"/>
  <c r="G367" i="1"/>
  <c r="H367" i="1"/>
  <c r="I367" i="1"/>
  <c r="J367" i="1"/>
  <c r="E368" i="1"/>
  <c r="F368" i="1"/>
  <c r="G368" i="1"/>
  <c r="H368" i="1"/>
  <c r="I368" i="1"/>
  <c r="J368" i="1"/>
  <c r="E369" i="1"/>
  <c r="F369" i="1"/>
  <c r="G369" i="1"/>
  <c r="H369" i="1"/>
  <c r="I369" i="1"/>
  <c r="J369" i="1"/>
  <c r="E370" i="1"/>
  <c r="F370" i="1"/>
  <c r="G370" i="1"/>
  <c r="H370" i="1"/>
  <c r="I370" i="1"/>
  <c r="J370" i="1"/>
  <c r="E371" i="1"/>
  <c r="F371" i="1"/>
  <c r="G371" i="1"/>
  <c r="H371" i="1"/>
  <c r="I371" i="1"/>
  <c r="J371" i="1"/>
  <c r="E372" i="1"/>
  <c r="F372" i="1"/>
  <c r="G372" i="1"/>
  <c r="H372" i="1"/>
  <c r="I372" i="1"/>
  <c r="J372" i="1"/>
  <c r="E373" i="1"/>
  <c r="F373" i="1"/>
  <c r="G373" i="1"/>
  <c r="H373" i="1"/>
  <c r="I373" i="1"/>
  <c r="J373" i="1"/>
  <c r="E374" i="1"/>
  <c r="F374" i="1"/>
  <c r="G374" i="1"/>
  <c r="H374" i="1"/>
  <c r="I374" i="1"/>
  <c r="J374" i="1"/>
  <c r="E375" i="1"/>
  <c r="F375" i="1"/>
  <c r="G375" i="1"/>
  <c r="H375" i="1"/>
  <c r="I375" i="1"/>
  <c r="J375" i="1"/>
  <c r="E376" i="1"/>
  <c r="F376" i="1"/>
  <c r="G376" i="1"/>
  <c r="H376" i="1"/>
  <c r="I376" i="1"/>
  <c r="J376" i="1"/>
  <c r="E377" i="1"/>
  <c r="F377" i="1"/>
  <c r="G377" i="1"/>
  <c r="H377" i="1"/>
  <c r="I377" i="1"/>
  <c r="J377" i="1"/>
  <c r="E378" i="1"/>
  <c r="F378" i="1"/>
  <c r="G378" i="1"/>
  <c r="H378" i="1"/>
  <c r="I378" i="1"/>
  <c r="J378" i="1"/>
  <c r="E379" i="1"/>
  <c r="F379" i="1"/>
  <c r="G379" i="1"/>
  <c r="H379" i="1"/>
  <c r="I379" i="1"/>
  <c r="J379" i="1"/>
  <c r="E380" i="1"/>
  <c r="F380" i="1"/>
  <c r="G380" i="1"/>
  <c r="H380" i="1"/>
  <c r="I380" i="1"/>
  <c r="J380" i="1"/>
  <c r="E381" i="1"/>
  <c r="F381" i="1"/>
  <c r="G381" i="1"/>
  <c r="H381" i="1"/>
  <c r="I381" i="1"/>
  <c r="J381" i="1"/>
  <c r="E382" i="1"/>
  <c r="F382" i="1"/>
  <c r="G382" i="1"/>
  <c r="H382" i="1"/>
  <c r="I382" i="1"/>
  <c r="J382" i="1"/>
  <c r="E383" i="1"/>
  <c r="F383" i="1"/>
  <c r="G383" i="1"/>
  <c r="H383" i="1"/>
  <c r="I383" i="1"/>
  <c r="J383" i="1"/>
  <c r="E384" i="1"/>
  <c r="F384" i="1"/>
  <c r="G384" i="1"/>
  <c r="H384" i="1"/>
  <c r="I384" i="1"/>
  <c r="J384" i="1"/>
  <c r="E385" i="1"/>
  <c r="F385" i="1"/>
  <c r="G385" i="1"/>
  <c r="H385" i="1"/>
  <c r="I385" i="1"/>
  <c r="J385" i="1"/>
  <c r="E386" i="1"/>
  <c r="F386" i="1"/>
  <c r="G386" i="1"/>
  <c r="H386" i="1"/>
  <c r="I386" i="1"/>
  <c r="J386" i="1"/>
  <c r="E387" i="1"/>
  <c r="F387" i="1"/>
  <c r="G387" i="1"/>
  <c r="H387" i="1"/>
  <c r="I387" i="1"/>
  <c r="J387" i="1"/>
  <c r="E388" i="1"/>
  <c r="F388" i="1"/>
  <c r="G388" i="1"/>
  <c r="H388" i="1"/>
  <c r="I388" i="1"/>
  <c r="J388" i="1"/>
  <c r="E389" i="1"/>
  <c r="F389" i="1"/>
  <c r="G389" i="1"/>
  <c r="H389" i="1"/>
  <c r="I389" i="1"/>
  <c r="J389" i="1"/>
  <c r="E390" i="1"/>
  <c r="F390" i="1"/>
  <c r="G390" i="1"/>
  <c r="H390" i="1"/>
  <c r="I390" i="1"/>
  <c r="J390" i="1"/>
  <c r="E391" i="1"/>
  <c r="F391" i="1"/>
  <c r="G391" i="1"/>
  <c r="H391" i="1"/>
  <c r="I391" i="1"/>
  <c r="J391" i="1"/>
  <c r="E392" i="1"/>
  <c r="F392" i="1"/>
  <c r="G392" i="1"/>
  <c r="H392" i="1"/>
  <c r="I392" i="1"/>
  <c r="J392" i="1"/>
  <c r="E393" i="1"/>
  <c r="F393" i="1"/>
  <c r="G393" i="1"/>
  <c r="H393" i="1"/>
  <c r="I393" i="1"/>
  <c r="J393" i="1"/>
  <c r="E394" i="1"/>
  <c r="F394" i="1"/>
  <c r="G394" i="1"/>
  <c r="H394" i="1"/>
  <c r="I394" i="1"/>
  <c r="J394" i="1"/>
  <c r="E395" i="1"/>
  <c r="F395" i="1"/>
  <c r="G395" i="1"/>
  <c r="H395" i="1"/>
  <c r="I395" i="1"/>
  <c r="J395" i="1"/>
  <c r="E396" i="1"/>
  <c r="F396" i="1"/>
  <c r="G396" i="1"/>
  <c r="H396" i="1"/>
  <c r="I396" i="1"/>
  <c r="J396" i="1"/>
  <c r="E397" i="1"/>
  <c r="F397" i="1"/>
  <c r="G397" i="1"/>
  <c r="H397" i="1"/>
  <c r="I397" i="1"/>
  <c r="J397" i="1"/>
  <c r="E398" i="1"/>
  <c r="F398" i="1"/>
  <c r="G398" i="1"/>
  <c r="H398" i="1"/>
  <c r="I398" i="1"/>
  <c r="J398" i="1"/>
  <c r="E399" i="1"/>
  <c r="F399" i="1"/>
  <c r="G399" i="1"/>
  <c r="H399" i="1"/>
  <c r="I399" i="1"/>
  <c r="J399" i="1"/>
  <c r="E400" i="1"/>
  <c r="F400" i="1"/>
  <c r="G400" i="1"/>
  <c r="H400" i="1"/>
  <c r="I400" i="1"/>
  <c r="J400" i="1"/>
  <c r="E401" i="1"/>
  <c r="F401" i="1"/>
  <c r="G401" i="1"/>
  <c r="H401" i="1"/>
  <c r="I401" i="1"/>
  <c r="J401" i="1"/>
  <c r="E402" i="1"/>
  <c r="F402" i="1"/>
  <c r="G402" i="1"/>
  <c r="H402" i="1"/>
  <c r="I402" i="1"/>
  <c r="J402" i="1"/>
  <c r="E403" i="1"/>
  <c r="F403" i="1"/>
  <c r="G403" i="1"/>
  <c r="H403" i="1"/>
  <c r="I403" i="1"/>
  <c r="J403" i="1"/>
  <c r="E404" i="1"/>
  <c r="F404" i="1"/>
  <c r="G404" i="1"/>
  <c r="H404" i="1"/>
  <c r="I404" i="1"/>
  <c r="J404" i="1"/>
  <c r="E405" i="1"/>
  <c r="F405" i="1"/>
  <c r="G405" i="1"/>
  <c r="H405" i="1"/>
  <c r="I405" i="1"/>
  <c r="J405" i="1"/>
  <c r="E406" i="1"/>
  <c r="F406" i="1"/>
  <c r="G406" i="1"/>
  <c r="H406" i="1"/>
  <c r="I406" i="1"/>
  <c r="J406" i="1"/>
  <c r="E407" i="1"/>
  <c r="F407" i="1"/>
  <c r="G407" i="1"/>
  <c r="H407" i="1"/>
  <c r="I407" i="1"/>
  <c r="J407" i="1"/>
  <c r="E408" i="1"/>
  <c r="F408" i="1"/>
  <c r="G408" i="1"/>
  <c r="H408" i="1"/>
  <c r="I408" i="1"/>
  <c r="J408" i="1"/>
  <c r="E409" i="1"/>
  <c r="F409" i="1"/>
  <c r="G409" i="1"/>
  <c r="H409" i="1"/>
  <c r="I409" i="1"/>
  <c r="J409" i="1"/>
  <c r="E410" i="1"/>
  <c r="F410" i="1"/>
  <c r="G410" i="1"/>
  <c r="H410" i="1"/>
  <c r="I410" i="1"/>
  <c r="J410" i="1"/>
  <c r="E411" i="1"/>
  <c r="F411" i="1"/>
  <c r="G411" i="1"/>
  <c r="H411" i="1"/>
  <c r="I411" i="1"/>
  <c r="J411" i="1"/>
  <c r="E412" i="1"/>
  <c r="F412" i="1"/>
  <c r="G412" i="1"/>
  <c r="H412" i="1"/>
  <c r="I412" i="1"/>
  <c r="J412" i="1"/>
  <c r="E413" i="1"/>
  <c r="F413" i="1"/>
  <c r="G413" i="1"/>
  <c r="H413" i="1"/>
  <c r="I413" i="1"/>
  <c r="J413" i="1"/>
  <c r="E414" i="1"/>
  <c r="F414" i="1"/>
  <c r="G414" i="1"/>
  <c r="H414" i="1"/>
  <c r="I414" i="1"/>
  <c r="J414" i="1"/>
  <c r="E415" i="1"/>
  <c r="F415" i="1"/>
  <c r="G415" i="1"/>
  <c r="H415" i="1"/>
  <c r="I415" i="1"/>
  <c r="J415" i="1"/>
  <c r="E416" i="1"/>
  <c r="F416" i="1"/>
  <c r="G416" i="1"/>
  <c r="H416" i="1"/>
  <c r="I416" i="1"/>
  <c r="J416" i="1"/>
  <c r="E417" i="1"/>
  <c r="F417" i="1"/>
  <c r="G417" i="1"/>
  <c r="H417" i="1"/>
  <c r="I417" i="1"/>
  <c r="J417" i="1"/>
  <c r="E418" i="1"/>
  <c r="F418" i="1"/>
  <c r="G418" i="1"/>
  <c r="H418" i="1"/>
  <c r="I418" i="1"/>
  <c r="J418" i="1"/>
  <c r="E419" i="1"/>
  <c r="F419" i="1"/>
  <c r="G419" i="1"/>
  <c r="H419" i="1"/>
  <c r="I419" i="1"/>
  <c r="J419" i="1"/>
  <c r="E420" i="1"/>
  <c r="F420" i="1"/>
  <c r="G420" i="1"/>
  <c r="H420" i="1"/>
  <c r="I420" i="1"/>
  <c r="J420" i="1"/>
  <c r="E421" i="1"/>
  <c r="F421" i="1"/>
  <c r="G421" i="1"/>
  <c r="H421" i="1"/>
  <c r="I421" i="1"/>
  <c r="J421" i="1"/>
  <c r="E422" i="1"/>
  <c r="F422" i="1"/>
  <c r="G422" i="1"/>
  <c r="H422" i="1"/>
  <c r="I422" i="1"/>
  <c r="J422" i="1"/>
  <c r="E423" i="1"/>
  <c r="F423" i="1"/>
  <c r="G423" i="1"/>
  <c r="H423" i="1"/>
  <c r="I423" i="1"/>
  <c r="J423" i="1"/>
  <c r="E424" i="1"/>
  <c r="F424" i="1"/>
  <c r="G424" i="1"/>
  <c r="H424" i="1"/>
  <c r="I424" i="1"/>
  <c r="J424" i="1"/>
  <c r="E425" i="1"/>
  <c r="F425" i="1"/>
  <c r="G425" i="1"/>
  <c r="H425" i="1"/>
  <c r="I425" i="1"/>
  <c r="J425" i="1"/>
  <c r="E426" i="1"/>
  <c r="F426" i="1"/>
  <c r="G426" i="1"/>
  <c r="H426" i="1"/>
  <c r="I426" i="1"/>
  <c r="J426" i="1"/>
  <c r="E427" i="1"/>
  <c r="F427" i="1"/>
  <c r="G427" i="1"/>
  <c r="H427" i="1"/>
  <c r="I427" i="1"/>
  <c r="J427" i="1"/>
  <c r="E428" i="1"/>
  <c r="F428" i="1"/>
  <c r="G428" i="1"/>
  <c r="H428" i="1"/>
  <c r="I428" i="1"/>
  <c r="J428" i="1"/>
  <c r="E429" i="1"/>
  <c r="F429" i="1"/>
  <c r="G429" i="1"/>
  <c r="H429" i="1"/>
  <c r="I429" i="1"/>
  <c r="J429" i="1"/>
  <c r="E430" i="1"/>
  <c r="F430" i="1"/>
  <c r="G430" i="1"/>
  <c r="H430" i="1"/>
  <c r="I430" i="1"/>
  <c r="J430" i="1"/>
  <c r="E431" i="1"/>
  <c r="F431" i="1"/>
  <c r="G431" i="1"/>
  <c r="H431" i="1"/>
  <c r="I431" i="1"/>
  <c r="J431" i="1"/>
  <c r="E432" i="1"/>
  <c r="F432" i="1"/>
  <c r="G432" i="1"/>
  <c r="H432" i="1"/>
  <c r="I432" i="1"/>
  <c r="J432" i="1"/>
  <c r="E433" i="1"/>
  <c r="F433" i="1"/>
  <c r="G433" i="1"/>
  <c r="H433" i="1"/>
  <c r="I433" i="1"/>
  <c r="J433" i="1"/>
  <c r="E434" i="1"/>
  <c r="F434" i="1"/>
  <c r="G434" i="1"/>
  <c r="H434" i="1"/>
  <c r="I434" i="1"/>
  <c r="J434" i="1"/>
  <c r="E435" i="1"/>
  <c r="F435" i="1"/>
  <c r="G435" i="1"/>
  <c r="H435" i="1"/>
  <c r="I435" i="1"/>
  <c r="J435" i="1"/>
  <c r="E436" i="1"/>
  <c r="F436" i="1"/>
  <c r="G436" i="1"/>
  <c r="H436" i="1"/>
  <c r="I436" i="1"/>
  <c r="J436" i="1"/>
  <c r="E437" i="1"/>
  <c r="F437" i="1"/>
  <c r="G437" i="1"/>
  <c r="H437" i="1"/>
  <c r="I437" i="1"/>
  <c r="J437" i="1"/>
  <c r="E438" i="1"/>
  <c r="F438" i="1"/>
  <c r="G438" i="1"/>
  <c r="H438" i="1"/>
  <c r="I438" i="1"/>
  <c r="J438" i="1"/>
  <c r="E439" i="1"/>
  <c r="F439" i="1"/>
  <c r="G439" i="1"/>
  <c r="H439" i="1"/>
  <c r="I439" i="1"/>
  <c r="J439" i="1"/>
  <c r="E440" i="1"/>
  <c r="F440" i="1"/>
  <c r="G440" i="1"/>
  <c r="H440" i="1"/>
  <c r="I440" i="1"/>
  <c r="J440" i="1"/>
  <c r="E441" i="1"/>
  <c r="F441" i="1"/>
  <c r="G441" i="1"/>
  <c r="H441" i="1"/>
  <c r="I441" i="1"/>
  <c r="J441" i="1"/>
  <c r="E442" i="1"/>
  <c r="F442" i="1"/>
  <c r="G442" i="1"/>
  <c r="H442" i="1"/>
  <c r="I442" i="1"/>
  <c r="J442" i="1"/>
  <c r="E443" i="1"/>
  <c r="F443" i="1"/>
  <c r="G443" i="1"/>
  <c r="H443" i="1"/>
  <c r="I443" i="1"/>
  <c r="J443" i="1"/>
  <c r="E444" i="1"/>
  <c r="F444" i="1"/>
  <c r="G444" i="1"/>
  <c r="H444" i="1"/>
  <c r="I444" i="1"/>
  <c r="J444" i="1"/>
  <c r="E445" i="1"/>
  <c r="F445" i="1"/>
  <c r="G445" i="1"/>
  <c r="H445" i="1"/>
  <c r="I445" i="1"/>
  <c r="J445" i="1"/>
  <c r="E446" i="1"/>
  <c r="F446" i="1"/>
  <c r="G446" i="1"/>
  <c r="H446" i="1"/>
  <c r="I446" i="1"/>
  <c r="J446" i="1"/>
  <c r="E447" i="1"/>
  <c r="F447" i="1"/>
  <c r="G447" i="1"/>
  <c r="H447" i="1"/>
  <c r="I447" i="1"/>
  <c r="J447" i="1"/>
  <c r="E448" i="1"/>
  <c r="F448" i="1"/>
  <c r="G448" i="1"/>
  <c r="H448" i="1"/>
  <c r="I448" i="1"/>
  <c r="J448" i="1"/>
  <c r="E449" i="1"/>
  <c r="F449" i="1"/>
  <c r="G449" i="1"/>
  <c r="H449" i="1"/>
  <c r="I449" i="1"/>
  <c r="J449" i="1"/>
  <c r="E450" i="1"/>
  <c r="F450" i="1"/>
  <c r="G450" i="1"/>
  <c r="H450" i="1"/>
  <c r="I450" i="1"/>
  <c r="J450" i="1"/>
  <c r="E451" i="1"/>
  <c r="F451" i="1"/>
  <c r="G451" i="1"/>
  <c r="H451" i="1"/>
  <c r="I451" i="1"/>
  <c r="J451" i="1"/>
  <c r="E452" i="1"/>
  <c r="F452" i="1"/>
  <c r="G452" i="1"/>
  <c r="H452" i="1"/>
  <c r="I452" i="1"/>
  <c r="J452" i="1"/>
  <c r="E453" i="1"/>
  <c r="F453" i="1"/>
  <c r="G453" i="1"/>
  <c r="H453" i="1"/>
  <c r="I453" i="1"/>
  <c r="J453" i="1"/>
  <c r="E454" i="1"/>
  <c r="F454" i="1"/>
  <c r="G454" i="1"/>
  <c r="H454" i="1"/>
  <c r="I454" i="1"/>
  <c r="J454" i="1"/>
  <c r="E455" i="1"/>
  <c r="F455" i="1"/>
  <c r="G455" i="1"/>
  <c r="H455" i="1"/>
  <c r="I455" i="1"/>
  <c r="J455" i="1"/>
  <c r="E456" i="1"/>
  <c r="F456" i="1"/>
  <c r="G456" i="1"/>
  <c r="H456" i="1"/>
  <c r="I456" i="1"/>
  <c r="J456" i="1"/>
  <c r="E457" i="1"/>
  <c r="F457" i="1"/>
  <c r="G457" i="1"/>
  <c r="H457" i="1"/>
  <c r="I457" i="1"/>
  <c r="J457" i="1"/>
  <c r="E458" i="1"/>
  <c r="F458" i="1"/>
  <c r="G458" i="1"/>
  <c r="H458" i="1"/>
  <c r="I458" i="1"/>
  <c r="J458" i="1"/>
  <c r="E459" i="1"/>
  <c r="F459" i="1"/>
  <c r="G459" i="1"/>
  <c r="H459" i="1"/>
  <c r="I459" i="1"/>
  <c r="J459" i="1"/>
  <c r="E460" i="1"/>
  <c r="F460" i="1"/>
  <c r="G460" i="1"/>
  <c r="H460" i="1"/>
  <c r="I460" i="1"/>
  <c r="J460" i="1"/>
  <c r="E461" i="1"/>
  <c r="F461" i="1"/>
  <c r="G461" i="1"/>
  <c r="H461" i="1"/>
  <c r="I461" i="1"/>
  <c r="J461" i="1"/>
  <c r="E462" i="1"/>
  <c r="F462" i="1"/>
  <c r="G462" i="1"/>
  <c r="H462" i="1"/>
  <c r="I462" i="1"/>
  <c r="J462" i="1"/>
  <c r="E463" i="1"/>
  <c r="F463" i="1"/>
  <c r="G463" i="1"/>
  <c r="H463" i="1"/>
  <c r="I463" i="1"/>
  <c r="J463" i="1"/>
  <c r="E464" i="1"/>
  <c r="F464" i="1"/>
  <c r="G464" i="1"/>
  <c r="H464" i="1"/>
  <c r="I464" i="1"/>
  <c r="J464" i="1"/>
  <c r="E465" i="1"/>
  <c r="F465" i="1"/>
  <c r="G465" i="1"/>
  <c r="H465" i="1"/>
  <c r="I465" i="1"/>
  <c r="J465" i="1"/>
  <c r="E466" i="1"/>
  <c r="F466" i="1"/>
  <c r="G466" i="1"/>
  <c r="H466" i="1"/>
  <c r="I466" i="1"/>
  <c r="J466" i="1"/>
  <c r="E467" i="1"/>
  <c r="F467" i="1"/>
  <c r="G467" i="1"/>
  <c r="H467" i="1"/>
  <c r="I467" i="1"/>
  <c r="J467" i="1"/>
  <c r="E468" i="1"/>
  <c r="F468" i="1"/>
  <c r="G468" i="1"/>
  <c r="H468" i="1"/>
  <c r="I468" i="1"/>
  <c r="J468" i="1"/>
  <c r="E469" i="1"/>
  <c r="F469" i="1"/>
  <c r="G469" i="1"/>
  <c r="H469" i="1"/>
  <c r="I469" i="1"/>
  <c r="J469" i="1"/>
  <c r="E470" i="1"/>
  <c r="F470" i="1"/>
  <c r="G470" i="1"/>
  <c r="H470" i="1"/>
  <c r="I470" i="1"/>
  <c r="J470" i="1"/>
  <c r="E471" i="1"/>
  <c r="F471" i="1"/>
  <c r="G471" i="1"/>
  <c r="H471" i="1"/>
  <c r="I471" i="1"/>
  <c r="J471" i="1"/>
  <c r="E472" i="1"/>
  <c r="F472" i="1"/>
  <c r="G472" i="1"/>
  <c r="H472" i="1"/>
  <c r="I472" i="1"/>
  <c r="J472" i="1"/>
  <c r="E473" i="1"/>
  <c r="F473" i="1"/>
  <c r="G473" i="1"/>
  <c r="H473" i="1"/>
  <c r="I473" i="1"/>
  <c r="J473" i="1"/>
  <c r="E474" i="1"/>
  <c r="F474" i="1"/>
  <c r="G474" i="1"/>
  <c r="H474" i="1"/>
  <c r="I474" i="1"/>
  <c r="J474" i="1"/>
  <c r="E475" i="1"/>
  <c r="F475" i="1"/>
  <c r="G475" i="1"/>
  <c r="H475" i="1"/>
  <c r="I475" i="1"/>
  <c r="J475" i="1"/>
  <c r="E476" i="1"/>
  <c r="F476" i="1"/>
  <c r="G476" i="1"/>
  <c r="H476" i="1"/>
  <c r="I476" i="1"/>
  <c r="J476" i="1"/>
  <c r="E477" i="1"/>
  <c r="F477" i="1"/>
  <c r="G477" i="1"/>
  <c r="H477" i="1"/>
  <c r="I477" i="1"/>
  <c r="J477" i="1"/>
  <c r="E478" i="1"/>
  <c r="F478" i="1"/>
  <c r="G478" i="1"/>
  <c r="H478" i="1"/>
  <c r="I478" i="1"/>
  <c r="J478" i="1"/>
  <c r="E479" i="1"/>
  <c r="F479" i="1"/>
  <c r="G479" i="1"/>
  <c r="H479" i="1"/>
  <c r="I479" i="1"/>
  <c r="J479" i="1"/>
  <c r="E480" i="1"/>
  <c r="F480" i="1"/>
  <c r="G480" i="1"/>
  <c r="H480" i="1"/>
  <c r="I480" i="1"/>
  <c r="J480" i="1"/>
  <c r="E481" i="1"/>
  <c r="F481" i="1"/>
  <c r="G481" i="1"/>
  <c r="H481" i="1"/>
  <c r="I481" i="1"/>
  <c r="J481" i="1"/>
  <c r="E482" i="1"/>
  <c r="F482" i="1"/>
  <c r="G482" i="1"/>
  <c r="H482" i="1"/>
  <c r="I482" i="1"/>
  <c r="J482" i="1"/>
  <c r="E483" i="1"/>
  <c r="F483" i="1"/>
  <c r="G483" i="1"/>
  <c r="H483" i="1"/>
  <c r="I483" i="1"/>
  <c r="J483" i="1"/>
  <c r="E484" i="1"/>
  <c r="F484" i="1"/>
  <c r="G484" i="1"/>
  <c r="H484" i="1"/>
  <c r="I484" i="1"/>
  <c r="J484" i="1"/>
  <c r="E485" i="1"/>
  <c r="F485" i="1"/>
  <c r="G485" i="1"/>
  <c r="H485" i="1"/>
  <c r="I485" i="1"/>
  <c r="J485" i="1"/>
  <c r="E486" i="1"/>
  <c r="F486" i="1"/>
  <c r="G486" i="1"/>
  <c r="H486" i="1"/>
  <c r="I486" i="1"/>
  <c r="J486" i="1"/>
  <c r="E487" i="1"/>
  <c r="F487" i="1"/>
  <c r="G487" i="1"/>
  <c r="H487" i="1"/>
  <c r="I487" i="1"/>
  <c r="J487" i="1"/>
  <c r="E488" i="1"/>
  <c r="F488" i="1"/>
  <c r="G488" i="1"/>
  <c r="H488" i="1"/>
  <c r="I488" i="1"/>
  <c r="J488" i="1"/>
  <c r="E489" i="1"/>
  <c r="F489" i="1"/>
  <c r="G489" i="1"/>
  <c r="H489" i="1"/>
  <c r="I489" i="1"/>
  <c r="J489" i="1"/>
  <c r="E490" i="1"/>
  <c r="F490" i="1"/>
  <c r="G490" i="1"/>
  <c r="H490" i="1"/>
  <c r="I490" i="1"/>
  <c r="J490" i="1"/>
  <c r="E491" i="1"/>
  <c r="F491" i="1"/>
  <c r="G491" i="1"/>
  <c r="H491" i="1"/>
  <c r="I491" i="1"/>
  <c r="J491" i="1"/>
  <c r="E492" i="1"/>
  <c r="F492" i="1"/>
  <c r="G492" i="1"/>
  <c r="H492" i="1"/>
  <c r="I492" i="1"/>
  <c r="J492" i="1"/>
  <c r="E493" i="1"/>
  <c r="F493" i="1"/>
  <c r="G493" i="1"/>
  <c r="H493" i="1"/>
  <c r="I493" i="1"/>
  <c r="J493" i="1"/>
  <c r="E494" i="1"/>
  <c r="F494" i="1"/>
  <c r="G494" i="1"/>
  <c r="H494" i="1"/>
  <c r="I494" i="1"/>
  <c r="J494" i="1"/>
  <c r="E495" i="1"/>
  <c r="F495" i="1"/>
  <c r="G495" i="1"/>
  <c r="H495" i="1"/>
  <c r="I495" i="1"/>
  <c r="J495" i="1"/>
  <c r="E496" i="1"/>
  <c r="F496" i="1"/>
  <c r="G496" i="1"/>
  <c r="H496" i="1"/>
  <c r="I496" i="1"/>
  <c r="J496" i="1"/>
  <c r="E497" i="1"/>
  <c r="F497" i="1"/>
  <c r="G497" i="1"/>
  <c r="H497" i="1"/>
  <c r="I497" i="1"/>
  <c r="J497" i="1"/>
  <c r="E498" i="1"/>
  <c r="F498" i="1"/>
  <c r="G498" i="1"/>
  <c r="H498" i="1"/>
  <c r="I498" i="1"/>
  <c r="J498" i="1"/>
  <c r="E499" i="1"/>
  <c r="F499" i="1"/>
  <c r="G499" i="1"/>
  <c r="H499" i="1"/>
  <c r="I499" i="1"/>
  <c r="J499" i="1"/>
  <c r="E500" i="1"/>
  <c r="F500" i="1"/>
  <c r="G500" i="1"/>
  <c r="H500" i="1"/>
  <c r="I500" i="1"/>
  <c r="J500" i="1"/>
  <c r="E501" i="1"/>
  <c r="F501" i="1"/>
  <c r="G501" i="1"/>
  <c r="H501" i="1"/>
  <c r="I501" i="1"/>
  <c r="J501" i="1"/>
  <c r="E502" i="1"/>
  <c r="F502" i="1"/>
  <c r="G502" i="1"/>
  <c r="H502" i="1"/>
  <c r="I502" i="1"/>
  <c r="J502" i="1"/>
  <c r="E503" i="1"/>
  <c r="F503" i="1"/>
  <c r="G503" i="1"/>
  <c r="H503" i="1"/>
  <c r="I503" i="1"/>
  <c r="J503" i="1"/>
  <c r="E504" i="1"/>
  <c r="F504" i="1"/>
  <c r="G504" i="1"/>
  <c r="H504" i="1"/>
  <c r="I504" i="1"/>
  <c r="J504" i="1"/>
  <c r="E505" i="1"/>
  <c r="F505" i="1"/>
  <c r="G505" i="1"/>
  <c r="H505" i="1"/>
  <c r="I505" i="1"/>
  <c r="J505" i="1"/>
  <c r="E506" i="1"/>
  <c r="F506" i="1"/>
  <c r="G506" i="1"/>
  <c r="H506" i="1"/>
  <c r="I506" i="1"/>
  <c r="J506" i="1"/>
  <c r="E507" i="1"/>
  <c r="F507" i="1"/>
  <c r="G507" i="1"/>
  <c r="H507" i="1"/>
  <c r="I507" i="1"/>
  <c r="J507" i="1"/>
  <c r="E508" i="1"/>
  <c r="F508" i="1"/>
  <c r="G508" i="1"/>
  <c r="H508" i="1"/>
  <c r="I508" i="1"/>
  <c r="J508" i="1"/>
  <c r="E509" i="1"/>
  <c r="F509" i="1"/>
  <c r="G509" i="1"/>
  <c r="H509" i="1"/>
  <c r="I509" i="1"/>
  <c r="J509" i="1"/>
  <c r="E510" i="1"/>
  <c r="F510" i="1"/>
  <c r="G510" i="1"/>
  <c r="H510" i="1"/>
  <c r="I510" i="1"/>
  <c r="J510" i="1"/>
  <c r="E511" i="1"/>
  <c r="F511" i="1"/>
  <c r="G511" i="1"/>
  <c r="H511" i="1"/>
  <c r="I511" i="1"/>
  <c r="J511" i="1"/>
  <c r="E512" i="1"/>
  <c r="F512" i="1"/>
  <c r="G512" i="1"/>
  <c r="H512" i="1"/>
  <c r="I512" i="1"/>
  <c r="J512" i="1"/>
  <c r="E513" i="1"/>
  <c r="F513" i="1"/>
  <c r="G513" i="1"/>
  <c r="H513" i="1"/>
  <c r="I513" i="1"/>
  <c r="J513" i="1"/>
  <c r="E514" i="1"/>
  <c r="F514" i="1"/>
  <c r="G514" i="1"/>
  <c r="H514" i="1"/>
  <c r="I514" i="1"/>
  <c r="J514" i="1"/>
  <c r="E515" i="1"/>
  <c r="F515" i="1"/>
  <c r="G515" i="1"/>
  <c r="H515" i="1"/>
  <c r="I515" i="1"/>
  <c r="J515" i="1"/>
  <c r="E516" i="1"/>
  <c r="F516" i="1"/>
  <c r="G516" i="1"/>
  <c r="H516" i="1"/>
  <c r="I516" i="1"/>
  <c r="J516" i="1"/>
  <c r="E517" i="1"/>
  <c r="F517" i="1"/>
  <c r="G517" i="1"/>
  <c r="H517" i="1"/>
  <c r="I517" i="1"/>
  <c r="J517" i="1"/>
  <c r="E518" i="1"/>
  <c r="F518" i="1"/>
  <c r="G518" i="1"/>
  <c r="H518" i="1"/>
  <c r="I518" i="1"/>
  <c r="J518" i="1"/>
  <c r="E519" i="1"/>
  <c r="F519" i="1"/>
  <c r="G519" i="1"/>
  <c r="H519" i="1"/>
  <c r="I519" i="1"/>
  <c r="J519" i="1"/>
  <c r="E520" i="1"/>
  <c r="F520" i="1"/>
  <c r="G520" i="1"/>
  <c r="H520" i="1"/>
  <c r="I520" i="1"/>
  <c r="J520" i="1"/>
  <c r="E521" i="1"/>
  <c r="F521" i="1"/>
  <c r="G521" i="1"/>
  <c r="H521" i="1"/>
  <c r="I521" i="1"/>
  <c r="J521" i="1"/>
  <c r="E522" i="1"/>
  <c r="F522" i="1"/>
  <c r="G522" i="1"/>
  <c r="H522" i="1"/>
  <c r="I522" i="1"/>
  <c r="J522" i="1"/>
  <c r="E523" i="1"/>
  <c r="F523" i="1"/>
  <c r="G523" i="1"/>
  <c r="H523" i="1"/>
  <c r="I523" i="1"/>
  <c r="J523" i="1"/>
  <c r="E524" i="1"/>
  <c r="F524" i="1"/>
  <c r="G524" i="1"/>
  <c r="H524" i="1"/>
  <c r="I524" i="1"/>
  <c r="J524" i="1"/>
  <c r="E525" i="1"/>
  <c r="F525" i="1"/>
  <c r="G525" i="1"/>
  <c r="H525" i="1"/>
  <c r="I525" i="1"/>
  <c r="J525" i="1"/>
  <c r="E526" i="1"/>
  <c r="F526" i="1"/>
  <c r="G526" i="1"/>
  <c r="H526" i="1"/>
  <c r="I526" i="1"/>
  <c r="J526" i="1"/>
  <c r="E527" i="1"/>
  <c r="F527" i="1"/>
  <c r="G527" i="1"/>
  <c r="H527" i="1"/>
  <c r="I527" i="1"/>
  <c r="J527" i="1"/>
  <c r="E528" i="1"/>
  <c r="F528" i="1"/>
  <c r="G528" i="1"/>
  <c r="H528" i="1"/>
  <c r="I528" i="1"/>
  <c r="J528" i="1"/>
  <c r="E529" i="1"/>
  <c r="F529" i="1"/>
  <c r="G529" i="1"/>
  <c r="H529" i="1"/>
  <c r="I529" i="1"/>
  <c r="J529" i="1"/>
  <c r="E530" i="1"/>
  <c r="F530" i="1"/>
  <c r="G530" i="1"/>
  <c r="H530" i="1"/>
  <c r="I530" i="1"/>
  <c r="J530" i="1"/>
  <c r="E531" i="1"/>
  <c r="F531" i="1"/>
  <c r="G531" i="1"/>
  <c r="H531" i="1"/>
  <c r="I531" i="1"/>
  <c r="J531" i="1"/>
  <c r="E532" i="1"/>
  <c r="F532" i="1"/>
  <c r="G532" i="1"/>
  <c r="H532" i="1"/>
  <c r="I532" i="1"/>
  <c r="J532" i="1"/>
  <c r="E533" i="1"/>
  <c r="F533" i="1"/>
  <c r="G533" i="1"/>
  <c r="H533" i="1"/>
  <c r="I533" i="1"/>
  <c r="J533" i="1"/>
  <c r="E534" i="1"/>
  <c r="F534" i="1"/>
  <c r="G534" i="1"/>
  <c r="H534" i="1"/>
  <c r="I534" i="1"/>
  <c r="J534" i="1"/>
  <c r="E535" i="1"/>
  <c r="F535" i="1"/>
  <c r="G535" i="1"/>
  <c r="H535" i="1"/>
  <c r="I535" i="1"/>
  <c r="J535" i="1"/>
  <c r="E536" i="1"/>
  <c r="F536" i="1"/>
  <c r="G536" i="1"/>
  <c r="H536" i="1"/>
  <c r="I536" i="1"/>
  <c r="J536" i="1"/>
  <c r="E537" i="1"/>
  <c r="F537" i="1"/>
  <c r="G537" i="1"/>
  <c r="H537" i="1"/>
  <c r="I537" i="1"/>
  <c r="J537" i="1"/>
  <c r="E538" i="1"/>
  <c r="F538" i="1"/>
  <c r="G538" i="1"/>
  <c r="H538" i="1"/>
  <c r="I538" i="1"/>
  <c r="J538" i="1"/>
  <c r="E539" i="1"/>
  <c r="F539" i="1"/>
  <c r="G539" i="1"/>
  <c r="H539" i="1"/>
  <c r="I539" i="1"/>
  <c r="J539" i="1"/>
  <c r="E540" i="1"/>
  <c r="F540" i="1"/>
  <c r="G540" i="1"/>
  <c r="H540" i="1"/>
  <c r="I540" i="1"/>
  <c r="J540" i="1"/>
  <c r="E541" i="1"/>
  <c r="F541" i="1"/>
  <c r="G541" i="1"/>
  <c r="H541" i="1"/>
  <c r="I541" i="1"/>
  <c r="J541" i="1"/>
  <c r="E542" i="1"/>
  <c r="F542" i="1"/>
  <c r="G542" i="1"/>
  <c r="H542" i="1"/>
  <c r="I542" i="1"/>
  <c r="J542" i="1"/>
  <c r="E543" i="1"/>
  <c r="F543" i="1"/>
  <c r="G543" i="1"/>
  <c r="H543" i="1"/>
  <c r="I543" i="1"/>
  <c r="J543" i="1"/>
  <c r="E544" i="1"/>
  <c r="F544" i="1"/>
  <c r="G544" i="1"/>
  <c r="H544" i="1"/>
  <c r="I544" i="1"/>
  <c r="J544" i="1"/>
  <c r="E545" i="1"/>
  <c r="F545" i="1"/>
  <c r="G545" i="1"/>
  <c r="H545" i="1"/>
  <c r="I545" i="1"/>
  <c r="J545" i="1"/>
  <c r="E546" i="1"/>
  <c r="F546" i="1"/>
  <c r="G546" i="1"/>
  <c r="H546" i="1"/>
  <c r="I546" i="1"/>
  <c r="J546" i="1"/>
  <c r="E547" i="1"/>
  <c r="F547" i="1"/>
  <c r="G547" i="1"/>
  <c r="H547" i="1"/>
  <c r="I547" i="1"/>
  <c r="J547" i="1"/>
  <c r="E548" i="1"/>
  <c r="F548" i="1"/>
  <c r="G548" i="1"/>
  <c r="H548" i="1"/>
  <c r="I548" i="1"/>
  <c r="J548" i="1"/>
  <c r="E549" i="1"/>
  <c r="F549" i="1"/>
  <c r="G549" i="1"/>
  <c r="H549" i="1"/>
  <c r="I549" i="1"/>
  <c r="J549" i="1"/>
  <c r="E550" i="1"/>
  <c r="F550" i="1"/>
  <c r="G550" i="1"/>
  <c r="H550" i="1"/>
  <c r="I550" i="1"/>
  <c r="J550" i="1"/>
  <c r="E551" i="1"/>
  <c r="F551" i="1"/>
  <c r="G551" i="1"/>
  <c r="H551" i="1"/>
  <c r="I551" i="1"/>
  <c r="J551" i="1"/>
  <c r="E552" i="1"/>
  <c r="F552" i="1"/>
  <c r="G552" i="1"/>
  <c r="H552" i="1"/>
  <c r="I552" i="1"/>
  <c r="J552" i="1"/>
  <c r="E553" i="1"/>
  <c r="F553" i="1"/>
  <c r="G553" i="1"/>
  <c r="H553" i="1"/>
  <c r="I553" i="1"/>
  <c r="J553" i="1"/>
  <c r="E554" i="1"/>
  <c r="F554" i="1"/>
  <c r="G554" i="1"/>
  <c r="H554" i="1"/>
  <c r="I554" i="1"/>
  <c r="J554" i="1"/>
  <c r="E555" i="1"/>
  <c r="F555" i="1"/>
  <c r="G555" i="1"/>
  <c r="H555" i="1"/>
  <c r="I555" i="1"/>
  <c r="J555" i="1"/>
  <c r="E556" i="1"/>
  <c r="F556" i="1"/>
  <c r="G556" i="1"/>
  <c r="H556" i="1"/>
  <c r="I556" i="1"/>
  <c r="J556" i="1"/>
  <c r="E557" i="1"/>
  <c r="F557" i="1"/>
  <c r="G557" i="1"/>
  <c r="H557" i="1"/>
  <c r="I557" i="1"/>
  <c r="J557" i="1"/>
  <c r="E558" i="1"/>
  <c r="F558" i="1"/>
  <c r="G558" i="1"/>
  <c r="H558" i="1"/>
  <c r="I558" i="1"/>
  <c r="J558" i="1"/>
  <c r="E559" i="1"/>
  <c r="F559" i="1"/>
  <c r="G559" i="1"/>
  <c r="H559" i="1"/>
  <c r="I559" i="1"/>
  <c r="J559" i="1"/>
  <c r="E560" i="1"/>
  <c r="F560" i="1"/>
  <c r="G560" i="1"/>
  <c r="H560" i="1"/>
  <c r="I560" i="1"/>
  <c r="J560" i="1"/>
  <c r="E561" i="1"/>
  <c r="F561" i="1"/>
  <c r="G561" i="1"/>
  <c r="H561" i="1"/>
  <c r="I561" i="1"/>
  <c r="J561" i="1"/>
  <c r="E562" i="1"/>
  <c r="F562" i="1"/>
  <c r="G562" i="1"/>
  <c r="H562" i="1"/>
  <c r="I562" i="1"/>
  <c r="J562" i="1"/>
  <c r="E563" i="1"/>
  <c r="F563" i="1"/>
  <c r="G563" i="1"/>
  <c r="H563" i="1"/>
  <c r="I563" i="1"/>
  <c r="J563" i="1"/>
  <c r="E564" i="1"/>
  <c r="F564" i="1"/>
  <c r="G564" i="1"/>
  <c r="H564" i="1"/>
  <c r="I564" i="1"/>
  <c r="J564" i="1"/>
  <c r="E565" i="1"/>
  <c r="F565" i="1"/>
  <c r="G565" i="1"/>
  <c r="H565" i="1"/>
  <c r="I565" i="1"/>
  <c r="J565" i="1"/>
  <c r="E566" i="1"/>
  <c r="F566" i="1"/>
  <c r="G566" i="1"/>
  <c r="H566" i="1"/>
  <c r="I566" i="1"/>
  <c r="J566" i="1"/>
  <c r="E567" i="1"/>
  <c r="F567" i="1"/>
  <c r="G567" i="1"/>
  <c r="H567" i="1"/>
  <c r="I567" i="1"/>
  <c r="J567" i="1"/>
  <c r="E568" i="1"/>
  <c r="F568" i="1"/>
  <c r="G568" i="1"/>
  <c r="H568" i="1"/>
  <c r="I568" i="1"/>
  <c r="J568" i="1"/>
  <c r="E569" i="1"/>
  <c r="F569" i="1"/>
  <c r="G569" i="1"/>
  <c r="H569" i="1"/>
  <c r="I569" i="1"/>
  <c r="J569" i="1"/>
  <c r="E570" i="1"/>
  <c r="F570" i="1"/>
  <c r="G570" i="1"/>
  <c r="H570" i="1"/>
  <c r="I570" i="1"/>
  <c r="J570" i="1"/>
  <c r="E571" i="1"/>
  <c r="F571" i="1"/>
  <c r="G571" i="1"/>
  <c r="H571" i="1"/>
  <c r="I571" i="1"/>
  <c r="J571" i="1"/>
  <c r="E572" i="1"/>
  <c r="F572" i="1"/>
  <c r="G572" i="1"/>
  <c r="H572" i="1"/>
  <c r="I572" i="1"/>
  <c r="J572" i="1"/>
  <c r="E573" i="1"/>
  <c r="F573" i="1"/>
  <c r="G573" i="1"/>
  <c r="H573" i="1"/>
  <c r="I573" i="1"/>
  <c r="J573" i="1"/>
  <c r="E574" i="1"/>
  <c r="F574" i="1"/>
  <c r="G574" i="1"/>
  <c r="H574" i="1"/>
  <c r="I574" i="1"/>
  <c r="J574" i="1"/>
  <c r="E575" i="1"/>
  <c r="F575" i="1"/>
  <c r="G575" i="1"/>
  <c r="H575" i="1"/>
  <c r="I575" i="1"/>
  <c r="J575" i="1"/>
  <c r="E576" i="1"/>
  <c r="F576" i="1"/>
  <c r="G576" i="1"/>
  <c r="H576" i="1"/>
  <c r="I576" i="1"/>
  <c r="J576" i="1"/>
  <c r="E577" i="1"/>
  <c r="F577" i="1"/>
  <c r="G577" i="1"/>
  <c r="H577" i="1"/>
  <c r="I577" i="1"/>
  <c r="J577" i="1"/>
  <c r="E578" i="1"/>
  <c r="F578" i="1"/>
  <c r="G578" i="1"/>
  <c r="H578" i="1"/>
  <c r="I578" i="1"/>
  <c r="J578" i="1"/>
  <c r="E579" i="1"/>
  <c r="F579" i="1"/>
  <c r="G579" i="1"/>
  <c r="H579" i="1"/>
  <c r="I579" i="1"/>
  <c r="J579" i="1"/>
  <c r="E580" i="1"/>
  <c r="F580" i="1"/>
  <c r="G580" i="1"/>
  <c r="H580" i="1"/>
  <c r="I580" i="1"/>
  <c r="J580" i="1"/>
  <c r="E581" i="1"/>
  <c r="F581" i="1"/>
  <c r="G581" i="1"/>
  <c r="H581" i="1"/>
  <c r="I581" i="1"/>
  <c r="J581" i="1"/>
  <c r="E582" i="1"/>
  <c r="F582" i="1"/>
  <c r="G582" i="1"/>
  <c r="H582" i="1"/>
  <c r="I582" i="1"/>
  <c r="J582" i="1"/>
  <c r="E583" i="1"/>
  <c r="F583" i="1"/>
  <c r="G583" i="1"/>
  <c r="H583" i="1"/>
  <c r="I583" i="1"/>
  <c r="J583" i="1"/>
  <c r="E584" i="1"/>
  <c r="F584" i="1"/>
  <c r="G584" i="1"/>
  <c r="H584" i="1"/>
  <c r="I584" i="1"/>
  <c r="J584" i="1"/>
  <c r="E585" i="1"/>
  <c r="F585" i="1"/>
  <c r="G585" i="1"/>
  <c r="H585" i="1"/>
  <c r="I585" i="1"/>
  <c r="J585" i="1"/>
  <c r="E586" i="1"/>
  <c r="F586" i="1"/>
  <c r="G586" i="1"/>
  <c r="H586" i="1"/>
  <c r="I586" i="1"/>
  <c r="J586" i="1"/>
  <c r="E587" i="1"/>
  <c r="F587" i="1"/>
  <c r="G587" i="1"/>
  <c r="H587" i="1"/>
  <c r="I587" i="1"/>
  <c r="J587" i="1"/>
  <c r="E588" i="1"/>
  <c r="F588" i="1"/>
  <c r="G588" i="1"/>
  <c r="H588" i="1"/>
  <c r="I588" i="1"/>
  <c r="J588" i="1"/>
  <c r="E589" i="1"/>
  <c r="F589" i="1"/>
  <c r="G589" i="1"/>
  <c r="H589" i="1"/>
  <c r="I589" i="1"/>
  <c r="J589" i="1"/>
  <c r="E590" i="1"/>
  <c r="F590" i="1"/>
  <c r="G590" i="1"/>
  <c r="H590" i="1"/>
  <c r="I590" i="1"/>
  <c r="J590" i="1"/>
  <c r="E591" i="1"/>
  <c r="F591" i="1"/>
  <c r="G591" i="1"/>
  <c r="H591" i="1"/>
  <c r="I591" i="1"/>
  <c r="J591" i="1"/>
  <c r="E592" i="1"/>
  <c r="F592" i="1"/>
  <c r="G592" i="1"/>
  <c r="H592" i="1"/>
  <c r="I592" i="1"/>
  <c r="J592" i="1"/>
  <c r="E593" i="1"/>
  <c r="F593" i="1"/>
  <c r="G593" i="1"/>
  <c r="H593" i="1"/>
  <c r="I593" i="1"/>
  <c r="J593" i="1"/>
  <c r="E594" i="1"/>
  <c r="F594" i="1"/>
  <c r="G594" i="1"/>
  <c r="H594" i="1"/>
  <c r="I594" i="1"/>
  <c r="J594" i="1"/>
  <c r="E595" i="1"/>
  <c r="F595" i="1"/>
  <c r="G595" i="1"/>
  <c r="H595" i="1"/>
  <c r="I595" i="1"/>
  <c r="J595" i="1"/>
  <c r="E596" i="1"/>
  <c r="F596" i="1"/>
  <c r="G596" i="1"/>
  <c r="H596" i="1"/>
  <c r="I596" i="1"/>
  <c r="J596" i="1"/>
  <c r="E597" i="1"/>
  <c r="F597" i="1"/>
  <c r="G597" i="1"/>
  <c r="H597" i="1"/>
  <c r="I597" i="1"/>
  <c r="J597" i="1"/>
  <c r="E598" i="1"/>
  <c r="F598" i="1"/>
  <c r="G598" i="1"/>
  <c r="H598" i="1"/>
  <c r="I598" i="1"/>
  <c r="J598" i="1"/>
  <c r="E599" i="1"/>
  <c r="F599" i="1"/>
  <c r="G599" i="1"/>
  <c r="H599" i="1"/>
  <c r="I599" i="1"/>
  <c r="J599" i="1"/>
  <c r="E600" i="1"/>
  <c r="F600" i="1"/>
  <c r="G600" i="1"/>
  <c r="H600" i="1"/>
  <c r="I600" i="1"/>
  <c r="J600" i="1"/>
  <c r="E601" i="1"/>
  <c r="F601" i="1"/>
  <c r="G601" i="1"/>
  <c r="H601" i="1"/>
  <c r="I601" i="1"/>
  <c r="J601" i="1"/>
  <c r="E602" i="1"/>
  <c r="F602" i="1"/>
  <c r="G602" i="1"/>
  <c r="H602" i="1"/>
  <c r="I602" i="1"/>
  <c r="J602" i="1"/>
  <c r="E603" i="1"/>
  <c r="F603" i="1"/>
  <c r="G603" i="1"/>
  <c r="H603" i="1"/>
  <c r="I603" i="1"/>
  <c r="J603" i="1"/>
  <c r="E604" i="1"/>
  <c r="F604" i="1"/>
  <c r="G604" i="1"/>
  <c r="H604" i="1"/>
  <c r="I604" i="1"/>
  <c r="J604" i="1"/>
  <c r="E605" i="1"/>
  <c r="F605" i="1"/>
  <c r="G605" i="1"/>
  <c r="H605" i="1"/>
  <c r="I605" i="1"/>
  <c r="J605" i="1"/>
  <c r="E606" i="1"/>
  <c r="F606" i="1"/>
  <c r="G606" i="1"/>
  <c r="H606" i="1"/>
  <c r="I606" i="1"/>
  <c r="J606" i="1"/>
  <c r="E607" i="1"/>
  <c r="F607" i="1"/>
  <c r="G607" i="1"/>
  <c r="H607" i="1"/>
  <c r="I607" i="1"/>
  <c r="J607" i="1"/>
  <c r="E608" i="1"/>
  <c r="F608" i="1"/>
  <c r="G608" i="1"/>
  <c r="H608" i="1"/>
  <c r="I608" i="1"/>
  <c r="J608" i="1"/>
  <c r="E609" i="1"/>
  <c r="F609" i="1"/>
  <c r="G609" i="1"/>
  <c r="H609" i="1"/>
  <c r="I609" i="1"/>
  <c r="J609" i="1"/>
  <c r="E610" i="1"/>
  <c r="F610" i="1"/>
  <c r="G610" i="1"/>
  <c r="H610" i="1"/>
  <c r="I610" i="1"/>
  <c r="J610" i="1"/>
  <c r="E611" i="1"/>
  <c r="F611" i="1"/>
  <c r="G611" i="1"/>
  <c r="H611" i="1"/>
  <c r="I611" i="1"/>
  <c r="J611" i="1"/>
  <c r="E612" i="1"/>
  <c r="F612" i="1"/>
  <c r="G612" i="1"/>
  <c r="H612" i="1"/>
  <c r="I612" i="1"/>
  <c r="J612" i="1"/>
  <c r="E613" i="1"/>
  <c r="F613" i="1"/>
  <c r="G613" i="1"/>
  <c r="H613" i="1"/>
  <c r="I613" i="1"/>
  <c r="J613" i="1"/>
  <c r="E614" i="1"/>
  <c r="F614" i="1"/>
  <c r="G614" i="1"/>
  <c r="H614" i="1"/>
  <c r="I614" i="1"/>
  <c r="J614" i="1"/>
  <c r="E615" i="1"/>
  <c r="F615" i="1"/>
  <c r="G615" i="1"/>
  <c r="H615" i="1"/>
  <c r="I615" i="1"/>
  <c r="J615" i="1"/>
  <c r="E616" i="1"/>
  <c r="F616" i="1"/>
  <c r="G616" i="1"/>
  <c r="H616" i="1"/>
  <c r="I616" i="1"/>
  <c r="J616" i="1"/>
  <c r="E617" i="1"/>
  <c r="F617" i="1"/>
  <c r="G617" i="1"/>
  <c r="H617" i="1"/>
  <c r="I617" i="1"/>
  <c r="J617" i="1"/>
  <c r="E618" i="1"/>
  <c r="F618" i="1"/>
  <c r="G618" i="1"/>
  <c r="H618" i="1"/>
  <c r="I618" i="1"/>
  <c r="J618" i="1"/>
  <c r="E619" i="1"/>
  <c r="F619" i="1"/>
  <c r="G619" i="1"/>
  <c r="H619" i="1"/>
  <c r="I619" i="1"/>
  <c r="J619" i="1"/>
  <c r="E620" i="1"/>
  <c r="F620" i="1"/>
  <c r="G620" i="1"/>
  <c r="H620" i="1"/>
  <c r="I620" i="1"/>
  <c r="J620" i="1"/>
  <c r="E621" i="1"/>
  <c r="F621" i="1"/>
  <c r="G621" i="1"/>
  <c r="H621" i="1"/>
  <c r="I621" i="1"/>
  <c r="J621" i="1"/>
  <c r="E622" i="1"/>
  <c r="F622" i="1"/>
  <c r="G622" i="1"/>
  <c r="H622" i="1"/>
  <c r="I622" i="1"/>
  <c r="J622" i="1"/>
  <c r="E623" i="1"/>
  <c r="F623" i="1"/>
  <c r="G623" i="1"/>
  <c r="H623" i="1"/>
  <c r="I623" i="1"/>
  <c r="J623" i="1"/>
  <c r="E624" i="1"/>
  <c r="F624" i="1"/>
  <c r="G624" i="1"/>
  <c r="H624" i="1"/>
  <c r="I624" i="1"/>
  <c r="J624" i="1"/>
  <c r="E625" i="1"/>
  <c r="F625" i="1"/>
  <c r="G625" i="1"/>
  <c r="H625" i="1"/>
  <c r="I625" i="1"/>
  <c r="J625" i="1"/>
  <c r="E626" i="1"/>
  <c r="F626" i="1"/>
  <c r="G626" i="1"/>
  <c r="H626" i="1"/>
  <c r="I626" i="1"/>
  <c r="J626" i="1"/>
  <c r="E627" i="1"/>
  <c r="F627" i="1"/>
  <c r="G627" i="1"/>
  <c r="H627" i="1"/>
  <c r="I627" i="1"/>
  <c r="J627" i="1"/>
  <c r="E628" i="1"/>
  <c r="F628" i="1"/>
  <c r="G628" i="1"/>
  <c r="H628" i="1"/>
  <c r="I628" i="1"/>
  <c r="J628" i="1"/>
  <c r="E629" i="1"/>
  <c r="F629" i="1"/>
  <c r="G629" i="1"/>
  <c r="H629" i="1"/>
  <c r="I629" i="1"/>
  <c r="J629" i="1"/>
  <c r="E630" i="1"/>
  <c r="F630" i="1"/>
  <c r="G630" i="1"/>
  <c r="H630" i="1"/>
  <c r="I630" i="1"/>
  <c r="J630" i="1"/>
  <c r="E631" i="1"/>
  <c r="F631" i="1"/>
  <c r="G631" i="1"/>
  <c r="H631" i="1"/>
  <c r="I631" i="1"/>
  <c r="J631" i="1"/>
  <c r="E632" i="1"/>
  <c r="F632" i="1"/>
  <c r="G632" i="1"/>
  <c r="H632" i="1"/>
  <c r="I632" i="1"/>
  <c r="J632" i="1"/>
  <c r="E633" i="1"/>
  <c r="F633" i="1"/>
  <c r="G633" i="1"/>
  <c r="H633" i="1"/>
  <c r="I633" i="1"/>
  <c r="J633" i="1"/>
  <c r="E634" i="1"/>
  <c r="F634" i="1"/>
  <c r="G634" i="1"/>
  <c r="H634" i="1"/>
  <c r="I634" i="1"/>
  <c r="J634" i="1"/>
  <c r="E635" i="1"/>
  <c r="F635" i="1"/>
  <c r="G635" i="1"/>
  <c r="H635" i="1"/>
  <c r="I635" i="1"/>
  <c r="J635" i="1"/>
  <c r="E636" i="1"/>
  <c r="F636" i="1"/>
  <c r="G636" i="1"/>
  <c r="H636" i="1"/>
  <c r="I636" i="1"/>
  <c r="J636" i="1"/>
  <c r="E637" i="1"/>
  <c r="F637" i="1"/>
  <c r="G637" i="1"/>
  <c r="H637" i="1"/>
  <c r="I637" i="1"/>
  <c r="J637" i="1"/>
  <c r="E638" i="1"/>
  <c r="F638" i="1"/>
  <c r="G638" i="1"/>
  <c r="H638" i="1"/>
  <c r="I638" i="1"/>
  <c r="J638" i="1"/>
  <c r="E639" i="1"/>
  <c r="F639" i="1"/>
  <c r="G639" i="1"/>
  <c r="H639" i="1"/>
  <c r="I639" i="1"/>
  <c r="J639" i="1"/>
  <c r="E640" i="1"/>
  <c r="F640" i="1"/>
  <c r="G640" i="1"/>
  <c r="H640" i="1"/>
  <c r="I640" i="1"/>
  <c r="J640" i="1"/>
  <c r="E641" i="1"/>
  <c r="F641" i="1"/>
  <c r="G641" i="1"/>
  <c r="H641" i="1"/>
  <c r="I641" i="1"/>
  <c r="J641" i="1"/>
  <c r="E642" i="1"/>
  <c r="F642" i="1"/>
  <c r="G642" i="1"/>
  <c r="H642" i="1"/>
  <c r="I642" i="1"/>
  <c r="J642" i="1"/>
  <c r="E643" i="1"/>
  <c r="F643" i="1"/>
  <c r="G643" i="1"/>
  <c r="H643" i="1"/>
  <c r="I643" i="1"/>
  <c r="J643" i="1"/>
  <c r="E644" i="1"/>
  <c r="F644" i="1"/>
  <c r="G644" i="1"/>
  <c r="H644" i="1"/>
  <c r="I644" i="1"/>
  <c r="J644" i="1"/>
  <c r="E645" i="1"/>
  <c r="F645" i="1"/>
  <c r="G645" i="1"/>
  <c r="H645" i="1"/>
  <c r="I645" i="1"/>
  <c r="J645" i="1"/>
  <c r="E646" i="1"/>
  <c r="F646" i="1"/>
  <c r="G646" i="1"/>
  <c r="H646" i="1"/>
  <c r="I646" i="1"/>
  <c r="J646" i="1"/>
  <c r="E647" i="1"/>
  <c r="F647" i="1"/>
  <c r="G647" i="1"/>
  <c r="H647" i="1"/>
  <c r="I647" i="1"/>
  <c r="J647" i="1"/>
  <c r="E648" i="1"/>
  <c r="F648" i="1"/>
  <c r="G648" i="1"/>
  <c r="H648" i="1"/>
  <c r="I648" i="1"/>
  <c r="J648" i="1"/>
  <c r="E649" i="1"/>
  <c r="F649" i="1"/>
  <c r="G649" i="1"/>
  <c r="H649" i="1"/>
  <c r="I649" i="1"/>
  <c r="J649" i="1"/>
  <c r="E650" i="1"/>
  <c r="F650" i="1"/>
  <c r="G650" i="1"/>
  <c r="H650" i="1"/>
  <c r="I650" i="1"/>
  <c r="J650" i="1"/>
  <c r="E651" i="1"/>
  <c r="F651" i="1"/>
  <c r="G651" i="1"/>
  <c r="H651" i="1"/>
  <c r="I651" i="1"/>
  <c r="J651" i="1"/>
  <c r="E652" i="1"/>
  <c r="F652" i="1"/>
  <c r="G652" i="1"/>
  <c r="H652" i="1"/>
  <c r="I652" i="1"/>
  <c r="J652" i="1"/>
  <c r="E653" i="1"/>
  <c r="F653" i="1"/>
  <c r="G653" i="1"/>
  <c r="H653" i="1"/>
  <c r="I653" i="1"/>
  <c r="J653" i="1"/>
  <c r="E654" i="1"/>
  <c r="F654" i="1"/>
  <c r="G654" i="1"/>
  <c r="H654" i="1"/>
  <c r="I654" i="1"/>
  <c r="J654" i="1"/>
  <c r="E655" i="1"/>
  <c r="F655" i="1"/>
  <c r="G655" i="1"/>
  <c r="H655" i="1"/>
  <c r="I655" i="1"/>
  <c r="J655" i="1"/>
  <c r="E656" i="1"/>
  <c r="F656" i="1"/>
  <c r="G656" i="1"/>
  <c r="H656" i="1"/>
  <c r="I656" i="1"/>
  <c r="J656" i="1"/>
  <c r="E657" i="1"/>
  <c r="F657" i="1"/>
  <c r="G657" i="1"/>
  <c r="H657" i="1"/>
  <c r="I657" i="1"/>
  <c r="J657" i="1"/>
  <c r="E658" i="1"/>
  <c r="F658" i="1"/>
  <c r="G658" i="1"/>
  <c r="H658" i="1"/>
  <c r="I658" i="1"/>
  <c r="J658" i="1"/>
  <c r="E659" i="1"/>
  <c r="F659" i="1"/>
  <c r="G659" i="1"/>
  <c r="H659" i="1"/>
  <c r="I659" i="1"/>
  <c r="J659" i="1"/>
  <c r="E660" i="1"/>
  <c r="F660" i="1"/>
  <c r="G660" i="1"/>
  <c r="H660" i="1"/>
  <c r="I660" i="1"/>
  <c r="J660" i="1"/>
  <c r="E661" i="1"/>
  <c r="F661" i="1"/>
  <c r="G661" i="1"/>
  <c r="H661" i="1"/>
  <c r="I661" i="1"/>
  <c r="J661" i="1"/>
  <c r="E662" i="1"/>
  <c r="F662" i="1"/>
  <c r="G662" i="1"/>
  <c r="H662" i="1"/>
  <c r="I662" i="1"/>
  <c r="J662" i="1"/>
  <c r="E663" i="1"/>
  <c r="F663" i="1"/>
  <c r="G663" i="1"/>
  <c r="H663" i="1"/>
  <c r="I663" i="1"/>
  <c r="J663" i="1"/>
  <c r="E664" i="1"/>
  <c r="F664" i="1"/>
  <c r="G664" i="1"/>
  <c r="H664" i="1"/>
  <c r="I664" i="1"/>
  <c r="J664" i="1"/>
  <c r="E665" i="1"/>
  <c r="F665" i="1"/>
  <c r="G665" i="1"/>
  <c r="H665" i="1"/>
  <c r="I665" i="1"/>
  <c r="J665" i="1"/>
  <c r="E666" i="1"/>
  <c r="F666" i="1"/>
  <c r="G666" i="1"/>
  <c r="H666" i="1"/>
  <c r="I666" i="1"/>
  <c r="J666" i="1"/>
  <c r="E667" i="1"/>
  <c r="F667" i="1"/>
  <c r="G667" i="1"/>
  <c r="H667" i="1"/>
  <c r="I667" i="1"/>
  <c r="J667" i="1"/>
  <c r="E668" i="1"/>
  <c r="F668" i="1"/>
  <c r="G668" i="1"/>
  <c r="H668" i="1"/>
  <c r="I668" i="1"/>
  <c r="J668" i="1"/>
  <c r="E669" i="1"/>
  <c r="F669" i="1"/>
  <c r="G669" i="1"/>
  <c r="H669" i="1"/>
  <c r="I669" i="1"/>
  <c r="J669" i="1"/>
  <c r="E670" i="1"/>
  <c r="F670" i="1"/>
  <c r="G670" i="1"/>
  <c r="H670" i="1"/>
  <c r="I670" i="1"/>
  <c r="J670" i="1"/>
  <c r="E671" i="1"/>
  <c r="F671" i="1"/>
  <c r="G671" i="1"/>
  <c r="H671" i="1"/>
  <c r="I671" i="1"/>
  <c r="J671" i="1"/>
  <c r="E672" i="1"/>
  <c r="F672" i="1"/>
  <c r="G672" i="1"/>
  <c r="H672" i="1"/>
  <c r="I672" i="1"/>
  <c r="J672" i="1"/>
  <c r="E673" i="1"/>
  <c r="F673" i="1"/>
  <c r="G673" i="1"/>
  <c r="H673" i="1"/>
  <c r="I673" i="1"/>
  <c r="J673" i="1"/>
  <c r="E674" i="1"/>
  <c r="F674" i="1"/>
  <c r="G674" i="1"/>
  <c r="H674" i="1"/>
  <c r="I674" i="1"/>
  <c r="J674" i="1"/>
  <c r="E675" i="1"/>
  <c r="F675" i="1"/>
  <c r="G675" i="1"/>
  <c r="H675" i="1"/>
  <c r="I675" i="1"/>
  <c r="J675" i="1"/>
  <c r="E676" i="1"/>
  <c r="F676" i="1"/>
  <c r="G676" i="1"/>
  <c r="H676" i="1"/>
  <c r="I676" i="1"/>
  <c r="J676" i="1"/>
  <c r="E677" i="1"/>
  <c r="F677" i="1"/>
  <c r="G677" i="1"/>
  <c r="H677" i="1"/>
  <c r="I677" i="1"/>
  <c r="J677" i="1"/>
  <c r="E678" i="1"/>
  <c r="F678" i="1"/>
  <c r="G678" i="1"/>
  <c r="H678" i="1"/>
  <c r="I678" i="1"/>
  <c r="J678" i="1"/>
  <c r="E679" i="1"/>
  <c r="F679" i="1"/>
  <c r="G679" i="1"/>
  <c r="H679" i="1"/>
  <c r="I679" i="1"/>
  <c r="J679" i="1"/>
  <c r="E680" i="1"/>
  <c r="F680" i="1"/>
  <c r="G680" i="1"/>
  <c r="H680" i="1"/>
  <c r="I680" i="1"/>
  <c r="J680" i="1"/>
  <c r="E681" i="1"/>
  <c r="F681" i="1"/>
  <c r="G681" i="1"/>
  <c r="H681" i="1"/>
  <c r="I681" i="1"/>
  <c r="J681" i="1"/>
  <c r="E682" i="1"/>
  <c r="F682" i="1"/>
  <c r="G682" i="1"/>
  <c r="H682" i="1"/>
  <c r="I682" i="1"/>
  <c r="J682" i="1"/>
  <c r="E683" i="1"/>
  <c r="F683" i="1"/>
  <c r="G683" i="1"/>
  <c r="H683" i="1"/>
  <c r="I683" i="1"/>
  <c r="J683" i="1"/>
  <c r="E684" i="1"/>
  <c r="F684" i="1"/>
  <c r="G684" i="1"/>
  <c r="H684" i="1"/>
  <c r="I684" i="1"/>
  <c r="J684" i="1"/>
  <c r="E685" i="1"/>
  <c r="F685" i="1"/>
  <c r="G685" i="1"/>
  <c r="H685" i="1"/>
  <c r="I685" i="1"/>
  <c r="J685" i="1"/>
  <c r="E686" i="1"/>
  <c r="F686" i="1"/>
  <c r="G686" i="1"/>
  <c r="H686" i="1"/>
  <c r="I686" i="1"/>
  <c r="J686" i="1"/>
  <c r="E687" i="1"/>
  <c r="F687" i="1"/>
  <c r="G687" i="1"/>
  <c r="H687" i="1"/>
  <c r="I687" i="1"/>
  <c r="J687" i="1"/>
  <c r="E688" i="1"/>
  <c r="F688" i="1"/>
  <c r="G688" i="1"/>
  <c r="H688" i="1"/>
  <c r="I688" i="1"/>
  <c r="J688" i="1"/>
  <c r="E689" i="1"/>
  <c r="F689" i="1"/>
  <c r="G689" i="1"/>
  <c r="H689" i="1"/>
  <c r="I689" i="1"/>
  <c r="J689" i="1"/>
  <c r="E690" i="1"/>
  <c r="F690" i="1"/>
  <c r="G690" i="1"/>
  <c r="H690" i="1"/>
  <c r="I690" i="1"/>
  <c r="J690" i="1"/>
  <c r="E691" i="1"/>
  <c r="F691" i="1"/>
  <c r="G691" i="1"/>
  <c r="H691" i="1"/>
  <c r="I691" i="1"/>
  <c r="J691" i="1"/>
  <c r="E692" i="1"/>
  <c r="F692" i="1"/>
  <c r="G692" i="1"/>
  <c r="H692" i="1"/>
  <c r="I692" i="1"/>
  <c r="J692" i="1"/>
  <c r="E693" i="1"/>
  <c r="F693" i="1"/>
  <c r="G693" i="1"/>
  <c r="H693" i="1"/>
  <c r="I693" i="1"/>
  <c r="J693" i="1"/>
  <c r="E694" i="1"/>
  <c r="F694" i="1"/>
  <c r="G694" i="1"/>
  <c r="H694" i="1"/>
  <c r="I694" i="1"/>
  <c r="J694" i="1"/>
  <c r="E695" i="1"/>
  <c r="F695" i="1"/>
  <c r="G695" i="1"/>
  <c r="H695" i="1"/>
  <c r="I695" i="1"/>
  <c r="J695" i="1"/>
  <c r="E696" i="1"/>
  <c r="F696" i="1"/>
  <c r="G696" i="1"/>
  <c r="H696" i="1"/>
  <c r="I696" i="1"/>
  <c r="J696" i="1"/>
  <c r="E697" i="1"/>
  <c r="F697" i="1"/>
  <c r="G697" i="1"/>
  <c r="H697" i="1"/>
  <c r="I697" i="1"/>
  <c r="J697" i="1"/>
  <c r="E698" i="1"/>
  <c r="F698" i="1"/>
  <c r="G698" i="1"/>
  <c r="H698" i="1"/>
  <c r="I698" i="1"/>
  <c r="J698" i="1"/>
  <c r="E699" i="1"/>
  <c r="F699" i="1"/>
  <c r="G699" i="1"/>
  <c r="H699" i="1"/>
  <c r="I699" i="1"/>
  <c r="J699" i="1"/>
  <c r="E700" i="1"/>
  <c r="F700" i="1"/>
  <c r="G700" i="1"/>
  <c r="H700" i="1"/>
  <c r="I700" i="1"/>
  <c r="J700" i="1"/>
  <c r="E701" i="1"/>
  <c r="F701" i="1"/>
  <c r="G701" i="1"/>
  <c r="H701" i="1"/>
  <c r="I701" i="1"/>
  <c r="J701" i="1"/>
  <c r="E702" i="1"/>
  <c r="F702" i="1"/>
  <c r="G702" i="1"/>
  <c r="H702" i="1"/>
  <c r="I702" i="1"/>
  <c r="J702" i="1"/>
  <c r="E703" i="1"/>
  <c r="F703" i="1"/>
  <c r="G703" i="1"/>
  <c r="H703" i="1"/>
  <c r="I703" i="1"/>
  <c r="J703" i="1"/>
  <c r="E704" i="1"/>
  <c r="F704" i="1"/>
  <c r="G704" i="1"/>
  <c r="H704" i="1"/>
  <c r="I704" i="1"/>
  <c r="J704" i="1"/>
  <c r="E705" i="1"/>
  <c r="F705" i="1"/>
  <c r="G705" i="1"/>
  <c r="H705" i="1"/>
  <c r="I705" i="1"/>
  <c r="J705" i="1"/>
  <c r="E706" i="1"/>
  <c r="F706" i="1"/>
  <c r="G706" i="1"/>
  <c r="H706" i="1"/>
  <c r="I706" i="1"/>
  <c r="J706" i="1"/>
  <c r="E707" i="1"/>
  <c r="F707" i="1"/>
  <c r="G707" i="1"/>
  <c r="H707" i="1"/>
  <c r="I707" i="1"/>
  <c r="J707" i="1"/>
  <c r="E708" i="1"/>
  <c r="F708" i="1"/>
  <c r="G708" i="1"/>
  <c r="H708" i="1"/>
  <c r="I708" i="1"/>
  <c r="J708" i="1"/>
  <c r="E709" i="1"/>
  <c r="F709" i="1"/>
  <c r="G709" i="1"/>
  <c r="H709" i="1"/>
  <c r="I709" i="1"/>
  <c r="J709" i="1"/>
  <c r="E710" i="1"/>
  <c r="F710" i="1"/>
  <c r="G710" i="1"/>
  <c r="H710" i="1"/>
  <c r="I710" i="1"/>
  <c r="J710" i="1"/>
  <c r="E711" i="1"/>
  <c r="F711" i="1"/>
  <c r="G711" i="1"/>
  <c r="H711" i="1"/>
  <c r="I711" i="1"/>
  <c r="J711" i="1"/>
  <c r="E712" i="1"/>
  <c r="F712" i="1"/>
  <c r="G712" i="1"/>
  <c r="H712" i="1"/>
  <c r="I712" i="1"/>
  <c r="J712" i="1"/>
  <c r="E713" i="1"/>
  <c r="F713" i="1"/>
  <c r="G713" i="1"/>
  <c r="H713" i="1"/>
  <c r="I713" i="1"/>
  <c r="J713" i="1"/>
  <c r="E714" i="1"/>
  <c r="F714" i="1"/>
  <c r="G714" i="1"/>
  <c r="H714" i="1"/>
  <c r="I714" i="1"/>
  <c r="J714" i="1"/>
  <c r="E715" i="1"/>
  <c r="F715" i="1"/>
  <c r="G715" i="1"/>
  <c r="H715" i="1"/>
  <c r="I715" i="1"/>
  <c r="J715" i="1"/>
  <c r="E716" i="1"/>
  <c r="F716" i="1"/>
  <c r="G716" i="1"/>
  <c r="H716" i="1"/>
  <c r="I716" i="1"/>
  <c r="J716" i="1"/>
  <c r="E717" i="1"/>
  <c r="F717" i="1"/>
  <c r="G717" i="1"/>
  <c r="H717" i="1"/>
  <c r="I717" i="1"/>
  <c r="J717" i="1"/>
  <c r="E718" i="1"/>
  <c r="F718" i="1"/>
  <c r="G718" i="1"/>
  <c r="H718" i="1"/>
  <c r="I718" i="1"/>
  <c r="J718" i="1"/>
  <c r="E719" i="1"/>
  <c r="F719" i="1"/>
  <c r="G719" i="1"/>
  <c r="H719" i="1"/>
  <c r="I719" i="1"/>
  <c r="J719" i="1"/>
  <c r="E720" i="1"/>
  <c r="F720" i="1"/>
  <c r="G720" i="1"/>
  <c r="H720" i="1"/>
  <c r="I720" i="1"/>
  <c r="J720" i="1"/>
  <c r="E721" i="1"/>
  <c r="F721" i="1"/>
  <c r="G721" i="1"/>
  <c r="H721" i="1"/>
  <c r="I721" i="1"/>
  <c r="J721" i="1"/>
  <c r="E722" i="1"/>
  <c r="F722" i="1"/>
  <c r="G722" i="1"/>
  <c r="H722" i="1"/>
  <c r="I722" i="1"/>
  <c r="J722" i="1"/>
  <c r="E723" i="1"/>
  <c r="F723" i="1"/>
  <c r="G723" i="1"/>
  <c r="H723" i="1"/>
  <c r="I723" i="1"/>
  <c r="J723" i="1"/>
  <c r="E724" i="1"/>
  <c r="F724" i="1"/>
  <c r="G724" i="1"/>
  <c r="H724" i="1"/>
  <c r="I724" i="1"/>
  <c r="J724" i="1"/>
  <c r="E725" i="1"/>
  <c r="F725" i="1"/>
  <c r="G725" i="1"/>
  <c r="H725" i="1"/>
  <c r="I725" i="1"/>
  <c r="J725" i="1"/>
  <c r="E726" i="1"/>
  <c r="F726" i="1"/>
  <c r="G726" i="1"/>
  <c r="H726" i="1"/>
  <c r="I726" i="1"/>
  <c r="J726" i="1"/>
  <c r="E727" i="1"/>
  <c r="F727" i="1"/>
  <c r="G727" i="1"/>
  <c r="H727" i="1"/>
  <c r="I727" i="1"/>
  <c r="J727" i="1"/>
  <c r="E728" i="1"/>
  <c r="F728" i="1"/>
  <c r="G728" i="1"/>
  <c r="H728" i="1"/>
  <c r="I728" i="1"/>
  <c r="J728" i="1"/>
  <c r="E729" i="1"/>
  <c r="F729" i="1"/>
  <c r="G729" i="1"/>
  <c r="H729" i="1"/>
  <c r="I729" i="1"/>
  <c r="J729" i="1"/>
  <c r="E730" i="1"/>
  <c r="F730" i="1"/>
  <c r="G730" i="1"/>
  <c r="H730" i="1"/>
  <c r="I730" i="1"/>
  <c r="J730" i="1"/>
  <c r="E731" i="1"/>
  <c r="F731" i="1"/>
  <c r="G731" i="1"/>
  <c r="H731" i="1"/>
  <c r="I731" i="1"/>
  <c r="J731" i="1"/>
  <c r="E732" i="1"/>
  <c r="F732" i="1"/>
  <c r="G732" i="1"/>
  <c r="H732" i="1"/>
  <c r="I732" i="1"/>
  <c r="J732" i="1"/>
  <c r="E733" i="1"/>
  <c r="F733" i="1"/>
  <c r="G733" i="1"/>
  <c r="H733" i="1"/>
  <c r="I733" i="1"/>
  <c r="J733" i="1"/>
  <c r="E734" i="1"/>
  <c r="F734" i="1"/>
  <c r="G734" i="1"/>
  <c r="H734" i="1"/>
  <c r="I734" i="1"/>
  <c r="J734" i="1"/>
  <c r="E735" i="1"/>
  <c r="F735" i="1"/>
  <c r="G735" i="1"/>
  <c r="H735" i="1"/>
  <c r="I735" i="1"/>
  <c r="J735" i="1"/>
  <c r="E736" i="1"/>
  <c r="F736" i="1"/>
  <c r="G736" i="1"/>
  <c r="H736" i="1"/>
  <c r="I736" i="1"/>
  <c r="J736" i="1"/>
  <c r="E737" i="1"/>
  <c r="F737" i="1"/>
  <c r="G737" i="1"/>
  <c r="H737" i="1"/>
  <c r="I737" i="1"/>
  <c r="J737" i="1"/>
  <c r="E738" i="1"/>
  <c r="F738" i="1"/>
  <c r="G738" i="1"/>
  <c r="H738" i="1"/>
  <c r="I738" i="1"/>
  <c r="J738" i="1"/>
  <c r="E739" i="1"/>
  <c r="F739" i="1"/>
  <c r="G739" i="1"/>
  <c r="H739" i="1"/>
  <c r="I739" i="1"/>
  <c r="J739" i="1"/>
  <c r="E740" i="1"/>
  <c r="F740" i="1"/>
  <c r="G740" i="1"/>
  <c r="H740" i="1"/>
  <c r="I740" i="1"/>
  <c r="J740" i="1"/>
  <c r="E741" i="1"/>
  <c r="F741" i="1"/>
  <c r="G741" i="1"/>
  <c r="H741" i="1"/>
  <c r="I741" i="1"/>
  <c r="J741" i="1"/>
  <c r="E742" i="1"/>
  <c r="F742" i="1"/>
  <c r="G742" i="1"/>
  <c r="H742" i="1"/>
  <c r="I742" i="1"/>
  <c r="J742" i="1"/>
  <c r="E743" i="1"/>
  <c r="F743" i="1"/>
  <c r="G743" i="1"/>
  <c r="H743" i="1"/>
  <c r="I743" i="1"/>
  <c r="J743" i="1"/>
  <c r="E744" i="1"/>
  <c r="F744" i="1"/>
  <c r="G744" i="1"/>
  <c r="H744" i="1"/>
  <c r="I744" i="1"/>
  <c r="J744" i="1"/>
  <c r="E745" i="1"/>
  <c r="F745" i="1"/>
  <c r="G745" i="1"/>
  <c r="H745" i="1"/>
  <c r="I745" i="1"/>
  <c r="J745" i="1"/>
  <c r="E746" i="1"/>
  <c r="F746" i="1"/>
  <c r="G746" i="1"/>
  <c r="H746" i="1"/>
  <c r="I746" i="1"/>
  <c r="J746" i="1"/>
  <c r="E747" i="1"/>
  <c r="F747" i="1"/>
  <c r="G747" i="1"/>
  <c r="H747" i="1"/>
  <c r="I747" i="1"/>
  <c r="J747" i="1"/>
  <c r="E748" i="1"/>
  <c r="F748" i="1"/>
  <c r="G748" i="1"/>
  <c r="H748" i="1"/>
  <c r="I748" i="1"/>
  <c r="J748" i="1"/>
  <c r="E749" i="1"/>
  <c r="F749" i="1"/>
  <c r="G749" i="1"/>
  <c r="H749" i="1"/>
  <c r="I749" i="1"/>
  <c r="J749" i="1"/>
  <c r="E750" i="1"/>
  <c r="F750" i="1"/>
  <c r="G750" i="1"/>
  <c r="H750" i="1"/>
  <c r="I750" i="1"/>
  <c r="J750" i="1"/>
  <c r="E751" i="1"/>
  <c r="F751" i="1"/>
  <c r="G751" i="1"/>
  <c r="H751" i="1"/>
  <c r="I751" i="1"/>
  <c r="J751" i="1"/>
  <c r="E752" i="1"/>
  <c r="F752" i="1"/>
  <c r="G752" i="1"/>
  <c r="H752" i="1"/>
  <c r="I752" i="1"/>
  <c r="J752" i="1"/>
  <c r="E753" i="1"/>
  <c r="F753" i="1"/>
  <c r="G753" i="1"/>
  <c r="H753" i="1"/>
  <c r="I753" i="1"/>
  <c r="J753" i="1"/>
  <c r="E754" i="1"/>
  <c r="F754" i="1"/>
  <c r="G754" i="1"/>
  <c r="H754" i="1"/>
  <c r="I754" i="1"/>
  <c r="J754" i="1"/>
  <c r="E755" i="1"/>
  <c r="F755" i="1"/>
  <c r="G755" i="1"/>
  <c r="H755" i="1"/>
  <c r="I755" i="1"/>
  <c r="J755" i="1"/>
  <c r="E756" i="1"/>
  <c r="F756" i="1"/>
  <c r="G756" i="1"/>
  <c r="H756" i="1"/>
  <c r="I756" i="1"/>
  <c r="J756" i="1"/>
  <c r="E757" i="1"/>
  <c r="F757" i="1"/>
  <c r="G757" i="1"/>
  <c r="H757" i="1"/>
  <c r="I757" i="1"/>
  <c r="J757" i="1"/>
  <c r="E758" i="1"/>
  <c r="F758" i="1"/>
  <c r="G758" i="1"/>
  <c r="H758" i="1"/>
  <c r="I758" i="1"/>
  <c r="J758" i="1"/>
  <c r="E759" i="1"/>
  <c r="F759" i="1"/>
  <c r="G759" i="1"/>
  <c r="H759" i="1"/>
  <c r="I759" i="1"/>
  <c r="J759" i="1"/>
  <c r="E760" i="1"/>
  <c r="F760" i="1"/>
  <c r="G760" i="1"/>
  <c r="H760" i="1"/>
  <c r="I760" i="1"/>
  <c r="J760" i="1"/>
  <c r="E761" i="1"/>
  <c r="F761" i="1"/>
  <c r="G761" i="1"/>
  <c r="H761" i="1"/>
  <c r="I761" i="1"/>
  <c r="J761" i="1"/>
  <c r="E762" i="1"/>
  <c r="F762" i="1"/>
  <c r="G762" i="1"/>
  <c r="H762" i="1"/>
  <c r="I762" i="1"/>
  <c r="J762" i="1"/>
  <c r="E763" i="1"/>
  <c r="F763" i="1"/>
  <c r="G763" i="1"/>
  <c r="H763" i="1"/>
  <c r="I763" i="1"/>
  <c r="J763" i="1"/>
  <c r="E764" i="1"/>
  <c r="F764" i="1"/>
  <c r="G764" i="1"/>
  <c r="H764" i="1"/>
  <c r="I764" i="1"/>
  <c r="J764" i="1"/>
  <c r="E765" i="1"/>
  <c r="F765" i="1"/>
  <c r="G765" i="1"/>
  <c r="H765" i="1"/>
  <c r="I765" i="1"/>
  <c r="J765" i="1"/>
  <c r="E766" i="1"/>
  <c r="F766" i="1"/>
  <c r="G766" i="1"/>
  <c r="H766" i="1"/>
  <c r="I766" i="1"/>
  <c r="J766" i="1"/>
  <c r="E767" i="1"/>
  <c r="F767" i="1"/>
  <c r="G767" i="1"/>
  <c r="H767" i="1"/>
  <c r="I767" i="1"/>
  <c r="J767" i="1"/>
  <c r="E768" i="1"/>
  <c r="F768" i="1"/>
  <c r="G768" i="1"/>
  <c r="H768" i="1"/>
  <c r="I768" i="1"/>
  <c r="J768" i="1"/>
  <c r="E769" i="1"/>
  <c r="F769" i="1"/>
  <c r="G769" i="1"/>
  <c r="H769" i="1"/>
  <c r="I769" i="1"/>
  <c r="J769" i="1"/>
  <c r="E770" i="1"/>
  <c r="F770" i="1"/>
  <c r="G770" i="1"/>
  <c r="H770" i="1"/>
  <c r="I770" i="1"/>
  <c r="J770" i="1"/>
  <c r="E771" i="1"/>
  <c r="F771" i="1"/>
  <c r="G771" i="1"/>
  <c r="H771" i="1"/>
  <c r="I771" i="1"/>
  <c r="J771" i="1"/>
  <c r="E772" i="1"/>
  <c r="F772" i="1"/>
  <c r="G772" i="1"/>
  <c r="H772" i="1"/>
  <c r="I772" i="1"/>
  <c r="J772" i="1"/>
  <c r="E773" i="1"/>
  <c r="F773" i="1"/>
  <c r="G773" i="1"/>
  <c r="H773" i="1"/>
  <c r="I773" i="1"/>
  <c r="J773" i="1"/>
  <c r="E774" i="1"/>
  <c r="F774" i="1"/>
  <c r="G774" i="1"/>
  <c r="H774" i="1"/>
  <c r="I774" i="1"/>
  <c r="J774" i="1"/>
  <c r="E775" i="1"/>
  <c r="F775" i="1"/>
  <c r="G775" i="1"/>
  <c r="H775" i="1"/>
  <c r="I775" i="1"/>
  <c r="J775" i="1"/>
  <c r="E776" i="1"/>
  <c r="F776" i="1"/>
  <c r="G776" i="1"/>
  <c r="H776" i="1"/>
  <c r="I776" i="1"/>
  <c r="J776" i="1"/>
  <c r="E777" i="1"/>
  <c r="F777" i="1"/>
  <c r="G777" i="1"/>
  <c r="H777" i="1"/>
  <c r="I777" i="1"/>
  <c r="J777" i="1"/>
  <c r="E778" i="1"/>
  <c r="F778" i="1"/>
  <c r="G778" i="1"/>
  <c r="H778" i="1"/>
  <c r="I778" i="1"/>
  <c r="J778" i="1"/>
  <c r="E779" i="1"/>
  <c r="F779" i="1"/>
  <c r="G779" i="1"/>
  <c r="H779" i="1"/>
  <c r="I779" i="1"/>
  <c r="J779" i="1"/>
  <c r="E780" i="1"/>
  <c r="F780" i="1"/>
  <c r="G780" i="1"/>
  <c r="H780" i="1"/>
  <c r="I780" i="1"/>
  <c r="J780" i="1"/>
  <c r="E781" i="1"/>
  <c r="F781" i="1"/>
  <c r="G781" i="1"/>
  <c r="H781" i="1"/>
  <c r="I781" i="1"/>
  <c r="J781" i="1"/>
  <c r="E782" i="1"/>
  <c r="F782" i="1"/>
  <c r="G782" i="1"/>
  <c r="H782" i="1"/>
  <c r="I782" i="1"/>
  <c r="J782" i="1"/>
  <c r="E783" i="1"/>
  <c r="F783" i="1"/>
  <c r="G783" i="1"/>
  <c r="H783" i="1"/>
  <c r="I783" i="1"/>
  <c r="J783" i="1"/>
  <c r="E784" i="1"/>
  <c r="F784" i="1"/>
  <c r="G784" i="1"/>
  <c r="H784" i="1"/>
  <c r="I784" i="1"/>
  <c r="J784" i="1"/>
  <c r="E785" i="1"/>
  <c r="F785" i="1"/>
  <c r="G785" i="1"/>
  <c r="H785" i="1"/>
  <c r="I785" i="1"/>
  <c r="J785" i="1"/>
  <c r="E786" i="1"/>
  <c r="F786" i="1"/>
  <c r="G786" i="1"/>
  <c r="H786" i="1"/>
  <c r="I786" i="1"/>
  <c r="J786" i="1"/>
  <c r="E787" i="1"/>
  <c r="F787" i="1"/>
  <c r="G787" i="1"/>
  <c r="H787" i="1"/>
  <c r="I787" i="1"/>
  <c r="J787" i="1"/>
  <c r="E788" i="1"/>
  <c r="F788" i="1"/>
  <c r="G788" i="1"/>
  <c r="H788" i="1"/>
  <c r="I788" i="1"/>
  <c r="J788" i="1"/>
  <c r="E789" i="1"/>
  <c r="F789" i="1"/>
  <c r="G789" i="1"/>
  <c r="H789" i="1"/>
  <c r="I789" i="1"/>
  <c r="J789" i="1"/>
  <c r="E790" i="1"/>
  <c r="F790" i="1"/>
  <c r="G790" i="1"/>
  <c r="H790" i="1"/>
  <c r="I790" i="1"/>
  <c r="J790" i="1"/>
  <c r="E791" i="1"/>
  <c r="F791" i="1"/>
  <c r="G791" i="1"/>
  <c r="H791" i="1"/>
  <c r="I791" i="1"/>
  <c r="J791" i="1"/>
  <c r="E792" i="1"/>
  <c r="F792" i="1"/>
  <c r="G792" i="1"/>
  <c r="H792" i="1"/>
  <c r="I792" i="1"/>
  <c r="J792" i="1"/>
  <c r="E793" i="1"/>
  <c r="F793" i="1"/>
  <c r="G793" i="1"/>
  <c r="H793" i="1"/>
  <c r="I793" i="1"/>
  <c r="J793" i="1"/>
  <c r="E794" i="1"/>
  <c r="F794" i="1"/>
  <c r="G794" i="1"/>
  <c r="H794" i="1"/>
  <c r="I794" i="1"/>
  <c r="J794" i="1"/>
  <c r="E795" i="1"/>
  <c r="F795" i="1"/>
  <c r="G795" i="1"/>
  <c r="H795" i="1"/>
  <c r="I795" i="1"/>
  <c r="J795" i="1"/>
  <c r="E796" i="1"/>
  <c r="F796" i="1"/>
  <c r="G796" i="1"/>
  <c r="H796" i="1"/>
  <c r="I796" i="1"/>
  <c r="J796" i="1"/>
  <c r="E797" i="1"/>
  <c r="F797" i="1"/>
  <c r="G797" i="1"/>
  <c r="H797" i="1"/>
  <c r="I797" i="1"/>
  <c r="J797" i="1"/>
  <c r="E798" i="1"/>
  <c r="F798" i="1"/>
  <c r="G798" i="1"/>
  <c r="H798" i="1"/>
  <c r="I798" i="1"/>
  <c r="J798" i="1"/>
  <c r="E799" i="1"/>
  <c r="F799" i="1"/>
  <c r="G799" i="1"/>
  <c r="H799" i="1"/>
  <c r="I799" i="1"/>
  <c r="J799" i="1"/>
  <c r="E800" i="1"/>
  <c r="F800" i="1"/>
  <c r="G800" i="1"/>
  <c r="H800" i="1"/>
  <c r="I800" i="1"/>
  <c r="J800" i="1"/>
  <c r="E801" i="1"/>
  <c r="F801" i="1"/>
  <c r="G801" i="1"/>
  <c r="H801" i="1"/>
  <c r="I801" i="1"/>
  <c r="J801" i="1"/>
  <c r="E802" i="1"/>
  <c r="F802" i="1"/>
  <c r="G802" i="1"/>
  <c r="H802" i="1"/>
  <c r="I802" i="1"/>
  <c r="J802" i="1"/>
  <c r="E803" i="1"/>
  <c r="F803" i="1"/>
  <c r="G803" i="1"/>
  <c r="H803" i="1"/>
  <c r="I803" i="1"/>
  <c r="J803" i="1"/>
  <c r="E804" i="1"/>
  <c r="F804" i="1"/>
  <c r="G804" i="1"/>
  <c r="H804" i="1"/>
  <c r="I804" i="1"/>
  <c r="J804" i="1"/>
  <c r="E805" i="1"/>
  <c r="F805" i="1"/>
  <c r="G805" i="1"/>
  <c r="H805" i="1"/>
  <c r="I805" i="1"/>
  <c r="J805" i="1"/>
  <c r="E806" i="1"/>
  <c r="F806" i="1"/>
  <c r="G806" i="1"/>
  <c r="H806" i="1"/>
  <c r="I806" i="1"/>
  <c r="J806" i="1"/>
  <c r="E807" i="1"/>
  <c r="F807" i="1"/>
  <c r="G807" i="1"/>
  <c r="H807" i="1"/>
  <c r="I807" i="1"/>
  <c r="J807" i="1"/>
  <c r="E808" i="1"/>
  <c r="F808" i="1"/>
  <c r="G808" i="1"/>
  <c r="H808" i="1"/>
  <c r="I808" i="1"/>
  <c r="J808" i="1"/>
  <c r="E809" i="1"/>
  <c r="F809" i="1"/>
  <c r="G809" i="1"/>
  <c r="H809" i="1"/>
  <c r="I809" i="1"/>
  <c r="J809" i="1"/>
  <c r="E810" i="1"/>
  <c r="F810" i="1"/>
  <c r="G810" i="1"/>
  <c r="H810" i="1"/>
  <c r="I810" i="1"/>
  <c r="J810" i="1"/>
  <c r="E811" i="1"/>
  <c r="F811" i="1"/>
  <c r="G811" i="1"/>
  <c r="H811" i="1"/>
  <c r="I811" i="1"/>
  <c r="J811" i="1"/>
  <c r="E812" i="1"/>
  <c r="F812" i="1"/>
  <c r="G812" i="1"/>
  <c r="H812" i="1"/>
  <c r="I812" i="1"/>
  <c r="J812" i="1"/>
  <c r="E813" i="1"/>
  <c r="F813" i="1"/>
  <c r="G813" i="1"/>
  <c r="H813" i="1"/>
  <c r="I813" i="1"/>
  <c r="J813" i="1"/>
  <c r="E814" i="1"/>
  <c r="F814" i="1"/>
  <c r="G814" i="1"/>
  <c r="H814" i="1"/>
  <c r="I814" i="1"/>
  <c r="J814" i="1"/>
  <c r="E815" i="1"/>
  <c r="F815" i="1"/>
  <c r="G815" i="1"/>
  <c r="H815" i="1"/>
  <c r="I815" i="1"/>
  <c r="J815" i="1"/>
  <c r="E816" i="1"/>
  <c r="F816" i="1"/>
  <c r="G816" i="1"/>
  <c r="H816" i="1"/>
  <c r="I816" i="1"/>
  <c r="J816" i="1"/>
  <c r="E817" i="1"/>
  <c r="F817" i="1"/>
  <c r="G817" i="1"/>
  <c r="H817" i="1"/>
  <c r="I817" i="1"/>
  <c r="J817" i="1"/>
  <c r="E818" i="1"/>
  <c r="F818" i="1"/>
  <c r="G818" i="1"/>
  <c r="H818" i="1"/>
  <c r="I818" i="1"/>
  <c r="J818" i="1"/>
  <c r="E819" i="1"/>
  <c r="F819" i="1"/>
  <c r="G819" i="1"/>
  <c r="H819" i="1"/>
  <c r="I819" i="1"/>
  <c r="J819" i="1"/>
  <c r="E820" i="1"/>
  <c r="F820" i="1"/>
  <c r="G820" i="1"/>
  <c r="H820" i="1"/>
  <c r="I820" i="1"/>
  <c r="J820" i="1"/>
  <c r="E821" i="1"/>
  <c r="F821" i="1"/>
  <c r="G821" i="1"/>
  <c r="H821" i="1"/>
  <c r="I821" i="1"/>
  <c r="J821" i="1"/>
  <c r="E822" i="1"/>
  <c r="F822" i="1"/>
  <c r="G822" i="1"/>
  <c r="H822" i="1"/>
  <c r="I822" i="1"/>
  <c r="J822" i="1"/>
  <c r="E823" i="1"/>
  <c r="F823" i="1"/>
  <c r="G823" i="1"/>
  <c r="H823" i="1"/>
  <c r="I823" i="1"/>
  <c r="J823" i="1"/>
  <c r="E824" i="1"/>
  <c r="F824" i="1"/>
  <c r="G824" i="1"/>
  <c r="H824" i="1"/>
  <c r="I824" i="1"/>
  <c r="J824" i="1"/>
  <c r="E825" i="1"/>
  <c r="F825" i="1"/>
  <c r="G825" i="1"/>
  <c r="H825" i="1"/>
  <c r="I825" i="1"/>
  <c r="J825" i="1"/>
  <c r="E826" i="1"/>
  <c r="F826" i="1"/>
  <c r="G826" i="1"/>
  <c r="H826" i="1"/>
  <c r="I826" i="1"/>
  <c r="J826" i="1"/>
  <c r="E827" i="1"/>
  <c r="F827" i="1"/>
  <c r="G827" i="1"/>
  <c r="H827" i="1"/>
  <c r="I827" i="1"/>
  <c r="J827" i="1"/>
  <c r="E828" i="1"/>
  <c r="F828" i="1"/>
  <c r="G828" i="1"/>
  <c r="H828" i="1"/>
  <c r="I828" i="1"/>
  <c r="J828" i="1"/>
  <c r="E829" i="1"/>
  <c r="F829" i="1"/>
  <c r="G829" i="1"/>
  <c r="H829" i="1"/>
  <c r="I829" i="1"/>
  <c r="J829" i="1"/>
  <c r="E830" i="1"/>
  <c r="F830" i="1"/>
  <c r="G830" i="1"/>
  <c r="H830" i="1"/>
  <c r="I830" i="1"/>
  <c r="J830" i="1"/>
  <c r="E831" i="1"/>
  <c r="F831" i="1"/>
  <c r="G831" i="1"/>
  <c r="H831" i="1"/>
  <c r="I831" i="1"/>
  <c r="J831" i="1"/>
  <c r="E832" i="1"/>
  <c r="F832" i="1"/>
  <c r="G832" i="1"/>
  <c r="H832" i="1"/>
  <c r="I832" i="1"/>
  <c r="J832" i="1"/>
  <c r="E833" i="1"/>
  <c r="F833" i="1"/>
  <c r="G833" i="1"/>
  <c r="H833" i="1"/>
  <c r="I833" i="1"/>
  <c r="J833" i="1"/>
  <c r="E834" i="1"/>
  <c r="F834" i="1"/>
  <c r="G834" i="1"/>
  <c r="H834" i="1"/>
  <c r="I834" i="1"/>
  <c r="J834" i="1"/>
  <c r="E835" i="1"/>
  <c r="F835" i="1"/>
  <c r="G835" i="1"/>
  <c r="H835" i="1"/>
  <c r="I835" i="1"/>
  <c r="J835" i="1"/>
  <c r="E836" i="1"/>
  <c r="F836" i="1"/>
  <c r="G836" i="1"/>
  <c r="H836" i="1"/>
  <c r="I836" i="1"/>
  <c r="J836" i="1"/>
  <c r="E837" i="1"/>
  <c r="F837" i="1"/>
  <c r="G837" i="1"/>
  <c r="H837" i="1"/>
  <c r="I837" i="1"/>
  <c r="J837" i="1"/>
  <c r="E838" i="1"/>
  <c r="F838" i="1"/>
  <c r="G838" i="1"/>
  <c r="H838" i="1"/>
  <c r="I838" i="1"/>
  <c r="J838" i="1"/>
  <c r="E839" i="1"/>
  <c r="F839" i="1"/>
  <c r="G839" i="1"/>
  <c r="H839" i="1"/>
  <c r="I839" i="1"/>
  <c r="J839" i="1"/>
  <c r="E840" i="1"/>
  <c r="F840" i="1"/>
  <c r="G840" i="1"/>
  <c r="H840" i="1"/>
  <c r="I840" i="1"/>
  <c r="J840" i="1"/>
  <c r="E841" i="1"/>
  <c r="F841" i="1"/>
  <c r="G841" i="1"/>
  <c r="H841" i="1"/>
  <c r="I841" i="1"/>
  <c r="J841" i="1"/>
  <c r="E842" i="1"/>
  <c r="F842" i="1"/>
  <c r="G842" i="1"/>
  <c r="H842" i="1"/>
  <c r="I842" i="1"/>
  <c r="J842" i="1"/>
  <c r="E843" i="1"/>
  <c r="F843" i="1"/>
  <c r="G843" i="1"/>
  <c r="H843" i="1"/>
  <c r="I843" i="1"/>
  <c r="J843" i="1"/>
  <c r="E844" i="1"/>
  <c r="F844" i="1"/>
  <c r="G844" i="1"/>
  <c r="H844" i="1"/>
  <c r="I844" i="1"/>
  <c r="J844" i="1"/>
  <c r="E845" i="1"/>
  <c r="F845" i="1"/>
  <c r="G845" i="1"/>
  <c r="H845" i="1"/>
  <c r="I845" i="1"/>
  <c r="J845" i="1"/>
  <c r="E846" i="1"/>
  <c r="F846" i="1"/>
  <c r="G846" i="1"/>
  <c r="H846" i="1"/>
  <c r="I846" i="1"/>
  <c r="J846" i="1"/>
  <c r="E847" i="1"/>
  <c r="F847" i="1"/>
  <c r="G847" i="1"/>
  <c r="H847" i="1"/>
  <c r="I847" i="1"/>
  <c r="J847" i="1"/>
  <c r="E848" i="1"/>
  <c r="F848" i="1"/>
  <c r="G848" i="1"/>
  <c r="H848" i="1"/>
  <c r="I848" i="1"/>
  <c r="J848" i="1"/>
  <c r="E849" i="1"/>
  <c r="F849" i="1"/>
  <c r="G849" i="1"/>
  <c r="H849" i="1"/>
  <c r="I849" i="1"/>
  <c r="J849" i="1"/>
  <c r="E850" i="1"/>
  <c r="F850" i="1"/>
  <c r="G850" i="1"/>
  <c r="H850" i="1"/>
  <c r="I850" i="1"/>
  <c r="J850" i="1"/>
  <c r="E851" i="1"/>
  <c r="F851" i="1"/>
  <c r="G851" i="1"/>
  <c r="H851" i="1"/>
  <c r="I851" i="1"/>
  <c r="J851" i="1"/>
  <c r="E852" i="1"/>
  <c r="F852" i="1"/>
  <c r="G852" i="1"/>
  <c r="H852" i="1"/>
  <c r="I852" i="1"/>
  <c r="J852" i="1"/>
  <c r="E853" i="1"/>
  <c r="F853" i="1"/>
  <c r="G853" i="1"/>
  <c r="H853" i="1"/>
  <c r="I853" i="1"/>
  <c r="J853" i="1"/>
  <c r="E854" i="1"/>
  <c r="F854" i="1"/>
  <c r="G854" i="1"/>
  <c r="H854" i="1"/>
  <c r="I854" i="1"/>
  <c r="J854" i="1"/>
  <c r="E855" i="1"/>
  <c r="F855" i="1"/>
  <c r="G855" i="1"/>
  <c r="H855" i="1"/>
  <c r="I855" i="1"/>
  <c r="J855" i="1"/>
  <c r="E856" i="1"/>
  <c r="F856" i="1"/>
  <c r="G856" i="1"/>
  <c r="H856" i="1"/>
  <c r="I856" i="1"/>
  <c r="J856" i="1"/>
  <c r="E857" i="1"/>
  <c r="F857" i="1"/>
  <c r="G857" i="1"/>
  <c r="H857" i="1"/>
  <c r="I857" i="1"/>
  <c r="J857" i="1"/>
  <c r="E858" i="1"/>
  <c r="F858" i="1"/>
  <c r="G858" i="1"/>
  <c r="H858" i="1"/>
  <c r="I858" i="1"/>
  <c r="J858" i="1"/>
  <c r="E859" i="1"/>
  <c r="F859" i="1"/>
  <c r="G859" i="1"/>
  <c r="H859" i="1"/>
  <c r="I859" i="1"/>
  <c r="J859" i="1"/>
  <c r="E860" i="1"/>
  <c r="F860" i="1"/>
  <c r="G860" i="1"/>
  <c r="H860" i="1"/>
  <c r="I860" i="1"/>
  <c r="J860" i="1"/>
  <c r="E861" i="1"/>
  <c r="F861" i="1"/>
  <c r="G861" i="1"/>
  <c r="H861" i="1"/>
  <c r="I861" i="1"/>
  <c r="J861" i="1"/>
  <c r="E862" i="1"/>
  <c r="F862" i="1"/>
  <c r="G862" i="1"/>
  <c r="H862" i="1"/>
  <c r="I862" i="1"/>
  <c r="J862" i="1"/>
  <c r="E863" i="1"/>
  <c r="F863" i="1"/>
  <c r="G863" i="1"/>
  <c r="H863" i="1"/>
  <c r="I863" i="1"/>
  <c r="J863" i="1"/>
  <c r="E864" i="1"/>
  <c r="F864" i="1"/>
  <c r="G864" i="1"/>
  <c r="H864" i="1"/>
  <c r="I864" i="1"/>
  <c r="J864" i="1"/>
  <c r="E865" i="1"/>
  <c r="F865" i="1"/>
  <c r="G865" i="1"/>
  <c r="H865" i="1"/>
  <c r="I865" i="1"/>
  <c r="J865" i="1"/>
  <c r="E866" i="1"/>
  <c r="F866" i="1"/>
  <c r="G866" i="1"/>
  <c r="H866" i="1"/>
  <c r="I866" i="1"/>
  <c r="J866" i="1"/>
  <c r="E867" i="1"/>
  <c r="F867" i="1"/>
  <c r="G867" i="1"/>
  <c r="H867" i="1"/>
  <c r="I867" i="1"/>
  <c r="J867" i="1"/>
  <c r="E868" i="1"/>
  <c r="F868" i="1"/>
  <c r="G868" i="1"/>
  <c r="H868" i="1"/>
  <c r="I868" i="1"/>
  <c r="J868" i="1"/>
  <c r="E869" i="1"/>
  <c r="F869" i="1"/>
  <c r="G869" i="1"/>
  <c r="H869" i="1"/>
  <c r="I869" i="1"/>
  <c r="J869" i="1"/>
  <c r="E870" i="1"/>
  <c r="F870" i="1"/>
  <c r="G870" i="1"/>
  <c r="H870" i="1"/>
  <c r="I870" i="1"/>
  <c r="J870" i="1"/>
  <c r="E871" i="1"/>
  <c r="F871" i="1"/>
  <c r="G871" i="1"/>
  <c r="H871" i="1"/>
  <c r="I871" i="1"/>
  <c r="J871" i="1"/>
  <c r="E872" i="1"/>
  <c r="F872" i="1"/>
  <c r="G872" i="1"/>
  <c r="H872" i="1"/>
  <c r="I872" i="1"/>
  <c r="J872" i="1"/>
  <c r="E873" i="1"/>
  <c r="F873" i="1"/>
  <c r="G873" i="1"/>
  <c r="H873" i="1"/>
  <c r="I873" i="1"/>
  <c r="J873" i="1"/>
  <c r="E874" i="1"/>
  <c r="F874" i="1"/>
  <c r="G874" i="1"/>
  <c r="H874" i="1"/>
  <c r="I874" i="1"/>
  <c r="J874" i="1"/>
  <c r="E875" i="1"/>
  <c r="F875" i="1"/>
  <c r="G875" i="1"/>
  <c r="H875" i="1"/>
  <c r="I875" i="1"/>
  <c r="J875" i="1"/>
  <c r="E876" i="1"/>
  <c r="F876" i="1"/>
  <c r="G876" i="1"/>
  <c r="H876" i="1"/>
  <c r="I876" i="1"/>
  <c r="J876" i="1"/>
  <c r="E877" i="1"/>
  <c r="F877" i="1"/>
  <c r="G877" i="1"/>
  <c r="H877" i="1"/>
  <c r="I877" i="1"/>
  <c r="J877" i="1"/>
  <c r="E878" i="1"/>
  <c r="F878" i="1"/>
  <c r="G878" i="1"/>
  <c r="H878" i="1"/>
  <c r="I878" i="1"/>
  <c r="J878" i="1"/>
  <c r="E879" i="1"/>
  <c r="F879" i="1"/>
  <c r="G879" i="1"/>
  <c r="H879" i="1"/>
  <c r="I879" i="1"/>
  <c r="J879" i="1"/>
  <c r="E880" i="1"/>
  <c r="F880" i="1"/>
  <c r="G880" i="1"/>
  <c r="H880" i="1"/>
  <c r="I880" i="1"/>
  <c r="J880" i="1"/>
  <c r="E881" i="1"/>
  <c r="F881" i="1"/>
  <c r="G881" i="1"/>
  <c r="H881" i="1"/>
  <c r="I881" i="1"/>
  <c r="J881" i="1"/>
  <c r="E882" i="1"/>
  <c r="F882" i="1"/>
  <c r="G882" i="1"/>
  <c r="H882" i="1"/>
  <c r="I882" i="1"/>
  <c r="J882" i="1"/>
  <c r="E883" i="1"/>
  <c r="F883" i="1"/>
  <c r="G883" i="1"/>
  <c r="H883" i="1"/>
  <c r="I883" i="1"/>
  <c r="J883" i="1"/>
  <c r="E884" i="1"/>
  <c r="F884" i="1"/>
  <c r="G884" i="1"/>
  <c r="H884" i="1"/>
  <c r="I884" i="1"/>
  <c r="J884" i="1"/>
  <c r="E885" i="1"/>
  <c r="F885" i="1"/>
  <c r="G885" i="1"/>
  <c r="H885" i="1"/>
  <c r="I885" i="1"/>
  <c r="J885" i="1"/>
  <c r="E886" i="1"/>
  <c r="F886" i="1"/>
  <c r="G886" i="1"/>
  <c r="H886" i="1"/>
  <c r="I886" i="1"/>
  <c r="J886" i="1"/>
  <c r="E887" i="1"/>
  <c r="F887" i="1"/>
  <c r="G887" i="1"/>
  <c r="H887" i="1"/>
  <c r="I887" i="1"/>
  <c r="J887" i="1"/>
  <c r="E888" i="1"/>
  <c r="F888" i="1"/>
  <c r="G888" i="1"/>
  <c r="H888" i="1"/>
  <c r="I888" i="1"/>
  <c r="J888" i="1"/>
  <c r="E889" i="1"/>
  <c r="F889" i="1"/>
  <c r="G889" i="1"/>
  <c r="H889" i="1"/>
  <c r="I889" i="1"/>
  <c r="J889" i="1"/>
  <c r="E890" i="1"/>
  <c r="F890" i="1"/>
  <c r="G890" i="1"/>
  <c r="H890" i="1"/>
  <c r="I890" i="1"/>
  <c r="J890" i="1"/>
  <c r="E891" i="1"/>
  <c r="F891" i="1"/>
  <c r="G891" i="1"/>
  <c r="H891" i="1"/>
  <c r="I891" i="1"/>
  <c r="J891" i="1"/>
  <c r="E892" i="1"/>
  <c r="F892" i="1"/>
  <c r="G892" i="1"/>
  <c r="H892" i="1"/>
  <c r="I892" i="1"/>
  <c r="J892" i="1"/>
  <c r="E893" i="1"/>
  <c r="F893" i="1"/>
  <c r="G893" i="1"/>
  <c r="H893" i="1"/>
  <c r="I893" i="1"/>
  <c r="J893" i="1"/>
  <c r="E894" i="1"/>
  <c r="F894" i="1"/>
  <c r="G894" i="1"/>
  <c r="H894" i="1"/>
  <c r="I894" i="1"/>
  <c r="J894" i="1"/>
  <c r="E895" i="1"/>
  <c r="F895" i="1"/>
  <c r="G895" i="1"/>
  <c r="H895" i="1"/>
  <c r="I895" i="1"/>
  <c r="J895" i="1"/>
  <c r="E896" i="1"/>
  <c r="F896" i="1"/>
  <c r="G896" i="1"/>
  <c r="H896" i="1"/>
  <c r="I896" i="1"/>
  <c r="J896" i="1"/>
  <c r="E897" i="1"/>
  <c r="F897" i="1"/>
  <c r="G897" i="1"/>
  <c r="H897" i="1"/>
  <c r="I897" i="1"/>
  <c r="J897" i="1"/>
  <c r="E898" i="1"/>
  <c r="F898" i="1"/>
  <c r="G898" i="1"/>
  <c r="H898" i="1"/>
  <c r="I898" i="1"/>
  <c r="J898" i="1"/>
  <c r="E899" i="1"/>
  <c r="F899" i="1"/>
  <c r="G899" i="1"/>
  <c r="H899" i="1"/>
  <c r="I899" i="1"/>
  <c r="J899" i="1"/>
  <c r="E900" i="1"/>
  <c r="F900" i="1"/>
  <c r="G900" i="1"/>
  <c r="H900" i="1"/>
  <c r="I900" i="1"/>
  <c r="J900" i="1"/>
  <c r="E901" i="1"/>
  <c r="F901" i="1"/>
  <c r="G901" i="1"/>
  <c r="H901" i="1"/>
  <c r="I901" i="1"/>
  <c r="J901" i="1"/>
  <c r="E902" i="1"/>
  <c r="F902" i="1"/>
  <c r="G902" i="1"/>
  <c r="H902" i="1"/>
  <c r="I902" i="1"/>
  <c r="J902" i="1"/>
  <c r="E903" i="1"/>
  <c r="F903" i="1"/>
  <c r="G903" i="1"/>
  <c r="H903" i="1"/>
  <c r="I903" i="1"/>
  <c r="J903" i="1"/>
  <c r="E904" i="1"/>
  <c r="F904" i="1"/>
  <c r="G904" i="1"/>
  <c r="H904" i="1"/>
  <c r="I904" i="1"/>
  <c r="J904" i="1"/>
  <c r="E905" i="1"/>
  <c r="F905" i="1"/>
  <c r="G905" i="1"/>
  <c r="H905" i="1"/>
  <c r="I905" i="1"/>
  <c r="J905" i="1"/>
  <c r="E906" i="1"/>
  <c r="F906" i="1"/>
  <c r="G906" i="1"/>
  <c r="H906" i="1"/>
  <c r="I906" i="1"/>
  <c r="J906" i="1"/>
  <c r="E907" i="1"/>
  <c r="F907" i="1"/>
  <c r="G907" i="1"/>
  <c r="H907" i="1"/>
  <c r="I907" i="1"/>
  <c r="J907" i="1"/>
  <c r="E908" i="1"/>
  <c r="F908" i="1"/>
  <c r="G908" i="1"/>
  <c r="H908" i="1"/>
  <c r="I908" i="1"/>
  <c r="J908" i="1"/>
  <c r="E909" i="1"/>
  <c r="F909" i="1"/>
  <c r="G909" i="1"/>
  <c r="H909" i="1"/>
  <c r="I909" i="1"/>
  <c r="J909" i="1"/>
  <c r="E910" i="1"/>
  <c r="F910" i="1"/>
  <c r="G910" i="1"/>
  <c r="H910" i="1"/>
  <c r="I910" i="1"/>
  <c r="J910" i="1"/>
  <c r="E911" i="1"/>
  <c r="F911" i="1"/>
  <c r="G911" i="1"/>
  <c r="H911" i="1"/>
  <c r="I911" i="1"/>
  <c r="J911" i="1"/>
  <c r="E912" i="1"/>
  <c r="F912" i="1"/>
  <c r="G912" i="1"/>
  <c r="H912" i="1"/>
  <c r="I912" i="1"/>
  <c r="J912" i="1"/>
  <c r="E913" i="1"/>
  <c r="F913" i="1"/>
  <c r="G913" i="1"/>
  <c r="H913" i="1"/>
  <c r="I913" i="1"/>
  <c r="J913" i="1"/>
  <c r="E914" i="1"/>
  <c r="F914" i="1"/>
  <c r="G914" i="1"/>
  <c r="H914" i="1"/>
  <c r="I914" i="1"/>
  <c r="J914" i="1"/>
  <c r="E915" i="1"/>
  <c r="F915" i="1"/>
  <c r="G915" i="1"/>
  <c r="H915" i="1"/>
  <c r="I915" i="1"/>
  <c r="J915" i="1"/>
  <c r="E916" i="1"/>
  <c r="F916" i="1"/>
  <c r="G916" i="1"/>
  <c r="H916" i="1"/>
  <c r="I916" i="1"/>
  <c r="J916" i="1"/>
  <c r="E917" i="1"/>
  <c r="F917" i="1"/>
  <c r="G917" i="1"/>
  <c r="H917" i="1"/>
  <c r="I917" i="1"/>
  <c r="J917" i="1"/>
  <c r="E918" i="1"/>
  <c r="F918" i="1"/>
  <c r="G918" i="1"/>
  <c r="H918" i="1"/>
  <c r="I918" i="1"/>
  <c r="J918" i="1"/>
  <c r="E919" i="1"/>
  <c r="F919" i="1"/>
  <c r="G919" i="1"/>
  <c r="H919" i="1"/>
  <c r="I919" i="1"/>
  <c r="J919" i="1"/>
  <c r="E920" i="1"/>
  <c r="F920" i="1"/>
  <c r="G920" i="1"/>
  <c r="H920" i="1"/>
  <c r="I920" i="1"/>
  <c r="J920" i="1"/>
  <c r="E921" i="1"/>
  <c r="F921" i="1"/>
  <c r="G921" i="1"/>
  <c r="H921" i="1"/>
  <c r="I921" i="1"/>
  <c r="J921" i="1"/>
  <c r="E922" i="1"/>
  <c r="F922" i="1"/>
  <c r="G922" i="1"/>
  <c r="H922" i="1"/>
  <c r="I922" i="1"/>
  <c r="J922" i="1"/>
  <c r="E923" i="1"/>
  <c r="F923" i="1"/>
  <c r="G923" i="1"/>
  <c r="H923" i="1"/>
  <c r="I923" i="1"/>
  <c r="J923" i="1"/>
  <c r="E924" i="1"/>
  <c r="F924" i="1"/>
  <c r="G924" i="1"/>
  <c r="H924" i="1"/>
  <c r="I924" i="1"/>
  <c r="J924" i="1"/>
  <c r="E925" i="1"/>
  <c r="F925" i="1"/>
  <c r="G925" i="1"/>
  <c r="H925" i="1"/>
  <c r="I925" i="1"/>
  <c r="J925" i="1"/>
  <c r="E926" i="1"/>
  <c r="F926" i="1"/>
  <c r="G926" i="1"/>
  <c r="H926" i="1"/>
  <c r="I926" i="1"/>
  <c r="J926" i="1"/>
  <c r="E927" i="1"/>
  <c r="F927" i="1"/>
  <c r="G927" i="1"/>
  <c r="H927" i="1"/>
  <c r="I927" i="1"/>
  <c r="J927" i="1"/>
  <c r="E928" i="1"/>
  <c r="F928" i="1"/>
  <c r="G928" i="1"/>
  <c r="H928" i="1"/>
  <c r="I928" i="1"/>
  <c r="J928" i="1"/>
  <c r="E929" i="1"/>
  <c r="F929" i="1"/>
  <c r="G929" i="1"/>
  <c r="H929" i="1"/>
  <c r="I929" i="1"/>
  <c r="J929" i="1"/>
  <c r="E930" i="1"/>
  <c r="F930" i="1"/>
  <c r="G930" i="1"/>
  <c r="H930" i="1"/>
  <c r="I930" i="1"/>
  <c r="J930" i="1"/>
  <c r="E931" i="1"/>
  <c r="F931" i="1"/>
  <c r="G931" i="1"/>
  <c r="H931" i="1"/>
  <c r="I931" i="1"/>
  <c r="J931" i="1"/>
  <c r="E932" i="1"/>
  <c r="F932" i="1"/>
  <c r="G932" i="1"/>
  <c r="H932" i="1"/>
  <c r="I932" i="1"/>
  <c r="J932" i="1"/>
  <c r="E933" i="1"/>
  <c r="F933" i="1"/>
  <c r="G933" i="1"/>
  <c r="H933" i="1"/>
  <c r="I933" i="1"/>
  <c r="J933" i="1"/>
  <c r="E934" i="1"/>
  <c r="F934" i="1"/>
  <c r="G934" i="1"/>
  <c r="H934" i="1"/>
  <c r="I934" i="1"/>
  <c r="J934" i="1"/>
  <c r="E935" i="1"/>
  <c r="F935" i="1"/>
  <c r="G935" i="1"/>
  <c r="H935" i="1"/>
  <c r="I935" i="1"/>
  <c r="J935" i="1"/>
  <c r="E936" i="1"/>
  <c r="F936" i="1"/>
  <c r="G936" i="1"/>
  <c r="H936" i="1"/>
  <c r="I936" i="1"/>
  <c r="J936" i="1"/>
  <c r="E937" i="1"/>
  <c r="F937" i="1"/>
  <c r="G937" i="1"/>
  <c r="H937" i="1"/>
  <c r="I937" i="1"/>
  <c r="J937" i="1"/>
  <c r="E938" i="1"/>
  <c r="F938" i="1"/>
  <c r="G938" i="1"/>
  <c r="H938" i="1"/>
  <c r="I938" i="1"/>
  <c r="J938" i="1"/>
  <c r="E939" i="1"/>
  <c r="F939" i="1"/>
  <c r="G939" i="1"/>
  <c r="H939" i="1"/>
  <c r="I939" i="1"/>
  <c r="J939" i="1"/>
  <c r="E940" i="1"/>
  <c r="F940" i="1"/>
  <c r="G940" i="1"/>
  <c r="H940" i="1"/>
  <c r="I940" i="1"/>
  <c r="J940" i="1"/>
  <c r="E941" i="1"/>
  <c r="F941" i="1"/>
  <c r="G941" i="1"/>
  <c r="H941" i="1"/>
  <c r="I941" i="1"/>
  <c r="J941" i="1"/>
  <c r="E942" i="1"/>
  <c r="F942" i="1"/>
  <c r="G942" i="1"/>
  <c r="H942" i="1"/>
  <c r="I942" i="1"/>
  <c r="J942" i="1"/>
  <c r="E943" i="1"/>
  <c r="F943" i="1"/>
  <c r="G943" i="1"/>
  <c r="H943" i="1"/>
  <c r="I943" i="1"/>
  <c r="J943" i="1"/>
  <c r="E944" i="1"/>
  <c r="F944" i="1"/>
  <c r="G944" i="1"/>
  <c r="H944" i="1"/>
  <c r="I944" i="1"/>
  <c r="J944" i="1"/>
  <c r="E945" i="1"/>
  <c r="F945" i="1"/>
  <c r="G945" i="1"/>
  <c r="H945" i="1"/>
  <c r="I945" i="1"/>
  <c r="J945" i="1"/>
  <c r="E946" i="1"/>
  <c r="F946" i="1"/>
  <c r="G946" i="1"/>
  <c r="H946" i="1"/>
  <c r="I946" i="1"/>
  <c r="J946" i="1"/>
  <c r="E947" i="1"/>
  <c r="F947" i="1"/>
  <c r="G947" i="1"/>
  <c r="H947" i="1"/>
  <c r="I947" i="1"/>
  <c r="J947" i="1"/>
  <c r="E948" i="1"/>
  <c r="F948" i="1"/>
  <c r="G948" i="1"/>
  <c r="H948" i="1"/>
  <c r="I948" i="1"/>
  <c r="J948" i="1"/>
  <c r="E949" i="1"/>
  <c r="F949" i="1"/>
  <c r="G949" i="1"/>
  <c r="H949" i="1"/>
  <c r="I949" i="1"/>
  <c r="J949" i="1"/>
  <c r="E950" i="1"/>
  <c r="F950" i="1"/>
  <c r="G950" i="1"/>
  <c r="H950" i="1"/>
  <c r="I950" i="1"/>
  <c r="J950" i="1"/>
  <c r="E951" i="1"/>
  <c r="F951" i="1"/>
  <c r="G951" i="1"/>
  <c r="H951" i="1"/>
  <c r="I951" i="1"/>
  <c r="J951" i="1"/>
  <c r="E952" i="1"/>
  <c r="F952" i="1"/>
  <c r="G952" i="1"/>
  <c r="H952" i="1"/>
  <c r="I952" i="1"/>
  <c r="J952" i="1"/>
  <c r="E953" i="1"/>
  <c r="F953" i="1"/>
  <c r="G953" i="1"/>
  <c r="H953" i="1"/>
  <c r="I953" i="1"/>
  <c r="J953" i="1"/>
  <c r="E954" i="1"/>
  <c r="F954" i="1"/>
  <c r="G954" i="1"/>
  <c r="H954" i="1"/>
  <c r="I954" i="1"/>
  <c r="J954" i="1"/>
  <c r="E955" i="1"/>
  <c r="F955" i="1"/>
  <c r="G955" i="1"/>
  <c r="H955" i="1"/>
  <c r="I955" i="1"/>
  <c r="J955" i="1"/>
  <c r="E956" i="1"/>
  <c r="F956" i="1"/>
  <c r="G956" i="1"/>
  <c r="H956" i="1"/>
  <c r="I956" i="1"/>
  <c r="J956" i="1"/>
  <c r="E957" i="1"/>
  <c r="F957" i="1"/>
  <c r="G957" i="1"/>
  <c r="H957" i="1"/>
  <c r="I957" i="1"/>
  <c r="J957" i="1"/>
  <c r="E958" i="1"/>
  <c r="F958" i="1"/>
  <c r="G958" i="1"/>
  <c r="H958" i="1"/>
  <c r="I958" i="1"/>
  <c r="J958" i="1"/>
  <c r="E959" i="1"/>
  <c r="F959" i="1"/>
  <c r="G959" i="1"/>
  <c r="H959" i="1"/>
  <c r="I959" i="1"/>
  <c r="J959" i="1"/>
  <c r="E960" i="1"/>
  <c r="F960" i="1"/>
  <c r="G960" i="1"/>
  <c r="H960" i="1"/>
  <c r="I960" i="1"/>
  <c r="J960" i="1"/>
  <c r="E961" i="1"/>
  <c r="F961" i="1"/>
  <c r="G961" i="1"/>
  <c r="H961" i="1"/>
  <c r="I961" i="1"/>
  <c r="J961" i="1"/>
  <c r="E962" i="1"/>
  <c r="F962" i="1"/>
  <c r="G962" i="1"/>
  <c r="H962" i="1"/>
  <c r="I962" i="1"/>
  <c r="J962" i="1"/>
  <c r="E963" i="1"/>
  <c r="F963" i="1"/>
  <c r="G963" i="1"/>
  <c r="H963" i="1"/>
  <c r="I963" i="1"/>
  <c r="J963" i="1"/>
  <c r="E964" i="1"/>
  <c r="F964" i="1"/>
  <c r="G964" i="1"/>
  <c r="H964" i="1"/>
  <c r="I964" i="1"/>
  <c r="J964" i="1"/>
  <c r="E965" i="1"/>
  <c r="F965" i="1"/>
  <c r="G965" i="1"/>
  <c r="H965" i="1"/>
  <c r="I965" i="1"/>
  <c r="J965" i="1"/>
  <c r="E966" i="1"/>
  <c r="F966" i="1"/>
  <c r="G966" i="1"/>
  <c r="H966" i="1"/>
  <c r="I966" i="1"/>
  <c r="J966" i="1"/>
  <c r="E967" i="1"/>
  <c r="F967" i="1"/>
  <c r="G967" i="1"/>
  <c r="H967" i="1"/>
  <c r="I967" i="1"/>
  <c r="J967" i="1"/>
  <c r="E968" i="1"/>
  <c r="F968" i="1"/>
  <c r="G968" i="1"/>
  <c r="H968" i="1"/>
  <c r="I968" i="1"/>
  <c r="J968" i="1"/>
  <c r="E969" i="1"/>
  <c r="F969" i="1"/>
  <c r="G969" i="1"/>
  <c r="H969" i="1"/>
  <c r="I969" i="1"/>
  <c r="J969" i="1"/>
  <c r="E970" i="1"/>
  <c r="F970" i="1"/>
  <c r="G970" i="1"/>
  <c r="H970" i="1"/>
  <c r="I970" i="1"/>
  <c r="J970" i="1"/>
  <c r="E971" i="1"/>
  <c r="F971" i="1"/>
  <c r="G971" i="1"/>
  <c r="H971" i="1"/>
  <c r="I971" i="1"/>
  <c r="J971" i="1"/>
  <c r="E972" i="1"/>
  <c r="F972" i="1"/>
  <c r="G972" i="1"/>
  <c r="H972" i="1"/>
  <c r="I972" i="1"/>
  <c r="J972" i="1"/>
  <c r="E973" i="1"/>
  <c r="F973" i="1"/>
  <c r="G973" i="1"/>
  <c r="H973" i="1"/>
  <c r="I973" i="1"/>
  <c r="J973" i="1"/>
  <c r="E974" i="1"/>
  <c r="F974" i="1"/>
  <c r="G974" i="1"/>
  <c r="H974" i="1"/>
  <c r="I974" i="1"/>
  <c r="J974" i="1"/>
  <c r="E975" i="1"/>
  <c r="F975" i="1"/>
  <c r="G975" i="1"/>
  <c r="H975" i="1"/>
  <c r="I975" i="1"/>
  <c r="J975" i="1"/>
  <c r="E976" i="1"/>
  <c r="F976" i="1"/>
  <c r="G976" i="1"/>
  <c r="H976" i="1"/>
  <c r="I976" i="1"/>
  <c r="J976" i="1"/>
  <c r="E977" i="1"/>
  <c r="F977" i="1"/>
  <c r="G977" i="1"/>
  <c r="H977" i="1"/>
  <c r="I977" i="1"/>
  <c r="J977" i="1"/>
  <c r="E978" i="1"/>
  <c r="F978" i="1"/>
  <c r="G978" i="1"/>
  <c r="H978" i="1"/>
  <c r="I978" i="1"/>
  <c r="J978" i="1"/>
  <c r="E979" i="1"/>
  <c r="F979" i="1"/>
  <c r="G979" i="1"/>
  <c r="H979" i="1"/>
  <c r="I979" i="1"/>
  <c r="J979" i="1"/>
  <c r="E980" i="1"/>
  <c r="F980" i="1"/>
  <c r="G980" i="1"/>
  <c r="H980" i="1"/>
  <c r="I980" i="1"/>
  <c r="J980" i="1"/>
  <c r="E981" i="1"/>
  <c r="F981" i="1"/>
  <c r="G981" i="1"/>
  <c r="H981" i="1"/>
  <c r="I981" i="1"/>
  <c r="J981" i="1"/>
  <c r="E982" i="1"/>
  <c r="F982" i="1"/>
  <c r="G982" i="1"/>
  <c r="H982" i="1"/>
  <c r="I982" i="1"/>
  <c r="J982" i="1"/>
  <c r="E983" i="1"/>
  <c r="F983" i="1"/>
  <c r="G983" i="1"/>
  <c r="H983" i="1"/>
  <c r="I983" i="1"/>
  <c r="J983" i="1"/>
  <c r="E984" i="1"/>
  <c r="F984" i="1"/>
  <c r="G984" i="1"/>
  <c r="H984" i="1"/>
  <c r="I984" i="1"/>
  <c r="J984" i="1"/>
  <c r="E985" i="1"/>
  <c r="F985" i="1"/>
  <c r="G985" i="1"/>
  <c r="H985" i="1"/>
  <c r="I985" i="1"/>
  <c r="J985" i="1"/>
  <c r="E986" i="1"/>
  <c r="F986" i="1"/>
  <c r="G986" i="1"/>
  <c r="H986" i="1"/>
  <c r="I986" i="1"/>
  <c r="J986" i="1"/>
  <c r="E987" i="1"/>
  <c r="F987" i="1"/>
  <c r="G987" i="1"/>
  <c r="H987" i="1"/>
  <c r="I987" i="1"/>
  <c r="J987" i="1"/>
  <c r="E988" i="1"/>
  <c r="F988" i="1"/>
  <c r="G988" i="1"/>
  <c r="H988" i="1"/>
  <c r="I988" i="1"/>
  <c r="J988" i="1"/>
  <c r="E989" i="1"/>
  <c r="F989" i="1"/>
  <c r="G989" i="1"/>
  <c r="H989" i="1"/>
  <c r="I989" i="1"/>
  <c r="J989" i="1"/>
  <c r="E990" i="1"/>
  <c r="F990" i="1"/>
  <c r="G990" i="1"/>
  <c r="H990" i="1"/>
  <c r="I990" i="1"/>
  <c r="J990" i="1"/>
  <c r="E991" i="1"/>
  <c r="F991" i="1"/>
  <c r="G991" i="1"/>
  <c r="H991" i="1"/>
  <c r="I991" i="1"/>
  <c r="J991" i="1"/>
  <c r="E992" i="1"/>
  <c r="F992" i="1"/>
  <c r="G992" i="1"/>
  <c r="H992" i="1"/>
  <c r="I992" i="1"/>
  <c r="J992" i="1"/>
  <c r="E993" i="1"/>
  <c r="F993" i="1"/>
  <c r="G993" i="1"/>
  <c r="H993" i="1"/>
  <c r="I993" i="1"/>
  <c r="J993" i="1"/>
  <c r="E994" i="1"/>
  <c r="F994" i="1"/>
  <c r="G994" i="1"/>
  <c r="H994" i="1"/>
  <c r="I994" i="1"/>
  <c r="J994" i="1"/>
  <c r="E995" i="1"/>
  <c r="F995" i="1"/>
  <c r="G995" i="1"/>
  <c r="H995" i="1"/>
  <c r="I995" i="1"/>
  <c r="J995" i="1"/>
  <c r="E996" i="1"/>
  <c r="F996" i="1"/>
  <c r="G996" i="1"/>
  <c r="H996" i="1"/>
  <c r="I996" i="1"/>
  <c r="J996" i="1"/>
  <c r="E997" i="1"/>
  <c r="F997" i="1"/>
  <c r="G997" i="1"/>
  <c r="H997" i="1"/>
  <c r="I997" i="1"/>
  <c r="J997" i="1"/>
  <c r="E998" i="1"/>
  <c r="F998" i="1"/>
  <c r="G998" i="1"/>
  <c r="H998" i="1"/>
  <c r="I998" i="1"/>
  <c r="J998" i="1"/>
  <c r="E999" i="1"/>
  <c r="F999" i="1"/>
  <c r="G999" i="1"/>
  <c r="H999" i="1"/>
  <c r="I999" i="1"/>
  <c r="J999" i="1"/>
  <c r="E1000" i="1"/>
  <c r="F1000" i="1"/>
  <c r="G1000" i="1"/>
  <c r="H1000" i="1"/>
  <c r="I1000" i="1"/>
  <c r="J1000" i="1"/>
  <c r="E1001" i="1"/>
  <c r="F1001" i="1"/>
  <c r="G1001" i="1"/>
  <c r="H1001" i="1"/>
  <c r="I1001" i="1"/>
  <c r="J1001" i="1"/>
  <c r="E1002" i="1"/>
  <c r="F1002" i="1"/>
  <c r="G1002" i="1"/>
  <c r="H1002" i="1"/>
  <c r="I1002" i="1"/>
  <c r="J1002" i="1"/>
  <c r="E1003" i="1"/>
  <c r="F1003" i="1"/>
  <c r="G1003" i="1"/>
  <c r="H1003" i="1"/>
  <c r="I1003" i="1"/>
  <c r="J1003" i="1"/>
  <c r="E1004" i="1"/>
  <c r="F1004" i="1"/>
  <c r="G1004" i="1"/>
  <c r="H1004" i="1"/>
  <c r="I1004" i="1"/>
  <c r="J1004" i="1"/>
  <c r="E1005" i="1"/>
  <c r="F1005" i="1"/>
  <c r="G1005" i="1"/>
  <c r="H1005" i="1"/>
  <c r="I1005" i="1"/>
  <c r="J1005" i="1"/>
  <c r="E1006" i="1"/>
  <c r="F1006" i="1"/>
  <c r="G1006" i="1"/>
  <c r="H1006" i="1"/>
  <c r="I1006" i="1"/>
  <c r="J1006" i="1"/>
  <c r="E1007" i="1"/>
  <c r="F1007" i="1"/>
  <c r="G1007" i="1"/>
  <c r="H1007" i="1"/>
  <c r="I1007" i="1"/>
  <c r="J1007" i="1"/>
  <c r="E1008" i="1"/>
  <c r="F1008" i="1"/>
  <c r="G1008" i="1"/>
  <c r="H1008" i="1"/>
  <c r="I1008" i="1"/>
  <c r="J1008" i="1"/>
  <c r="E1009" i="1"/>
  <c r="F1009" i="1"/>
  <c r="G1009" i="1"/>
  <c r="H1009" i="1"/>
  <c r="I1009" i="1"/>
  <c r="J1009" i="1"/>
  <c r="E1010" i="1"/>
  <c r="F1010" i="1"/>
  <c r="G1010" i="1"/>
  <c r="H1010" i="1"/>
  <c r="I1010" i="1"/>
  <c r="J1010" i="1"/>
  <c r="E1011" i="1"/>
  <c r="F1011" i="1"/>
  <c r="G1011" i="1"/>
  <c r="H1011" i="1"/>
  <c r="I1011" i="1"/>
  <c r="J1011" i="1"/>
  <c r="E1012" i="1"/>
  <c r="F1012" i="1"/>
  <c r="G1012" i="1"/>
  <c r="H1012" i="1"/>
  <c r="I1012" i="1"/>
  <c r="J1012" i="1"/>
  <c r="E1013" i="1"/>
  <c r="F1013" i="1"/>
  <c r="G1013" i="1"/>
  <c r="H1013" i="1"/>
  <c r="I1013" i="1"/>
  <c r="J1013" i="1"/>
  <c r="E1014" i="1"/>
  <c r="F1014" i="1"/>
  <c r="G1014" i="1"/>
  <c r="H1014" i="1"/>
  <c r="I1014" i="1"/>
  <c r="J1014" i="1"/>
  <c r="E1015" i="1"/>
  <c r="F1015" i="1"/>
  <c r="G1015" i="1"/>
  <c r="H1015" i="1"/>
  <c r="I1015" i="1"/>
  <c r="J1015" i="1"/>
  <c r="E1016" i="1"/>
  <c r="F1016" i="1"/>
  <c r="G1016" i="1"/>
  <c r="H1016" i="1"/>
  <c r="I1016" i="1"/>
  <c r="J1016" i="1"/>
  <c r="E1017" i="1"/>
  <c r="F1017" i="1"/>
  <c r="G1017" i="1"/>
  <c r="H1017" i="1"/>
  <c r="I1017" i="1"/>
  <c r="J1017" i="1"/>
  <c r="E1018" i="1"/>
  <c r="F1018" i="1"/>
  <c r="G1018" i="1"/>
  <c r="H1018" i="1"/>
  <c r="I1018" i="1"/>
  <c r="J1018" i="1"/>
  <c r="E1019" i="1"/>
  <c r="F1019" i="1"/>
  <c r="G1019" i="1"/>
  <c r="H1019" i="1"/>
  <c r="I1019" i="1"/>
  <c r="J1019" i="1"/>
  <c r="E1020" i="1"/>
  <c r="F1020" i="1"/>
  <c r="G1020" i="1"/>
  <c r="H1020" i="1"/>
  <c r="I1020" i="1"/>
  <c r="J1020" i="1"/>
  <c r="E1021" i="1"/>
  <c r="F1021" i="1"/>
  <c r="G1021" i="1"/>
  <c r="H1021" i="1"/>
  <c r="I1021" i="1"/>
  <c r="J1021" i="1"/>
  <c r="E1022" i="1"/>
  <c r="F1022" i="1"/>
  <c r="G1022" i="1"/>
  <c r="H1022" i="1"/>
  <c r="I1022" i="1"/>
  <c r="J1022" i="1"/>
  <c r="E1023" i="1"/>
  <c r="F1023" i="1"/>
  <c r="G1023" i="1"/>
  <c r="H1023" i="1"/>
  <c r="I1023" i="1"/>
  <c r="J1023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B17" i="7"/>
  <c r="D17" i="7"/>
  <c r="B18" i="7"/>
  <c r="D18" i="7"/>
  <c r="B19" i="7"/>
  <c r="D19" i="7"/>
</calcChain>
</file>

<file path=xl/styles.xml><?xml version="1.0" encoding="utf-8"?>
<styleSheet xmlns="http://schemas.openxmlformats.org/spreadsheetml/2006/main">
  <numFmts count="2">
    <numFmt numFmtId="164" formatCode="0.0%"/>
    <numFmt numFmtId="165" formatCode="0.0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165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12" authorId="0" shapeId="0">
      <text>
        <t>Allocate growth by source</t>
      </text>
    </comment>
  </commentList>
</comments>
</file>

<file path=xl/tables/table1.xml><?xml version="1.0" encoding="utf-8"?>
<table xmlns="http://schemas.openxmlformats.org/spreadsheetml/2006/main" id="1" name="T_All_Questions_16_1" displayName="T_All_Questions_16_1" ref="A16:D20" headerRowCount="1">
  <autoFilter ref="A16:D20"/>
  <tableColumns count="4">
    <tableColumn id="1" name="Option"/>
    <tableColumn id="2" name="Mean"/>
    <tableColumn id="3" name="Median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Q20r1</t>
        </is>
      </c>
      <c r="C1" t="inlineStr">
        <is>
          <t>Q20r2</t>
        </is>
      </c>
      <c r="D1" t="inlineStr">
        <is>
          <t>Q20r3</t>
        </is>
      </c>
      <c r="E1" t="inlineStr">
        <is>
          <t>passes_workbook_filters</t>
        </is>
      </c>
      <c r="F1" t="inlineStr">
        <is>
          <t>F_Custom1_match</t>
        </is>
      </c>
      <c r="G1" t="inlineStr">
        <is>
          <t>F_Custom2_match</t>
        </is>
      </c>
      <c r="H1" t="inlineStr">
        <is>
          <t>passes_workbook_custom_filters</t>
        </is>
      </c>
      <c r="I1" t="inlineStr">
        <is>
          <t>All_Questions_passes_local_filters</t>
        </is>
      </c>
      <c r="J1" t="inlineStr">
        <is>
          <t>All_Questions_Q20_F_passes_per_q_filter</t>
        </is>
      </c>
    </row>
    <row r="2">
      <c r="A2" t="n">
        <v>1</v>
      </c>
      <c r="B2" t="n">
        <v>28.9</v>
      </c>
      <c r="C2" t="n">
        <v>24.6</v>
      </c>
      <c r="D2" t="n">
        <v>22.9</v>
      </c>
      <c r="E2">
        <f>1</f>
        <v>1</v>
      </c>
      <c r="F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G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H2">
        <f>F2*G2*1</f>
        <v>1</v>
      </c>
      <c r="I2">
        <f>1</f>
        <v>1</v>
      </c>
      <c r="J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1)&amp;"|",All_Questions_Q20_F_wrapped)),1,0),0))</f>
        <v>1</v>
      </c>
    </row>
    <row r="3">
      <c r="A3" t="n">
        <v>2</v>
      </c>
      <c r="B3" t="n">
        <v>28.9</v>
      </c>
      <c r="C3" t="n">
        <v>24.6</v>
      </c>
      <c r="D3" t="n">
        <v>22.9</v>
      </c>
      <c r="E3">
        <f>1</f>
        <v>1</v>
      </c>
      <c r="F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G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H3">
        <f>F3*G3*1</f>
        <v>1</v>
      </c>
      <c r="I3">
        <f>1</f>
        <v>1</v>
      </c>
      <c r="J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2)&amp;"|",All_Questions_Q20_F_wrapped)),1,0),0))</f>
        <v>1</v>
      </c>
    </row>
    <row r="4">
      <c r="A4" t="n">
        <v>3</v>
      </c>
      <c r="B4" t="n">
        <v>28.9</v>
      </c>
      <c r="C4" t="n">
        <v>24.6</v>
      </c>
      <c r="D4" t="n">
        <v>22.9</v>
      </c>
      <c r="E4">
        <f>1</f>
        <v>1</v>
      </c>
      <c r="F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G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H4">
        <f>F4*G4*1</f>
        <v>1</v>
      </c>
      <c r="I4">
        <f>1</f>
        <v>1</v>
      </c>
      <c r="J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3)&amp;"|",All_Questions_Q20_F_wrapped)),1,0),0))</f>
        <v>1</v>
      </c>
    </row>
    <row r="5">
      <c r="A5" t="n">
        <v>4</v>
      </c>
      <c r="B5" t="n">
        <v>28.9</v>
      </c>
      <c r="C5" t="n">
        <v>24.6</v>
      </c>
      <c r="D5" t="n">
        <v>22.9</v>
      </c>
      <c r="E5">
        <f>1</f>
        <v>1</v>
      </c>
      <c r="F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G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H5">
        <f>F5*G5*1</f>
        <v>1</v>
      </c>
      <c r="I5">
        <f>1</f>
        <v>1</v>
      </c>
      <c r="J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4)&amp;"|",All_Questions_Q20_F_wrapped)),1,0),0))</f>
        <v>1</v>
      </c>
    </row>
    <row r="6">
      <c r="A6" t="n">
        <v>5</v>
      </c>
      <c r="B6" t="n">
        <v>28.9</v>
      </c>
      <c r="C6" t="n">
        <v>24.6</v>
      </c>
      <c r="D6" t="n">
        <v>22.9</v>
      </c>
      <c r="E6">
        <f>1</f>
        <v>1</v>
      </c>
      <c r="F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G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H6">
        <f>F6*G6*1</f>
        <v>1</v>
      </c>
      <c r="I6">
        <f>1</f>
        <v>1</v>
      </c>
      <c r="J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5)&amp;"|",All_Questions_Q20_F_wrapped)),1,0),0))</f>
        <v>1</v>
      </c>
    </row>
    <row r="7">
      <c r="A7" t="n">
        <v>6</v>
      </c>
      <c r="B7" t="n">
        <v>28.9</v>
      </c>
      <c r="C7" t="n">
        <v>24.6</v>
      </c>
      <c r="D7" t="n">
        <v>22.9</v>
      </c>
      <c r="E7">
        <f>1</f>
        <v>1</v>
      </c>
      <c r="F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G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H7">
        <f>F7*G7*1</f>
        <v>1</v>
      </c>
      <c r="I7">
        <f>1</f>
        <v>1</v>
      </c>
      <c r="J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6)&amp;"|",All_Questions_Q20_F_wrapped)),1,0),0))</f>
        <v>1</v>
      </c>
    </row>
    <row r="8">
      <c r="A8" t="n">
        <v>7</v>
      </c>
      <c r="B8" t="n">
        <v>28.9</v>
      </c>
      <c r="C8" t="n">
        <v>24.6</v>
      </c>
      <c r="D8" t="n">
        <v>22.9</v>
      </c>
      <c r="E8">
        <f>1</f>
        <v>1</v>
      </c>
      <c r="F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G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H8">
        <f>F8*G8*1</f>
        <v>1</v>
      </c>
      <c r="I8">
        <f>1</f>
        <v>1</v>
      </c>
      <c r="J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7)&amp;"|",All_Questions_Q20_F_wrapped)),1,0),0))</f>
        <v>1</v>
      </c>
    </row>
    <row r="9">
      <c r="A9" t="n">
        <v>8</v>
      </c>
      <c r="B9" t="n">
        <v>28.9</v>
      </c>
      <c r="C9" t="n">
        <v>24.6</v>
      </c>
      <c r="D9" t="n">
        <v>22.9</v>
      </c>
      <c r="E9">
        <f>1</f>
        <v>1</v>
      </c>
      <c r="F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G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H9">
        <f>F9*G9*1</f>
        <v>1</v>
      </c>
      <c r="I9">
        <f>1</f>
        <v>1</v>
      </c>
      <c r="J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8)&amp;"|",All_Questions_Q20_F_wrapped)),1,0),0))</f>
        <v>1</v>
      </c>
    </row>
    <row r="10">
      <c r="A10" t="n">
        <v>9</v>
      </c>
      <c r="B10" t="n">
        <v>28.9</v>
      </c>
      <c r="C10" t="n">
        <v>24.6</v>
      </c>
      <c r="D10" t="n">
        <v>22.9</v>
      </c>
      <c r="E10">
        <f>1</f>
        <v>1</v>
      </c>
      <c r="F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G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H10">
        <f>F10*G10*1</f>
        <v>1</v>
      </c>
      <c r="I10">
        <f>1</f>
        <v>1</v>
      </c>
      <c r="J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9)&amp;"|",All_Questions_Q20_F_wrapped)),1,0),0))</f>
        <v>1</v>
      </c>
    </row>
    <row r="11">
      <c r="A11" t="n">
        <v>10</v>
      </c>
      <c r="B11" t="n">
        <v>28.9</v>
      </c>
      <c r="C11" t="n">
        <v>24.6</v>
      </c>
      <c r="D11" t="n">
        <v>22.9</v>
      </c>
      <c r="E11">
        <f>1</f>
        <v>1</v>
      </c>
      <c r="F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G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H11">
        <f>F11*G11*1</f>
        <v>1</v>
      </c>
      <c r="I11">
        <f>1</f>
        <v>1</v>
      </c>
      <c r="J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10)&amp;"|",All_Questions_Q20_F_wrapped)),1,0),0))</f>
        <v>1</v>
      </c>
    </row>
    <row r="12">
      <c r="A12" t="n">
        <v>11</v>
      </c>
      <c r="B12" t="n">
        <v>28.9</v>
      </c>
      <c r="C12" t="n">
        <v>24.6</v>
      </c>
      <c r="D12" t="n">
        <v>22.9</v>
      </c>
      <c r="E12">
        <f>1</f>
        <v>1</v>
      </c>
      <c r="F12">
        <f>IF(OR(F_Custom1_Q="(None)",F_Custom1_Q="",ISBLANK(F_Custom1_Q),F_Custom1_V="(All)",F_Custom1_V="",ISBLANK(F_Custom1_V)),1,IFERROR(IF(ISNUMBER(SEARCH("|"&amp;INDEX(INDIRECT(F_Custom1_resolved_column),11)&amp;"|",F_Custom1_wrapped)),1,0),0))</f>
        <v>1</v>
      </c>
      <c r="G12">
        <f>IF(OR(F_Custom2_Q="(None)",F_Custom2_Q="",ISBLANK(F_Custom2_Q),F_Custom2_V="(All)",F_Custom2_V="",ISBLANK(F_Custom2_V)),1,IFERROR(IF(ISNUMBER(SEARCH("|"&amp;INDEX(INDIRECT(F_Custom2_resolved_column),11)&amp;"|",F_Custom2_wrapped)),1,0),0))</f>
        <v>1</v>
      </c>
      <c r="H12">
        <f>F12*G12*1</f>
        <v>1</v>
      </c>
      <c r="I12">
        <f>1</f>
        <v>1</v>
      </c>
      <c r="J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11)&amp;"|",All_Questions_Q20_F_wrapped)),1,0),0))</f>
        <v>1</v>
      </c>
    </row>
    <row r="13">
      <c r="A13" t="n">
        <v>12</v>
      </c>
      <c r="B13" t="n">
        <v>28.9</v>
      </c>
      <c r="C13" t="n">
        <v>24.6</v>
      </c>
      <c r="D13" t="n">
        <v>22.9</v>
      </c>
      <c r="E13">
        <f>1</f>
        <v>1</v>
      </c>
      <c r="F13">
        <f>IF(OR(F_Custom1_Q="(None)",F_Custom1_Q="",ISBLANK(F_Custom1_Q),F_Custom1_V="(All)",F_Custom1_V="",ISBLANK(F_Custom1_V)),1,IFERROR(IF(ISNUMBER(SEARCH("|"&amp;INDEX(INDIRECT(F_Custom1_resolved_column),12)&amp;"|",F_Custom1_wrapped)),1,0),0))</f>
        <v>1</v>
      </c>
      <c r="G13">
        <f>IF(OR(F_Custom2_Q="(None)",F_Custom2_Q="",ISBLANK(F_Custom2_Q),F_Custom2_V="(All)",F_Custom2_V="",ISBLANK(F_Custom2_V)),1,IFERROR(IF(ISNUMBER(SEARCH("|"&amp;INDEX(INDIRECT(F_Custom2_resolved_column),12)&amp;"|",F_Custom2_wrapped)),1,0),0))</f>
        <v>1</v>
      </c>
      <c r="H13">
        <f>F13*G13*1</f>
        <v>1</v>
      </c>
      <c r="I13">
        <f>1</f>
        <v>1</v>
      </c>
      <c r="J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12)&amp;"|",All_Questions_Q20_F_wrapped)),1,0),0))</f>
        <v>1</v>
      </c>
    </row>
    <row r="14">
      <c r="A14" t="n">
        <v>13</v>
      </c>
      <c r="B14" t="n">
        <v>28.9</v>
      </c>
      <c r="C14" t="n">
        <v>24.6</v>
      </c>
      <c r="D14" t="n">
        <v>22.9</v>
      </c>
      <c r="E14">
        <f>1</f>
        <v>1</v>
      </c>
      <c r="F14">
        <f>IF(OR(F_Custom1_Q="(None)",F_Custom1_Q="",ISBLANK(F_Custom1_Q),F_Custom1_V="(All)",F_Custom1_V="",ISBLANK(F_Custom1_V)),1,IFERROR(IF(ISNUMBER(SEARCH("|"&amp;INDEX(INDIRECT(F_Custom1_resolved_column),13)&amp;"|",F_Custom1_wrapped)),1,0),0))</f>
        <v>1</v>
      </c>
      <c r="G14">
        <f>IF(OR(F_Custom2_Q="(None)",F_Custom2_Q="",ISBLANK(F_Custom2_Q),F_Custom2_V="(All)",F_Custom2_V="",ISBLANK(F_Custom2_V)),1,IFERROR(IF(ISNUMBER(SEARCH("|"&amp;INDEX(INDIRECT(F_Custom2_resolved_column),13)&amp;"|",F_Custom2_wrapped)),1,0),0))</f>
        <v>1</v>
      </c>
      <c r="H14">
        <f>F14*G14*1</f>
        <v>1</v>
      </c>
      <c r="I14">
        <f>1</f>
        <v>1</v>
      </c>
      <c r="J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13)&amp;"|",All_Questions_Q20_F_wrapped)),1,0),0))</f>
        <v>1</v>
      </c>
    </row>
    <row r="15">
      <c r="A15" t="n">
        <v>14</v>
      </c>
      <c r="B15" t="n">
        <v>28.9</v>
      </c>
      <c r="C15" t="n">
        <v>24.6</v>
      </c>
      <c r="D15" t="n">
        <v>22.9</v>
      </c>
      <c r="E15">
        <f>1</f>
        <v>1</v>
      </c>
      <c r="F15">
        <f>IF(OR(F_Custom1_Q="(None)",F_Custom1_Q="",ISBLANK(F_Custom1_Q),F_Custom1_V="(All)",F_Custom1_V="",ISBLANK(F_Custom1_V)),1,IFERROR(IF(ISNUMBER(SEARCH("|"&amp;INDEX(INDIRECT(F_Custom1_resolved_column),14)&amp;"|",F_Custom1_wrapped)),1,0),0))</f>
        <v>1</v>
      </c>
      <c r="G15">
        <f>IF(OR(F_Custom2_Q="(None)",F_Custom2_Q="",ISBLANK(F_Custom2_Q),F_Custom2_V="(All)",F_Custom2_V="",ISBLANK(F_Custom2_V)),1,IFERROR(IF(ISNUMBER(SEARCH("|"&amp;INDEX(INDIRECT(F_Custom2_resolved_column),14)&amp;"|",F_Custom2_wrapped)),1,0),0))</f>
        <v>1</v>
      </c>
      <c r="H15">
        <f>F15*G15*1</f>
        <v>1</v>
      </c>
      <c r="I15">
        <f>1</f>
        <v>1</v>
      </c>
      <c r="J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14)&amp;"|",All_Questions_Q20_F_wrapped)),1,0),0))</f>
        <v>1</v>
      </c>
    </row>
    <row r="16">
      <c r="A16" t="n">
        <v>15</v>
      </c>
      <c r="B16" t="n">
        <v>28.9</v>
      </c>
      <c r="C16" t="n">
        <v>24.6</v>
      </c>
      <c r="D16" t="n">
        <v>22.9</v>
      </c>
      <c r="E16">
        <f>1</f>
        <v>1</v>
      </c>
      <c r="F16">
        <f>IF(OR(F_Custom1_Q="(None)",F_Custom1_Q="",ISBLANK(F_Custom1_Q),F_Custom1_V="(All)",F_Custom1_V="",ISBLANK(F_Custom1_V)),1,IFERROR(IF(ISNUMBER(SEARCH("|"&amp;INDEX(INDIRECT(F_Custom1_resolved_column),15)&amp;"|",F_Custom1_wrapped)),1,0),0))</f>
        <v>1</v>
      </c>
      <c r="G16">
        <f>IF(OR(F_Custom2_Q="(None)",F_Custom2_Q="",ISBLANK(F_Custom2_Q),F_Custom2_V="(All)",F_Custom2_V="",ISBLANK(F_Custom2_V)),1,IFERROR(IF(ISNUMBER(SEARCH("|"&amp;INDEX(INDIRECT(F_Custom2_resolved_column),15)&amp;"|",F_Custom2_wrapped)),1,0),0))</f>
        <v>1</v>
      </c>
      <c r="H16">
        <f>F16*G16*1</f>
        <v>1</v>
      </c>
      <c r="I16">
        <f>1</f>
        <v>1</v>
      </c>
      <c r="J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15)&amp;"|",All_Questions_Q20_F_wrapped)),1,0),0))</f>
        <v>1</v>
      </c>
    </row>
    <row r="17">
      <c r="A17" t="n">
        <v>16</v>
      </c>
      <c r="B17" t="n">
        <v>28.9</v>
      </c>
      <c r="C17" t="n">
        <v>24.6</v>
      </c>
      <c r="D17" t="n">
        <v>22.9</v>
      </c>
      <c r="E17">
        <f>1</f>
        <v>1</v>
      </c>
      <c r="F17">
        <f>IF(OR(F_Custom1_Q="(None)",F_Custom1_Q="",ISBLANK(F_Custom1_Q),F_Custom1_V="(All)",F_Custom1_V="",ISBLANK(F_Custom1_V)),1,IFERROR(IF(ISNUMBER(SEARCH("|"&amp;INDEX(INDIRECT(F_Custom1_resolved_column),16)&amp;"|",F_Custom1_wrapped)),1,0),0))</f>
        <v>1</v>
      </c>
      <c r="G17">
        <f>IF(OR(F_Custom2_Q="(None)",F_Custom2_Q="",ISBLANK(F_Custom2_Q),F_Custom2_V="(All)",F_Custom2_V="",ISBLANK(F_Custom2_V)),1,IFERROR(IF(ISNUMBER(SEARCH("|"&amp;INDEX(INDIRECT(F_Custom2_resolved_column),16)&amp;"|",F_Custom2_wrapped)),1,0),0))</f>
        <v>1</v>
      </c>
      <c r="H17">
        <f>F17*G17*1</f>
        <v>1</v>
      </c>
      <c r="I17">
        <f>1</f>
        <v>1</v>
      </c>
      <c r="J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16)&amp;"|",All_Questions_Q20_F_wrapped)),1,0),0))</f>
        <v>1</v>
      </c>
    </row>
    <row r="18">
      <c r="A18" t="n">
        <v>17</v>
      </c>
      <c r="B18" t="n">
        <v>28.9</v>
      </c>
      <c r="C18" t="n">
        <v>24.6</v>
      </c>
      <c r="D18" t="n">
        <v>22.9</v>
      </c>
      <c r="E18">
        <f>1</f>
        <v>1</v>
      </c>
      <c r="F18">
        <f>IF(OR(F_Custom1_Q="(None)",F_Custom1_Q="",ISBLANK(F_Custom1_Q),F_Custom1_V="(All)",F_Custom1_V="",ISBLANK(F_Custom1_V)),1,IFERROR(IF(ISNUMBER(SEARCH("|"&amp;INDEX(INDIRECT(F_Custom1_resolved_column),17)&amp;"|",F_Custom1_wrapped)),1,0),0))</f>
        <v>1</v>
      </c>
      <c r="G18">
        <f>IF(OR(F_Custom2_Q="(None)",F_Custom2_Q="",ISBLANK(F_Custom2_Q),F_Custom2_V="(All)",F_Custom2_V="",ISBLANK(F_Custom2_V)),1,IFERROR(IF(ISNUMBER(SEARCH("|"&amp;INDEX(INDIRECT(F_Custom2_resolved_column),17)&amp;"|",F_Custom2_wrapped)),1,0),0))</f>
        <v>1</v>
      </c>
      <c r="H18">
        <f>F18*G18*1</f>
        <v>1</v>
      </c>
      <c r="I18">
        <f>1</f>
        <v>1</v>
      </c>
      <c r="J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17)&amp;"|",All_Questions_Q20_F_wrapped)),1,0),0))</f>
        <v>1</v>
      </c>
    </row>
    <row r="19">
      <c r="A19" t="n">
        <v>18</v>
      </c>
      <c r="B19" t="n">
        <v>28.9</v>
      </c>
      <c r="C19" t="n">
        <v>24.6</v>
      </c>
      <c r="D19" t="n">
        <v>22.9</v>
      </c>
      <c r="E19">
        <f>1</f>
        <v>1</v>
      </c>
      <c r="F19">
        <f>IF(OR(F_Custom1_Q="(None)",F_Custom1_Q="",ISBLANK(F_Custom1_Q),F_Custom1_V="(All)",F_Custom1_V="",ISBLANK(F_Custom1_V)),1,IFERROR(IF(ISNUMBER(SEARCH("|"&amp;INDEX(INDIRECT(F_Custom1_resolved_column),18)&amp;"|",F_Custom1_wrapped)),1,0),0))</f>
        <v>1</v>
      </c>
      <c r="G19">
        <f>IF(OR(F_Custom2_Q="(None)",F_Custom2_Q="",ISBLANK(F_Custom2_Q),F_Custom2_V="(All)",F_Custom2_V="",ISBLANK(F_Custom2_V)),1,IFERROR(IF(ISNUMBER(SEARCH("|"&amp;INDEX(INDIRECT(F_Custom2_resolved_column),18)&amp;"|",F_Custom2_wrapped)),1,0),0))</f>
        <v>1</v>
      </c>
      <c r="H19">
        <f>F19*G19*1</f>
        <v>1</v>
      </c>
      <c r="I19">
        <f>1</f>
        <v>1</v>
      </c>
      <c r="J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18)&amp;"|",All_Questions_Q20_F_wrapped)),1,0),0))</f>
        <v>1</v>
      </c>
    </row>
    <row r="20">
      <c r="A20" t="n">
        <v>19</v>
      </c>
      <c r="B20" t="n">
        <v>28.9</v>
      </c>
      <c r="C20" t="n">
        <v>24.6</v>
      </c>
      <c r="D20" t="n">
        <v>22.9</v>
      </c>
      <c r="E20">
        <f>1</f>
        <v>1</v>
      </c>
      <c r="F20">
        <f>IF(OR(F_Custom1_Q="(None)",F_Custom1_Q="",ISBLANK(F_Custom1_Q),F_Custom1_V="(All)",F_Custom1_V="",ISBLANK(F_Custom1_V)),1,IFERROR(IF(ISNUMBER(SEARCH("|"&amp;INDEX(INDIRECT(F_Custom1_resolved_column),19)&amp;"|",F_Custom1_wrapped)),1,0),0))</f>
        <v>1</v>
      </c>
      <c r="G20">
        <f>IF(OR(F_Custom2_Q="(None)",F_Custom2_Q="",ISBLANK(F_Custom2_Q),F_Custom2_V="(All)",F_Custom2_V="",ISBLANK(F_Custom2_V)),1,IFERROR(IF(ISNUMBER(SEARCH("|"&amp;INDEX(INDIRECT(F_Custom2_resolved_column),19)&amp;"|",F_Custom2_wrapped)),1,0),0))</f>
        <v>1</v>
      </c>
      <c r="H20">
        <f>F20*G20*1</f>
        <v>1</v>
      </c>
      <c r="I20">
        <f>1</f>
        <v>1</v>
      </c>
      <c r="J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19)&amp;"|",All_Questions_Q20_F_wrapped)),1,0),0))</f>
        <v>1</v>
      </c>
    </row>
    <row r="21">
      <c r="A21" t="n">
        <v>20</v>
      </c>
      <c r="B21" t="n">
        <v>28.9</v>
      </c>
      <c r="C21" t="n">
        <v>24.6</v>
      </c>
      <c r="D21" t="n">
        <v>22.9</v>
      </c>
      <c r="E21">
        <f>1</f>
        <v>1</v>
      </c>
      <c r="F21">
        <f>IF(OR(F_Custom1_Q="(None)",F_Custom1_Q="",ISBLANK(F_Custom1_Q),F_Custom1_V="(All)",F_Custom1_V="",ISBLANK(F_Custom1_V)),1,IFERROR(IF(ISNUMBER(SEARCH("|"&amp;INDEX(INDIRECT(F_Custom1_resolved_column),20)&amp;"|",F_Custom1_wrapped)),1,0),0))</f>
        <v>1</v>
      </c>
      <c r="G21">
        <f>IF(OR(F_Custom2_Q="(None)",F_Custom2_Q="",ISBLANK(F_Custom2_Q),F_Custom2_V="(All)",F_Custom2_V="",ISBLANK(F_Custom2_V)),1,IFERROR(IF(ISNUMBER(SEARCH("|"&amp;INDEX(INDIRECT(F_Custom2_resolved_column),20)&amp;"|",F_Custom2_wrapped)),1,0),0))</f>
        <v>1</v>
      </c>
      <c r="H21">
        <f>F21*G21*1</f>
        <v>1</v>
      </c>
      <c r="I21">
        <f>1</f>
        <v>1</v>
      </c>
      <c r="J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20)&amp;"|",All_Questions_Q20_F_wrapped)),1,0),0))</f>
        <v>1</v>
      </c>
    </row>
    <row r="22">
      <c r="A22" t="n">
        <v>21</v>
      </c>
      <c r="B22" t="n">
        <v>28.9</v>
      </c>
      <c r="C22" t="n">
        <v>24.6</v>
      </c>
      <c r="D22" t="n">
        <v>22.9</v>
      </c>
      <c r="E22">
        <f>1</f>
        <v>1</v>
      </c>
      <c r="F22">
        <f>IF(OR(F_Custom1_Q="(None)",F_Custom1_Q="",ISBLANK(F_Custom1_Q),F_Custom1_V="(All)",F_Custom1_V="",ISBLANK(F_Custom1_V)),1,IFERROR(IF(ISNUMBER(SEARCH("|"&amp;INDEX(INDIRECT(F_Custom1_resolved_column),21)&amp;"|",F_Custom1_wrapped)),1,0),0))</f>
        <v>1</v>
      </c>
      <c r="G22">
        <f>IF(OR(F_Custom2_Q="(None)",F_Custom2_Q="",ISBLANK(F_Custom2_Q),F_Custom2_V="(All)",F_Custom2_V="",ISBLANK(F_Custom2_V)),1,IFERROR(IF(ISNUMBER(SEARCH("|"&amp;INDEX(INDIRECT(F_Custom2_resolved_column),21)&amp;"|",F_Custom2_wrapped)),1,0),0))</f>
        <v>1</v>
      </c>
      <c r="H22">
        <f>F22*G22*1</f>
        <v>1</v>
      </c>
      <c r="I22">
        <f>1</f>
        <v>1</v>
      </c>
      <c r="J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21)&amp;"|",All_Questions_Q20_F_wrapped)),1,0),0))</f>
        <v>1</v>
      </c>
    </row>
    <row r="23">
      <c r="A23" t="n">
        <v>22</v>
      </c>
      <c r="B23" t="n">
        <v>28.9</v>
      </c>
      <c r="C23" t="n">
        <v>24.6</v>
      </c>
      <c r="D23" t="n">
        <v>22.9</v>
      </c>
      <c r="E23">
        <f>1</f>
        <v>1</v>
      </c>
      <c r="F23">
        <f>IF(OR(F_Custom1_Q="(None)",F_Custom1_Q="",ISBLANK(F_Custom1_Q),F_Custom1_V="(All)",F_Custom1_V="",ISBLANK(F_Custom1_V)),1,IFERROR(IF(ISNUMBER(SEARCH("|"&amp;INDEX(INDIRECT(F_Custom1_resolved_column),22)&amp;"|",F_Custom1_wrapped)),1,0),0))</f>
        <v>1</v>
      </c>
      <c r="G23">
        <f>IF(OR(F_Custom2_Q="(None)",F_Custom2_Q="",ISBLANK(F_Custom2_Q),F_Custom2_V="(All)",F_Custom2_V="",ISBLANK(F_Custom2_V)),1,IFERROR(IF(ISNUMBER(SEARCH("|"&amp;INDEX(INDIRECT(F_Custom2_resolved_column),22)&amp;"|",F_Custom2_wrapped)),1,0),0))</f>
        <v>1</v>
      </c>
      <c r="H23">
        <f>F23*G23*1</f>
        <v>1</v>
      </c>
      <c r="I23">
        <f>1</f>
        <v>1</v>
      </c>
      <c r="J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22)&amp;"|",All_Questions_Q20_F_wrapped)),1,0),0))</f>
        <v>1</v>
      </c>
    </row>
    <row r="24">
      <c r="A24" t="n">
        <v>23</v>
      </c>
      <c r="B24" t="n">
        <v>28.9</v>
      </c>
      <c r="C24" t="n">
        <v>24.6</v>
      </c>
      <c r="D24" t="n">
        <v>22.9</v>
      </c>
      <c r="E24">
        <f>1</f>
        <v>1</v>
      </c>
      <c r="F24">
        <f>IF(OR(F_Custom1_Q="(None)",F_Custom1_Q="",ISBLANK(F_Custom1_Q),F_Custom1_V="(All)",F_Custom1_V="",ISBLANK(F_Custom1_V)),1,IFERROR(IF(ISNUMBER(SEARCH("|"&amp;INDEX(INDIRECT(F_Custom1_resolved_column),23)&amp;"|",F_Custom1_wrapped)),1,0),0))</f>
        <v>1</v>
      </c>
      <c r="G24">
        <f>IF(OR(F_Custom2_Q="(None)",F_Custom2_Q="",ISBLANK(F_Custom2_Q),F_Custom2_V="(All)",F_Custom2_V="",ISBLANK(F_Custom2_V)),1,IFERROR(IF(ISNUMBER(SEARCH("|"&amp;INDEX(INDIRECT(F_Custom2_resolved_column),23)&amp;"|",F_Custom2_wrapped)),1,0),0))</f>
        <v>1</v>
      </c>
      <c r="H24">
        <f>F24*G24*1</f>
        <v>1</v>
      </c>
      <c r="I24">
        <f>1</f>
        <v>1</v>
      </c>
      <c r="J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23)&amp;"|",All_Questions_Q20_F_wrapped)),1,0),0))</f>
        <v>1</v>
      </c>
    </row>
    <row r="25">
      <c r="A25" t="n">
        <v>24</v>
      </c>
      <c r="B25" t="n">
        <v>28.9</v>
      </c>
      <c r="C25" t="n">
        <v>24.6</v>
      </c>
      <c r="D25" t="n">
        <v>22.9</v>
      </c>
      <c r="E25">
        <f>1</f>
        <v>1</v>
      </c>
      <c r="F25">
        <f>IF(OR(F_Custom1_Q="(None)",F_Custom1_Q="",ISBLANK(F_Custom1_Q),F_Custom1_V="(All)",F_Custom1_V="",ISBLANK(F_Custom1_V)),1,IFERROR(IF(ISNUMBER(SEARCH("|"&amp;INDEX(INDIRECT(F_Custom1_resolved_column),24)&amp;"|",F_Custom1_wrapped)),1,0),0))</f>
        <v>1</v>
      </c>
      <c r="G25">
        <f>IF(OR(F_Custom2_Q="(None)",F_Custom2_Q="",ISBLANK(F_Custom2_Q),F_Custom2_V="(All)",F_Custom2_V="",ISBLANK(F_Custom2_V)),1,IFERROR(IF(ISNUMBER(SEARCH("|"&amp;INDEX(INDIRECT(F_Custom2_resolved_column),24)&amp;"|",F_Custom2_wrapped)),1,0),0))</f>
        <v>1</v>
      </c>
      <c r="H25">
        <f>F25*G25*1</f>
        <v>1</v>
      </c>
      <c r="I25">
        <f>1</f>
        <v>1</v>
      </c>
      <c r="J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24)&amp;"|",All_Questions_Q20_F_wrapped)),1,0),0))</f>
        <v>1</v>
      </c>
    </row>
    <row r="26">
      <c r="A26" t="n">
        <v>25</v>
      </c>
      <c r="B26" t="n">
        <v>28.9</v>
      </c>
      <c r="C26" t="n">
        <v>24.6</v>
      </c>
      <c r="D26" t="n">
        <v>22.9</v>
      </c>
      <c r="E26">
        <f>1</f>
        <v>1</v>
      </c>
      <c r="F26">
        <f>IF(OR(F_Custom1_Q="(None)",F_Custom1_Q="",ISBLANK(F_Custom1_Q),F_Custom1_V="(All)",F_Custom1_V="",ISBLANK(F_Custom1_V)),1,IFERROR(IF(ISNUMBER(SEARCH("|"&amp;INDEX(INDIRECT(F_Custom1_resolved_column),25)&amp;"|",F_Custom1_wrapped)),1,0),0))</f>
        <v>1</v>
      </c>
      <c r="G26">
        <f>IF(OR(F_Custom2_Q="(None)",F_Custom2_Q="",ISBLANK(F_Custom2_Q),F_Custom2_V="(All)",F_Custom2_V="",ISBLANK(F_Custom2_V)),1,IFERROR(IF(ISNUMBER(SEARCH("|"&amp;INDEX(INDIRECT(F_Custom2_resolved_column),25)&amp;"|",F_Custom2_wrapped)),1,0),0))</f>
        <v>1</v>
      </c>
      <c r="H26">
        <f>F26*G26*1</f>
        <v>1</v>
      </c>
      <c r="I26">
        <f>1</f>
        <v>1</v>
      </c>
      <c r="J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25)&amp;"|",All_Questions_Q20_F_wrapped)),1,0),0))</f>
        <v>1</v>
      </c>
    </row>
    <row r="27">
      <c r="A27" t="n">
        <v>26</v>
      </c>
      <c r="B27" t="n">
        <v>28.9</v>
      </c>
      <c r="C27" t="n">
        <v>24.6</v>
      </c>
      <c r="D27" t="n">
        <v>22.9</v>
      </c>
      <c r="E27">
        <f>1</f>
        <v>1</v>
      </c>
      <c r="F27">
        <f>IF(OR(F_Custom1_Q="(None)",F_Custom1_Q="",ISBLANK(F_Custom1_Q),F_Custom1_V="(All)",F_Custom1_V="",ISBLANK(F_Custom1_V)),1,IFERROR(IF(ISNUMBER(SEARCH("|"&amp;INDEX(INDIRECT(F_Custom1_resolved_column),26)&amp;"|",F_Custom1_wrapped)),1,0),0))</f>
        <v>1</v>
      </c>
      <c r="G27">
        <f>IF(OR(F_Custom2_Q="(None)",F_Custom2_Q="",ISBLANK(F_Custom2_Q),F_Custom2_V="(All)",F_Custom2_V="",ISBLANK(F_Custom2_V)),1,IFERROR(IF(ISNUMBER(SEARCH("|"&amp;INDEX(INDIRECT(F_Custom2_resolved_column),26)&amp;"|",F_Custom2_wrapped)),1,0),0))</f>
        <v>1</v>
      </c>
      <c r="H27">
        <f>F27*G27*1</f>
        <v>1</v>
      </c>
      <c r="I27">
        <f>1</f>
        <v>1</v>
      </c>
      <c r="J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26)&amp;"|",All_Questions_Q20_F_wrapped)),1,0),0))</f>
        <v>1</v>
      </c>
    </row>
    <row r="28">
      <c r="A28" t="n">
        <v>27</v>
      </c>
      <c r="B28" t="n">
        <v>28.9</v>
      </c>
      <c r="C28" t="n">
        <v>24.6</v>
      </c>
      <c r="D28" t="n">
        <v>22.9</v>
      </c>
      <c r="E28">
        <f>1</f>
        <v>1</v>
      </c>
      <c r="F28">
        <f>IF(OR(F_Custom1_Q="(None)",F_Custom1_Q="",ISBLANK(F_Custom1_Q),F_Custom1_V="(All)",F_Custom1_V="",ISBLANK(F_Custom1_V)),1,IFERROR(IF(ISNUMBER(SEARCH("|"&amp;INDEX(INDIRECT(F_Custom1_resolved_column),27)&amp;"|",F_Custom1_wrapped)),1,0),0))</f>
        <v>1</v>
      </c>
      <c r="G28">
        <f>IF(OR(F_Custom2_Q="(None)",F_Custom2_Q="",ISBLANK(F_Custom2_Q),F_Custom2_V="(All)",F_Custom2_V="",ISBLANK(F_Custom2_V)),1,IFERROR(IF(ISNUMBER(SEARCH("|"&amp;INDEX(INDIRECT(F_Custom2_resolved_column),27)&amp;"|",F_Custom2_wrapped)),1,0),0))</f>
        <v>1</v>
      </c>
      <c r="H28">
        <f>F28*G28*1</f>
        <v>1</v>
      </c>
      <c r="I28">
        <f>1</f>
        <v>1</v>
      </c>
      <c r="J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27)&amp;"|",All_Questions_Q20_F_wrapped)),1,0),0))</f>
        <v>1</v>
      </c>
    </row>
    <row r="29">
      <c r="A29" t="n">
        <v>28</v>
      </c>
      <c r="B29" t="n">
        <v>28.9</v>
      </c>
      <c r="C29" t="n">
        <v>24.6</v>
      </c>
      <c r="D29" t="n">
        <v>22.9</v>
      </c>
      <c r="E29">
        <f>1</f>
        <v>1</v>
      </c>
      <c r="F29">
        <f>IF(OR(F_Custom1_Q="(None)",F_Custom1_Q="",ISBLANK(F_Custom1_Q),F_Custom1_V="(All)",F_Custom1_V="",ISBLANK(F_Custom1_V)),1,IFERROR(IF(ISNUMBER(SEARCH("|"&amp;INDEX(INDIRECT(F_Custom1_resolved_column),28)&amp;"|",F_Custom1_wrapped)),1,0),0))</f>
        <v>1</v>
      </c>
      <c r="G29">
        <f>IF(OR(F_Custom2_Q="(None)",F_Custom2_Q="",ISBLANK(F_Custom2_Q),F_Custom2_V="(All)",F_Custom2_V="",ISBLANK(F_Custom2_V)),1,IFERROR(IF(ISNUMBER(SEARCH("|"&amp;INDEX(INDIRECT(F_Custom2_resolved_column),28)&amp;"|",F_Custom2_wrapped)),1,0),0))</f>
        <v>1</v>
      </c>
      <c r="H29">
        <f>F29*G29*1</f>
        <v>1</v>
      </c>
      <c r="I29">
        <f>1</f>
        <v>1</v>
      </c>
      <c r="J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28)&amp;"|",All_Questions_Q20_F_wrapped)),1,0),0))</f>
        <v>1</v>
      </c>
    </row>
    <row r="30">
      <c r="A30" t="n">
        <v>29</v>
      </c>
      <c r="B30" t="n">
        <v>28.9</v>
      </c>
      <c r="C30" t="n">
        <v>24.6</v>
      </c>
      <c r="D30" t="n">
        <v>22.9</v>
      </c>
      <c r="E30">
        <f>1</f>
        <v>1</v>
      </c>
      <c r="F30">
        <f>IF(OR(F_Custom1_Q="(None)",F_Custom1_Q="",ISBLANK(F_Custom1_Q),F_Custom1_V="(All)",F_Custom1_V="",ISBLANK(F_Custom1_V)),1,IFERROR(IF(ISNUMBER(SEARCH("|"&amp;INDEX(INDIRECT(F_Custom1_resolved_column),29)&amp;"|",F_Custom1_wrapped)),1,0),0))</f>
        <v>1</v>
      </c>
      <c r="G30">
        <f>IF(OR(F_Custom2_Q="(None)",F_Custom2_Q="",ISBLANK(F_Custom2_Q),F_Custom2_V="(All)",F_Custom2_V="",ISBLANK(F_Custom2_V)),1,IFERROR(IF(ISNUMBER(SEARCH("|"&amp;INDEX(INDIRECT(F_Custom2_resolved_column),29)&amp;"|",F_Custom2_wrapped)),1,0),0))</f>
        <v>1</v>
      </c>
      <c r="H30">
        <f>F30*G30*1</f>
        <v>1</v>
      </c>
      <c r="I30">
        <f>1</f>
        <v>1</v>
      </c>
      <c r="J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29)&amp;"|",All_Questions_Q20_F_wrapped)),1,0),0))</f>
        <v>1</v>
      </c>
    </row>
    <row r="31">
      <c r="A31" t="n">
        <v>30</v>
      </c>
      <c r="B31" t="n">
        <v>28.9</v>
      </c>
      <c r="C31" t="n">
        <v>24.6</v>
      </c>
      <c r="D31" t="n">
        <v>22.9</v>
      </c>
      <c r="E31">
        <f>1</f>
        <v>1</v>
      </c>
      <c r="F31">
        <f>IF(OR(F_Custom1_Q="(None)",F_Custom1_Q="",ISBLANK(F_Custom1_Q),F_Custom1_V="(All)",F_Custom1_V="",ISBLANK(F_Custom1_V)),1,IFERROR(IF(ISNUMBER(SEARCH("|"&amp;INDEX(INDIRECT(F_Custom1_resolved_column),30)&amp;"|",F_Custom1_wrapped)),1,0),0))</f>
        <v>1</v>
      </c>
      <c r="G31">
        <f>IF(OR(F_Custom2_Q="(None)",F_Custom2_Q="",ISBLANK(F_Custom2_Q),F_Custom2_V="(All)",F_Custom2_V="",ISBLANK(F_Custom2_V)),1,IFERROR(IF(ISNUMBER(SEARCH("|"&amp;INDEX(INDIRECT(F_Custom2_resolved_column),30)&amp;"|",F_Custom2_wrapped)),1,0),0))</f>
        <v>1</v>
      </c>
      <c r="H31">
        <f>F31*G31*1</f>
        <v>1</v>
      </c>
      <c r="I31">
        <f>1</f>
        <v>1</v>
      </c>
      <c r="J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30)&amp;"|",All_Questions_Q20_F_wrapped)),1,0),0))</f>
        <v>1</v>
      </c>
    </row>
    <row r="32">
      <c r="A32" t="n">
        <v>31</v>
      </c>
      <c r="B32" t="n">
        <v>28.9</v>
      </c>
      <c r="C32" t="n">
        <v>24.6</v>
      </c>
      <c r="D32" t="n">
        <v>22.9</v>
      </c>
      <c r="E32">
        <f>1</f>
        <v>1</v>
      </c>
      <c r="F32">
        <f>IF(OR(F_Custom1_Q="(None)",F_Custom1_Q="",ISBLANK(F_Custom1_Q),F_Custom1_V="(All)",F_Custom1_V="",ISBLANK(F_Custom1_V)),1,IFERROR(IF(ISNUMBER(SEARCH("|"&amp;INDEX(INDIRECT(F_Custom1_resolved_column),31)&amp;"|",F_Custom1_wrapped)),1,0),0))</f>
        <v>1</v>
      </c>
      <c r="G32">
        <f>IF(OR(F_Custom2_Q="(None)",F_Custom2_Q="",ISBLANK(F_Custom2_Q),F_Custom2_V="(All)",F_Custom2_V="",ISBLANK(F_Custom2_V)),1,IFERROR(IF(ISNUMBER(SEARCH("|"&amp;INDEX(INDIRECT(F_Custom2_resolved_column),31)&amp;"|",F_Custom2_wrapped)),1,0),0))</f>
        <v>1</v>
      </c>
      <c r="H32">
        <f>F32*G32*1</f>
        <v>1</v>
      </c>
      <c r="I32">
        <f>1</f>
        <v>1</v>
      </c>
      <c r="J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31)&amp;"|",All_Questions_Q20_F_wrapped)),1,0),0))</f>
        <v>1</v>
      </c>
    </row>
    <row r="33">
      <c r="A33" t="n">
        <v>32</v>
      </c>
      <c r="B33" t="n">
        <v>28.9</v>
      </c>
      <c r="C33" t="n">
        <v>24.6</v>
      </c>
      <c r="D33" t="n">
        <v>22.9</v>
      </c>
      <c r="E33">
        <f>1</f>
        <v>1</v>
      </c>
      <c r="F33">
        <f>IF(OR(F_Custom1_Q="(None)",F_Custom1_Q="",ISBLANK(F_Custom1_Q),F_Custom1_V="(All)",F_Custom1_V="",ISBLANK(F_Custom1_V)),1,IFERROR(IF(ISNUMBER(SEARCH("|"&amp;INDEX(INDIRECT(F_Custom1_resolved_column),32)&amp;"|",F_Custom1_wrapped)),1,0),0))</f>
        <v>1</v>
      </c>
      <c r="G33">
        <f>IF(OR(F_Custom2_Q="(None)",F_Custom2_Q="",ISBLANK(F_Custom2_Q),F_Custom2_V="(All)",F_Custom2_V="",ISBLANK(F_Custom2_V)),1,IFERROR(IF(ISNUMBER(SEARCH("|"&amp;INDEX(INDIRECT(F_Custom2_resolved_column),32)&amp;"|",F_Custom2_wrapped)),1,0),0))</f>
        <v>1</v>
      </c>
      <c r="H33">
        <f>F33*G33*1</f>
        <v>1</v>
      </c>
      <c r="I33">
        <f>1</f>
        <v>1</v>
      </c>
      <c r="J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32)&amp;"|",All_Questions_Q20_F_wrapped)),1,0),0))</f>
        <v>1</v>
      </c>
    </row>
    <row r="34">
      <c r="A34" t="n">
        <v>33</v>
      </c>
      <c r="B34" t="n">
        <v>28.9</v>
      </c>
      <c r="C34" t="n">
        <v>24.6</v>
      </c>
      <c r="D34" t="n">
        <v>22.9</v>
      </c>
      <c r="E34">
        <f>1</f>
        <v>1</v>
      </c>
      <c r="F34">
        <f>IF(OR(F_Custom1_Q="(None)",F_Custom1_Q="",ISBLANK(F_Custom1_Q),F_Custom1_V="(All)",F_Custom1_V="",ISBLANK(F_Custom1_V)),1,IFERROR(IF(ISNUMBER(SEARCH("|"&amp;INDEX(INDIRECT(F_Custom1_resolved_column),33)&amp;"|",F_Custom1_wrapped)),1,0),0))</f>
        <v>1</v>
      </c>
      <c r="G34">
        <f>IF(OR(F_Custom2_Q="(None)",F_Custom2_Q="",ISBLANK(F_Custom2_Q),F_Custom2_V="(All)",F_Custom2_V="",ISBLANK(F_Custom2_V)),1,IFERROR(IF(ISNUMBER(SEARCH("|"&amp;INDEX(INDIRECT(F_Custom2_resolved_column),33)&amp;"|",F_Custom2_wrapped)),1,0),0))</f>
        <v>1</v>
      </c>
      <c r="H34">
        <f>F34*G34*1</f>
        <v>1</v>
      </c>
      <c r="I34">
        <f>1</f>
        <v>1</v>
      </c>
      <c r="J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33)&amp;"|",All_Questions_Q20_F_wrapped)),1,0),0))</f>
        <v>1</v>
      </c>
    </row>
    <row r="35">
      <c r="A35" t="n">
        <v>34</v>
      </c>
      <c r="B35" t="n">
        <v>28.9</v>
      </c>
      <c r="C35" t="n">
        <v>24.6</v>
      </c>
      <c r="D35" t="n">
        <v>22.9</v>
      </c>
      <c r="E35">
        <f>1</f>
        <v>1</v>
      </c>
      <c r="F35">
        <f>IF(OR(F_Custom1_Q="(None)",F_Custom1_Q="",ISBLANK(F_Custom1_Q),F_Custom1_V="(All)",F_Custom1_V="",ISBLANK(F_Custom1_V)),1,IFERROR(IF(ISNUMBER(SEARCH("|"&amp;INDEX(INDIRECT(F_Custom1_resolved_column),34)&amp;"|",F_Custom1_wrapped)),1,0),0))</f>
        <v>1</v>
      </c>
      <c r="G35">
        <f>IF(OR(F_Custom2_Q="(None)",F_Custom2_Q="",ISBLANK(F_Custom2_Q),F_Custom2_V="(All)",F_Custom2_V="",ISBLANK(F_Custom2_V)),1,IFERROR(IF(ISNUMBER(SEARCH("|"&amp;INDEX(INDIRECT(F_Custom2_resolved_column),34)&amp;"|",F_Custom2_wrapped)),1,0),0))</f>
        <v>1</v>
      </c>
      <c r="H35">
        <f>F35*G35*1</f>
        <v>1</v>
      </c>
      <c r="I35">
        <f>1</f>
        <v>1</v>
      </c>
      <c r="J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34)&amp;"|",All_Questions_Q20_F_wrapped)),1,0),0))</f>
        <v>1</v>
      </c>
    </row>
    <row r="36">
      <c r="A36" t="n">
        <v>35</v>
      </c>
      <c r="B36" t="n">
        <v>28.9</v>
      </c>
      <c r="C36" t="n">
        <v>24.6</v>
      </c>
      <c r="D36" t="n">
        <v>22.9</v>
      </c>
      <c r="E36">
        <f>1</f>
        <v>1</v>
      </c>
      <c r="F36">
        <f>IF(OR(F_Custom1_Q="(None)",F_Custom1_Q="",ISBLANK(F_Custom1_Q),F_Custom1_V="(All)",F_Custom1_V="",ISBLANK(F_Custom1_V)),1,IFERROR(IF(ISNUMBER(SEARCH("|"&amp;INDEX(INDIRECT(F_Custom1_resolved_column),35)&amp;"|",F_Custom1_wrapped)),1,0),0))</f>
        <v>1</v>
      </c>
      <c r="G36">
        <f>IF(OR(F_Custom2_Q="(None)",F_Custom2_Q="",ISBLANK(F_Custom2_Q),F_Custom2_V="(All)",F_Custom2_V="",ISBLANK(F_Custom2_V)),1,IFERROR(IF(ISNUMBER(SEARCH("|"&amp;INDEX(INDIRECT(F_Custom2_resolved_column),35)&amp;"|",F_Custom2_wrapped)),1,0),0))</f>
        <v>1</v>
      </c>
      <c r="H36">
        <f>F36*G36*1</f>
        <v>1</v>
      </c>
      <c r="I36">
        <f>1</f>
        <v>1</v>
      </c>
      <c r="J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35)&amp;"|",All_Questions_Q20_F_wrapped)),1,0),0))</f>
        <v>1</v>
      </c>
    </row>
    <row r="37">
      <c r="A37" t="n">
        <v>36</v>
      </c>
      <c r="B37" t="n">
        <v>28.9</v>
      </c>
      <c r="C37" t="n">
        <v>24.6</v>
      </c>
      <c r="D37" t="n">
        <v>22.9</v>
      </c>
      <c r="E37">
        <f>1</f>
        <v>1</v>
      </c>
      <c r="F37">
        <f>IF(OR(F_Custom1_Q="(None)",F_Custom1_Q="",ISBLANK(F_Custom1_Q),F_Custom1_V="(All)",F_Custom1_V="",ISBLANK(F_Custom1_V)),1,IFERROR(IF(ISNUMBER(SEARCH("|"&amp;INDEX(INDIRECT(F_Custom1_resolved_column),36)&amp;"|",F_Custom1_wrapped)),1,0),0))</f>
        <v>1</v>
      </c>
      <c r="G37">
        <f>IF(OR(F_Custom2_Q="(None)",F_Custom2_Q="",ISBLANK(F_Custom2_Q),F_Custom2_V="(All)",F_Custom2_V="",ISBLANK(F_Custom2_V)),1,IFERROR(IF(ISNUMBER(SEARCH("|"&amp;INDEX(INDIRECT(F_Custom2_resolved_column),36)&amp;"|",F_Custom2_wrapped)),1,0),0))</f>
        <v>1</v>
      </c>
      <c r="H37">
        <f>F37*G37*1</f>
        <v>1</v>
      </c>
      <c r="I37">
        <f>1</f>
        <v>1</v>
      </c>
      <c r="J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36)&amp;"|",All_Questions_Q20_F_wrapped)),1,0),0))</f>
        <v>1</v>
      </c>
    </row>
    <row r="38">
      <c r="A38" t="n">
        <v>37</v>
      </c>
      <c r="B38" t="n">
        <v>28.9</v>
      </c>
      <c r="C38" t="n">
        <v>24.6</v>
      </c>
      <c r="D38" t="n">
        <v>22.9</v>
      </c>
      <c r="E38">
        <f>1</f>
        <v>1</v>
      </c>
      <c r="F38">
        <f>IF(OR(F_Custom1_Q="(None)",F_Custom1_Q="",ISBLANK(F_Custom1_Q),F_Custom1_V="(All)",F_Custom1_V="",ISBLANK(F_Custom1_V)),1,IFERROR(IF(ISNUMBER(SEARCH("|"&amp;INDEX(INDIRECT(F_Custom1_resolved_column),37)&amp;"|",F_Custom1_wrapped)),1,0),0))</f>
        <v>1</v>
      </c>
      <c r="G38">
        <f>IF(OR(F_Custom2_Q="(None)",F_Custom2_Q="",ISBLANK(F_Custom2_Q),F_Custom2_V="(All)",F_Custom2_V="",ISBLANK(F_Custom2_V)),1,IFERROR(IF(ISNUMBER(SEARCH("|"&amp;INDEX(INDIRECT(F_Custom2_resolved_column),37)&amp;"|",F_Custom2_wrapped)),1,0),0))</f>
        <v>1</v>
      </c>
      <c r="H38">
        <f>F38*G38*1</f>
        <v>1</v>
      </c>
      <c r="I38">
        <f>1</f>
        <v>1</v>
      </c>
      <c r="J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37)&amp;"|",All_Questions_Q20_F_wrapped)),1,0),0))</f>
        <v>1</v>
      </c>
    </row>
    <row r="39">
      <c r="A39" t="n">
        <v>38</v>
      </c>
      <c r="B39" t="n">
        <v>28.9</v>
      </c>
      <c r="C39" t="n">
        <v>24.6</v>
      </c>
      <c r="D39" t="n">
        <v>22.9</v>
      </c>
      <c r="E39">
        <f>1</f>
        <v>1</v>
      </c>
      <c r="F39">
        <f>IF(OR(F_Custom1_Q="(None)",F_Custom1_Q="",ISBLANK(F_Custom1_Q),F_Custom1_V="(All)",F_Custom1_V="",ISBLANK(F_Custom1_V)),1,IFERROR(IF(ISNUMBER(SEARCH("|"&amp;INDEX(INDIRECT(F_Custom1_resolved_column),38)&amp;"|",F_Custom1_wrapped)),1,0),0))</f>
        <v>1</v>
      </c>
      <c r="G39">
        <f>IF(OR(F_Custom2_Q="(None)",F_Custom2_Q="",ISBLANK(F_Custom2_Q),F_Custom2_V="(All)",F_Custom2_V="",ISBLANK(F_Custom2_V)),1,IFERROR(IF(ISNUMBER(SEARCH("|"&amp;INDEX(INDIRECT(F_Custom2_resolved_column),38)&amp;"|",F_Custom2_wrapped)),1,0),0))</f>
        <v>1</v>
      </c>
      <c r="H39">
        <f>F39*G39*1</f>
        <v>1</v>
      </c>
      <c r="I39">
        <f>1</f>
        <v>1</v>
      </c>
      <c r="J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38)&amp;"|",All_Questions_Q20_F_wrapped)),1,0),0))</f>
        <v>1</v>
      </c>
    </row>
    <row r="40">
      <c r="A40" t="n">
        <v>39</v>
      </c>
      <c r="B40" t="n">
        <v>28.9</v>
      </c>
      <c r="C40" t="n">
        <v>24.6</v>
      </c>
      <c r="D40" t="n">
        <v>22.9</v>
      </c>
      <c r="E40">
        <f>1</f>
        <v>1</v>
      </c>
      <c r="F40">
        <f>IF(OR(F_Custom1_Q="(None)",F_Custom1_Q="",ISBLANK(F_Custom1_Q),F_Custom1_V="(All)",F_Custom1_V="",ISBLANK(F_Custom1_V)),1,IFERROR(IF(ISNUMBER(SEARCH("|"&amp;INDEX(INDIRECT(F_Custom1_resolved_column),39)&amp;"|",F_Custom1_wrapped)),1,0),0))</f>
        <v>1</v>
      </c>
      <c r="G40">
        <f>IF(OR(F_Custom2_Q="(None)",F_Custom2_Q="",ISBLANK(F_Custom2_Q),F_Custom2_V="(All)",F_Custom2_V="",ISBLANK(F_Custom2_V)),1,IFERROR(IF(ISNUMBER(SEARCH("|"&amp;INDEX(INDIRECT(F_Custom2_resolved_column),39)&amp;"|",F_Custom2_wrapped)),1,0),0))</f>
        <v>1</v>
      </c>
      <c r="H40">
        <f>F40*G40*1</f>
        <v>1</v>
      </c>
      <c r="I40">
        <f>1</f>
        <v>1</v>
      </c>
      <c r="J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39)&amp;"|",All_Questions_Q20_F_wrapped)),1,0),0))</f>
        <v>1</v>
      </c>
    </row>
    <row r="41">
      <c r="A41" t="n">
        <v>40</v>
      </c>
      <c r="B41" t="n">
        <v>28.9</v>
      </c>
      <c r="C41" t="n">
        <v>24.6</v>
      </c>
      <c r="D41" t="n">
        <v>22.9</v>
      </c>
      <c r="E41">
        <f>1</f>
        <v>1</v>
      </c>
      <c r="F41">
        <f>IF(OR(F_Custom1_Q="(None)",F_Custom1_Q="",ISBLANK(F_Custom1_Q),F_Custom1_V="(All)",F_Custom1_V="",ISBLANK(F_Custom1_V)),1,IFERROR(IF(ISNUMBER(SEARCH("|"&amp;INDEX(INDIRECT(F_Custom1_resolved_column),40)&amp;"|",F_Custom1_wrapped)),1,0),0))</f>
        <v>1</v>
      </c>
      <c r="G41">
        <f>IF(OR(F_Custom2_Q="(None)",F_Custom2_Q="",ISBLANK(F_Custom2_Q),F_Custom2_V="(All)",F_Custom2_V="",ISBLANK(F_Custom2_V)),1,IFERROR(IF(ISNUMBER(SEARCH("|"&amp;INDEX(INDIRECT(F_Custom2_resolved_column),40)&amp;"|",F_Custom2_wrapped)),1,0),0))</f>
        <v>1</v>
      </c>
      <c r="H41">
        <f>F41*G41*1</f>
        <v>1</v>
      </c>
      <c r="I41">
        <f>1</f>
        <v>1</v>
      </c>
      <c r="J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40)&amp;"|",All_Questions_Q20_F_wrapped)),1,0),0))</f>
        <v>1</v>
      </c>
    </row>
    <row r="42">
      <c r="A42" t="n">
        <v>41</v>
      </c>
      <c r="B42" t="n">
        <v>28.9</v>
      </c>
      <c r="C42" t="n">
        <v>24.6</v>
      </c>
      <c r="D42" t="n">
        <v>22.9</v>
      </c>
      <c r="E42">
        <f>1</f>
        <v>1</v>
      </c>
      <c r="F42">
        <f>IF(OR(F_Custom1_Q="(None)",F_Custom1_Q="",ISBLANK(F_Custom1_Q),F_Custom1_V="(All)",F_Custom1_V="",ISBLANK(F_Custom1_V)),1,IFERROR(IF(ISNUMBER(SEARCH("|"&amp;INDEX(INDIRECT(F_Custom1_resolved_column),41)&amp;"|",F_Custom1_wrapped)),1,0),0))</f>
        <v>1</v>
      </c>
      <c r="G42">
        <f>IF(OR(F_Custom2_Q="(None)",F_Custom2_Q="",ISBLANK(F_Custom2_Q),F_Custom2_V="(All)",F_Custom2_V="",ISBLANK(F_Custom2_V)),1,IFERROR(IF(ISNUMBER(SEARCH("|"&amp;INDEX(INDIRECT(F_Custom2_resolved_column),41)&amp;"|",F_Custom2_wrapped)),1,0),0))</f>
        <v>1</v>
      </c>
      <c r="H42">
        <f>F42*G42*1</f>
        <v>1</v>
      </c>
      <c r="I42">
        <f>1</f>
        <v>1</v>
      </c>
      <c r="J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41)&amp;"|",All_Questions_Q20_F_wrapped)),1,0),0))</f>
        <v>1</v>
      </c>
    </row>
    <row r="43">
      <c r="A43" t="n">
        <v>42</v>
      </c>
      <c r="B43" t="n">
        <v>28.9</v>
      </c>
      <c r="C43" t="n">
        <v>24.6</v>
      </c>
      <c r="D43" t="n">
        <v>22.9</v>
      </c>
      <c r="E43">
        <f>1</f>
        <v>1</v>
      </c>
      <c r="F43">
        <f>IF(OR(F_Custom1_Q="(None)",F_Custom1_Q="",ISBLANK(F_Custom1_Q),F_Custom1_V="(All)",F_Custom1_V="",ISBLANK(F_Custom1_V)),1,IFERROR(IF(ISNUMBER(SEARCH("|"&amp;INDEX(INDIRECT(F_Custom1_resolved_column),42)&amp;"|",F_Custom1_wrapped)),1,0),0))</f>
        <v>1</v>
      </c>
      <c r="G43">
        <f>IF(OR(F_Custom2_Q="(None)",F_Custom2_Q="",ISBLANK(F_Custom2_Q),F_Custom2_V="(All)",F_Custom2_V="",ISBLANK(F_Custom2_V)),1,IFERROR(IF(ISNUMBER(SEARCH("|"&amp;INDEX(INDIRECT(F_Custom2_resolved_column),42)&amp;"|",F_Custom2_wrapped)),1,0),0))</f>
        <v>1</v>
      </c>
      <c r="H43">
        <f>F43*G43*1</f>
        <v>1</v>
      </c>
      <c r="I43">
        <f>1</f>
        <v>1</v>
      </c>
      <c r="J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42)&amp;"|",All_Questions_Q20_F_wrapped)),1,0),0))</f>
        <v>1</v>
      </c>
    </row>
    <row r="44">
      <c r="A44" t="n">
        <v>43</v>
      </c>
      <c r="B44" t="n">
        <v>28.9</v>
      </c>
      <c r="C44" t="n">
        <v>24.6</v>
      </c>
      <c r="D44" t="n">
        <v>22.9</v>
      </c>
      <c r="E44">
        <f>1</f>
        <v>1</v>
      </c>
      <c r="F44">
        <f>IF(OR(F_Custom1_Q="(None)",F_Custom1_Q="",ISBLANK(F_Custom1_Q),F_Custom1_V="(All)",F_Custom1_V="",ISBLANK(F_Custom1_V)),1,IFERROR(IF(ISNUMBER(SEARCH("|"&amp;INDEX(INDIRECT(F_Custom1_resolved_column),43)&amp;"|",F_Custom1_wrapped)),1,0),0))</f>
        <v>1</v>
      </c>
      <c r="G44">
        <f>IF(OR(F_Custom2_Q="(None)",F_Custom2_Q="",ISBLANK(F_Custom2_Q),F_Custom2_V="(All)",F_Custom2_V="",ISBLANK(F_Custom2_V)),1,IFERROR(IF(ISNUMBER(SEARCH("|"&amp;INDEX(INDIRECT(F_Custom2_resolved_column),43)&amp;"|",F_Custom2_wrapped)),1,0),0))</f>
        <v>1</v>
      </c>
      <c r="H44">
        <f>F44*G44*1</f>
        <v>1</v>
      </c>
      <c r="I44">
        <f>1</f>
        <v>1</v>
      </c>
      <c r="J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43)&amp;"|",All_Questions_Q20_F_wrapped)),1,0),0))</f>
        <v>1</v>
      </c>
    </row>
    <row r="45">
      <c r="A45" t="n">
        <v>44</v>
      </c>
      <c r="B45" t="n">
        <v>28.9</v>
      </c>
      <c r="C45" t="n">
        <v>24.6</v>
      </c>
      <c r="D45" t="n">
        <v>22.9</v>
      </c>
      <c r="E45">
        <f>1</f>
        <v>1</v>
      </c>
      <c r="F45">
        <f>IF(OR(F_Custom1_Q="(None)",F_Custom1_Q="",ISBLANK(F_Custom1_Q),F_Custom1_V="(All)",F_Custom1_V="",ISBLANK(F_Custom1_V)),1,IFERROR(IF(ISNUMBER(SEARCH("|"&amp;INDEX(INDIRECT(F_Custom1_resolved_column),44)&amp;"|",F_Custom1_wrapped)),1,0),0))</f>
        <v>1</v>
      </c>
      <c r="G45">
        <f>IF(OR(F_Custom2_Q="(None)",F_Custom2_Q="",ISBLANK(F_Custom2_Q),F_Custom2_V="(All)",F_Custom2_V="",ISBLANK(F_Custom2_V)),1,IFERROR(IF(ISNUMBER(SEARCH("|"&amp;INDEX(INDIRECT(F_Custom2_resolved_column),44)&amp;"|",F_Custom2_wrapped)),1,0),0))</f>
        <v>1</v>
      </c>
      <c r="H45">
        <f>F45*G45*1</f>
        <v>1</v>
      </c>
      <c r="I45">
        <f>1</f>
        <v>1</v>
      </c>
      <c r="J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44)&amp;"|",All_Questions_Q20_F_wrapped)),1,0),0))</f>
        <v>1</v>
      </c>
    </row>
    <row r="46">
      <c r="A46" t="n">
        <v>45</v>
      </c>
      <c r="B46" t="n">
        <v>28.9</v>
      </c>
      <c r="C46" t="n">
        <v>24.6</v>
      </c>
      <c r="D46" t="n">
        <v>22.9</v>
      </c>
      <c r="E46">
        <f>1</f>
        <v>1</v>
      </c>
      <c r="F46">
        <f>IF(OR(F_Custom1_Q="(None)",F_Custom1_Q="",ISBLANK(F_Custom1_Q),F_Custom1_V="(All)",F_Custom1_V="",ISBLANK(F_Custom1_V)),1,IFERROR(IF(ISNUMBER(SEARCH("|"&amp;INDEX(INDIRECT(F_Custom1_resolved_column),45)&amp;"|",F_Custom1_wrapped)),1,0),0))</f>
        <v>1</v>
      </c>
      <c r="G46">
        <f>IF(OR(F_Custom2_Q="(None)",F_Custom2_Q="",ISBLANK(F_Custom2_Q),F_Custom2_V="(All)",F_Custom2_V="",ISBLANK(F_Custom2_V)),1,IFERROR(IF(ISNUMBER(SEARCH("|"&amp;INDEX(INDIRECT(F_Custom2_resolved_column),45)&amp;"|",F_Custom2_wrapped)),1,0),0))</f>
        <v>1</v>
      </c>
      <c r="H46">
        <f>F46*G46*1</f>
        <v>1</v>
      </c>
      <c r="I46">
        <f>1</f>
        <v>1</v>
      </c>
      <c r="J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45)&amp;"|",All_Questions_Q20_F_wrapped)),1,0),0))</f>
        <v>1</v>
      </c>
    </row>
    <row r="47">
      <c r="A47" t="n">
        <v>46</v>
      </c>
      <c r="B47" t="n">
        <v>28.9</v>
      </c>
      <c r="C47" t="n">
        <v>24.6</v>
      </c>
      <c r="D47" t="n">
        <v>22.9</v>
      </c>
      <c r="E47">
        <f>1</f>
        <v>1</v>
      </c>
      <c r="F47">
        <f>IF(OR(F_Custom1_Q="(None)",F_Custom1_Q="",ISBLANK(F_Custom1_Q),F_Custom1_V="(All)",F_Custom1_V="",ISBLANK(F_Custom1_V)),1,IFERROR(IF(ISNUMBER(SEARCH("|"&amp;INDEX(INDIRECT(F_Custom1_resolved_column),46)&amp;"|",F_Custom1_wrapped)),1,0),0))</f>
        <v>1</v>
      </c>
      <c r="G47">
        <f>IF(OR(F_Custom2_Q="(None)",F_Custom2_Q="",ISBLANK(F_Custom2_Q),F_Custom2_V="(All)",F_Custom2_V="",ISBLANK(F_Custom2_V)),1,IFERROR(IF(ISNUMBER(SEARCH("|"&amp;INDEX(INDIRECT(F_Custom2_resolved_column),46)&amp;"|",F_Custom2_wrapped)),1,0),0))</f>
        <v>1</v>
      </c>
      <c r="H47">
        <f>F47*G47*1</f>
        <v>1</v>
      </c>
      <c r="I47">
        <f>1</f>
        <v>1</v>
      </c>
      <c r="J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46)&amp;"|",All_Questions_Q20_F_wrapped)),1,0),0))</f>
        <v>1</v>
      </c>
    </row>
    <row r="48">
      <c r="A48" t="n">
        <v>47</v>
      </c>
      <c r="B48" t="n">
        <v>28.9</v>
      </c>
      <c r="C48" t="n">
        <v>24.6</v>
      </c>
      <c r="D48" t="n">
        <v>22.9</v>
      </c>
      <c r="E48">
        <f>1</f>
        <v>1</v>
      </c>
      <c r="F48">
        <f>IF(OR(F_Custom1_Q="(None)",F_Custom1_Q="",ISBLANK(F_Custom1_Q),F_Custom1_V="(All)",F_Custom1_V="",ISBLANK(F_Custom1_V)),1,IFERROR(IF(ISNUMBER(SEARCH("|"&amp;INDEX(INDIRECT(F_Custom1_resolved_column),47)&amp;"|",F_Custom1_wrapped)),1,0),0))</f>
        <v>1</v>
      </c>
      <c r="G48">
        <f>IF(OR(F_Custom2_Q="(None)",F_Custom2_Q="",ISBLANK(F_Custom2_Q),F_Custom2_V="(All)",F_Custom2_V="",ISBLANK(F_Custom2_V)),1,IFERROR(IF(ISNUMBER(SEARCH("|"&amp;INDEX(INDIRECT(F_Custom2_resolved_column),47)&amp;"|",F_Custom2_wrapped)),1,0),0))</f>
        <v>1</v>
      </c>
      <c r="H48">
        <f>F48*G48*1</f>
        <v>1</v>
      </c>
      <c r="I48">
        <f>1</f>
        <v>1</v>
      </c>
      <c r="J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47)&amp;"|",All_Questions_Q20_F_wrapped)),1,0),0))</f>
        <v>1</v>
      </c>
    </row>
    <row r="49">
      <c r="A49" t="n">
        <v>48</v>
      </c>
      <c r="B49" t="n">
        <v>28.9</v>
      </c>
      <c r="C49" t="n">
        <v>24.6</v>
      </c>
      <c r="D49" t="n">
        <v>22.9</v>
      </c>
      <c r="E49">
        <f>1</f>
        <v>1</v>
      </c>
      <c r="F49">
        <f>IF(OR(F_Custom1_Q="(None)",F_Custom1_Q="",ISBLANK(F_Custom1_Q),F_Custom1_V="(All)",F_Custom1_V="",ISBLANK(F_Custom1_V)),1,IFERROR(IF(ISNUMBER(SEARCH("|"&amp;INDEX(INDIRECT(F_Custom1_resolved_column),48)&amp;"|",F_Custom1_wrapped)),1,0),0))</f>
        <v>1</v>
      </c>
      <c r="G49">
        <f>IF(OR(F_Custom2_Q="(None)",F_Custom2_Q="",ISBLANK(F_Custom2_Q),F_Custom2_V="(All)",F_Custom2_V="",ISBLANK(F_Custom2_V)),1,IFERROR(IF(ISNUMBER(SEARCH("|"&amp;INDEX(INDIRECT(F_Custom2_resolved_column),48)&amp;"|",F_Custom2_wrapped)),1,0),0))</f>
        <v>1</v>
      </c>
      <c r="H49">
        <f>F49*G49*1</f>
        <v>1</v>
      </c>
      <c r="I49">
        <f>1</f>
        <v>1</v>
      </c>
      <c r="J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48)&amp;"|",All_Questions_Q20_F_wrapped)),1,0),0))</f>
        <v>1</v>
      </c>
    </row>
    <row r="50">
      <c r="A50" t="n">
        <v>49</v>
      </c>
      <c r="B50" t="n">
        <v>28.9</v>
      </c>
      <c r="C50" t="n">
        <v>24.6</v>
      </c>
      <c r="D50" t="n">
        <v>22.9</v>
      </c>
      <c r="E50">
        <f>1</f>
        <v>1</v>
      </c>
      <c r="F50">
        <f>IF(OR(F_Custom1_Q="(None)",F_Custom1_Q="",ISBLANK(F_Custom1_Q),F_Custom1_V="(All)",F_Custom1_V="",ISBLANK(F_Custom1_V)),1,IFERROR(IF(ISNUMBER(SEARCH("|"&amp;INDEX(INDIRECT(F_Custom1_resolved_column),49)&amp;"|",F_Custom1_wrapped)),1,0),0))</f>
        <v>1</v>
      </c>
      <c r="G50">
        <f>IF(OR(F_Custom2_Q="(None)",F_Custom2_Q="",ISBLANK(F_Custom2_Q),F_Custom2_V="(All)",F_Custom2_V="",ISBLANK(F_Custom2_V)),1,IFERROR(IF(ISNUMBER(SEARCH("|"&amp;INDEX(INDIRECT(F_Custom2_resolved_column),49)&amp;"|",F_Custom2_wrapped)),1,0),0))</f>
        <v>1</v>
      </c>
      <c r="H50">
        <f>F50*G50*1</f>
        <v>1</v>
      </c>
      <c r="I50">
        <f>1</f>
        <v>1</v>
      </c>
      <c r="J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49)&amp;"|",All_Questions_Q20_F_wrapped)),1,0),0))</f>
        <v>1</v>
      </c>
    </row>
    <row r="51">
      <c r="A51" t="n">
        <v>50</v>
      </c>
      <c r="B51" t="n">
        <v>28.9</v>
      </c>
      <c r="C51" t="n">
        <v>24.6</v>
      </c>
      <c r="D51" t="n">
        <v>22.9</v>
      </c>
      <c r="E51">
        <f>1</f>
        <v>1</v>
      </c>
      <c r="F51">
        <f>IF(OR(F_Custom1_Q="(None)",F_Custom1_Q="",ISBLANK(F_Custom1_Q),F_Custom1_V="(All)",F_Custom1_V="",ISBLANK(F_Custom1_V)),1,IFERROR(IF(ISNUMBER(SEARCH("|"&amp;INDEX(INDIRECT(F_Custom1_resolved_column),50)&amp;"|",F_Custom1_wrapped)),1,0),0))</f>
        <v>1</v>
      </c>
      <c r="G51">
        <f>IF(OR(F_Custom2_Q="(None)",F_Custom2_Q="",ISBLANK(F_Custom2_Q),F_Custom2_V="(All)",F_Custom2_V="",ISBLANK(F_Custom2_V)),1,IFERROR(IF(ISNUMBER(SEARCH("|"&amp;INDEX(INDIRECT(F_Custom2_resolved_column),50)&amp;"|",F_Custom2_wrapped)),1,0),0))</f>
        <v>1</v>
      </c>
      <c r="H51">
        <f>F51*G51*1</f>
        <v>1</v>
      </c>
      <c r="I51">
        <f>1</f>
        <v>1</v>
      </c>
      <c r="J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50)&amp;"|",All_Questions_Q20_F_wrapped)),1,0),0))</f>
        <v>1</v>
      </c>
    </row>
    <row r="52">
      <c r="A52" t="n">
        <v>51</v>
      </c>
      <c r="B52" t="n">
        <v>28.9</v>
      </c>
      <c r="C52" t="n">
        <v>24.6</v>
      </c>
      <c r="D52" t="n">
        <v>22.9</v>
      </c>
      <c r="E52">
        <f>1</f>
        <v>1</v>
      </c>
      <c r="F52">
        <f>IF(OR(F_Custom1_Q="(None)",F_Custom1_Q="",ISBLANK(F_Custom1_Q),F_Custom1_V="(All)",F_Custom1_V="",ISBLANK(F_Custom1_V)),1,IFERROR(IF(ISNUMBER(SEARCH("|"&amp;INDEX(INDIRECT(F_Custom1_resolved_column),51)&amp;"|",F_Custom1_wrapped)),1,0),0))</f>
        <v>1</v>
      </c>
      <c r="G52">
        <f>IF(OR(F_Custom2_Q="(None)",F_Custom2_Q="",ISBLANK(F_Custom2_Q),F_Custom2_V="(All)",F_Custom2_V="",ISBLANK(F_Custom2_V)),1,IFERROR(IF(ISNUMBER(SEARCH("|"&amp;INDEX(INDIRECT(F_Custom2_resolved_column),51)&amp;"|",F_Custom2_wrapped)),1,0),0))</f>
        <v>1</v>
      </c>
      <c r="H52">
        <f>F52*G52*1</f>
        <v>1</v>
      </c>
      <c r="I52">
        <f>1</f>
        <v>1</v>
      </c>
      <c r="J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51)&amp;"|",All_Questions_Q20_F_wrapped)),1,0),0))</f>
        <v>1</v>
      </c>
    </row>
    <row r="53">
      <c r="A53" t="n">
        <v>52</v>
      </c>
      <c r="B53" t="n">
        <v>28.9</v>
      </c>
      <c r="C53" t="n">
        <v>24.6</v>
      </c>
      <c r="D53" t="n">
        <v>22.9</v>
      </c>
      <c r="E53">
        <f>1</f>
        <v>1</v>
      </c>
      <c r="F53">
        <f>IF(OR(F_Custom1_Q="(None)",F_Custom1_Q="",ISBLANK(F_Custom1_Q),F_Custom1_V="(All)",F_Custom1_V="",ISBLANK(F_Custom1_V)),1,IFERROR(IF(ISNUMBER(SEARCH("|"&amp;INDEX(INDIRECT(F_Custom1_resolved_column),52)&amp;"|",F_Custom1_wrapped)),1,0),0))</f>
        <v>1</v>
      </c>
      <c r="G53">
        <f>IF(OR(F_Custom2_Q="(None)",F_Custom2_Q="",ISBLANK(F_Custom2_Q),F_Custom2_V="(All)",F_Custom2_V="",ISBLANK(F_Custom2_V)),1,IFERROR(IF(ISNUMBER(SEARCH("|"&amp;INDEX(INDIRECT(F_Custom2_resolved_column),52)&amp;"|",F_Custom2_wrapped)),1,0),0))</f>
        <v>1</v>
      </c>
      <c r="H53">
        <f>F53*G53*1</f>
        <v>1</v>
      </c>
      <c r="I53">
        <f>1</f>
        <v>1</v>
      </c>
      <c r="J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52)&amp;"|",All_Questions_Q20_F_wrapped)),1,0),0))</f>
        <v>1</v>
      </c>
    </row>
    <row r="54">
      <c r="A54" t="n">
        <v>53</v>
      </c>
      <c r="B54" t="n">
        <v>28.9</v>
      </c>
      <c r="C54" t="n">
        <v>24.6</v>
      </c>
      <c r="D54" t="n">
        <v>22.9</v>
      </c>
      <c r="E54">
        <f>1</f>
        <v>1</v>
      </c>
      <c r="F54">
        <f>IF(OR(F_Custom1_Q="(None)",F_Custom1_Q="",ISBLANK(F_Custom1_Q),F_Custom1_V="(All)",F_Custom1_V="",ISBLANK(F_Custom1_V)),1,IFERROR(IF(ISNUMBER(SEARCH("|"&amp;INDEX(INDIRECT(F_Custom1_resolved_column),53)&amp;"|",F_Custom1_wrapped)),1,0),0))</f>
        <v>1</v>
      </c>
      <c r="G54">
        <f>IF(OR(F_Custom2_Q="(None)",F_Custom2_Q="",ISBLANK(F_Custom2_Q),F_Custom2_V="(All)",F_Custom2_V="",ISBLANK(F_Custom2_V)),1,IFERROR(IF(ISNUMBER(SEARCH("|"&amp;INDEX(INDIRECT(F_Custom2_resolved_column),53)&amp;"|",F_Custom2_wrapped)),1,0),0))</f>
        <v>1</v>
      </c>
      <c r="H54">
        <f>F54*G54*1</f>
        <v>1</v>
      </c>
      <c r="I54">
        <f>1</f>
        <v>1</v>
      </c>
      <c r="J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53)&amp;"|",All_Questions_Q20_F_wrapped)),1,0),0))</f>
        <v>1</v>
      </c>
    </row>
    <row r="55">
      <c r="A55" t="n">
        <v>54</v>
      </c>
      <c r="B55" t="n">
        <v>28.9</v>
      </c>
      <c r="C55" t="n">
        <v>24.6</v>
      </c>
      <c r="D55" t="n">
        <v>22.9</v>
      </c>
      <c r="E55">
        <f>1</f>
        <v>1</v>
      </c>
      <c r="F55">
        <f>IF(OR(F_Custom1_Q="(None)",F_Custom1_Q="",ISBLANK(F_Custom1_Q),F_Custom1_V="(All)",F_Custom1_V="",ISBLANK(F_Custom1_V)),1,IFERROR(IF(ISNUMBER(SEARCH("|"&amp;INDEX(INDIRECT(F_Custom1_resolved_column),54)&amp;"|",F_Custom1_wrapped)),1,0),0))</f>
        <v>1</v>
      </c>
      <c r="G55">
        <f>IF(OR(F_Custom2_Q="(None)",F_Custom2_Q="",ISBLANK(F_Custom2_Q),F_Custom2_V="(All)",F_Custom2_V="",ISBLANK(F_Custom2_V)),1,IFERROR(IF(ISNUMBER(SEARCH("|"&amp;INDEX(INDIRECT(F_Custom2_resolved_column),54)&amp;"|",F_Custom2_wrapped)),1,0),0))</f>
        <v>1</v>
      </c>
      <c r="H55">
        <f>F55*G55*1</f>
        <v>1</v>
      </c>
      <c r="I55">
        <f>1</f>
        <v>1</v>
      </c>
      <c r="J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54)&amp;"|",All_Questions_Q20_F_wrapped)),1,0),0))</f>
        <v>1</v>
      </c>
    </row>
    <row r="56">
      <c r="A56" t="n">
        <v>55</v>
      </c>
      <c r="B56" t="n">
        <v>28.9</v>
      </c>
      <c r="C56" t="n">
        <v>24.6</v>
      </c>
      <c r="D56" t="n">
        <v>22.9</v>
      </c>
      <c r="E56">
        <f>1</f>
        <v>1</v>
      </c>
      <c r="F56">
        <f>IF(OR(F_Custom1_Q="(None)",F_Custom1_Q="",ISBLANK(F_Custom1_Q),F_Custom1_V="(All)",F_Custom1_V="",ISBLANK(F_Custom1_V)),1,IFERROR(IF(ISNUMBER(SEARCH("|"&amp;INDEX(INDIRECT(F_Custom1_resolved_column),55)&amp;"|",F_Custom1_wrapped)),1,0),0))</f>
        <v>1</v>
      </c>
      <c r="G56">
        <f>IF(OR(F_Custom2_Q="(None)",F_Custom2_Q="",ISBLANK(F_Custom2_Q),F_Custom2_V="(All)",F_Custom2_V="",ISBLANK(F_Custom2_V)),1,IFERROR(IF(ISNUMBER(SEARCH("|"&amp;INDEX(INDIRECT(F_Custom2_resolved_column),55)&amp;"|",F_Custom2_wrapped)),1,0),0))</f>
        <v>1</v>
      </c>
      <c r="H56">
        <f>F56*G56*1</f>
        <v>1</v>
      </c>
      <c r="I56">
        <f>1</f>
        <v>1</v>
      </c>
      <c r="J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55)&amp;"|",All_Questions_Q20_F_wrapped)),1,0),0))</f>
        <v>1</v>
      </c>
    </row>
    <row r="57">
      <c r="A57" t="n">
        <v>56</v>
      </c>
      <c r="B57" t="n">
        <v>28.9</v>
      </c>
      <c r="C57" t="n">
        <v>24.6</v>
      </c>
      <c r="D57" t="n">
        <v>22.9</v>
      </c>
      <c r="E57">
        <f>1</f>
        <v>1</v>
      </c>
      <c r="F57">
        <f>IF(OR(F_Custom1_Q="(None)",F_Custom1_Q="",ISBLANK(F_Custom1_Q),F_Custom1_V="(All)",F_Custom1_V="",ISBLANK(F_Custom1_V)),1,IFERROR(IF(ISNUMBER(SEARCH("|"&amp;INDEX(INDIRECT(F_Custom1_resolved_column),56)&amp;"|",F_Custom1_wrapped)),1,0),0))</f>
        <v>1</v>
      </c>
      <c r="G57">
        <f>IF(OR(F_Custom2_Q="(None)",F_Custom2_Q="",ISBLANK(F_Custom2_Q),F_Custom2_V="(All)",F_Custom2_V="",ISBLANK(F_Custom2_V)),1,IFERROR(IF(ISNUMBER(SEARCH("|"&amp;INDEX(INDIRECT(F_Custom2_resolved_column),56)&amp;"|",F_Custom2_wrapped)),1,0),0))</f>
        <v>1</v>
      </c>
      <c r="H57">
        <f>F57*G57*1</f>
        <v>1</v>
      </c>
      <c r="I57">
        <f>1</f>
        <v>1</v>
      </c>
      <c r="J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56)&amp;"|",All_Questions_Q20_F_wrapped)),1,0),0))</f>
        <v>1</v>
      </c>
    </row>
    <row r="58">
      <c r="A58" t="n">
        <v>57</v>
      </c>
      <c r="B58" t="n">
        <v>28.9</v>
      </c>
      <c r="C58" t="n">
        <v>24.6</v>
      </c>
      <c r="D58" t="n">
        <v>22.9</v>
      </c>
      <c r="E58">
        <f>1</f>
        <v>1</v>
      </c>
      <c r="F58">
        <f>IF(OR(F_Custom1_Q="(None)",F_Custom1_Q="",ISBLANK(F_Custom1_Q),F_Custom1_V="(All)",F_Custom1_V="",ISBLANK(F_Custom1_V)),1,IFERROR(IF(ISNUMBER(SEARCH("|"&amp;INDEX(INDIRECT(F_Custom1_resolved_column),57)&amp;"|",F_Custom1_wrapped)),1,0),0))</f>
        <v>1</v>
      </c>
      <c r="G58">
        <f>IF(OR(F_Custom2_Q="(None)",F_Custom2_Q="",ISBLANK(F_Custom2_Q),F_Custom2_V="(All)",F_Custom2_V="",ISBLANK(F_Custom2_V)),1,IFERROR(IF(ISNUMBER(SEARCH("|"&amp;INDEX(INDIRECT(F_Custom2_resolved_column),57)&amp;"|",F_Custom2_wrapped)),1,0),0))</f>
        <v>1</v>
      </c>
      <c r="H58">
        <f>F58*G58*1</f>
        <v>1</v>
      </c>
      <c r="I58">
        <f>1</f>
        <v>1</v>
      </c>
      <c r="J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57)&amp;"|",All_Questions_Q20_F_wrapped)),1,0),0))</f>
        <v>1</v>
      </c>
    </row>
    <row r="59">
      <c r="A59" t="n">
        <v>58</v>
      </c>
      <c r="B59" t="n">
        <v>28.9</v>
      </c>
      <c r="C59" t="n">
        <v>24.6</v>
      </c>
      <c r="D59" t="n">
        <v>22.9</v>
      </c>
      <c r="E59">
        <f>1</f>
        <v>1</v>
      </c>
      <c r="F59">
        <f>IF(OR(F_Custom1_Q="(None)",F_Custom1_Q="",ISBLANK(F_Custom1_Q),F_Custom1_V="(All)",F_Custom1_V="",ISBLANK(F_Custom1_V)),1,IFERROR(IF(ISNUMBER(SEARCH("|"&amp;INDEX(INDIRECT(F_Custom1_resolved_column),58)&amp;"|",F_Custom1_wrapped)),1,0),0))</f>
        <v>1</v>
      </c>
      <c r="G59">
        <f>IF(OR(F_Custom2_Q="(None)",F_Custom2_Q="",ISBLANK(F_Custom2_Q),F_Custom2_V="(All)",F_Custom2_V="",ISBLANK(F_Custom2_V)),1,IFERROR(IF(ISNUMBER(SEARCH("|"&amp;INDEX(INDIRECT(F_Custom2_resolved_column),58)&amp;"|",F_Custom2_wrapped)),1,0),0))</f>
        <v>1</v>
      </c>
      <c r="H59">
        <f>F59*G59*1</f>
        <v>1</v>
      </c>
      <c r="I59">
        <f>1</f>
        <v>1</v>
      </c>
      <c r="J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58)&amp;"|",All_Questions_Q20_F_wrapped)),1,0),0))</f>
        <v>1</v>
      </c>
    </row>
    <row r="60">
      <c r="A60" t="n">
        <v>59</v>
      </c>
      <c r="B60" t="n">
        <v>28.9</v>
      </c>
      <c r="C60" t="n">
        <v>24.6</v>
      </c>
      <c r="D60" t="n">
        <v>22.9</v>
      </c>
      <c r="E60">
        <f>1</f>
        <v>1</v>
      </c>
      <c r="F60">
        <f>IF(OR(F_Custom1_Q="(None)",F_Custom1_Q="",ISBLANK(F_Custom1_Q),F_Custom1_V="(All)",F_Custom1_V="",ISBLANK(F_Custom1_V)),1,IFERROR(IF(ISNUMBER(SEARCH("|"&amp;INDEX(INDIRECT(F_Custom1_resolved_column),59)&amp;"|",F_Custom1_wrapped)),1,0),0))</f>
        <v>1</v>
      </c>
      <c r="G60">
        <f>IF(OR(F_Custom2_Q="(None)",F_Custom2_Q="",ISBLANK(F_Custom2_Q),F_Custom2_V="(All)",F_Custom2_V="",ISBLANK(F_Custom2_V)),1,IFERROR(IF(ISNUMBER(SEARCH("|"&amp;INDEX(INDIRECT(F_Custom2_resolved_column),59)&amp;"|",F_Custom2_wrapped)),1,0),0))</f>
        <v>1</v>
      </c>
      <c r="H60">
        <f>F60*G60*1</f>
        <v>1</v>
      </c>
      <c r="I60">
        <f>1</f>
        <v>1</v>
      </c>
      <c r="J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59)&amp;"|",All_Questions_Q20_F_wrapped)),1,0),0))</f>
        <v>1</v>
      </c>
    </row>
    <row r="61">
      <c r="A61" t="n">
        <v>60</v>
      </c>
      <c r="B61" t="n">
        <v>28.9</v>
      </c>
      <c r="C61" t="n">
        <v>24.6</v>
      </c>
      <c r="D61" t="n">
        <v>22.9</v>
      </c>
      <c r="E61">
        <f>1</f>
        <v>1</v>
      </c>
      <c r="F61">
        <f>IF(OR(F_Custom1_Q="(None)",F_Custom1_Q="",ISBLANK(F_Custom1_Q),F_Custom1_V="(All)",F_Custom1_V="",ISBLANK(F_Custom1_V)),1,IFERROR(IF(ISNUMBER(SEARCH("|"&amp;INDEX(INDIRECT(F_Custom1_resolved_column),60)&amp;"|",F_Custom1_wrapped)),1,0),0))</f>
        <v>1</v>
      </c>
      <c r="G61">
        <f>IF(OR(F_Custom2_Q="(None)",F_Custom2_Q="",ISBLANK(F_Custom2_Q),F_Custom2_V="(All)",F_Custom2_V="",ISBLANK(F_Custom2_V)),1,IFERROR(IF(ISNUMBER(SEARCH("|"&amp;INDEX(INDIRECT(F_Custom2_resolved_column),60)&amp;"|",F_Custom2_wrapped)),1,0),0))</f>
        <v>1</v>
      </c>
      <c r="H61">
        <f>F61*G61*1</f>
        <v>1</v>
      </c>
      <c r="I61">
        <f>1</f>
        <v>1</v>
      </c>
      <c r="J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60)&amp;"|",All_Questions_Q20_F_wrapped)),1,0),0))</f>
        <v>1</v>
      </c>
    </row>
    <row r="62">
      <c r="A62" t="n">
        <v>61</v>
      </c>
      <c r="B62" t="n">
        <v>28.9</v>
      </c>
      <c r="C62" t="n">
        <v>24.6</v>
      </c>
      <c r="D62" t="n">
        <v>22.9</v>
      </c>
      <c r="E62">
        <f>1</f>
        <v>1</v>
      </c>
      <c r="F62">
        <f>IF(OR(F_Custom1_Q="(None)",F_Custom1_Q="",ISBLANK(F_Custom1_Q),F_Custom1_V="(All)",F_Custom1_V="",ISBLANK(F_Custom1_V)),1,IFERROR(IF(ISNUMBER(SEARCH("|"&amp;INDEX(INDIRECT(F_Custom1_resolved_column),61)&amp;"|",F_Custom1_wrapped)),1,0),0))</f>
        <v>1</v>
      </c>
      <c r="G62">
        <f>IF(OR(F_Custom2_Q="(None)",F_Custom2_Q="",ISBLANK(F_Custom2_Q),F_Custom2_V="(All)",F_Custom2_V="",ISBLANK(F_Custom2_V)),1,IFERROR(IF(ISNUMBER(SEARCH("|"&amp;INDEX(INDIRECT(F_Custom2_resolved_column),61)&amp;"|",F_Custom2_wrapped)),1,0),0))</f>
        <v>1</v>
      </c>
      <c r="H62">
        <f>F62*G62*1</f>
        <v>1</v>
      </c>
      <c r="I62">
        <f>1</f>
        <v>1</v>
      </c>
      <c r="J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61)&amp;"|",All_Questions_Q20_F_wrapped)),1,0),0))</f>
        <v>1</v>
      </c>
    </row>
    <row r="63">
      <c r="A63" t="n">
        <v>62</v>
      </c>
      <c r="B63" t="n">
        <v>28.9</v>
      </c>
      <c r="C63" t="n">
        <v>24.6</v>
      </c>
      <c r="D63" t="n">
        <v>22.9</v>
      </c>
      <c r="E63">
        <f>1</f>
        <v>1</v>
      </c>
      <c r="F63">
        <f>IF(OR(F_Custom1_Q="(None)",F_Custom1_Q="",ISBLANK(F_Custom1_Q),F_Custom1_V="(All)",F_Custom1_V="",ISBLANK(F_Custom1_V)),1,IFERROR(IF(ISNUMBER(SEARCH("|"&amp;INDEX(INDIRECT(F_Custom1_resolved_column),62)&amp;"|",F_Custom1_wrapped)),1,0),0))</f>
        <v>1</v>
      </c>
      <c r="G63">
        <f>IF(OR(F_Custom2_Q="(None)",F_Custom2_Q="",ISBLANK(F_Custom2_Q),F_Custom2_V="(All)",F_Custom2_V="",ISBLANK(F_Custom2_V)),1,IFERROR(IF(ISNUMBER(SEARCH("|"&amp;INDEX(INDIRECT(F_Custom2_resolved_column),62)&amp;"|",F_Custom2_wrapped)),1,0),0))</f>
        <v>1</v>
      </c>
      <c r="H63">
        <f>F63*G63*1</f>
        <v>1</v>
      </c>
      <c r="I63">
        <f>1</f>
        <v>1</v>
      </c>
      <c r="J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62)&amp;"|",All_Questions_Q20_F_wrapped)),1,0),0))</f>
        <v>1</v>
      </c>
    </row>
    <row r="64">
      <c r="A64" t="n">
        <v>63</v>
      </c>
      <c r="B64" t="n">
        <v>28.9</v>
      </c>
      <c r="C64" t="n">
        <v>24.6</v>
      </c>
      <c r="D64" t="n">
        <v>22.9</v>
      </c>
      <c r="E64">
        <f>1</f>
        <v>1</v>
      </c>
      <c r="F64">
        <f>IF(OR(F_Custom1_Q="(None)",F_Custom1_Q="",ISBLANK(F_Custom1_Q),F_Custom1_V="(All)",F_Custom1_V="",ISBLANK(F_Custom1_V)),1,IFERROR(IF(ISNUMBER(SEARCH("|"&amp;INDEX(INDIRECT(F_Custom1_resolved_column),63)&amp;"|",F_Custom1_wrapped)),1,0),0))</f>
        <v>1</v>
      </c>
      <c r="G64">
        <f>IF(OR(F_Custom2_Q="(None)",F_Custom2_Q="",ISBLANK(F_Custom2_Q),F_Custom2_V="(All)",F_Custom2_V="",ISBLANK(F_Custom2_V)),1,IFERROR(IF(ISNUMBER(SEARCH("|"&amp;INDEX(INDIRECT(F_Custom2_resolved_column),63)&amp;"|",F_Custom2_wrapped)),1,0),0))</f>
        <v>1</v>
      </c>
      <c r="H64">
        <f>F64*G64*1</f>
        <v>1</v>
      </c>
      <c r="I64">
        <f>1</f>
        <v>1</v>
      </c>
      <c r="J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63)&amp;"|",All_Questions_Q20_F_wrapped)),1,0),0))</f>
        <v>1</v>
      </c>
    </row>
    <row r="65">
      <c r="A65" t="n">
        <v>64</v>
      </c>
      <c r="B65" t="n">
        <v>28.9</v>
      </c>
      <c r="C65" t="n">
        <v>24.6</v>
      </c>
      <c r="D65" t="n">
        <v>22.9</v>
      </c>
      <c r="E65">
        <f>1</f>
        <v>1</v>
      </c>
      <c r="F65">
        <f>IF(OR(F_Custom1_Q="(None)",F_Custom1_Q="",ISBLANK(F_Custom1_Q),F_Custom1_V="(All)",F_Custom1_V="",ISBLANK(F_Custom1_V)),1,IFERROR(IF(ISNUMBER(SEARCH("|"&amp;INDEX(INDIRECT(F_Custom1_resolved_column),64)&amp;"|",F_Custom1_wrapped)),1,0),0))</f>
        <v>1</v>
      </c>
      <c r="G65">
        <f>IF(OR(F_Custom2_Q="(None)",F_Custom2_Q="",ISBLANK(F_Custom2_Q),F_Custom2_V="(All)",F_Custom2_V="",ISBLANK(F_Custom2_V)),1,IFERROR(IF(ISNUMBER(SEARCH("|"&amp;INDEX(INDIRECT(F_Custom2_resolved_column),64)&amp;"|",F_Custom2_wrapped)),1,0),0))</f>
        <v>1</v>
      </c>
      <c r="H65">
        <f>F65*G65*1</f>
        <v>1</v>
      </c>
      <c r="I65">
        <f>1</f>
        <v>1</v>
      </c>
      <c r="J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64)&amp;"|",All_Questions_Q20_F_wrapped)),1,0),0))</f>
        <v>1</v>
      </c>
    </row>
    <row r="66">
      <c r="A66" t="n">
        <v>65</v>
      </c>
      <c r="B66" t="n">
        <v>28.9</v>
      </c>
      <c r="C66" t="n">
        <v>24.6</v>
      </c>
      <c r="D66" t="n">
        <v>22.9</v>
      </c>
      <c r="E66">
        <f>1</f>
        <v>1</v>
      </c>
      <c r="F66">
        <f>IF(OR(F_Custom1_Q="(None)",F_Custom1_Q="",ISBLANK(F_Custom1_Q),F_Custom1_V="(All)",F_Custom1_V="",ISBLANK(F_Custom1_V)),1,IFERROR(IF(ISNUMBER(SEARCH("|"&amp;INDEX(INDIRECT(F_Custom1_resolved_column),65)&amp;"|",F_Custom1_wrapped)),1,0),0))</f>
        <v>1</v>
      </c>
      <c r="G66">
        <f>IF(OR(F_Custom2_Q="(None)",F_Custom2_Q="",ISBLANK(F_Custom2_Q),F_Custom2_V="(All)",F_Custom2_V="",ISBLANK(F_Custom2_V)),1,IFERROR(IF(ISNUMBER(SEARCH("|"&amp;INDEX(INDIRECT(F_Custom2_resolved_column),65)&amp;"|",F_Custom2_wrapped)),1,0),0))</f>
        <v>1</v>
      </c>
      <c r="H66">
        <f>F66*G66*1</f>
        <v>1</v>
      </c>
      <c r="I66">
        <f>1</f>
        <v>1</v>
      </c>
      <c r="J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65)&amp;"|",All_Questions_Q20_F_wrapped)),1,0),0))</f>
        <v>1</v>
      </c>
    </row>
    <row r="67">
      <c r="A67" t="n">
        <v>66</v>
      </c>
      <c r="B67" t="n">
        <v>28.9</v>
      </c>
      <c r="C67" t="n">
        <v>24.6</v>
      </c>
      <c r="D67" t="n">
        <v>22.9</v>
      </c>
      <c r="E67">
        <f>1</f>
        <v>1</v>
      </c>
      <c r="F67">
        <f>IF(OR(F_Custom1_Q="(None)",F_Custom1_Q="",ISBLANK(F_Custom1_Q),F_Custom1_V="(All)",F_Custom1_V="",ISBLANK(F_Custom1_V)),1,IFERROR(IF(ISNUMBER(SEARCH("|"&amp;INDEX(INDIRECT(F_Custom1_resolved_column),66)&amp;"|",F_Custom1_wrapped)),1,0),0))</f>
        <v>1</v>
      </c>
      <c r="G67">
        <f>IF(OR(F_Custom2_Q="(None)",F_Custom2_Q="",ISBLANK(F_Custom2_Q),F_Custom2_V="(All)",F_Custom2_V="",ISBLANK(F_Custom2_V)),1,IFERROR(IF(ISNUMBER(SEARCH("|"&amp;INDEX(INDIRECT(F_Custom2_resolved_column),66)&amp;"|",F_Custom2_wrapped)),1,0),0))</f>
        <v>1</v>
      </c>
      <c r="H67">
        <f>F67*G67*1</f>
        <v>1</v>
      </c>
      <c r="I67">
        <f>1</f>
        <v>1</v>
      </c>
      <c r="J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66)&amp;"|",All_Questions_Q20_F_wrapped)),1,0),0))</f>
        <v>1</v>
      </c>
    </row>
    <row r="68">
      <c r="A68" t="n">
        <v>67</v>
      </c>
      <c r="B68" t="n">
        <v>28.9</v>
      </c>
      <c r="C68" t="n">
        <v>24.6</v>
      </c>
      <c r="D68" t="n">
        <v>22.9</v>
      </c>
      <c r="E68">
        <f>1</f>
        <v>1</v>
      </c>
      <c r="F68">
        <f>IF(OR(F_Custom1_Q="(None)",F_Custom1_Q="",ISBLANK(F_Custom1_Q),F_Custom1_V="(All)",F_Custom1_V="",ISBLANK(F_Custom1_V)),1,IFERROR(IF(ISNUMBER(SEARCH("|"&amp;INDEX(INDIRECT(F_Custom1_resolved_column),67)&amp;"|",F_Custom1_wrapped)),1,0),0))</f>
        <v>1</v>
      </c>
      <c r="G68">
        <f>IF(OR(F_Custom2_Q="(None)",F_Custom2_Q="",ISBLANK(F_Custom2_Q),F_Custom2_V="(All)",F_Custom2_V="",ISBLANK(F_Custom2_V)),1,IFERROR(IF(ISNUMBER(SEARCH("|"&amp;INDEX(INDIRECT(F_Custom2_resolved_column),67)&amp;"|",F_Custom2_wrapped)),1,0),0))</f>
        <v>1</v>
      </c>
      <c r="H68">
        <f>F68*G68*1</f>
        <v>1</v>
      </c>
      <c r="I68">
        <f>1</f>
        <v>1</v>
      </c>
      <c r="J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67)&amp;"|",All_Questions_Q20_F_wrapped)),1,0),0))</f>
        <v>1</v>
      </c>
    </row>
    <row r="69">
      <c r="A69" t="n">
        <v>68</v>
      </c>
      <c r="B69" t="n">
        <v>28.9</v>
      </c>
      <c r="C69" t="n">
        <v>24.6</v>
      </c>
      <c r="D69" t="n">
        <v>22.9</v>
      </c>
      <c r="E69">
        <f>1</f>
        <v>1</v>
      </c>
      <c r="F69">
        <f>IF(OR(F_Custom1_Q="(None)",F_Custom1_Q="",ISBLANK(F_Custom1_Q),F_Custom1_V="(All)",F_Custom1_V="",ISBLANK(F_Custom1_V)),1,IFERROR(IF(ISNUMBER(SEARCH("|"&amp;INDEX(INDIRECT(F_Custom1_resolved_column),68)&amp;"|",F_Custom1_wrapped)),1,0),0))</f>
        <v>1</v>
      </c>
      <c r="G69">
        <f>IF(OR(F_Custom2_Q="(None)",F_Custom2_Q="",ISBLANK(F_Custom2_Q),F_Custom2_V="(All)",F_Custom2_V="",ISBLANK(F_Custom2_V)),1,IFERROR(IF(ISNUMBER(SEARCH("|"&amp;INDEX(INDIRECT(F_Custom2_resolved_column),68)&amp;"|",F_Custom2_wrapped)),1,0),0))</f>
        <v>1</v>
      </c>
      <c r="H69">
        <f>F69*G69*1</f>
        <v>1</v>
      </c>
      <c r="I69">
        <f>1</f>
        <v>1</v>
      </c>
      <c r="J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68)&amp;"|",All_Questions_Q20_F_wrapped)),1,0),0))</f>
        <v>1</v>
      </c>
    </row>
    <row r="70">
      <c r="A70" t="n">
        <v>69</v>
      </c>
      <c r="B70" t="n">
        <v>28.9</v>
      </c>
      <c r="C70" t="n">
        <v>24.6</v>
      </c>
      <c r="D70" t="n">
        <v>22.9</v>
      </c>
      <c r="E70">
        <f>1</f>
        <v>1</v>
      </c>
      <c r="F70">
        <f>IF(OR(F_Custom1_Q="(None)",F_Custom1_Q="",ISBLANK(F_Custom1_Q),F_Custom1_V="(All)",F_Custom1_V="",ISBLANK(F_Custom1_V)),1,IFERROR(IF(ISNUMBER(SEARCH("|"&amp;INDEX(INDIRECT(F_Custom1_resolved_column),69)&amp;"|",F_Custom1_wrapped)),1,0),0))</f>
        <v>1</v>
      </c>
      <c r="G70">
        <f>IF(OR(F_Custom2_Q="(None)",F_Custom2_Q="",ISBLANK(F_Custom2_Q),F_Custom2_V="(All)",F_Custom2_V="",ISBLANK(F_Custom2_V)),1,IFERROR(IF(ISNUMBER(SEARCH("|"&amp;INDEX(INDIRECT(F_Custom2_resolved_column),69)&amp;"|",F_Custom2_wrapped)),1,0),0))</f>
        <v>1</v>
      </c>
      <c r="H70">
        <f>F70*G70*1</f>
        <v>1</v>
      </c>
      <c r="I70">
        <f>1</f>
        <v>1</v>
      </c>
      <c r="J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69)&amp;"|",All_Questions_Q20_F_wrapped)),1,0),0))</f>
        <v>1</v>
      </c>
    </row>
    <row r="71">
      <c r="A71" t="n">
        <v>70</v>
      </c>
      <c r="B71" t="n">
        <v>28.9</v>
      </c>
      <c r="C71" t="n">
        <v>24.6</v>
      </c>
      <c r="D71" t="n">
        <v>22.9</v>
      </c>
      <c r="E71">
        <f>1</f>
        <v>1</v>
      </c>
      <c r="F71">
        <f>IF(OR(F_Custom1_Q="(None)",F_Custom1_Q="",ISBLANK(F_Custom1_Q),F_Custom1_V="(All)",F_Custom1_V="",ISBLANK(F_Custom1_V)),1,IFERROR(IF(ISNUMBER(SEARCH("|"&amp;INDEX(INDIRECT(F_Custom1_resolved_column),70)&amp;"|",F_Custom1_wrapped)),1,0),0))</f>
        <v>1</v>
      </c>
      <c r="G71">
        <f>IF(OR(F_Custom2_Q="(None)",F_Custom2_Q="",ISBLANK(F_Custom2_Q),F_Custom2_V="(All)",F_Custom2_V="",ISBLANK(F_Custom2_V)),1,IFERROR(IF(ISNUMBER(SEARCH("|"&amp;INDEX(INDIRECT(F_Custom2_resolved_column),70)&amp;"|",F_Custom2_wrapped)),1,0),0))</f>
        <v>1</v>
      </c>
      <c r="H71">
        <f>F71*G71*1</f>
        <v>1</v>
      </c>
      <c r="I71">
        <f>1</f>
        <v>1</v>
      </c>
      <c r="J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70)&amp;"|",All_Questions_Q20_F_wrapped)),1,0),0))</f>
        <v>1</v>
      </c>
    </row>
    <row r="72">
      <c r="A72" t="n">
        <v>71</v>
      </c>
      <c r="B72" t="n">
        <v>28.9</v>
      </c>
      <c r="C72" t="n">
        <v>24.6</v>
      </c>
      <c r="D72" t="n">
        <v>22.9</v>
      </c>
      <c r="E72">
        <f>1</f>
        <v>1</v>
      </c>
      <c r="F72">
        <f>IF(OR(F_Custom1_Q="(None)",F_Custom1_Q="",ISBLANK(F_Custom1_Q),F_Custom1_V="(All)",F_Custom1_V="",ISBLANK(F_Custom1_V)),1,IFERROR(IF(ISNUMBER(SEARCH("|"&amp;INDEX(INDIRECT(F_Custom1_resolved_column),71)&amp;"|",F_Custom1_wrapped)),1,0),0))</f>
        <v>1</v>
      </c>
      <c r="G72">
        <f>IF(OR(F_Custom2_Q="(None)",F_Custom2_Q="",ISBLANK(F_Custom2_Q),F_Custom2_V="(All)",F_Custom2_V="",ISBLANK(F_Custom2_V)),1,IFERROR(IF(ISNUMBER(SEARCH("|"&amp;INDEX(INDIRECT(F_Custom2_resolved_column),71)&amp;"|",F_Custom2_wrapped)),1,0),0))</f>
        <v>1</v>
      </c>
      <c r="H72">
        <f>F72*G72*1</f>
        <v>1</v>
      </c>
      <c r="I72">
        <f>1</f>
        <v>1</v>
      </c>
      <c r="J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71)&amp;"|",All_Questions_Q20_F_wrapped)),1,0),0))</f>
        <v>1</v>
      </c>
    </row>
    <row r="73">
      <c r="A73" t="n">
        <v>72</v>
      </c>
      <c r="B73" t="n">
        <v>28.9</v>
      </c>
      <c r="C73" t="n">
        <v>24.6</v>
      </c>
      <c r="D73" t="n">
        <v>22.9</v>
      </c>
      <c r="E73">
        <f>1</f>
        <v>1</v>
      </c>
      <c r="F73">
        <f>IF(OR(F_Custom1_Q="(None)",F_Custom1_Q="",ISBLANK(F_Custom1_Q),F_Custom1_V="(All)",F_Custom1_V="",ISBLANK(F_Custom1_V)),1,IFERROR(IF(ISNUMBER(SEARCH("|"&amp;INDEX(INDIRECT(F_Custom1_resolved_column),72)&amp;"|",F_Custom1_wrapped)),1,0),0))</f>
        <v>1</v>
      </c>
      <c r="G73">
        <f>IF(OR(F_Custom2_Q="(None)",F_Custom2_Q="",ISBLANK(F_Custom2_Q),F_Custom2_V="(All)",F_Custom2_V="",ISBLANK(F_Custom2_V)),1,IFERROR(IF(ISNUMBER(SEARCH("|"&amp;INDEX(INDIRECT(F_Custom2_resolved_column),72)&amp;"|",F_Custom2_wrapped)),1,0),0))</f>
        <v>1</v>
      </c>
      <c r="H73">
        <f>F73*G73*1</f>
        <v>1</v>
      </c>
      <c r="I73">
        <f>1</f>
        <v>1</v>
      </c>
      <c r="J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72)&amp;"|",All_Questions_Q20_F_wrapped)),1,0),0))</f>
        <v>1</v>
      </c>
    </row>
    <row r="74">
      <c r="A74" t="n">
        <v>73</v>
      </c>
      <c r="B74" t="n">
        <v>28.9</v>
      </c>
      <c r="C74" t="n">
        <v>24.6</v>
      </c>
      <c r="D74" t="n">
        <v>22.9</v>
      </c>
      <c r="E74">
        <f>1</f>
        <v>1</v>
      </c>
      <c r="F74">
        <f>IF(OR(F_Custom1_Q="(None)",F_Custom1_Q="",ISBLANK(F_Custom1_Q),F_Custom1_V="(All)",F_Custom1_V="",ISBLANK(F_Custom1_V)),1,IFERROR(IF(ISNUMBER(SEARCH("|"&amp;INDEX(INDIRECT(F_Custom1_resolved_column),73)&amp;"|",F_Custom1_wrapped)),1,0),0))</f>
        <v>1</v>
      </c>
      <c r="G74">
        <f>IF(OR(F_Custom2_Q="(None)",F_Custom2_Q="",ISBLANK(F_Custom2_Q),F_Custom2_V="(All)",F_Custom2_V="",ISBLANK(F_Custom2_V)),1,IFERROR(IF(ISNUMBER(SEARCH("|"&amp;INDEX(INDIRECT(F_Custom2_resolved_column),73)&amp;"|",F_Custom2_wrapped)),1,0),0))</f>
        <v>1</v>
      </c>
      <c r="H74">
        <f>F74*G74*1</f>
        <v>1</v>
      </c>
      <c r="I74">
        <f>1</f>
        <v>1</v>
      </c>
      <c r="J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73)&amp;"|",All_Questions_Q20_F_wrapped)),1,0),0))</f>
        <v>1</v>
      </c>
    </row>
    <row r="75">
      <c r="A75" t="n">
        <v>74</v>
      </c>
      <c r="B75" t="n">
        <v>28.9</v>
      </c>
      <c r="C75" t="n">
        <v>24.6</v>
      </c>
      <c r="D75" t="n">
        <v>22.9</v>
      </c>
      <c r="E75">
        <f>1</f>
        <v>1</v>
      </c>
      <c r="F75">
        <f>IF(OR(F_Custom1_Q="(None)",F_Custom1_Q="",ISBLANK(F_Custom1_Q),F_Custom1_V="(All)",F_Custom1_V="",ISBLANK(F_Custom1_V)),1,IFERROR(IF(ISNUMBER(SEARCH("|"&amp;INDEX(INDIRECT(F_Custom1_resolved_column),74)&amp;"|",F_Custom1_wrapped)),1,0),0))</f>
        <v>1</v>
      </c>
      <c r="G75">
        <f>IF(OR(F_Custom2_Q="(None)",F_Custom2_Q="",ISBLANK(F_Custom2_Q),F_Custom2_V="(All)",F_Custom2_V="",ISBLANK(F_Custom2_V)),1,IFERROR(IF(ISNUMBER(SEARCH("|"&amp;INDEX(INDIRECT(F_Custom2_resolved_column),74)&amp;"|",F_Custom2_wrapped)),1,0),0))</f>
        <v>1</v>
      </c>
      <c r="H75">
        <f>F75*G75*1</f>
        <v>1</v>
      </c>
      <c r="I75">
        <f>1</f>
        <v>1</v>
      </c>
      <c r="J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74)&amp;"|",All_Questions_Q20_F_wrapped)),1,0),0))</f>
        <v>1</v>
      </c>
    </row>
    <row r="76">
      <c r="A76" t="n">
        <v>75</v>
      </c>
      <c r="B76" t="n">
        <v>28.9</v>
      </c>
      <c r="C76" t="n">
        <v>24.6</v>
      </c>
      <c r="D76" t="n">
        <v>22.9</v>
      </c>
      <c r="E76">
        <f>1</f>
        <v>1</v>
      </c>
      <c r="F76">
        <f>IF(OR(F_Custom1_Q="(None)",F_Custom1_Q="",ISBLANK(F_Custom1_Q),F_Custom1_V="(All)",F_Custom1_V="",ISBLANK(F_Custom1_V)),1,IFERROR(IF(ISNUMBER(SEARCH("|"&amp;INDEX(INDIRECT(F_Custom1_resolved_column),75)&amp;"|",F_Custom1_wrapped)),1,0),0))</f>
        <v>1</v>
      </c>
      <c r="G76">
        <f>IF(OR(F_Custom2_Q="(None)",F_Custom2_Q="",ISBLANK(F_Custom2_Q),F_Custom2_V="(All)",F_Custom2_V="",ISBLANK(F_Custom2_V)),1,IFERROR(IF(ISNUMBER(SEARCH("|"&amp;INDEX(INDIRECT(F_Custom2_resolved_column),75)&amp;"|",F_Custom2_wrapped)),1,0),0))</f>
        <v>1</v>
      </c>
      <c r="H76">
        <f>F76*G76*1</f>
        <v>1</v>
      </c>
      <c r="I76">
        <f>1</f>
        <v>1</v>
      </c>
      <c r="J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75)&amp;"|",All_Questions_Q20_F_wrapped)),1,0),0))</f>
        <v>1</v>
      </c>
    </row>
    <row r="77">
      <c r="A77" t="n">
        <v>76</v>
      </c>
      <c r="B77" t="n">
        <v>28.9</v>
      </c>
      <c r="C77" t="n">
        <v>24.6</v>
      </c>
      <c r="D77" t="n">
        <v>22.9</v>
      </c>
      <c r="E77">
        <f>1</f>
        <v>1</v>
      </c>
      <c r="F77">
        <f>IF(OR(F_Custom1_Q="(None)",F_Custom1_Q="",ISBLANK(F_Custom1_Q),F_Custom1_V="(All)",F_Custom1_V="",ISBLANK(F_Custom1_V)),1,IFERROR(IF(ISNUMBER(SEARCH("|"&amp;INDEX(INDIRECT(F_Custom1_resolved_column),76)&amp;"|",F_Custom1_wrapped)),1,0),0))</f>
        <v>1</v>
      </c>
      <c r="G77">
        <f>IF(OR(F_Custom2_Q="(None)",F_Custom2_Q="",ISBLANK(F_Custom2_Q),F_Custom2_V="(All)",F_Custom2_V="",ISBLANK(F_Custom2_V)),1,IFERROR(IF(ISNUMBER(SEARCH("|"&amp;INDEX(INDIRECT(F_Custom2_resolved_column),76)&amp;"|",F_Custom2_wrapped)),1,0),0))</f>
        <v>1</v>
      </c>
      <c r="H77">
        <f>F77*G77*1</f>
        <v>1</v>
      </c>
      <c r="I77">
        <f>1</f>
        <v>1</v>
      </c>
      <c r="J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76)&amp;"|",All_Questions_Q20_F_wrapped)),1,0),0))</f>
        <v>1</v>
      </c>
    </row>
    <row r="78">
      <c r="A78" t="n">
        <v>77</v>
      </c>
      <c r="B78" t="n">
        <v>28.9</v>
      </c>
      <c r="C78" t="n">
        <v>24.6</v>
      </c>
      <c r="D78" t="n">
        <v>22.9</v>
      </c>
      <c r="E78">
        <f>1</f>
        <v>1</v>
      </c>
      <c r="F78">
        <f>IF(OR(F_Custom1_Q="(None)",F_Custom1_Q="",ISBLANK(F_Custom1_Q),F_Custom1_V="(All)",F_Custom1_V="",ISBLANK(F_Custom1_V)),1,IFERROR(IF(ISNUMBER(SEARCH("|"&amp;INDEX(INDIRECT(F_Custom1_resolved_column),77)&amp;"|",F_Custom1_wrapped)),1,0),0))</f>
        <v>1</v>
      </c>
      <c r="G78">
        <f>IF(OR(F_Custom2_Q="(None)",F_Custom2_Q="",ISBLANK(F_Custom2_Q),F_Custom2_V="(All)",F_Custom2_V="",ISBLANK(F_Custom2_V)),1,IFERROR(IF(ISNUMBER(SEARCH("|"&amp;INDEX(INDIRECT(F_Custom2_resolved_column),77)&amp;"|",F_Custom2_wrapped)),1,0),0))</f>
        <v>1</v>
      </c>
      <c r="H78">
        <f>F78*G78*1</f>
        <v>1</v>
      </c>
      <c r="I78">
        <f>1</f>
        <v>1</v>
      </c>
      <c r="J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77)&amp;"|",All_Questions_Q20_F_wrapped)),1,0),0))</f>
        <v>1</v>
      </c>
    </row>
    <row r="79">
      <c r="A79" t="n">
        <v>78</v>
      </c>
      <c r="B79" t="n">
        <v>28.9</v>
      </c>
      <c r="C79" t="n">
        <v>24.6</v>
      </c>
      <c r="D79" t="n">
        <v>22.9</v>
      </c>
      <c r="E79">
        <f>1</f>
        <v>1</v>
      </c>
      <c r="F79">
        <f>IF(OR(F_Custom1_Q="(None)",F_Custom1_Q="",ISBLANK(F_Custom1_Q),F_Custom1_V="(All)",F_Custom1_V="",ISBLANK(F_Custom1_V)),1,IFERROR(IF(ISNUMBER(SEARCH("|"&amp;INDEX(INDIRECT(F_Custom1_resolved_column),78)&amp;"|",F_Custom1_wrapped)),1,0),0))</f>
        <v>1</v>
      </c>
      <c r="G79">
        <f>IF(OR(F_Custom2_Q="(None)",F_Custom2_Q="",ISBLANK(F_Custom2_Q),F_Custom2_V="(All)",F_Custom2_V="",ISBLANK(F_Custom2_V)),1,IFERROR(IF(ISNUMBER(SEARCH("|"&amp;INDEX(INDIRECT(F_Custom2_resolved_column),78)&amp;"|",F_Custom2_wrapped)),1,0),0))</f>
        <v>1</v>
      </c>
      <c r="H79">
        <f>F79*G79*1</f>
        <v>1</v>
      </c>
      <c r="I79">
        <f>1</f>
        <v>1</v>
      </c>
      <c r="J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78)&amp;"|",All_Questions_Q20_F_wrapped)),1,0),0))</f>
        <v>1</v>
      </c>
    </row>
    <row r="80">
      <c r="A80" t="n">
        <v>79</v>
      </c>
      <c r="B80" t="n">
        <v>28.9</v>
      </c>
      <c r="C80" t="n">
        <v>24.6</v>
      </c>
      <c r="D80" t="n">
        <v>22.9</v>
      </c>
      <c r="E80">
        <f>1</f>
        <v>1</v>
      </c>
      <c r="F80">
        <f>IF(OR(F_Custom1_Q="(None)",F_Custom1_Q="",ISBLANK(F_Custom1_Q),F_Custom1_V="(All)",F_Custom1_V="",ISBLANK(F_Custom1_V)),1,IFERROR(IF(ISNUMBER(SEARCH("|"&amp;INDEX(INDIRECT(F_Custom1_resolved_column),79)&amp;"|",F_Custom1_wrapped)),1,0),0))</f>
        <v>1</v>
      </c>
      <c r="G80">
        <f>IF(OR(F_Custom2_Q="(None)",F_Custom2_Q="",ISBLANK(F_Custom2_Q),F_Custom2_V="(All)",F_Custom2_V="",ISBLANK(F_Custom2_V)),1,IFERROR(IF(ISNUMBER(SEARCH("|"&amp;INDEX(INDIRECT(F_Custom2_resolved_column),79)&amp;"|",F_Custom2_wrapped)),1,0),0))</f>
        <v>1</v>
      </c>
      <c r="H80">
        <f>F80*G80*1</f>
        <v>1</v>
      </c>
      <c r="I80">
        <f>1</f>
        <v>1</v>
      </c>
      <c r="J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79)&amp;"|",All_Questions_Q20_F_wrapped)),1,0),0))</f>
        <v>1</v>
      </c>
    </row>
    <row r="81">
      <c r="A81" t="n">
        <v>80</v>
      </c>
      <c r="B81" t="n">
        <v>28.9</v>
      </c>
      <c r="C81" t="n">
        <v>24.6</v>
      </c>
      <c r="D81" t="n">
        <v>22.9</v>
      </c>
      <c r="E81">
        <f>1</f>
        <v>1</v>
      </c>
      <c r="F81">
        <f>IF(OR(F_Custom1_Q="(None)",F_Custom1_Q="",ISBLANK(F_Custom1_Q),F_Custom1_V="(All)",F_Custom1_V="",ISBLANK(F_Custom1_V)),1,IFERROR(IF(ISNUMBER(SEARCH("|"&amp;INDEX(INDIRECT(F_Custom1_resolved_column),80)&amp;"|",F_Custom1_wrapped)),1,0),0))</f>
        <v>1</v>
      </c>
      <c r="G81">
        <f>IF(OR(F_Custom2_Q="(None)",F_Custom2_Q="",ISBLANK(F_Custom2_Q),F_Custom2_V="(All)",F_Custom2_V="",ISBLANK(F_Custom2_V)),1,IFERROR(IF(ISNUMBER(SEARCH("|"&amp;INDEX(INDIRECT(F_Custom2_resolved_column),80)&amp;"|",F_Custom2_wrapped)),1,0),0))</f>
        <v>1</v>
      </c>
      <c r="H81">
        <f>F81*G81*1</f>
        <v>1</v>
      </c>
      <c r="I81">
        <f>1</f>
        <v>1</v>
      </c>
      <c r="J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80)&amp;"|",All_Questions_Q20_F_wrapped)),1,0),0))</f>
        <v>1</v>
      </c>
    </row>
    <row r="82">
      <c r="A82" t="n">
        <v>81</v>
      </c>
      <c r="B82" t="n">
        <v>28.9</v>
      </c>
      <c r="C82" t="n">
        <v>24.6</v>
      </c>
      <c r="D82" t="n">
        <v>22.9</v>
      </c>
      <c r="E82">
        <f>1</f>
        <v>1</v>
      </c>
      <c r="F82">
        <f>IF(OR(F_Custom1_Q="(None)",F_Custom1_Q="",ISBLANK(F_Custom1_Q),F_Custom1_V="(All)",F_Custom1_V="",ISBLANK(F_Custom1_V)),1,IFERROR(IF(ISNUMBER(SEARCH("|"&amp;INDEX(INDIRECT(F_Custom1_resolved_column),81)&amp;"|",F_Custom1_wrapped)),1,0),0))</f>
        <v>1</v>
      </c>
      <c r="G82">
        <f>IF(OR(F_Custom2_Q="(None)",F_Custom2_Q="",ISBLANK(F_Custom2_Q),F_Custom2_V="(All)",F_Custom2_V="",ISBLANK(F_Custom2_V)),1,IFERROR(IF(ISNUMBER(SEARCH("|"&amp;INDEX(INDIRECT(F_Custom2_resolved_column),81)&amp;"|",F_Custom2_wrapped)),1,0),0))</f>
        <v>1</v>
      </c>
      <c r="H82">
        <f>F82*G82*1</f>
        <v>1</v>
      </c>
      <c r="I82">
        <f>1</f>
        <v>1</v>
      </c>
      <c r="J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81)&amp;"|",All_Questions_Q20_F_wrapped)),1,0),0))</f>
        <v>1</v>
      </c>
    </row>
    <row r="83">
      <c r="A83" t="n">
        <v>82</v>
      </c>
      <c r="B83" t="n">
        <v>28.9</v>
      </c>
      <c r="C83" t="n">
        <v>24.6</v>
      </c>
      <c r="D83" t="n">
        <v>22.9</v>
      </c>
      <c r="E83">
        <f>1</f>
        <v>1</v>
      </c>
      <c r="F83">
        <f>IF(OR(F_Custom1_Q="(None)",F_Custom1_Q="",ISBLANK(F_Custom1_Q),F_Custom1_V="(All)",F_Custom1_V="",ISBLANK(F_Custom1_V)),1,IFERROR(IF(ISNUMBER(SEARCH("|"&amp;INDEX(INDIRECT(F_Custom1_resolved_column),82)&amp;"|",F_Custom1_wrapped)),1,0),0))</f>
        <v>1</v>
      </c>
      <c r="G83">
        <f>IF(OR(F_Custom2_Q="(None)",F_Custom2_Q="",ISBLANK(F_Custom2_Q),F_Custom2_V="(All)",F_Custom2_V="",ISBLANK(F_Custom2_V)),1,IFERROR(IF(ISNUMBER(SEARCH("|"&amp;INDEX(INDIRECT(F_Custom2_resolved_column),82)&amp;"|",F_Custom2_wrapped)),1,0),0))</f>
        <v>1</v>
      </c>
      <c r="H83">
        <f>F83*G83*1</f>
        <v>1</v>
      </c>
      <c r="I83">
        <f>1</f>
        <v>1</v>
      </c>
      <c r="J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82)&amp;"|",All_Questions_Q20_F_wrapped)),1,0),0))</f>
        <v>1</v>
      </c>
    </row>
    <row r="84">
      <c r="A84" t="n">
        <v>83</v>
      </c>
      <c r="B84" t="n">
        <v>28.9</v>
      </c>
      <c r="C84" t="n">
        <v>24.6</v>
      </c>
      <c r="D84" t="n">
        <v>22.9</v>
      </c>
      <c r="E84">
        <f>1</f>
        <v>1</v>
      </c>
      <c r="F84">
        <f>IF(OR(F_Custom1_Q="(None)",F_Custom1_Q="",ISBLANK(F_Custom1_Q),F_Custom1_V="(All)",F_Custom1_V="",ISBLANK(F_Custom1_V)),1,IFERROR(IF(ISNUMBER(SEARCH("|"&amp;INDEX(INDIRECT(F_Custom1_resolved_column),83)&amp;"|",F_Custom1_wrapped)),1,0),0))</f>
        <v>1</v>
      </c>
      <c r="G84">
        <f>IF(OR(F_Custom2_Q="(None)",F_Custom2_Q="",ISBLANK(F_Custom2_Q),F_Custom2_V="(All)",F_Custom2_V="",ISBLANK(F_Custom2_V)),1,IFERROR(IF(ISNUMBER(SEARCH("|"&amp;INDEX(INDIRECT(F_Custom2_resolved_column),83)&amp;"|",F_Custom2_wrapped)),1,0),0))</f>
        <v>1</v>
      </c>
      <c r="H84">
        <f>F84*G84*1</f>
        <v>1</v>
      </c>
      <c r="I84">
        <f>1</f>
        <v>1</v>
      </c>
      <c r="J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83)&amp;"|",All_Questions_Q20_F_wrapped)),1,0),0))</f>
        <v>1</v>
      </c>
    </row>
    <row r="85">
      <c r="A85" t="n">
        <v>84</v>
      </c>
      <c r="B85" t="n">
        <v>28.9</v>
      </c>
      <c r="C85" t="n">
        <v>24.6</v>
      </c>
      <c r="D85" t="n">
        <v>22.9</v>
      </c>
      <c r="E85">
        <f>1</f>
        <v>1</v>
      </c>
      <c r="F85">
        <f>IF(OR(F_Custom1_Q="(None)",F_Custom1_Q="",ISBLANK(F_Custom1_Q),F_Custom1_V="(All)",F_Custom1_V="",ISBLANK(F_Custom1_V)),1,IFERROR(IF(ISNUMBER(SEARCH("|"&amp;INDEX(INDIRECT(F_Custom1_resolved_column),84)&amp;"|",F_Custom1_wrapped)),1,0),0))</f>
        <v>1</v>
      </c>
      <c r="G85">
        <f>IF(OR(F_Custom2_Q="(None)",F_Custom2_Q="",ISBLANK(F_Custom2_Q),F_Custom2_V="(All)",F_Custom2_V="",ISBLANK(F_Custom2_V)),1,IFERROR(IF(ISNUMBER(SEARCH("|"&amp;INDEX(INDIRECT(F_Custom2_resolved_column),84)&amp;"|",F_Custom2_wrapped)),1,0),0))</f>
        <v>1</v>
      </c>
      <c r="H85">
        <f>F85*G85*1</f>
        <v>1</v>
      </c>
      <c r="I85">
        <f>1</f>
        <v>1</v>
      </c>
      <c r="J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84)&amp;"|",All_Questions_Q20_F_wrapped)),1,0),0))</f>
        <v>1</v>
      </c>
    </row>
    <row r="86">
      <c r="A86" t="n">
        <v>85</v>
      </c>
      <c r="B86" t="n">
        <v>28.9</v>
      </c>
      <c r="C86" t="n">
        <v>24.6</v>
      </c>
      <c r="D86" t="n">
        <v>22.9</v>
      </c>
      <c r="E86">
        <f>1</f>
        <v>1</v>
      </c>
      <c r="F86">
        <f>IF(OR(F_Custom1_Q="(None)",F_Custom1_Q="",ISBLANK(F_Custom1_Q),F_Custom1_V="(All)",F_Custom1_V="",ISBLANK(F_Custom1_V)),1,IFERROR(IF(ISNUMBER(SEARCH("|"&amp;INDEX(INDIRECT(F_Custom1_resolved_column),85)&amp;"|",F_Custom1_wrapped)),1,0),0))</f>
        <v>1</v>
      </c>
      <c r="G86">
        <f>IF(OR(F_Custom2_Q="(None)",F_Custom2_Q="",ISBLANK(F_Custom2_Q),F_Custom2_V="(All)",F_Custom2_V="",ISBLANK(F_Custom2_V)),1,IFERROR(IF(ISNUMBER(SEARCH("|"&amp;INDEX(INDIRECT(F_Custom2_resolved_column),85)&amp;"|",F_Custom2_wrapped)),1,0),0))</f>
        <v>1</v>
      </c>
      <c r="H86">
        <f>F86*G86*1</f>
        <v>1</v>
      </c>
      <c r="I86">
        <f>1</f>
        <v>1</v>
      </c>
      <c r="J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85)&amp;"|",All_Questions_Q20_F_wrapped)),1,0),0))</f>
        <v>1</v>
      </c>
    </row>
    <row r="87">
      <c r="A87" t="n">
        <v>86</v>
      </c>
      <c r="B87" t="n">
        <v>28.9</v>
      </c>
      <c r="C87" t="n">
        <v>24.6</v>
      </c>
      <c r="D87" t="n">
        <v>22.9</v>
      </c>
      <c r="E87">
        <f>1</f>
        <v>1</v>
      </c>
      <c r="F87">
        <f>IF(OR(F_Custom1_Q="(None)",F_Custom1_Q="",ISBLANK(F_Custom1_Q),F_Custom1_V="(All)",F_Custom1_V="",ISBLANK(F_Custom1_V)),1,IFERROR(IF(ISNUMBER(SEARCH("|"&amp;INDEX(INDIRECT(F_Custom1_resolved_column),86)&amp;"|",F_Custom1_wrapped)),1,0),0))</f>
        <v>1</v>
      </c>
      <c r="G87">
        <f>IF(OR(F_Custom2_Q="(None)",F_Custom2_Q="",ISBLANK(F_Custom2_Q),F_Custom2_V="(All)",F_Custom2_V="",ISBLANK(F_Custom2_V)),1,IFERROR(IF(ISNUMBER(SEARCH("|"&amp;INDEX(INDIRECT(F_Custom2_resolved_column),86)&amp;"|",F_Custom2_wrapped)),1,0),0))</f>
        <v>1</v>
      </c>
      <c r="H87">
        <f>F87*G87*1</f>
        <v>1</v>
      </c>
      <c r="I87">
        <f>1</f>
        <v>1</v>
      </c>
      <c r="J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86)&amp;"|",All_Questions_Q20_F_wrapped)),1,0),0))</f>
        <v>1</v>
      </c>
    </row>
    <row r="88">
      <c r="A88" t="n">
        <v>87</v>
      </c>
      <c r="B88" t="n">
        <v>28.9</v>
      </c>
      <c r="C88" t="n">
        <v>24.6</v>
      </c>
      <c r="D88" t="n">
        <v>22.9</v>
      </c>
      <c r="E88">
        <f>1</f>
        <v>1</v>
      </c>
      <c r="F88">
        <f>IF(OR(F_Custom1_Q="(None)",F_Custom1_Q="",ISBLANK(F_Custom1_Q),F_Custom1_V="(All)",F_Custom1_V="",ISBLANK(F_Custom1_V)),1,IFERROR(IF(ISNUMBER(SEARCH("|"&amp;INDEX(INDIRECT(F_Custom1_resolved_column),87)&amp;"|",F_Custom1_wrapped)),1,0),0))</f>
        <v>1</v>
      </c>
      <c r="G88">
        <f>IF(OR(F_Custom2_Q="(None)",F_Custom2_Q="",ISBLANK(F_Custom2_Q),F_Custom2_V="(All)",F_Custom2_V="",ISBLANK(F_Custom2_V)),1,IFERROR(IF(ISNUMBER(SEARCH("|"&amp;INDEX(INDIRECT(F_Custom2_resolved_column),87)&amp;"|",F_Custom2_wrapped)),1,0),0))</f>
        <v>1</v>
      </c>
      <c r="H88">
        <f>F88*G88*1</f>
        <v>1</v>
      </c>
      <c r="I88">
        <f>1</f>
        <v>1</v>
      </c>
      <c r="J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87)&amp;"|",All_Questions_Q20_F_wrapped)),1,0),0))</f>
        <v>1</v>
      </c>
    </row>
    <row r="89">
      <c r="A89" t="n">
        <v>88</v>
      </c>
      <c r="B89" t="n">
        <v>28.9</v>
      </c>
      <c r="C89" t="n">
        <v>24.6</v>
      </c>
      <c r="D89" t="n">
        <v>22.9</v>
      </c>
      <c r="E89">
        <f>1</f>
        <v>1</v>
      </c>
      <c r="F89">
        <f>IF(OR(F_Custom1_Q="(None)",F_Custom1_Q="",ISBLANK(F_Custom1_Q),F_Custom1_V="(All)",F_Custom1_V="",ISBLANK(F_Custom1_V)),1,IFERROR(IF(ISNUMBER(SEARCH("|"&amp;INDEX(INDIRECT(F_Custom1_resolved_column),88)&amp;"|",F_Custom1_wrapped)),1,0),0))</f>
        <v>1</v>
      </c>
      <c r="G89">
        <f>IF(OR(F_Custom2_Q="(None)",F_Custom2_Q="",ISBLANK(F_Custom2_Q),F_Custom2_V="(All)",F_Custom2_V="",ISBLANK(F_Custom2_V)),1,IFERROR(IF(ISNUMBER(SEARCH("|"&amp;INDEX(INDIRECT(F_Custom2_resolved_column),88)&amp;"|",F_Custom2_wrapped)),1,0),0))</f>
        <v>1</v>
      </c>
      <c r="H89">
        <f>F89*G89*1</f>
        <v>1</v>
      </c>
      <c r="I89">
        <f>1</f>
        <v>1</v>
      </c>
      <c r="J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88)&amp;"|",All_Questions_Q20_F_wrapped)),1,0),0))</f>
        <v>1</v>
      </c>
    </row>
    <row r="90">
      <c r="A90" t="n">
        <v>89</v>
      </c>
      <c r="B90" t="n">
        <v>28.9</v>
      </c>
      <c r="C90" t="n">
        <v>24.6</v>
      </c>
      <c r="D90" t="n">
        <v>22.9</v>
      </c>
      <c r="E90">
        <f>1</f>
        <v>1</v>
      </c>
      <c r="F90">
        <f>IF(OR(F_Custom1_Q="(None)",F_Custom1_Q="",ISBLANK(F_Custom1_Q),F_Custom1_V="(All)",F_Custom1_V="",ISBLANK(F_Custom1_V)),1,IFERROR(IF(ISNUMBER(SEARCH("|"&amp;INDEX(INDIRECT(F_Custom1_resolved_column),89)&amp;"|",F_Custom1_wrapped)),1,0),0))</f>
        <v>1</v>
      </c>
      <c r="G90">
        <f>IF(OR(F_Custom2_Q="(None)",F_Custom2_Q="",ISBLANK(F_Custom2_Q),F_Custom2_V="(All)",F_Custom2_V="",ISBLANK(F_Custom2_V)),1,IFERROR(IF(ISNUMBER(SEARCH("|"&amp;INDEX(INDIRECT(F_Custom2_resolved_column),89)&amp;"|",F_Custom2_wrapped)),1,0),0))</f>
        <v>1</v>
      </c>
      <c r="H90">
        <f>F90*G90*1</f>
        <v>1</v>
      </c>
      <c r="I90">
        <f>1</f>
        <v>1</v>
      </c>
      <c r="J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89)&amp;"|",All_Questions_Q20_F_wrapped)),1,0),0))</f>
        <v>1</v>
      </c>
    </row>
    <row r="91">
      <c r="A91" t="n">
        <v>90</v>
      </c>
      <c r="B91" t="n">
        <v>28.9</v>
      </c>
      <c r="C91" t="n">
        <v>24.6</v>
      </c>
      <c r="D91" t="n">
        <v>22.9</v>
      </c>
      <c r="E91">
        <f>1</f>
        <v>1</v>
      </c>
      <c r="F91">
        <f>IF(OR(F_Custom1_Q="(None)",F_Custom1_Q="",ISBLANK(F_Custom1_Q),F_Custom1_V="(All)",F_Custom1_V="",ISBLANK(F_Custom1_V)),1,IFERROR(IF(ISNUMBER(SEARCH("|"&amp;INDEX(INDIRECT(F_Custom1_resolved_column),90)&amp;"|",F_Custom1_wrapped)),1,0),0))</f>
        <v>1</v>
      </c>
      <c r="G91">
        <f>IF(OR(F_Custom2_Q="(None)",F_Custom2_Q="",ISBLANK(F_Custom2_Q),F_Custom2_V="(All)",F_Custom2_V="",ISBLANK(F_Custom2_V)),1,IFERROR(IF(ISNUMBER(SEARCH("|"&amp;INDEX(INDIRECT(F_Custom2_resolved_column),90)&amp;"|",F_Custom2_wrapped)),1,0),0))</f>
        <v>1</v>
      </c>
      <c r="H91">
        <f>F91*G91*1</f>
        <v>1</v>
      </c>
      <c r="I91">
        <f>1</f>
        <v>1</v>
      </c>
      <c r="J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90)&amp;"|",All_Questions_Q20_F_wrapped)),1,0),0))</f>
        <v>1</v>
      </c>
    </row>
    <row r="92">
      <c r="A92" t="n">
        <v>91</v>
      </c>
      <c r="B92" t="n">
        <v>28.9</v>
      </c>
      <c r="C92" t="n">
        <v>24.6</v>
      </c>
      <c r="D92" t="n">
        <v>22.9</v>
      </c>
      <c r="E92">
        <f>1</f>
        <v>1</v>
      </c>
      <c r="F92">
        <f>IF(OR(F_Custom1_Q="(None)",F_Custom1_Q="",ISBLANK(F_Custom1_Q),F_Custom1_V="(All)",F_Custom1_V="",ISBLANK(F_Custom1_V)),1,IFERROR(IF(ISNUMBER(SEARCH("|"&amp;INDEX(INDIRECT(F_Custom1_resolved_column),91)&amp;"|",F_Custom1_wrapped)),1,0),0))</f>
        <v>1</v>
      </c>
      <c r="G92">
        <f>IF(OR(F_Custom2_Q="(None)",F_Custom2_Q="",ISBLANK(F_Custom2_Q),F_Custom2_V="(All)",F_Custom2_V="",ISBLANK(F_Custom2_V)),1,IFERROR(IF(ISNUMBER(SEARCH("|"&amp;INDEX(INDIRECT(F_Custom2_resolved_column),91)&amp;"|",F_Custom2_wrapped)),1,0),0))</f>
        <v>1</v>
      </c>
      <c r="H92">
        <f>F92*G92*1</f>
        <v>1</v>
      </c>
      <c r="I92">
        <f>1</f>
        <v>1</v>
      </c>
      <c r="J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91)&amp;"|",All_Questions_Q20_F_wrapped)),1,0),0))</f>
        <v>1</v>
      </c>
    </row>
    <row r="93">
      <c r="A93" t="n">
        <v>92</v>
      </c>
      <c r="B93" t="n">
        <v>28.9</v>
      </c>
      <c r="C93" t="n">
        <v>24.6</v>
      </c>
      <c r="D93" t="n">
        <v>22.9</v>
      </c>
      <c r="E93">
        <f>1</f>
        <v>1</v>
      </c>
      <c r="F93">
        <f>IF(OR(F_Custom1_Q="(None)",F_Custom1_Q="",ISBLANK(F_Custom1_Q),F_Custom1_V="(All)",F_Custom1_V="",ISBLANK(F_Custom1_V)),1,IFERROR(IF(ISNUMBER(SEARCH("|"&amp;INDEX(INDIRECT(F_Custom1_resolved_column),92)&amp;"|",F_Custom1_wrapped)),1,0),0))</f>
        <v>1</v>
      </c>
      <c r="G93">
        <f>IF(OR(F_Custom2_Q="(None)",F_Custom2_Q="",ISBLANK(F_Custom2_Q),F_Custom2_V="(All)",F_Custom2_V="",ISBLANK(F_Custom2_V)),1,IFERROR(IF(ISNUMBER(SEARCH("|"&amp;INDEX(INDIRECT(F_Custom2_resolved_column),92)&amp;"|",F_Custom2_wrapped)),1,0),0))</f>
        <v>1</v>
      </c>
      <c r="H93">
        <f>F93*G93*1</f>
        <v>1</v>
      </c>
      <c r="I93">
        <f>1</f>
        <v>1</v>
      </c>
      <c r="J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92)&amp;"|",All_Questions_Q20_F_wrapped)),1,0),0))</f>
        <v>1</v>
      </c>
    </row>
    <row r="94">
      <c r="A94" t="n">
        <v>93</v>
      </c>
      <c r="B94" t="n">
        <v>28.9</v>
      </c>
      <c r="C94" t="n">
        <v>24.6</v>
      </c>
      <c r="D94" t="n">
        <v>22.9</v>
      </c>
      <c r="E94">
        <f>1</f>
        <v>1</v>
      </c>
      <c r="F94">
        <f>IF(OR(F_Custom1_Q="(None)",F_Custom1_Q="",ISBLANK(F_Custom1_Q),F_Custom1_V="(All)",F_Custom1_V="",ISBLANK(F_Custom1_V)),1,IFERROR(IF(ISNUMBER(SEARCH("|"&amp;INDEX(INDIRECT(F_Custom1_resolved_column),93)&amp;"|",F_Custom1_wrapped)),1,0),0))</f>
        <v>1</v>
      </c>
      <c r="G94">
        <f>IF(OR(F_Custom2_Q="(None)",F_Custom2_Q="",ISBLANK(F_Custom2_Q),F_Custom2_V="(All)",F_Custom2_V="",ISBLANK(F_Custom2_V)),1,IFERROR(IF(ISNUMBER(SEARCH("|"&amp;INDEX(INDIRECT(F_Custom2_resolved_column),93)&amp;"|",F_Custom2_wrapped)),1,0),0))</f>
        <v>1</v>
      </c>
      <c r="H94">
        <f>F94*G94*1</f>
        <v>1</v>
      </c>
      <c r="I94">
        <f>1</f>
        <v>1</v>
      </c>
      <c r="J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93)&amp;"|",All_Questions_Q20_F_wrapped)),1,0),0))</f>
        <v>1</v>
      </c>
    </row>
    <row r="95">
      <c r="A95" t="n">
        <v>94</v>
      </c>
      <c r="B95" t="n">
        <v>28.9</v>
      </c>
      <c r="C95" t="n">
        <v>24.6</v>
      </c>
      <c r="D95" t="n">
        <v>22.9</v>
      </c>
      <c r="E95">
        <f>1</f>
        <v>1</v>
      </c>
      <c r="F95">
        <f>IF(OR(F_Custom1_Q="(None)",F_Custom1_Q="",ISBLANK(F_Custom1_Q),F_Custom1_V="(All)",F_Custom1_V="",ISBLANK(F_Custom1_V)),1,IFERROR(IF(ISNUMBER(SEARCH("|"&amp;INDEX(INDIRECT(F_Custom1_resolved_column),94)&amp;"|",F_Custom1_wrapped)),1,0),0))</f>
        <v>1</v>
      </c>
      <c r="G95">
        <f>IF(OR(F_Custom2_Q="(None)",F_Custom2_Q="",ISBLANK(F_Custom2_Q),F_Custom2_V="(All)",F_Custom2_V="",ISBLANK(F_Custom2_V)),1,IFERROR(IF(ISNUMBER(SEARCH("|"&amp;INDEX(INDIRECT(F_Custom2_resolved_column),94)&amp;"|",F_Custom2_wrapped)),1,0),0))</f>
        <v>1</v>
      </c>
      <c r="H95">
        <f>F95*G95*1</f>
        <v>1</v>
      </c>
      <c r="I95">
        <f>1</f>
        <v>1</v>
      </c>
      <c r="J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94)&amp;"|",All_Questions_Q20_F_wrapped)),1,0),0))</f>
        <v>1</v>
      </c>
    </row>
    <row r="96">
      <c r="A96" t="n">
        <v>95</v>
      </c>
      <c r="B96" t="n">
        <v>28.9</v>
      </c>
      <c r="C96" t="n">
        <v>24.6</v>
      </c>
      <c r="D96" t="n">
        <v>22.9</v>
      </c>
      <c r="E96">
        <f>1</f>
        <v>1</v>
      </c>
      <c r="F96">
        <f>IF(OR(F_Custom1_Q="(None)",F_Custom1_Q="",ISBLANK(F_Custom1_Q),F_Custom1_V="(All)",F_Custom1_V="",ISBLANK(F_Custom1_V)),1,IFERROR(IF(ISNUMBER(SEARCH("|"&amp;INDEX(INDIRECT(F_Custom1_resolved_column),95)&amp;"|",F_Custom1_wrapped)),1,0),0))</f>
        <v>1</v>
      </c>
      <c r="G96">
        <f>IF(OR(F_Custom2_Q="(None)",F_Custom2_Q="",ISBLANK(F_Custom2_Q),F_Custom2_V="(All)",F_Custom2_V="",ISBLANK(F_Custom2_V)),1,IFERROR(IF(ISNUMBER(SEARCH("|"&amp;INDEX(INDIRECT(F_Custom2_resolved_column),95)&amp;"|",F_Custom2_wrapped)),1,0),0))</f>
        <v>1</v>
      </c>
      <c r="H96">
        <f>F96*G96*1</f>
        <v>1</v>
      </c>
      <c r="I96">
        <f>1</f>
        <v>1</v>
      </c>
      <c r="J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95)&amp;"|",All_Questions_Q20_F_wrapped)),1,0),0))</f>
        <v>1</v>
      </c>
    </row>
    <row r="97">
      <c r="A97" t="n">
        <v>96</v>
      </c>
      <c r="B97" t="n">
        <v>28.9</v>
      </c>
      <c r="C97" t="n">
        <v>24.6</v>
      </c>
      <c r="D97" t="n">
        <v>22.9</v>
      </c>
      <c r="E97">
        <f>1</f>
        <v>1</v>
      </c>
      <c r="F97">
        <f>IF(OR(F_Custom1_Q="(None)",F_Custom1_Q="",ISBLANK(F_Custom1_Q),F_Custom1_V="(All)",F_Custom1_V="",ISBLANK(F_Custom1_V)),1,IFERROR(IF(ISNUMBER(SEARCH("|"&amp;INDEX(INDIRECT(F_Custom1_resolved_column),96)&amp;"|",F_Custom1_wrapped)),1,0),0))</f>
        <v>1</v>
      </c>
      <c r="G97">
        <f>IF(OR(F_Custom2_Q="(None)",F_Custom2_Q="",ISBLANK(F_Custom2_Q),F_Custom2_V="(All)",F_Custom2_V="",ISBLANK(F_Custom2_V)),1,IFERROR(IF(ISNUMBER(SEARCH("|"&amp;INDEX(INDIRECT(F_Custom2_resolved_column),96)&amp;"|",F_Custom2_wrapped)),1,0),0))</f>
        <v>1</v>
      </c>
      <c r="H97">
        <f>F97*G97*1</f>
        <v>1</v>
      </c>
      <c r="I97">
        <f>1</f>
        <v>1</v>
      </c>
      <c r="J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96)&amp;"|",All_Questions_Q20_F_wrapped)),1,0),0))</f>
        <v>1</v>
      </c>
    </row>
    <row r="98">
      <c r="A98" t="n">
        <v>97</v>
      </c>
      <c r="B98" t="n">
        <v>28.9</v>
      </c>
      <c r="C98" t="n">
        <v>24.6</v>
      </c>
      <c r="D98" t="n">
        <v>22.9</v>
      </c>
      <c r="E98">
        <f>1</f>
        <v>1</v>
      </c>
      <c r="F98">
        <f>IF(OR(F_Custom1_Q="(None)",F_Custom1_Q="",ISBLANK(F_Custom1_Q),F_Custom1_V="(All)",F_Custom1_V="",ISBLANK(F_Custom1_V)),1,IFERROR(IF(ISNUMBER(SEARCH("|"&amp;INDEX(INDIRECT(F_Custom1_resolved_column),97)&amp;"|",F_Custom1_wrapped)),1,0),0))</f>
        <v>1</v>
      </c>
      <c r="G98">
        <f>IF(OR(F_Custom2_Q="(None)",F_Custom2_Q="",ISBLANK(F_Custom2_Q),F_Custom2_V="(All)",F_Custom2_V="",ISBLANK(F_Custom2_V)),1,IFERROR(IF(ISNUMBER(SEARCH("|"&amp;INDEX(INDIRECT(F_Custom2_resolved_column),97)&amp;"|",F_Custom2_wrapped)),1,0),0))</f>
        <v>1</v>
      </c>
      <c r="H98">
        <f>F98*G98*1</f>
        <v>1</v>
      </c>
      <c r="I98">
        <f>1</f>
        <v>1</v>
      </c>
      <c r="J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97)&amp;"|",All_Questions_Q20_F_wrapped)),1,0),0))</f>
        <v>1</v>
      </c>
    </row>
    <row r="99">
      <c r="A99" t="n">
        <v>98</v>
      </c>
      <c r="B99" t="n">
        <v>28.9</v>
      </c>
      <c r="C99" t="n">
        <v>24.6</v>
      </c>
      <c r="D99" t="n">
        <v>22.9</v>
      </c>
      <c r="E99">
        <f>1</f>
        <v>1</v>
      </c>
      <c r="F99">
        <f>IF(OR(F_Custom1_Q="(None)",F_Custom1_Q="",ISBLANK(F_Custom1_Q),F_Custom1_V="(All)",F_Custom1_V="",ISBLANK(F_Custom1_V)),1,IFERROR(IF(ISNUMBER(SEARCH("|"&amp;INDEX(INDIRECT(F_Custom1_resolved_column),98)&amp;"|",F_Custom1_wrapped)),1,0),0))</f>
        <v>1</v>
      </c>
      <c r="G99">
        <f>IF(OR(F_Custom2_Q="(None)",F_Custom2_Q="",ISBLANK(F_Custom2_Q),F_Custom2_V="(All)",F_Custom2_V="",ISBLANK(F_Custom2_V)),1,IFERROR(IF(ISNUMBER(SEARCH("|"&amp;INDEX(INDIRECT(F_Custom2_resolved_column),98)&amp;"|",F_Custom2_wrapped)),1,0),0))</f>
        <v>1</v>
      </c>
      <c r="H99">
        <f>F99*G99*1</f>
        <v>1</v>
      </c>
      <c r="I99">
        <f>1</f>
        <v>1</v>
      </c>
      <c r="J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98)&amp;"|",All_Questions_Q20_F_wrapped)),1,0),0))</f>
        <v>1</v>
      </c>
    </row>
    <row r="100">
      <c r="A100" t="n">
        <v>99</v>
      </c>
      <c r="B100" t="n">
        <v>28.9</v>
      </c>
      <c r="C100" t="n">
        <v>24.6</v>
      </c>
      <c r="D100" t="n">
        <v>22.9</v>
      </c>
      <c r="E100">
        <f>1</f>
        <v>1</v>
      </c>
      <c r="F100">
        <f>IF(OR(F_Custom1_Q="(None)",F_Custom1_Q="",ISBLANK(F_Custom1_Q),F_Custom1_V="(All)",F_Custom1_V="",ISBLANK(F_Custom1_V)),1,IFERROR(IF(ISNUMBER(SEARCH("|"&amp;INDEX(INDIRECT(F_Custom1_resolved_column),99)&amp;"|",F_Custom1_wrapped)),1,0),0))</f>
        <v>1</v>
      </c>
      <c r="G100">
        <f>IF(OR(F_Custom2_Q="(None)",F_Custom2_Q="",ISBLANK(F_Custom2_Q),F_Custom2_V="(All)",F_Custom2_V="",ISBLANK(F_Custom2_V)),1,IFERROR(IF(ISNUMBER(SEARCH("|"&amp;INDEX(INDIRECT(F_Custom2_resolved_column),99)&amp;"|",F_Custom2_wrapped)),1,0),0))</f>
        <v>1</v>
      </c>
      <c r="H100">
        <f>F100*G100*1</f>
        <v>1</v>
      </c>
      <c r="I100">
        <f>1</f>
        <v>1</v>
      </c>
      <c r="J1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99)&amp;"|",All_Questions_Q20_F_wrapped)),1,0),0))</f>
        <v>1</v>
      </c>
    </row>
    <row r="101">
      <c r="A101" t="n">
        <v>100</v>
      </c>
      <c r="B101" t="n">
        <v>28.9</v>
      </c>
      <c r="C101" t="n">
        <v>24.6</v>
      </c>
      <c r="D101" t="n">
        <v>22.9</v>
      </c>
      <c r="E101">
        <f>1</f>
        <v>1</v>
      </c>
      <c r="F101">
        <f>IF(OR(F_Custom1_Q="(None)",F_Custom1_Q="",ISBLANK(F_Custom1_Q),F_Custom1_V="(All)",F_Custom1_V="",ISBLANK(F_Custom1_V)),1,IFERROR(IF(ISNUMBER(SEARCH("|"&amp;INDEX(INDIRECT(F_Custom1_resolved_column),100)&amp;"|",F_Custom1_wrapped)),1,0),0))</f>
        <v>1</v>
      </c>
      <c r="G101">
        <f>IF(OR(F_Custom2_Q="(None)",F_Custom2_Q="",ISBLANK(F_Custom2_Q),F_Custom2_V="(All)",F_Custom2_V="",ISBLANK(F_Custom2_V)),1,IFERROR(IF(ISNUMBER(SEARCH("|"&amp;INDEX(INDIRECT(F_Custom2_resolved_column),100)&amp;"|",F_Custom2_wrapped)),1,0),0))</f>
        <v>1</v>
      </c>
      <c r="H101">
        <f>F101*G101*1</f>
        <v>1</v>
      </c>
      <c r="I101">
        <f>1</f>
        <v>1</v>
      </c>
      <c r="J1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100)&amp;"|",All_Questions_Q20_F_wrapped)),1,0),0))</f>
        <v>1</v>
      </c>
    </row>
    <row r="102">
      <c r="A102" t="n">
        <v>101</v>
      </c>
      <c r="B102" t="n">
        <v>28.9</v>
      </c>
      <c r="C102" t="n">
        <v>24.6</v>
      </c>
      <c r="D102" t="n">
        <v>22.9</v>
      </c>
      <c r="E102">
        <f>1</f>
        <v>1</v>
      </c>
      <c r="F102">
        <f>IF(OR(F_Custom1_Q="(None)",F_Custom1_Q="",ISBLANK(F_Custom1_Q),F_Custom1_V="(All)",F_Custom1_V="",ISBLANK(F_Custom1_V)),1,IFERROR(IF(ISNUMBER(SEARCH("|"&amp;INDEX(INDIRECT(F_Custom1_resolved_column),101)&amp;"|",F_Custom1_wrapped)),1,0),0))</f>
        <v>1</v>
      </c>
      <c r="G102">
        <f>IF(OR(F_Custom2_Q="(None)",F_Custom2_Q="",ISBLANK(F_Custom2_Q),F_Custom2_V="(All)",F_Custom2_V="",ISBLANK(F_Custom2_V)),1,IFERROR(IF(ISNUMBER(SEARCH("|"&amp;INDEX(INDIRECT(F_Custom2_resolved_column),101)&amp;"|",F_Custom2_wrapped)),1,0),0))</f>
        <v>1</v>
      </c>
      <c r="H102">
        <f>F102*G102*1</f>
        <v>1</v>
      </c>
      <c r="I102">
        <f>1</f>
        <v>1</v>
      </c>
      <c r="J1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101)&amp;"|",All_Questions_Q20_F_wrapped)),1,0),0))</f>
        <v>1</v>
      </c>
    </row>
    <row r="103">
      <c r="A103" t="n">
        <v>102</v>
      </c>
      <c r="B103" t="n">
        <v>28.9</v>
      </c>
      <c r="C103" t="n">
        <v>24.6</v>
      </c>
      <c r="D103" t="n">
        <v>22.9</v>
      </c>
      <c r="E103">
        <f>1</f>
        <v>1</v>
      </c>
      <c r="F103">
        <f>IF(OR(F_Custom1_Q="(None)",F_Custom1_Q="",ISBLANK(F_Custom1_Q),F_Custom1_V="(All)",F_Custom1_V="",ISBLANK(F_Custom1_V)),1,IFERROR(IF(ISNUMBER(SEARCH("|"&amp;INDEX(INDIRECT(F_Custom1_resolved_column),102)&amp;"|",F_Custom1_wrapped)),1,0),0))</f>
        <v>1</v>
      </c>
      <c r="G103">
        <f>IF(OR(F_Custom2_Q="(None)",F_Custom2_Q="",ISBLANK(F_Custom2_Q),F_Custom2_V="(All)",F_Custom2_V="",ISBLANK(F_Custom2_V)),1,IFERROR(IF(ISNUMBER(SEARCH("|"&amp;INDEX(INDIRECT(F_Custom2_resolved_column),102)&amp;"|",F_Custom2_wrapped)),1,0),0))</f>
        <v>1</v>
      </c>
      <c r="H103">
        <f>F103*G103*1</f>
        <v>1</v>
      </c>
      <c r="I103">
        <f>1</f>
        <v>1</v>
      </c>
      <c r="J1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102)&amp;"|",All_Questions_Q20_F_wrapped)),1,0),0))</f>
        <v>1</v>
      </c>
    </row>
    <row r="104">
      <c r="A104" t="n">
        <v>103</v>
      </c>
      <c r="B104" t="n">
        <v>28.9</v>
      </c>
      <c r="C104" t="n">
        <v>24.6</v>
      </c>
      <c r="D104" t="n">
        <v>22.9</v>
      </c>
      <c r="E104">
        <f>1</f>
        <v>1</v>
      </c>
      <c r="F104">
        <f>IF(OR(F_Custom1_Q="(None)",F_Custom1_Q="",ISBLANK(F_Custom1_Q),F_Custom1_V="(All)",F_Custom1_V="",ISBLANK(F_Custom1_V)),1,IFERROR(IF(ISNUMBER(SEARCH("|"&amp;INDEX(INDIRECT(F_Custom1_resolved_column),103)&amp;"|",F_Custom1_wrapped)),1,0),0))</f>
        <v>1</v>
      </c>
      <c r="G104">
        <f>IF(OR(F_Custom2_Q="(None)",F_Custom2_Q="",ISBLANK(F_Custom2_Q),F_Custom2_V="(All)",F_Custom2_V="",ISBLANK(F_Custom2_V)),1,IFERROR(IF(ISNUMBER(SEARCH("|"&amp;INDEX(INDIRECT(F_Custom2_resolved_column),103)&amp;"|",F_Custom2_wrapped)),1,0),0))</f>
        <v>1</v>
      </c>
      <c r="H104">
        <f>F104*G104*1</f>
        <v>1</v>
      </c>
      <c r="I104">
        <f>1</f>
        <v>1</v>
      </c>
      <c r="J1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103)&amp;"|",All_Questions_Q20_F_wrapped)),1,0),0))</f>
        <v>1</v>
      </c>
    </row>
    <row r="105">
      <c r="A105" t="n">
        <v>104</v>
      </c>
      <c r="B105" t="n">
        <v>28.9</v>
      </c>
      <c r="C105" t="n">
        <v>24.6</v>
      </c>
      <c r="D105" t="n">
        <v>22.9</v>
      </c>
      <c r="E105">
        <f>1</f>
        <v>1</v>
      </c>
      <c r="F105">
        <f>IF(OR(F_Custom1_Q="(None)",F_Custom1_Q="",ISBLANK(F_Custom1_Q),F_Custom1_V="(All)",F_Custom1_V="",ISBLANK(F_Custom1_V)),1,IFERROR(IF(ISNUMBER(SEARCH("|"&amp;INDEX(INDIRECT(F_Custom1_resolved_column),104)&amp;"|",F_Custom1_wrapped)),1,0),0))</f>
        <v>1</v>
      </c>
      <c r="G105">
        <f>IF(OR(F_Custom2_Q="(None)",F_Custom2_Q="",ISBLANK(F_Custom2_Q),F_Custom2_V="(All)",F_Custom2_V="",ISBLANK(F_Custom2_V)),1,IFERROR(IF(ISNUMBER(SEARCH("|"&amp;INDEX(INDIRECT(F_Custom2_resolved_column),104)&amp;"|",F_Custom2_wrapped)),1,0),0))</f>
        <v>1</v>
      </c>
      <c r="H105">
        <f>F105*G105*1</f>
        <v>1</v>
      </c>
      <c r="I105">
        <f>1</f>
        <v>1</v>
      </c>
      <c r="J1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104)&amp;"|",All_Questions_Q20_F_wrapped)),1,0),0))</f>
        <v>1</v>
      </c>
    </row>
    <row r="106">
      <c r="A106" t="n">
        <v>105</v>
      </c>
      <c r="B106" t="n">
        <v>28.9</v>
      </c>
      <c r="C106" t="n">
        <v>24.6</v>
      </c>
      <c r="D106" t="n">
        <v>22.9</v>
      </c>
      <c r="E106">
        <f>1</f>
        <v>1</v>
      </c>
      <c r="F106">
        <f>IF(OR(F_Custom1_Q="(None)",F_Custom1_Q="",ISBLANK(F_Custom1_Q),F_Custom1_V="(All)",F_Custom1_V="",ISBLANK(F_Custom1_V)),1,IFERROR(IF(ISNUMBER(SEARCH("|"&amp;INDEX(INDIRECT(F_Custom1_resolved_column),105)&amp;"|",F_Custom1_wrapped)),1,0),0))</f>
        <v>1</v>
      </c>
      <c r="G106">
        <f>IF(OR(F_Custom2_Q="(None)",F_Custom2_Q="",ISBLANK(F_Custom2_Q),F_Custom2_V="(All)",F_Custom2_V="",ISBLANK(F_Custom2_V)),1,IFERROR(IF(ISNUMBER(SEARCH("|"&amp;INDEX(INDIRECT(F_Custom2_resolved_column),105)&amp;"|",F_Custom2_wrapped)),1,0),0))</f>
        <v>1</v>
      </c>
      <c r="H106">
        <f>F106*G106*1</f>
        <v>1</v>
      </c>
      <c r="I106">
        <f>1</f>
        <v>1</v>
      </c>
      <c r="J1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105)&amp;"|",All_Questions_Q20_F_wrapped)),1,0),0))</f>
        <v>1</v>
      </c>
    </row>
    <row r="107">
      <c r="A107" t="n">
        <v>106</v>
      </c>
      <c r="B107" t="n">
        <v>28.9</v>
      </c>
      <c r="C107" t="n">
        <v>24.6</v>
      </c>
      <c r="D107" t="n">
        <v>22.9</v>
      </c>
      <c r="E107">
        <f>1</f>
        <v>1</v>
      </c>
      <c r="F107">
        <f>IF(OR(F_Custom1_Q="(None)",F_Custom1_Q="",ISBLANK(F_Custom1_Q),F_Custom1_V="(All)",F_Custom1_V="",ISBLANK(F_Custom1_V)),1,IFERROR(IF(ISNUMBER(SEARCH("|"&amp;INDEX(INDIRECT(F_Custom1_resolved_column),106)&amp;"|",F_Custom1_wrapped)),1,0),0))</f>
        <v>1</v>
      </c>
      <c r="G107">
        <f>IF(OR(F_Custom2_Q="(None)",F_Custom2_Q="",ISBLANK(F_Custom2_Q),F_Custom2_V="(All)",F_Custom2_V="",ISBLANK(F_Custom2_V)),1,IFERROR(IF(ISNUMBER(SEARCH("|"&amp;INDEX(INDIRECT(F_Custom2_resolved_column),106)&amp;"|",F_Custom2_wrapped)),1,0),0))</f>
        <v>1</v>
      </c>
      <c r="H107">
        <f>F107*G107*1</f>
        <v>1</v>
      </c>
      <c r="I107">
        <f>1</f>
        <v>1</v>
      </c>
      <c r="J1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106)&amp;"|",All_Questions_Q20_F_wrapped)),1,0),0))</f>
        <v>1</v>
      </c>
    </row>
    <row r="108">
      <c r="A108" t="n">
        <v>107</v>
      </c>
      <c r="B108" t="n">
        <v>28.9</v>
      </c>
      <c r="C108" t="n">
        <v>24.6</v>
      </c>
      <c r="D108" t="n">
        <v>22.9</v>
      </c>
      <c r="E108">
        <f>1</f>
        <v>1</v>
      </c>
      <c r="F108">
        <f>IF(OR(F_Custom1_Q="(None)",F_Custom1_Q="",ISBLANK(F_Custom1_Q),F_Custom1_V="(All)",F_Custom1_V="",ISBLANK(F_Custom1_V)),1,IFERROR(IF(ISNUMBER(SEARCH("|"&amp;INDEX(INDIRECT(F_Custom1_resolved_column),107)&amp;"|",F_Custom1_wrapped)),1,0),0))</f>
        <v>1</v>
      </c>
      <c r="G108">
        <f>IF(OR(F_Custom2_Q="(None)",F_Custom2_Q="",ISBLANK(F_Custom2_Q),F_Custom2_V="(All)",F_Custom2_V="",ISBLANK(F_Custom2_V)),1,IFERROR(IF(ISNUMBER(SEARCH("|"&amp;INDEX(INDIRECT(F_Custom2_resolved_column),107)&amp;"|",F_Custom2_wrapped)),1,0),0))</f>
        <v>1</v>
      </c>
      <c r="H108">
        <f>F108*G108*1</f>
        <v>1</v>
      </c>
      <c r="I108">
        <f>1</f>
        <v>1</v>
      </c>
      <c r="J1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107)&amp;"|",All_Questions_Q20_F_wrapped)),1,0),0))</f>
        <v>1</v>
      </c>
    </row>
    <row r="109">
      <c r="A109" t="n">
        <v>108</v>
      </c>
      <c r="B109" t="n">
        <v>28.9</v>
      </c>
      <c r="C109" t="n">
        <v>24.6</v>
      </c>
      <c r="D109" t="n">
        <v>22.9</v>
      </c>
      <c r="E109">
        <f>1</f>
        <v>1</v>
      </c>
      <c r="F109">
        <f>IF(OR(F_Custom1_Q="(None)",F_Custom1_Q="",ISBLANK(F_Custom1_Q),F_Custom1_V="(All)",F_Custom1_V="",ISBLANK(F_Custom1_V)),1,IFERROR(IF(ISNUMBER(SEARCH("|"&amp;INDEX(INDIRECT(F_Custom1_resolved_column),108)&amp;"|",F_Custom1_wrapped)),1,0),0))</f>
        <v>1</v>
      </c>
      <c r="G109">
        <f>IF(OR(F_Custom2_Q="(None)",F_Custom2_Q="",ISBLANK(F_Custom2_Q),F_Custom2_V="(All)",F_Custom2_V="",ISBLANK(F_Custom2_V)),1,IFERROR(IF(ISNUMBER(SEARCH("|"&amp;INDEX(INDIRECT(F_Custom2_resolved_column),108)&amp;"|",F_Custom2_wrapped)),1,0),0))</f>
        <v>1</v>
      </c>
      <c r="H109">
        <f>F109*G109*1</f>
        <v>1</v>
      </c>
      <c r="I109">
        <f>1</f>
        <v>1</v>
      </c>
      <c r="J1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108)&amp;"|",All_Questions_Q20_F_wrapped)),1,0),0))</f>
        <v>1</v>
      </c>
    </row>
    <row r="110">
      <c r="A110" t="n">
        <v>109</v>
      </c>
      <c r="B110" t="n">
        <v>28.9</v>
      </c>
      <c r="C110" t="n">
        <v>24.6</v>
      </c>
      <c r="D110" t="n">
        <v>22.9</v>
      </c>
      <c r="E110">
        <f>1</f>
        <v>1</v>
      </c>
      <c r="F110">
        <f>IF(OR(F_Custom1_Q="(None)",F_Custom1_Q="",ISBLANK(F_Custom1_Q),F_Custom1_V="(All)",F_Custom1_V="",ISBLANK(F_Custom1_V)),1,IFERROR(IF(ISNUMBER(SEARCH("|"&amp;INDEX(INDIRECT(F_Custom1_resolved_column),109)&amp;"|",F_Custom1_wrapped)),1,0),0))</f>
        <v>1</v>
      </c>
      <c r="G110">
        <f>IF(OR(F_Custom2_Q="(None)",F_Custom2_Q="",ISBLANK(F_Custom2_Q),F_Custom2_V="(All)",F_Custom2_V="",ISBLANK(F_Custom2_V)),1,IFERROR(IF(ISNUMBER(SEARCH("|"&amp;INDEX(INDIRECT(F_Custom2_resolved_column),109)&amp;"|",F_Custom2_wrapped)),1,0),0))</f>
        <v>1</v>
      </c>
      <c r="H110">
        <f>F110*G110*1</f>
        <v>1</v>
      </c>
      <c r="I110">
        <f>1</f>
        <v>1</v>
      </c>
      <c r="J1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109)&amp;"|",All_Questions_Q20_F_wrapped)),1,0),0))</f>
        <v>1</v>
      </c>
    </row>
    <row r="111">
      <c r="A111" t="n">
        <v>110</v>
      </c>
      <c r="B111" t="n">
        <v>28.9</v>
      </c>
      <c r="C111" t="n">
        <v>24.6</v>
      </c>
      <c r="D111" t="n">
        <v>22.9</v>
      </c>
      <c r="E111">
        <f>1</f>
        <v>1</v>
      </c>
      <c r="F111">
        <f>IF(OR(F_Custom1_Q="(None)",F_Custom1_Q="",ISBLANK(F_Custom1_Q),F_Custom1_V="(All)",F_Custom1_V="",ISBLANK(F_Custom1_V)),1,IFERROR(IF(ISNUMBER(SEARCH("|"&amp;INDEX(INDIRECT(F_Custom1_resolved_column),110)&amp;"|",F_Custom1_wrapped)),1,0),0))</f>
        <v>1</v>
      </c>
      <c r="G111">
        <f>IF(OR(F_Custom2_Q="(None)",F_Custom2_Q="",ISBLANK(F_Custom2_Q),F_Custom2_V="(All)",F_Custom2_V="",ISBLANK(F_Custom2_V)),1,IFERROR(IF(ISNUMBER(SEARCH("|"&amp;INDEX(INDIRECT(F_Custom2_resolved_column),110)&amp;"|",F_Custom2_wrapped)),1,0),0))</f>
        <v>1</v>
      </c>
      <c r="H111">
        <f>F111*G111*1</f>
        <v>1</v>
      </c>
      <c r="I111">
        <f>1</f>
        <v>1</v>
      </c>
      <c r="J1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110)&amp;"|",All_Questions_Q20_F_wrapped)),1,0),0))</f>
        <v>1</v>
      </c>
    </row>
    <row r="112">
      <c r="A112" t="n">
        <v>111</v>
      </c>
      <c r="B112" t="n">
        <v>28.9</v>
      </c>
      <c r="C112" t="n">
        <v>24.6</v>
      </c>
      <c r="D112" t="n">
        <v>22.9</v>
      </c>
      <c r="E112">
        <f>1</f>
        <v>1</v>
      </c>
      <c r="F112">
        <f>IF(OR(F_Custom1_Q="(None)",F_Custom1_Q="",ISBLANK(F_Custom1_Q),F_Custom1_V="(All)",F_Custom1_V="",ISBLANK(F_Custom1_V)),1,IFERROR(IF(ISNUMBER(SEARCH("|"&amp;INDEX(INDIRECT(F_Custom1_resolved_column),111)&amp;"|",F_Custom1_wrapped)),1,0),0))</f>
        <v>1</v>
      </c>
      <c r="G112">
        <f>IF(OR(F_Custom2_Q="(None)",F_Custom2_Q="",ISBLANK(F_Custom2_Q),F_Custom2_V="(All)",F_Custom2_V="",ISBLANK(F_Custom2_V)),1,IFERROR(IF(ISNUMBER(SEARCH("|"&amp;INDEX(INDIRECT(F_Custom2_resolved_column),111)&amp;"|",F_Custom2_wrapped)),1,0),0))</f>
        <v>1</v>
      </c>
      <c r="H112">
        <f>F112*G112*1</f>
        <v>1</v>
      </c>
      <c r="I112">
        <f>1</f>
        <v>1</v>
      </c>
      <c r="J1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111)&amp;"|",All_Questions_Q20_F_wrapped)),1,0),0))</f>
        <v>1</v>
      </c>
    </row>
    <row r="113">
      <c r="A113" t="n">
        <v>112</v>
      </c>
      <c r="B113" t="n">
        <v>28.9</v>
      </c>
      <c r="C113" t="n">
        <v>24.6</v>
      </c>
      <c r="D113" t="n">
        <v>22.9</v>
      </c>
      <c r="E113">
        <f>1</f>
        <v>1</v>
      </c>
      <c r="F113">
        <f>IF(OR(F_Custom1_Q="(None)",F_Custom1_Q="",ISBLANK(F_Custom1_Q),F_Custom1_V="(All)",F_Custom1_V="",ISBLANK(F_Custom1_V)),1,IFERROR(IF(ISNUMBER(SEARCH("|"&amp;INDEX(INDIRECT(F_Custom1_resolved_column),112)&amp;"|",F_Custom1_wrapped)),1,0),0))</f>
        <v>1</v>
      </c>
      <c r="G113">
        <f>IF(OR(F_Custom2_Q="(None)",F_Custom2_Q="",ISBLANK(F_Custom2_Q),F_Custom2_V="(All)",F_Custom2_V="",ISBLANK(F_Custom2_V)),1,IFERROR(IF(ISNUMBER(SEARCH("|"&amp;INDEX(INDIRECT(F_Custom2_resolved_column),112)&amp;"|",F_Custom2_wrapped)),1,0),0))</f>
        <v>1</v>
      </c>
      <c r="H113">
        <f>F113*G113*1</f>
        <v>1</v>
      </c>
      <c r="I113">
        <f>1</f>
        <v>1</v>
      </c>
      <c r="J1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112)&amp;"|",All_Questions_Q20_F_wrapped)),1,0),0))</f>
        <v>1</v>
      </c>
    </row>
    <row r="114">
      <c r="A114" t="n">
        <v>113</v>
      </c>
      <c r="B114" t="n">
        <v>28.9</v>
      </c>
      <c r="C114" t="n">
        <v>24.6</v>
      </c>
      <c r="D114" t="n">
        <v>22.9</v>
      </c>
      <c r="E114">
        <f>1</f>
        <v>1</v>
      </c>
      <c r="F114">
        <f>IF(OR(F_Custom1_Q="(None)",F_Custom1_Q="",ISBLANK(F_Custom1_Q),F_Custom1_V="(All)",F_Custom1_V="",ISBLANK(F_Custom1_V)),1,IFERROR(IF(ISNUMBER(SEARCH("|"&amp;INDEX(INDIRECT(F_Custom1_resolved_column),113)&amp;"|",F_Custom1_wrapped)),1,0),0))</f>
        <v>1</v>
      </c>
      <c r="G114">
        <f>IF(OR(F_Custom2_Q="(None)",F_Custom2_Q="",ISBLANK(F_Custom2_Q),F_Custom2_V="(All)",F_Custom2_V="",ISBLANK(F_Custom2_V)),1,IFERROR(IF(ISNUMBER(SEARCH("|"&amp;INDEX(INDIRECT(F_Custom2_resolved_column),113)&amp;"|",F_Custom2_wrapped)),1,0),0))</f>
        <v>1</v>
      </c>
      <c r="H114">
        <f>F114*G114*1</f>
        <v>1</v>
      </c>
      <c r="I114">
        <f>1</f>
        <v>1</v>
      </c>
      <c r="J1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113)&amp;"|",All_Questions_Q20_F_wrapped)),1,0),0))</f>
        <v>1</v>
      </c>
    </row>
    <row r="115">
      <c r="A115" t="n">
        <v>114</v>
      </c>
      <c r="B115" t="n">
        <v>28.9</v>
      </c>
      <c r="C115" t="n">
        <v>24.6</v>
      </c>
      <c r="D115" t="n">
        <v>22.9</v>
      </c>
      <c r="E115">
        <f>1</f>
        <v>1</v>
      </c>
      <c r="F115">
        <f>IF(OR(F_Custom1_Q="(None)",F_Custom1_Q="",ISBLANK(F_Custom1_Q),F_Custom1_V="(All)",F_Custom1_V="",ISBLANK(F_Custom1_V)),1,IFERROR(IF(ISNUMBER(SEARCH("|"&amp;INDEX(INDIRECT(F_Custom1_resolved_column),114)&amp;"|",F_Custom1_wrapped)),1,0),0))</f>
        <v>1</v>
      </c>
      <c r="G115">
        <f>IF(OR(F_Custom2_Q="(None)",F_Custom2_Q="",ISBLANK(F_Custom2_Q),F_Custom2_V="(All)",F_Custom2_V="",ISBLANK(F_Custom2_V)),1,IFERROR(IF(ISNUMBER(SEARCH("|"&amp;INDEX(INDIRECT(F_Custom2_resolved_column),114)&amp;"|",F_Custom2_wrapped)),1,0),0))</f>
        <v>1</v>
      </c>
      <c r="H115">
        <f>F115*G115*1</f>
        <v>1</v>
      </c>
      <c r="I115">
        <f>1</f>
        <v>1</v>
      </c>
      <c r="J1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114)&amp;"|",All_Questions_Q20_F_wrapped)),1,0),0))</f>
        <v>1</v>
      </c>
    </row>
    <row r="116">
      <c r="A116" t="n">
        <v>115</v>
      </c>
      <c r="B116" t="n">
        <v>28.9</v>
      </c>
      <c r="C116" t="n">
        <v>24.6</v>
      </c>
      <c r="D116" t="n">
        <v>22.9</v>
      </c>
      <c r="E116">
        <f>1</f>
        <v>1</v>
      </c>
      <c r="F116">
        <f>IF(OR(F_Custom1_Q="(None)",F_Custom1_Q="",ISBLANK(F_Custom1_Q),F_Custom1_V="(All)",F_Custom1_V="",ISBLANK(F_Custom1_V)),1,IFERROR(IF(ISNUMBER(SEARCH("|"&amp;INDEX(INDIRECT(F_Custom1_resolved_column),115)&amp;"|",F_Custom1_wrapped)),1,0),0))</f>
        <v>1</v>
      </c>
      <c r="G116">
        <f>IF(OR(F_Custom2_Q="(None)",F_Custom2_Q="",ISBLANK(F_Custom2_Q),F_Custom2_V="(All)",F_Custom2_V="",ISBLANK(F_Custom2_V)),1,IFERROR(IF(ISNUMBER(SEARCH("|"&amp;INDEX(INDIRECT(F_Custom2_resolved_column),115)&amp;"|",F_Custom2_wrapped)),1,0),0))</f>
        <v>1</v>
      </c>
      <c r="H116">
        <f>F116*G116*1</f>
        <v>1</v>
      </c>
      <c r="I116">
        <f>1</f>
        <v>1</v>
      </c>
      <c r="J1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115)&amp;"|",All_Questions_Q20_F_wrapped)),1,0),0))</f>
        <v>1</v>
      </c>
    </row>
    <row r="117">
      <c r="A117" t="n">
        <v>116</v>
      </c>
      <c r="B117" t="n">
        <v>28.9</v>
      </c>
      <c r="C117" t="n">
        <v>24.6</v>
      </c>
      <c r="D117" t="n">
        <v>22.9</v>
      </c>
      <c r="E117">
        <f>1</f>
        <v>1</v>
      </c>
      <c r="F117">
        <f>IF(OR(F_Custom1_Q="(None)",F_Custom1_Q="",ISBLANK(F_Custom1_Q),F_Custom1_V="(All)",F_Custom1_V="",ISBLANK(F_Custom1_V)),1,IFERROR(IF(ISNUMBER(SEARCH("|"&amp;INDEX(INDIRECT(F_Custom1_resolved_column),116)&amp;"|",F_Custom1_wrapped)),1,0),0))</f>
        <v>1</v>
      </c>
      <c r="G117">
        <f>IF(OR(F_Custom2_Q="(None)",F_Custom2_Q="",ISBLANK(F_Custom2_Q),F_Custom2_V="(All)",F_Custom2_V="",ISBLANK(F_Custom2_V)),1,IFERROR(IF(ISNUMBER(SEARCH("|"&amp;INDEX(INDIRECT(F_Custom2_resolved_column),116)&amp;"|",F_Custom2_wrapped)),1,0),0))</f>
        <v>1</v>
      </c>
      <c r="H117">
        <f>F117*G117*1</f>
        <v>1</v>
      </c>
      <c r="I117">
        <f>1</f>
        <v>1</v>
      </c>
      <c r="J1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116)&amp;"|",All_Questions_Q20_F_wrapped)),1,0),0))</f>
        <v>1</v>
      </c>
    </row>
    <row r="118">
      <c r="A118" t="n">
        <v>117</v>
      </c>
      <c r="B118" t="n">
        <v>28.9</v>
      </c>
      <c r="C118" t="n">
        <v>24.6</v>
      </c>
      <c r="D118" t="n">
        <v>22.9</v>
      </c>
      <c r="E118">
        <f>1</f>
        <v>1</v>
      </c>
      <c r="F118">
        <f>IF(OR(F_Custom1_Q="(None)",F_Custom1_Q="",ISBLANK(F_Custom1_Q),F_Custom1_V="(All)",F_Custom1_V="",ISBLANK(F_Custom1_V)),1,IFERROR(IF(ISNUMBER(SEARCH("|"&amp;INDEX(INDIRECT(F_Custom1_resolved_column),117)&amp;"|",F_Custom1_wrapped)),1,0),0))</f>
        <v>1</v>
      </c>
      <c r="G118">
        <f>IF(OR(F_Custom2_Q="(None)",F_Custom2_Q="",ISBLANK(F_Custom2_Q),F_Custom2_V="(All)",F_Custom2_V="",ISBLANK(F_Custom2_V)),1,IFERROR(IF(ISNUMBER(SEARCH("|"&amp;INDEX(INDIRECT(F_Custom2_resolved_column),117)&amp;"|",F_Custom2_wrapped)),1,0),0))</f>
        <v>1</v>
      </c>
      <c r="H118">
        <f>F118*G118*1</f>
        <v>1</v>
      </c>
      <c r="I118">
        <f>1</f>
        <v>1</v>
      </c>
      <c r="J1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117)&amp;"|",All_Questions_Q20_F_wrapped)),1,0),0))</f>
        <v>1</v>
      </c>
    </row>
    <row r="119">
      <c r="A119" t="n">
        <v>118</v>
      </c>
      <c r="B119" t="n">
        <v>28.9</v>
      </c>
      <c r="C119" t="n">
        <v>24.6</v>
      </c>
      <c r="D119" t="n">
        <v>22.9</v>
      </c>
      <c r="E119">
        <f>1</f>
        <v>1</v>
      </c>
      <c r="F119">
        <f>IF(OR(F_Custom1_Q="(None)",F_Custom1_Q="",ISBLANK(F_Custom1_Q),F_Custom1_V="(All)",F_Custom1_V="",ISBLANK(F_Custom1_V)),1,IFERROR(IF(ISNUMBER(SEARCH("|"&amp;INDEX(INDIRECT(F_Custom1_resolved_column),118)&amp;"|",F_Custom1_wrapped)),1,0),0))</f>
        <v>1</v>
      </c>
      <c r="G119">
        <f>IF(OR(F_Custom2_Q="(None)",F_Custom2_Q="",ISBLANK(F_Custom2_Q),F_Custom2_V="(All)",F_Custom2_V="",ISBLANK(F_Custom2_V)),1,IFERROR(IF(ISNUMBER(SEARCH("|"&amp;INDEX(INDIRECT(F_Custom2_resolved_column),118)&amp;"|",F_Custom2_wrapped)),1,0),0))</f>
        <v>1</v>
      </c>
      <c r="H119">
        <f>F119*G119*1</f>
        <v>1</v>
      </c>
      <c r="I119">
        <f>1</f>
        <v>1</v>
      </c>
      <c r="J1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118)&amp;"|",All_Questions_Q20_F_wrapped)),1,0),0))</f>
        <v>1</v>
      </c>
    </row>
    <row r="120">
      <c r="A120" t="n">
        <v>119</v>
      </c>
      <c r="B120" t="n">
        <v>28.9</v>
      </c>
      <c r="C120" t="n">
        <v>24.6</v>
      </c>
      <c r="D120" t="n">
        <v>22.9</v>
      </c>
      <c r="E120">
        <f>1</f>
        <v>1</v>
      </c>
      <c r="F120">
        <f>IF(OR(F_Custom1_Q="(None)",F_Custom1_Q="",ISBLANK(F_Custom1_Q),F_Custom1_V="(All)",F_Custom1_V="",ISBLANK(F_Custom1_V)),1,IFERROR(IF(ISNUMBER(SEARCH("|"&amp;INDEX(INDIRECT(F_Custom1_resolved_column),119)&amp;"|",F_Custom1_wrapped)),1,0),0))</f>
        <v>1</v>
      </c>
      <c r="G120">
        <f>IF(OR(F_Custom2_Q="(None)",F_Custom2_Q="",ISBLANK(F_Custom2_Q),F_Custom2_V="(All)",F_Custom2_V="",ISBLANK(F_Custom2_V)),1,IFERROR(IF(ISNUMBER(SEARCH("|"&amp;INDEX(INDIRECT(F_Custom2_resolved_column),119)&amp;"|",F_Custom2_wrapped)),1,0),0))</f>
        <v>1</v>
      </c>
      <c r="H120">
        <f>F120*G120*1</f>
        <v>1</v>
      </c>
      <c r="I120">
        <f>1</f>
        <v>1</v>
      </c>
      <c r="J1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119)&amp;"|",All_Questions_Q20_F_wrapped)),1,0),0))</f>
        <v>1</v>
      </c>
    </row>
    <row r="121">
      <c r="A121" t="n">
        <v>120</v>
      </c>
      <c r="B121" t="n">
        <v>28.9</v>
      </c>
      <c r="C121" t="n">
        <v>24.6</v>
      </c>
      <c r="D121" t="n">
        <v>22.9</v>
      </c>
      <c r="E121">
        <f>1</f>
        <v>1</v>
      </c>
      <c r="F121">
        <f>IF(OR(F_Custom1_Q="(None)",F_Custom1_Q="",ISBLANK(F_Custom1_Q),F_Custom1_V="(All)",F_Custom1_V="",ISBLANK(F_Custom1_V)),1,IFERROR(IF(ISNUMBER(SEARCH("|"&amp;INDEX(INDIRECT(F_Custom1_resolved_column),120)&amp;"|",F_Custom1_wrapped)),1,0),0))</f>
        <v>1</v>
      </c>
      <c r="G121">
        <f>IF(OR(F_Custom2_Q="(None)",F_Custom2_Q="",ISBLANK(F_Custom2_Q),F_Custom2_V="(All)",F_Custom2_V="",ISBLANK(F_Custom2_V)),1,IFERROR(IF(ISNUMBER(SEARCH("|"&amp;INDEX(INDIRECT(F_Custom2_resolved_column),120)&amp;"|",F_Custom2_wrapped)),1,0),0))</f>
        <v>1</v>
      </c>
      <c r="H121">
        <f>F121*G121*1</f>
        <v>1</v>
      </c>
      <c r="I121">
        <f>1</f>
        <v>1</v>
      </c>
      <c r="J1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120)&amp;"|",All_Questions_Q20_F_wrapped)),1,0),0))</f>
        <v>1</v>
      </c>
    </row>
    <row r="122">
      <c r="A122" t="n">
        <v>121</v>
      </c>
      <c r="B122" t="n">
        <v>28.9</v>
      </c>
      <c r="C122" t="n">
        <v>24.6</v>
      </c>
      <c r="D122" t="n">
        <v>22.9</v>
      </c>
      <c r="E122">
        <f>1</f>
        <v>1</v>
      </c>
      <c r="F122">
        <f>IF(OR(F_Custom1_Q="(None)",F_Custom1_Q="",ISBLANK(F_Custom1_Q),F_Custom1_V="(All)",F_Custom1_V="",ISBLANK(F_Custom1_V)),1,IFERROR(IF(ISNUMBER(SEARCH("|"&amp;INDEX(INDIRECT(F_Custom1_resolved_column),121)&amp;"|",F_Custom1_wrapped)),1,0),0))</f>
        <v>1</v>
      </c>
      <c r="G122">
        <f>IF(OR(F_Custom2_Q="(None)",F_Custom2_Q="",ISBLANK(F_Custom2_Q),F_Custom2_V="(All)",F_Custom2_V="",ISBLANK(F_Custom2_V)),1,IFERROR(IF(ISNUMBER(SEARCH("|"&amp;INDEX(INDIRECT(F_Custom2_resolved_column),121)&amp;"|",F_Custom2_wrapped)),1,0),0))</f>
        <v>1</v>
      </c>
      <c r="H122">
        <f>F122*G122*1</f>
        <v>1</v>
      </c>
      <c r="I122">
        <f>1</f>
        <v>1</v>
      </c>
      <c r="J1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121)&amp;"|",All_Questions_Q20_F_wrapped)),1,0),0))</f>
        <v>1</v>
      </c>
    </row>
    <row r="123">
      <c r="A123" t="n">
        <v>122</v>
      </c>
      <c r="B123" t="n">
        <v>28.9</v>
      </c>
      <c r="C123" t="n">
        <v>24.6</v>
      </c>
      <c r="D123" t="n">
        <v>22.9</v>
      </c>
      <c r="E123">
        <f>1</f>
        <v>1</v>
      </c>
      <c r="F123">
        <f>IF(OR(F_Custom1_Q="(None)",F_Custom1_Q="",ISBLANK(F_Custom1_Q),F_Custom1_V="(All)",F_Custom1_V="",ISBLANK(F_Custom1_V)),1,IFERROR(IF(ISNUMBER(SEARCH("|"&amp;INDEX(INDIRECT(F_Custom1_resolved_column),122)&amp;"|",F_Custom1_wrapped)),1,0),0))</f>
        <v>1</v>
      </c>
      <c r="G123">
        <f>IF(OR(F_Custom2_Q="(None)",F_Custom2_Q="",ISBLANK(F_Custom2_Q),F_Custom2_V="(All)",F_Custom2_V="",ISBLANK(F_Custom2_V)),1,IFERROR(IF(ISNUMBER(SEARCH("|"&amp;INDEX(INDIRECT(F_Custom2_resolved_column),122)&amp;"|",F_Custom2_wrapped)),1,0),0))</f>
        <v>1</v>
      </c>
      <c r="H123">
        <f>F123*G123*1</f>
        <v>1</v>
      </c>
      <c r="I123">
        <f>1</f>
        <v>1</v>
      </c>
      <c r="J1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122)&amp;"|",All_Questions_Q20_F_wrapped)),1,0),0))</f>
        <v>1</v>
      </c>
    </row>
    <row r="124">
      <c r="A124" t="n">
        <v>123</v>
      </c>
      <c r="B124" t="n">
        <v>28.9</v>
      </c>
      <c r="C124" t="n">
        <v>24.6</v>
      </c>
      <c r="D124" t="n">
        <v>22.9</v>
      </c>
      <c r="E124">
        <f>1</f>
        <v>1</v>
      </c>
      <c r="F124">
        <f>IF(OR(F_Custom1_Q="(None)",F_Custom1_Q="",ISBLANK(F_Custom1_Q),F_Custom1_V="(All)",F_Custom1_V="",ISBLANK(F_Custom1_V)),1,IFERROR(IF(ISNUMBER(SEARCH("|"&amp;INDEX(INDIRECT(F_Custom1_resolved_column),123)&amp;"|",F_Custom1_wrapped)),1,0),0))</f>
        <v>1</v>
      </c>
      <c r="G124">
        <f>IF(OR(F_Custom2_Q="(None)",F_Custom2_Q="",ISBLANK(F_Custom2_Q),F_Custom2_V="(All)",F_Custom2_V="",ISBLANK(F_Custom2_V)),1,IFERROR(IF(ISNUMBER(SEARCH("|"&amp;INDEX(INDIRECT(F_Custom2_resolved_column),123)&amp;"|",F_Custom2_wrapped)),1,0),0))</f>
        <v>1</v>
      </c>
      <c r="H124">
        <f>F124*G124*1</f>
        <v>1</v>
      </c>
      <c r="I124">
        <f>1</f>
        <v>1</v>
      </c>
      <c r="J1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123)&amp;"|",All_Questions_Q20_F_wrapped)),1,0),0))</f>
        <v>1</v>
      </c>
    </row>
    <row r="125">
      <c r="A125" t="n">
        <v>124</v>
      </c>
      <c r="B125" t="n">
        <v>28.9</v>
      </c>
      <c r="C125" t="n">
        <v>24.6</v>
      </c>
      <c r="D125" t="n">
        <v>22.9</v>
      </c>
      <c r="E125">
        <f>1</f>
        <v>1</v>
      </c>
      <c r="F125">
        <f>IF(OR(F_Custom1_Q="(None)",F_Custom1_Q="",ISBLANK(F_Custom1_Q),F_Custom1_V="(All)",F_Custom1_V="",ISBLANK(F_Custom1_V)),1,IFERROR(IF(ISNUMBER(SEARCH("|"&amp;INDEX(INDIRECT(F_Custom1_resolved_column),124)&amp;"|",F_Custom1_wrapped)),1,0),0))</f>
        <v>1</v>
      </c>
      <c r="G125">
        <f>IF(OR(F_Custom2_Q="(None)",F_Custom2_Q="",ISBLANK(F_Custom2_Q),F_Custom2_V="(All)",F_Custom2_V="",ISBLANK(F_Custom2_V)),1,IFERROR(IF(ISNUMBER(SEARCH("|"&amp;INDEX(INDIRECT(F_Custom2_resolved_column),124)&amp;"|",F_Custom2_wrapped)),1,0),0))</f>
        <v>1</v>
      </c>
      <c r="H125">
        <f>F125*G125*1</f>
        <v>1</v>
      </c>
      <c r="I125">
        <f>1</f>
        <v>1</v>
      </c>
      <c r="J1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124)&amp;"|",All_Questions_Q20_F_wrapped)),1,0),0))</f>
        <v>1</v>
      </c>
    </row>
    <row r="126">
      <c r="A126" t="n">
        <v>125</v>
      </c>
      <c r="B126" t="n">
        <v>28.9</v>
      </c>
      <c r="C126" t="n">
        <v>24.6</v>
      </c>
      <c r="D126" t="n">
        <v>22.9</v>
      </c>
      <c r="E126">
        <f>1</f>
        <v>1</v>
      </c>
      <c r="F126">
        <f>IF(OR(F_Custom1_Q="(None)",F_Custom1_Q="",ISBLANK(F_Custom1_Q),F_Custom1_V="(All)",F_Custom1_V="",ISBLANK(F_Custom1_V)),1,IFERROR(IF(ISNUMBER(SEARCH("|"&amp;INDEX(INDIRECT(F_Custom1_resolved_column),125)&amp;"|",F_Custom1_wrapped)),1,0),0))</f>
        <v>1</v>
      </c>
      <c r="G126">
        <f>IF(OR(F_Custom2_Q="(None)",F_Custom2_Q="",ISBLANK(F_Custom2_Q),F_Custom2_V="(All)",F_Custom2_V="",ISBLANK(F_Custom2_V)),1,IFERROR(IF(ISNUMBER(SEARCH("|"&amp;INDEX(INDIRECT(F_Custom2_resolved_column),125)&amp;"|",F_Custom2_wrapped)),1,0),0))</f>
        <v>1</v>
      </c>
      <c r="H126">
        <f>F126*G126*1</f>
        <v>1</v>
      </c>
      <c r="I126">
        <f>1</f>
        <v>1</v>
      </c>
      <c r="J1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125)&amp;"|",All_Questions_Q20_F_wrapped)),1,0),0))</f>
        <v>1</v>
      </c>
    </row>
    <row r="127">
      <c r="A127" t="n">
        <v>126</v>
      </c>
      <c r="B127" t="n">
        <v>28.9</v>
      </c>
      <c r="C127" t="n">
        <v>24.6</v>
      </c>
      <c r="D127" t="n">
        <v>22.9</v>
      </c>
      <c r="E127">
        <f>1</f>
        <v>1</v>
      </c>
      <c r="F127">
        <f>IF(OR(F_Custom1_Q="(None)",F_Custom1_Q="",ISBLANK(F_Custom1_Q),F_Custom1_V="(All)",F_Custom1_V="",ISBLANK(F_Custom1_V)),1,IFERROR(IF(ISNUMBER(SEARCH("|"&amp;INDEX(INDIRECT(F_Custom1_resolved_column),126)&amp;"|",F_Custom1_wrapped)),1,0),0))</f>
        <v>1</v>
      </c>
      <c r="G127">
        <f>IF(OR(F_Custom2_Q="(None)",F_Custom2_Q="",ISBLANK(F_Custom2_Q),F_Custom2_V="(All)",F_Custom2_V="",ISBLANK(F_Custom2_V)),1,IFERROR(IF(ISNUMBER(SEARCH("|"&amp;INDEX(INDIRECT(F_Custom2_resolved_column),126)&amp;"|",F_Custom2_wrapped)),1,0),0))</f>
        <v>1</v>
      </c>
      <c r="H127">
        <f>F127*G127*1</f>
        <v>1</v>
      </c>
      <c r="I127">
        <f>1</f>
        <v>1</v>
      </c>
      <c r="J1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126)&amp;"|",All_Questions_Q20_F_wrapped)),1,0),0))</f>
        <v>1</v>
      </c>
    </row>
    <row r="128">
      <c r="A128" t="n">
        <v>127</v>
      </c>
      <c r="B128" t="n">
        <v>28.9</v>
      </c>
      <c r="C128" t="n">
        <v>24.6</v>
      </c>
      <c r="D128" t="n">
        <v>22.9</v>
      </c>
      <c r="E128">
        <f>1</f>
        <v>1</v>
      </c>
      <c r="F128">
        <f>IF(OR(F_Custom1_Q="(None)",F_Custom1_Q="",ISBLANK(F_Custom1_Q),F_Custom1_V="(All)",F_Custom1_V="",ISBLANK(F_Custom1_V)),1,IFERROR(IF(ISNUMBER(SEARCH("|"&amp;INDEX(INDIRECT(F_Custom1_resolved_column),127)&amp;"|",F_Custom1_wrapped)),1,0),0))</f>
        <v>1</v>
      </c>
      <c r="G128">
        <f>IF(OR(F_Custom2_Q="(None)",F_Custom2_Q="",ISBLANK(F_Custom2_Q),F_Custom2_V="(All)",F_Custom2_V="",ISBLANK(F_Custom2_V)),1,IFERROR(IF(ISNUMBER(SEARCH("|"&amp;INDEX(INDIRECT(F_Custom2_resolved_column),127)&amp;"|",F_Custom2_wrapped)),1,0),0))</f>
        <v>1</v>
      </c>
      <c r="H128">
        <f>F128*G128*1</f>
        <v>1</v>
      </c>
      <c r="I128">
        <f>1</f>
        <v>1</v>
      </c>
      <c r="J1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127)&amp;"|",All_Questions_Q20_F_wrapped)),1,0),0))</f>
        <v>1</v>
      </c>
    </row>
    <row r="129">
      <c r="A129" t="n">
        <v>128</v>
      </c>
      <c r="B129" t="n">
        <v>28.9</v>
      </c>
      <c r="C129" t="n">
        <v>24.6</v>
      </c>
      <c r="D129" t="n">
        <v>22.9</v>
      </c>
      <c r="E129">
        <f>1</f>
        <v>1</v>
      </c>
      <c r="F129">
        <f>IF(OR(F_Custom1_Q="(None)",F_Custom1_Q="",ISBLANK(F_Custom1_Q),F_Custom1_V="(All)",F_Custom1_V="",ISBLANK(F_Custom1_V)),1,IFERROR(IF(ISNUMBER(SEARCH("|"&amp;INDEX(INDIRECT(F_Custom1_resolved_column),128)&amp;"|",F_Custom1_wrapped)),1,0),0))</f>
        <v>1</v>
      </c>
      <c r="G129">
        <f>IF(OR(F_Custom2_Q="(None)",F_Custom2_Q="",ISBLANK(F_Custom2_Q),F_Custom2_V="(All)",F_Custom2_V="",ISBLANK(F_Custom2_V)),1,IFERROR(IF(ISNUMBER(SEARCH("|"&amp;INDEX(INDIRECT(F_Custom2_resolved_column),128)&amp;"|",F_Custom2_wrapped)),1,0),0))</f>
        <v>1</v>
      </c>
      <c r="H129">
        <f>F129*G129*1</f>
        <v>1</v>
      </c>
      <c r="I129">
        <f>1</f>
        <v>1</v>
      </c>
      <c r="J1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128)&amp;"|",All_Questions_Q20_F_wrapped)),1,0),0))</f>
        <v>1</v>
      </c>
    </row>
    <row r="130">
      <c r="A130" t="n">
        <v>129</v>
      </c>
      <c r="B130" t="n">
        <v>28.9</v>
      </c>
      <c r="C130" t="n">
        <v>24.6</v>
      </c>
      <c r="D130" t="n">
        <v>22.9</v>
      </c>
      <c r="E130">
        <f>1</f>
        <v>1</v>
      </c>
      <c r="F130">
        <f>IF(OR(F_Custom1_Q="(None)",F_Custom1_Q="",ISBLANK(F_Custom1_Q),F_Custom1_V="(All)",F_Custom1_V="",ISBLANK(F_Custom1_V)),1,IFERROR(IF(ISNUMBER(SEARCH("|"&amp;INDEX(INDIRECT(F_Custom1_resolved_column),129)&amp;"|",F_Custom1_wrapped)),1,0),0))</f>
        <v>1</v>
      </c>
      <c r="G130">
        <f>IF(OR(F_Custom2_Q="(None)",F_Custom2_Q="",ISBLANK(F_Custom2_Q),F_Custom2_V="(All)",F_Custom2_V="",ISBLANK(F_Custom2_V)),1,IFERROR(IF(ISNUMBER(SEARCH("|"&amp;INDEX(INDIRECT(F_Custom2_resolved_column),129)&amp;"|",F_Custom2_wrapped)),1,0),0))</f>
        <v>1</v>
      </c>
      <c r="H130">
        <f>F130*G130*1</f>
        <v>1</v>
      </c>
      <c r="I130">
        <f>1</f>
        <v>1</v>
      </c>
      <c r="J1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129)&amp;"|",All_Questions_Q20_F_wrapped)),1,0),0))</f>
        <v>1</v>
      </c>
    </row>
    <row r="131">
      <c r="A131" t="n">
        <v>130</v>
      </c>
      <c r="B131" t="n">
        <v>28.9</v>
      </c>
      <c r="C131" t="n">
        <v>24.6</v>
      </c>
      <c r="D131" t="n">
        <v>22.9</v>
      </c>
      <c r="E131">
        <f>1</f>
        <v>1</v>
      </c>
      <c r="F131">
        <f>IF(OR(F_Custom1_Q="(None)",F_Custom1_Q="",ISBLANK(F_Custom1_Q),F_Custom1_V="(All)",F_Custom1_V="",ISBLANK(F_Custom1_V)),1,IFERROR(IF(ISNUMBER(SEARCH("|"&amp;INDEX(INDIRECT(F_Custom1_resolved_column),130)&amp;"|",F_Custom1_wrapped)),1,0),0))</f>
        <v>1</v>
      </c>
      <c r="G131">
        <f>IF(OR(F_Custom2_Q="(None)",F_Custom2_Q="",ISBLANK(F_Custom2_Q),F_Custom2_V="(All)",F_Custom2_V="",ISBLANK(F_Custom2_V)),1,IFERROR(IF(ISNUMBER(SEARCH("|"&amp;INDEX(INDIRECT(F_Custom2_resolved_column),130)&amp;"|",F_Custom2_wrapped)),1,0),0))</f>
        <v>1</v>
      </c>
      <c r="H131">
        <f>F131*G131*1</f>
        <v>1</v>
      </c>
      <c r="I131">
        <f>1</f>
        <v>1</v>
      </c>
      <c r="J1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130)&amp;"|",All_Questions_Q20_F_wrapped)),1,0),0))</f>
        <v>1</v>
      </c>
    </row>
    <row r="132">
      <c r="A132" t="n">
        <v>131</v>
      </c>
      <c r="B132" t="n">
        <v>28.9</v>
      </c>
      <c r="C132" t="n">
        <v>24.6</v>
      </c>
      <c r="D132" t="n">
        <v>22.9</v>
      </c>
      <c r="E132">
        <f>1</f>
        <v>1</v>
      </c>
      <c r="F132">
        <f>IF(OR(F_Custom1_Q="(None)",F_Custom1_Q="",ISBLANK(F_Custom1_Q),F_Custom1_V="(All)",F_Custom1_V="",ISBLANK(F_Custom1_V)),1,IFERROR(IF(ISNUMBER(SEARCH("|"&amp;INDEX(INDIRECT(F_Custom1_resolved_column),131)&amp;"|",F_Custom1_wrapped)),1,0),0))</f>
        <v>1</v>
      </c>
      <c r="G132">
        <f>IF(OR(F_Custom2_Q="(None)",F_Custom2_Q="",ISBLANK(F_Custom2_Q),F_Custom2_V="(All)",F_Custom2_V="",ISBLANK(F_Custom2_V)),1,IFERROR(IF(ISNUMBER(SEARCH("|"&amp;INDEX(INDIRECT(F_Custom2_resolved_column),131)&amp;"|",F_Custom2_wrapped)),1,0),0))</f>
        <v>1</v>
      </c>
      <c r="H132">
        <f>F132*G132*1</f>
        <v>1</v>
      </c>
      <c r="I132">
        <f>1</f>
        <v>1</v>
      </c>
      <c r="J1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131)&amp;"|",All_Questions_Q20_F_wrapped)),1,0),0))</f>
        <v>1</v>
      </c>
    </row>
    <row r="133">
      <c r="A133" t="n">
        <v>132</v>
      </c>
      <c r="B133" t="n">
        <v>28.9</v>
      </c>
      <c r="C133" t="n">
        <v>24.6</v>
      </c>
      <c r="D133" t="n">
        <v>22.9</v>
      </c>
      <c r="E133">
        <f>1</f>
        <v>1</v>
      </c>
      <c r="F133">
        <f>IF(OR(F_Custom1_Q="(None)",F_Custom1_Q="",ISBLANK(F_Custom1_Q),F_Custom1_V="(All)",F_Custom1_V="",ISBLANK(F_Custom1_V)),1,IFERROR(IF(ISNUMBER(SEARCH("|"&amp;INDEX(INDIRECT(F_Custom1_resolved_column),132)&amp;"|",F_Custom1_wrapped)),1,0),0))</f>
        <v>1</v>
      </c>
      <c r="G133">
        <f>IF(OR(F_Custom2_Q="(None)",F_Custom2_Q="",ISBLANK(F_Custom2_Q),F_Custom2_V="(All)",F_Custom2_V="",ISBLANK(F_Custom2_V)),1,IFERROR(IF(ISNUMBER(SEARCH("|"&amp;INDEX(INDIRECT(F_Custom2_resolved_column),132)&amp;"|",F_Custom2_wrapped)),1,0),0))</f>
        <v>1</v>
      </c>
      <c r="H133">
        <f>F133*G133*1</f>
        <v>1</v>
      </c>
      <c r="I133">
        <f>1</f>
        <v>1</v>
      </c>
      <c r="J1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132)&amp;"|",All_Questions_Q20_F_wrapped)),1,0),0))</f>
        <v>1</v>
      </c>
    </row>
    <row r="134">
      <c r="A134" t="n">
        <v>133</v>
      </c>
      <c r="B134" t="n">
        <v>28.9</v>
      </c>
      <c r="C134" t="n">
        <v>24.6</v>
      </c>
      <c r="D134" t="n">
        <v>22.9</v>
      </c>
      <c r="E134">
        <f>1</f>
        <v>1</v>
      </c>
      <c r="F134">
        <f>IF(OR(F_Custom1_Q="(None)",F_Custom1_Q="",ISBLANK(F_Custom1_Q),F_Custom1_V="(All)",F_Custom1_V="",ISBLANK(F_Custom1_V)),1,IFERROR(IF(ISNUMBER(SEARCH("|"&amp;INDEX(INDIRECT(F_Custom1_resolved_column),133)&amp;"|",F_Custom1_wrapped)),1,0),0))</f>
        <v>1</v>
      </c>
      <c r="G134">
        <f>IF(OR(F_Custom2_Q="(None)",F_Custom2_Q="",ISBLANK(F_Custom2_Q),F_Custom2_V="(All)",F_Custom2_V="",ISBLANK(F_Custom2_V)),1,IFERROR(IF(ISNUMBER(SEARCH("|"&amp;INDEX(INDIRECT(F_Custom2_resolved_column),133)&amp;"|",F_Custom2_wrapped)),1,0),0))</f>
        <v>1</v>
      </c>
      <c r="H134">
        <f>F134*G134*1</f>
        <v>1</v>
      </c>
      <c r="I134">
        <f>1</f>
        <v>1</v>
      </c>
      <c r="J1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133)&amp;"|",All_Questions_Q20_F_wrapped)),1,0),0))</f>
        <v>1</v>
      </c>
    </row>
    <row r="135">
      <c r="A135" t="n">
        <v>134</v>
      </c>
      <c r="B135" t="n">
        <v>28.9</v>
      </c>
      <c r="C135" t="n">
        <v>24.6</v>
      </c>
      <c r="D135" t="n">
        <v>22.9</v>
      </c>
      <c r="E135">
        <f>1</f>
        <v>1</v>
      </c>
      <c r="F135">
        <f>IF(OR(F_Custom1_Q="(None)",F_Custom1_Q="",ISBLANK(F_Custom1_Q),F_Custom1_V="(All)",F_Custom1_V="",ISBLANK(F_Custom1_V)),1,IFERROR(IF(ISNUMBER(SEARCH("|"&amp;INDEX(INDIRECT(F_Custom1_resolved_column),134)&amp;"|",F_Custom1_wrapped)),1,0),0))</f>
        <v>1</v>
      </c>
      <c r="G135">
        <f>IF(OR(F_Custom2_Q="(None)",F_Custom2_Q="",ISBLANK(F_Custom2_Q),F_Custom2_V="(All)",F_Custom2_V="",ISBLANK(F_Custom2_V)),1,IFERROR(IF(ISNUMBER(SEARCH("|"&amp;INDEX(INDIRECT(F_Custom2_resolved_column),134)&amp;"|",F_Custom2_wrapped)),1,0),0))</f>
        <v>1</v>
      </c>
      <c r="H135">
        <f>F135*G135*1</f>
        <v>1</v>
      </c>
      <c r="I135">
        <f>1</f>
        <v>1</v>
      </c>
      <c r="J1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134)&amp;"|",All_Questions_Q20_F_wrapped)),1,0),0))</f>
        <v>1</v>
      </c>
    </row>
    <row r="136">
      <c r="A136" t="n">
        <v>135</v>
      </c>
      <c r="B136" t="n">
        <v>28.9</v>
      </c>
      <c r="C136" t="n">
        <v>24.6</v>
      </c>
      <c r="D136" t="n">
        <v>22.9</v>
      </c>
      <c r="E136">
        <f>1</f>
        <v>1</v>
      </c>
      <c r="F136">
        <f>IF(OR(F_Custom1_Q="(None)",F_Custom1_Q="",ISBLANK(F_Custom1_Q),F_Custom1_V="(All)",F_Custom1_V="",ISBLANK(F_Custom1_V)),1,IFERROR(IF(ISNUMBER(SEARCH("|"&amp;INDEX(INDIRECT(F_Custom1_resolved_column),135)&amp;"|",F_Custom1_wrapped)),1,0),0))</f>
        <v>1</v>
      </c>
      <c r="G136">
        <f>IF(OR(F_Custom2_Q="(None)",F_Custom2_Q="",ISBLANK(F_Custom2_Q),F_Custom2_V="(All)",F_Custom2_V="",ISBLANK(F_Custom2_V)),1,IFERROR(IF(ISNUMBER(SEARCH("|"&amp;INDEX(INDIRECT(F_Custom2_resolved_column),135)&amp;"|",F_Custom2_wrapped)),1,0),0))</f>
        <v>1</v>
      </c>
      <c r="H136">
        <f>F136*G136*1</f>
        <v>1</v>
      </c>
      <c r="I136">
        <f>1</f>
        <v>1</v>
      </c>
      <c r="J1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135)&amp;"|",All_Questions_Q20_F_wrapped)),1,0),0))</f>
        <v>1</v>
      </c>
    </row>
    <row r="137">
      <c r="A137" t="n">
        <v>136</v>
      </c>
      <c r="B137" t="n">
        <v>28.9</v>
      </c>
      <c r="C137" t="n">
        <v>24.6</v>
      </c>
      <c r="D137" t="n">
        <v>22.9</v>
      </c>
      <c r="E137">
        <f>1</f>
        <v>1</v>
      </c>
      <c r="F137">
        <f>IF(OR(F_Custom1_Q="(None)",F_Custom1_Q="",ISBLANK(F_Custom1_Q),F_Custom1_V="(All)",F_Custom1_V="",ISBLANK(F_Custom1_V)),1,IFERROR(IF(ISNUMBER(SEARCH("|"&amp;INDEX(INDIRECT(F_Custom1_resolved_column),136)&amp;"|",F_Custom1_wrapped)),1,0),0))</f>
        <v>1</v>
      </c>
      <c r="G137">
        <f>IF(OR(F_Custom2_Q="(None)",F_Custom2_Q="",ISBLANK(F_Custom2_Q),F_Custom2_V="(All)",F_Custom2_V="",ISBLANK(F_Custom2_V)),1,IFERROR(IF(ISNUMBER(SEARCH("|"&amp;INDEX(INDIRECT(F_Custom2_resolved_column),136)&amp;"|",F_Custom2_wrapped)),1,0),0))</f>
        <v>1</v>
      </c>
      <c r="H137">
        <f>F137*G137*1</f>
        <v>1</v>
      </c>
      <c r="I137">
        <f>1</f>
        <v>1</v>
      </c>
      <c r="J1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136)&amp;"|",All_Questions_Q20_F_wrapped)),1,0),0))</f>
        <v>1</v>
      </c>
    </row>
    <row r="138">
      <c r="A138" t="n">
        <v>137</v>
      </c>
      <c r="B138" t="n">
        <v>28.9</v>
      </c>
      <c r="C138" t="n">
        <v>24.6</v>
      </c>
      <c r="D138" t="n">
        <v>22.9</v>
      </c>
      <c r="E138">
        <f>1</f>
        <v>1</v>
      </c>
      <c r="F138">
        <f>IF(OR(F_Custom1_Q="(None)",F_Custom1_Q="",ISBLANK(F_Custom1_Q),F_Custom1_V="(All)",F_Custom1_V="",ISBLANK(F_Custom1_V)),1,IFERROR(IF(ISNUMBER(SEARCH("|"&amp;INDEX(INDIRECT(F_Custom1_resolved_column),137)&amp;"|",F_Custom1_wrapped)),1,0),0))</f>
        <v>1</v>
      </c>
      <c r="G138">
        <f>IF(OR(F_Custom2_Q="(None)",F_Custom2_Q="",ISBLANK(F_Custom2_Q),F_Custom2_V="(All)",F_Custom2_V="",ISBLANK(F_Custom2_V)),1,IFERROR(IF(ISNUMBER(SEARCH("|"&amp;INDEX(INDIRECT(F_Custom2_resolved_column),137)&amp;"|",F_Custom2_wrapped)),1,0),0))</f>
        <v>1</v>
      </c>
      <c r="H138">
        <f>F138*G138*1</f>
        <v>1</v>
      </c>
      <c r="I138">
        <f>1</f>
        <v>1</v>
      </c>
      <c r="J1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137)&amp;"|",All_Questions_Q20_F_wrapped)),1,0),0))</f>
        <v>1</v>
      </c>
    </row>
    <row r="139">
      <c r="A139" t="n">
        <v>138</v>
      </c>
      <c r="B139" t="n">
        <v>28.9</v>
      </c>
      <c r="C139" t="n">
        <v>24.6</v>
      </c>
      <c r="D139" t="n">
        <v>22.9</v>
      </c>
      <c r="E139">
        <f>1</f>
        <v>1</v>
      </c>
      <c r="F139">
        <f>IF(OR(F_Custom1_Q="(None)",F_Custom1_Q="",ISBLANK(F_Custom1_Q),F_Custom1_V="(All)",F_Custom1_V="",ISBLANK(F_Custom1_V)),1,IFERROR(IF(ISNUMBER(SEARCH("|"&amp;INDEX(INDIRECT(F_Custom1_resolved_column),138)&amp;"|",F_Custom1_wrapped)),1,0),0))</f>
        <v>1</v>
      </c>
      <c r="G139">
        <f>IF(OR(F_Custom2_Q="(None)",F_Custom2_Q="",ISBLANK(F_Custom2_Q),F_Custom2_V="(All)",F_Custom2_V="",ISBLANK(F_Custom2_V)),1,IFERROR(IF(ISNUMBER(SEARCH("|"&amp;INDEX(INDIRECT(F_Custom2_resolved_column),138)&amp;"|",F_Custom2_wrapped)),1,0),0))</f>
        <v>1</v>
      </c>
      <c r="H139">
        <f>F139*G139*1</f>
        <v>1</v>
      </c>
      <c r="I139">
        <f>1</f>
        <v>1</v>
      </c>
      <c r="J1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138)&amp;"|",All_Questions_Q20_F_wrapped)),1,0),0))</f>
        <v>1</v>
      </c>
    </row>
    <row r="140">
      <c r="A140" t="n">
        <v>139</v>
      </c>
      <c r="B140" t="n">
        <v>28.9</v>
      </c>
      <c r="C140" t="n">
        <v>24.6</v>
      </c>
      <c r="D140" t="n">
        <v>22.9</v>
      </c>
      <c r="E140">
        <f>1</f>
        <v>1</v>
      </c>
      <c r="F140">
        <f>IF(OR(F_Custom1_Q="(None)",F_Custom1_Q="",ISBLANK(F_Custom1_Q),F_Custom1_V="(All)",F_Custom1_V="",ISBLANK(F_Custom1_V)),1,IFERROR(IF(ISNUMBER(SEARCH("|"&amp;INDEX(INDIRECT(F_Custom1_resolved_column),139)&amp;"|",F_Custom1_wrapped)),1,0),0))</f>
        <v>1</v>
      </c>
      <c r="G140">
        <f>IF(OR(F_Custom2_Q="(None)",F_Custom2_Q="",ISBLANK(F_Custom2_Q),F_Custom2_V="(All)",F_Custom2_V="",ISBLANK(F_Custom2_V)),1,IFERROR(IF(ISNUMBER(SEARCH("|"&amp;INDEX(INDIRECT(F_Custom2_resolved_column),139)&amp;"|",F_Custom2_wrapped)),1,0),0))</f>
        <v>1</v>
      </c>
      <c r="H140">
        <f>F140*G140*1</f>
        <v>1</v>
      </c>
      <c r="I140">
        <f>1</f>
        <v>1</v>
      </c>
      <c r="J1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139)&amp;"|",All_Questions_Q20_F_wrapped)),1,0),0))</f>
        <v>1</v>
      </c>
    </row>
    <row r="141">
      <c r="A141" t="n">
        <v>140</v>
      </c>
      <c r="B141" t="n">
        <v>28.9</v>
      </c>
      <c r="C141" t="n">
        <v>24.6</v>
      </c>
      <c r="D141" t="n">
        <v>22.9</v>
      </c>
      <c r="E141">
        <f>1</f>
        <v>1</v>
      </c>
      <c r="F141">
        <f>IF(OR(F_Custom1_Q="(None)",F_Custom1_Q="",ISBLANK(F_Custom1_Q),F_Custom1_V="(All)",F_Custom1_V="",ISBLANK(F_Custom1_V)),1,IFERROR(IF(ISNUMBER(SEARCH("|"&amp;INDEX(INDIRECT(F_Custom1_resolved_column),140)&amp;"|",F_Custom1_wrapped)),1,0),0))</f>
        <v>1</v>
      </c>
      <c r="G141">
        <f>IF(OR(F_Custom2_Q="(None)",F_Custom2_Q="",ISBLANK(F_Custom2_Q),F_Custom2_V="(All)",F_Custom2_V="",ISBLANK(F_Custom2_V)),1,IFERROR(IF(ISNUMBER(SEARCH("|"&amp;INDEX(INDIRECT(F_Custom2_resolved_column),140)&amp;"|",F_Custom2_wrapped)),1,0),0))</f>
        <v>1</v>
      </c>
      <c r="H141">
        <f>F141*G141*1</f>
        <v>1</v>
      </c>
      <c r="I141">
        <f>1</f>
        <v>1</v>
      </c>
      <c r="J1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140)&amp;"|",All_Questions_Q20_F_wrapped)),1,0),0))</f>
        <v>1</v>
      </c>
    </row>
    <row r="142">
      <c r="A142" t="n">
        <v>141</v>
      </c>
      <c r="B142" t="n">
        <v>28.9</v>
      </c>
      <c r="C142" t="n">
        <v>24.6</v>
      </c>
      <c r="D142" t="n">
        <v>22.9</v>
      </c>
      <c r="E142">
        <f>1</f>
        <v>1</v>
      </c>
      <c r="F142">
        <f>IF(OR(F_Custom1_Q="(None)",F_Custom1_Q="",ISBLANK(F_Custom1_Q),F_Custom1_V="(All)",F_Custom1_V="",ISBLANK(F_Custom1_V)),1,IFERROR(IF(ISNUMBER(SEARCH("|"&amp;INDEX(INDIRECT(F_Custom1_resolved_column),141)&amp;"|",F_Custom1_wrapped)),1,0),0))</f>
        <v>1</v>
      </c>
      <c r="G142">
        <f>IF(OR(F_Custom2_Q="(None)",F_Custom2_Q="",ISBLANK(F_Custom2_Q),F_Custom2_V="(All)",F_Custom2_V="",ISBLANK(F_Custom2_V)),1,IFERROR(IF(ISNUMBER(SEARCH("|"&amp;INDEX(INDIRECT(F_Custom2_resolved_column),141)&amp;"|",F_Custom2_wrapped)),1,0),0))</f>
        <v>1</v>
      </c>
      <c r="H142">
        <f>F142*G142*1</f>
        <v>1</v>
      </c>
      <c r="I142">
        <f>1</f>
        <v>1</v>
      </c>
      <c r="J1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141)&amp;"|",All_Questions_Q20_F_wrapped)),1,0),0))</f>
        <v>1</v>
      </c>
    </row>
    <row r="143">
      <c r="A143" t="n">
        <v>142</v>
      </c>
      <c r="B143" t="n">
        <v>28.9</v>
      </c>
      <c r="C143" t="n">
        <v>24.6</v>
      </c>
      <c r="D143" t="n">
        <v>22.9</v>
      </c>
      <c r="E143">
        <f>1</f>
        <v>1</v>
      </c>
      <c r="F143">
        <f>IF(OR(F_Custom1_Q="(None)",F_Custom1_Q="",ISBLANK(F_Custom1_Q),F_Custom1_V="(All)",F_Custom1_V="",ISBLANK(F_Custom1_V)),1,IFERROR(IF(ISNUMBER(SEARCH("|"&amp;INDEX(INDIRECT(F_Custom1_resolved_column),142)&amp;"|",F_Custom1_wrapped)),1,0),0))</f>
        <v>1</v>
      </c>
      <c r="G143">
        <f>IF(OR(F_Custom2_Q="(None)",F_Custom2_Q="",ISBLANK(F_Custom2_Q),F_Custom2_V="(All)",F_Custom2_V="",ISBLANK(F_Custom2_V)),1,IFERROR(IF(ISNUMBER(SEARCH("|"&amp;INDEX(INDIRECT(F_Custom2_resolved_column),142)&amp;"|",F_Custom2_wrapped)),1,0),0))</f>
        <v>1</v>
      </c>
      <c r="H143">
        <f>F143*G143*1</f>
        <v>1</v>
      </c>
      <c r="I143">
        <f>1</f>
        <v>1</v>
      </c>
      <c r="J1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142)&amp;"|",All_Questions_Q20_F_wrapped)),1,0),0))</f>
        <v>1</v>
      </c>
    </row>
    <row r="144">
      <c r="A144" t="n">
        <v>143</v>
      </c>
      <c r="B144" t="n">
        <v>28.9</v>
      </c>
      <c r="C144" t="n">
        <v>24.6</v>
      </c>
      <c r="D144" t="n">
        <v>22.9</v>
      </c>
      <c r="E144">
        <f>1</f>
        <v>1</v>
      </c>
      <c r="F144">
        <f>IF(OR(F_Custom1_Q="(None)",F_Custom1_Q="",ISBLANK(F_Custom1_Q),F_Custom1_V="(All)",F_Custom1_V="",ISBLANK(F_Custom1_V)),1,IFERROR(IF(ISNUMBER(SEARCH("|"&amp;INDEX(INDIRECT(F_Custom1_resolved_column),143)&amp;"|",F_Custom1_wrapped)),1,0),0))</f>
        <v>1</v>
      </c>
      <c r="G144">
        <f>IF(OR(F_Custom2_Q="(None)",F_Custom2_Q="",ISBLANK(F_Custom2_Q),F_Custom2_V="(All)",F_Custom2_V="",ISBLANK(F_Custom2_V)),1,IFERROR(IF(ISNUMBER(SEARCH("|"&amp;INDEX(INDIRECT(F_Custom2_resolved_column),143)&amp;"|",F_Custom2_wrapped)),1,0),0))</f>
        <v>1</v>
      </c>
      <c r="H144">
        <f>F144*G144*1</f>
        <v>1</v>
      </c>
      <c r="I144">
        <f>1</f>
        <v>1</v>
      </c>
      <c r="J1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143)&amp;"|",All_Questions_Q20_F_wrapped)),1,0),0))</f>
        <v>1</v>
      </c>
    </row>
    <row r="145">
      <c r="A145" t="n">
        <v>144</v>
      </c>
      <c r="B145" t="n">
        <v>28.9</v>
      </c>
      <c r="C145" t="n">
        <v>24.6</v>
      </c>
      <c r="D145" t="n">
        <v>22.9</v>
      </c>
      <c r="E145">
        <f>1</f>
        <v>1</v>
      </c>
      <c r="F145">
        <f>IF(OR(F_Custom1_Q="(None)",F_Custom1_Q="",ISBLANK(F_Custom1_Q),F_Custom1_V="(All)",F_Custom1_V="",ISBLANK(F_Custom1_V)),1,IFERROR(IF(ISNUMBER(SEARCH("|"&amp;INDEX(INDIRECT(F_Custom1_resolved_column),144)&amp;"|",F_Custom1_wrapped)),1,0),0))</f>
        <v>1</v>
      </c>
      <c r="G145">
        <f>IF(OR(F_Custom2_Q="(None)",F_Custom2_Q="",ISBLANK(F_Custom2_Q),F_Custom2_V="(All)",F_Custom2_V="",ISBLANK(F_Custom2_V)),1,IFERROR(IF(ISNUMBER(SEARCH("|"&amp;INDEX(INDIRECT(F_Custom2_resolved_column),144)&amp;"|",F_Custom2_wrapped)),1,0),0))</f>
        <v>1</v>
      </c>
      <c r="H145">
        <f>F145*G145*1</f>
        <v>1</v>
      </c>
      <c r="I145">
        <f>1</f>
        <v>1</v>
      </c>
      <c r="J1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144)&amp;"|",All_Questions_Q20_F_wrapped)),1,0),0))</f>
        <v>1</v>
      </c>
    </row>
    <row r="146">
      <c r="A146" t="n">
        <v>145</v>
      </c>
      <c r="B146" t="n">
        <v>28.9</v>
      </c>
      <c r="C146" t="n">
        <v>24.6</v>
      </c>
      <c r="D146" t="n">
        <v>22.9</v>
      </c>
      <c r="E146">
        <f>1</f>
        <v>1</v>
      </c>
      <c r="F146">
        <f>IF(OR(F_Custom1_Q="(None)",F_Custom1_Q="",ISBLANK(F_Custom1_Q),F_Custom1_V="(All)",F_Custom1_V="",ISBLANK(F_Custom1_V)),1,IFERROR(IF(ISNUMBER(SEARCH("|"&amp;INDEX(INDIRECT(F_Custom1_resolved_column),145)&amp;"|",F_Custom1_wrapped)),1,0),0))</f>
        <v>1</v>
      </c>
      <c r="G146">
        <f>IF(OR(F_Custom2_Q="(None)",F_Custom2_Q="",ISBLANK(F_Custom2_Q),F_Custom2_V="(All)",F_Custom2_V="",ISBLANK(F_Custom2_V)),1,IFERROR(IF(ISNUMBER(SEARCH("|"&amp;INDEX(INDIRECT(F_Custom2_resolved_column),145)&amp;"|",F_Custom2_wrapped)),1,0),0))</f>
        <v>1</v>
      </c>
      <c r="H146">
        <f>F146*G146*1</f>
        <v>1</v>
      </c>
      <c r="I146">
        <f>1</f>
        <v>1</v>
      </c>
      <c r="J1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145)&amp;"|",All_Questions_Q20_F_wrapped)),1,0),0))</f>
        <v>1</v>
      </c>
    </row>
    <row r="147">
      <c r="A147" t="n">
        <v>146</v>
      </c>
      <c r="B147" t="n">
        <v>28.9</v>
      </c>
      <c r="C147" t="n">
        <v>24.6</v>
      </c>
      <c r="D147" t="n">
        <v>22.9</v>
      </c>
      <c r="E147">
        <f>1</f>
        <v>1</v>
      </c>
      <c r="F147">
        <f>IF(OR(F_Custom1_Q="(None)",F_Custom1_Q="",ISBLANK(F_Custom1_Q),F_Custom1_V="(All)",F_Custom1_V="",ISBLANK(F_Custom1_V)),1,IFERROR(IF(ISNUMBER(SEARCH("|"&amp;INDEX(INDIRECT(F_Custom1_resolved_column),146)&amp;"|",F_Custom1_wrapped)),1,0),0))</f>
        <v>1</v>
      </c>
      <c r="G147">
        <f>IF(OR(F_Custom2_Q="(None)",F_Custom2_Q="",ISBLANK(F_Custom2_Q),F_Custom2_V="(All)",F_Custom2_V="",ISBLANK(F_Custom2_V)),1,IFERROR(IF(ISNUMBER(SEARCH("|"&amp;INDEX(INDIRECT(F_Custom2_resolved_column),146)&amp;"|",F_Custom2_wrapped)),1,0),0))</f>
        <v>1</v>
      </c>
      <c r="H147">
        <f>F147*G147*1</f>
        <v>1</v>
      </c>
      <c r="I147">
        <f>1</f>
        <v>1</v>
      </c>
      <c r="J1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146)&amp;"|",All_Questions_Q20_F_wrapped)),1,0),0))</f>
        <v>1</v>
      </c>
    </row>
    <row r="148">
      <c r="A148" t="n">
        <v>147</v>
      </c>
      <c r="B148" t="n">
        <v>28.9</v>
      </c>
      <c r="C148" t="n">
        <v>24.6</v>
      </c>
      <c r="D148" t="n">
        <v>22.9</v>
      </c>
      <c r="E148">
        <f>1</f>
        <v>1</v>
      </c>
      <c r="F148">
        <f>IF(OR(F_Custom1_Q="(None)",F_Custom1_Q="",ISBLANK(F_Custom1_Q),F_Custom1_V="(All)",F_Custom1_V="",ISBLANK(F_Custom1_V)),1,IFERROR(IF(ISNUMBER(SEARCH("|"&amp;INDEX(INDIRECT(F_Custom1_resolved_column),147)&amp;"|",F_Custom1_wrapped)),1,0),0))</f>
        <v>1</v>
      </c>
      <c r="G148">
        <f>IF(OR(F_Custom2_Q="(None)",F_Custom2_Q="",ISBLANK(F_Custom2_Q),F_Custom2_V="(All)",F_Custom2_V="",ISBLANK(F_Custom2_V)),1,IFERROR(IF(ISNUMBER(SEARCH("|"&amp;INDEX(INDIRECT(F_Custom2_resolved_column),147)&amp;"|",F_Custom2_wrapped)),1,0),0))</f>
        <v>1</v>
      </c>
      <c r="H148">
        <f>F148*G148*1</f>
        <v>1</v>
      </c>
      <c r="I148">
        <f>1</f>
        <v>1</v>
      </c>
      <c r="J1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147)&amp;"|",All_Questions_Q20_F_wrapped)),1,0),0))</f>
        <v>1</v>
      </c>
    </row>
    <row r="149">
      <c r="A149" t="n">
        <v>148</v>
      </c>
      <c r="B149" t="n">
        <v>28.9</v>
      </c>
      <c r="C149" t="n">
        <v>24.6</v>
      </c>
      <c r="D149" t="n">
        <v>22.9</v>
      </c>
      <c r="E149">
        <f>1</f>
        <v>1</v>
      </c>
      <c r="F149">
        <f>IF(OR(F_Custom1_Q="(None)",F_Custom1_Q="",ISBLANK(F_Custom1_Q),F_Custom1_V="(All)",F_Custom1_V="",ISBLANK(F_Custom1_V)),1,IFERROR(IF(ISNUMBER(SEARCH("|"&amp;INDEX(INDIRECT(F_Custom1_resolved_column),148)&amp;"|",F_Custom1_wrapped)),1,0),0))</f>
        <v>1</v>
      </c>
      <c r="G149">
        <f>IF(OR(F_Custom2_Q="(None)",F_Custom2_Q="",ISBLANK(F_Custom2_Q),F_Custom2_V="(All)",F_Custom2_V="",ISBLANK(F_Custom2_V)),1,IFERROR(IF(ISNUMBER(SEARCH("|"&amp;INDEX(INDIRECT(F_Custom2_resolved_column),148)&amp;"|",F_Custom2_wrapped)),1,0),0))</f>
        <v>1</v>
      </c>
      <c r="H149">
        <f>F149*G149*1</f>
        <v>1</v>
      </c>
      <c r="I149">
        <f>1</f>
        <v>1</v>
      </c>
      <c r="J1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148)&amp;"|",All_Questions_Q20_F_wrapped)),1,0),0))</f>
        <v>1</v>
      </c>
    </row>
    <row r="150">
      <c r="A150" t="n">
        <v>149</v>
      </c>
      <c r="B150" t="n">
        <v>28.9</v>
      </c>
      <c r="C150" t="n">
        <v>24.6</v>
      </c>
      <c r="D150" t="n">
        <v>22.9</v>
      </c>
      <c r="E150">
        <f>1</f>
        <v>1</v>
      </c>
      <c r="F150">
        <f>IF(OR(F_Custom1_Q="(None)",F_Custom1_Q="",ISBLANK(F_Custom1_Q),F_Custom1_V="(All)",F_Custom1_V="",ISBLANK(F_Custom1_V)),1,IFERROR(IF(ISNUMBER(SEARCH("|"&amp;INDEX(INDIRECT(F_Custom1_resolved_column),149)&amp;"|",F_Custom1_wrapped)),1,0),0))</f>
        <v>1</v>
      </c>
      <c r="G150">
        <f>IF(OR(F_Custom2_Q="(None)",F_Custom2_Q="",ISBLANK(F_Custom2_Q),F_Custom2_V="(All)",F_Custom2_V="",ISBLANK(F_Custom2_V)),1,IFERROR(IF(ISNUMBER(SEARCH("|"&amp;INDEX(INDIRECT(F_Custom2_resolved_column),149)&amp;"|",F_Custom2_wrapped)),1,0),0))</f>
        <v>1</v>
      </c>
      <c r="H150">
        <f>F150*G150*1</f>
        <v>1</v>
      </c>
      <c r="I150">
        <f>1</f>
        <v>1</v>
      </c>
      <c r="J1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149)&amp;"|",All_Questions_Q20_F_wrapped)),1,0),0))</f>
        <v>1</v>
      </c>
    </row>
    <row r="151">
      <c r="A151" t="n">
        <v>150</v>
      </c>
      <c r="B151" t="n">
        <v>28.9</v>
      </c>
      <c r="C151" t="n">
        <v>24.6</v>
      </c>
      <c r="D151" t="n">
        <v>22.9</v>
      </c>
      <c r="E151">
        <f>1</f>
        <v>1</v>
      </c>
      <c r="F151">
        <f>IF(OR(F_Custom1_Q="(None)",F_Custom1_Q="",ISBLANK(F_Custom1_Q),F_Custom1_V="(All)",F_Custom1_V="",ISBLANK(F_Custom1_V)),1,IFERROR(IF(ISNUMBER(SEARCH("|"&amp;INDEX(INDIRECT(F_Custom1_resolved_column),150)&amp;"|",F_Custom1_wrapped)),1,0),0))</f>
        <v>1</v>
      </c>
      <c r="G151">
        <f>IF(OR(F_Custom2_Q="(None)",F_Custom2_Q="",ISBLANK(F_Custom2_Q),F_Custom2_V="(All)",F_Custom2_V="",ISBLANK(F_Custom2_V)),1,IFERROR(IF(ISNUMBER(SEARCH("|"&amp;INDEX(INDIRECT(F_Custom2_resolved_column),150)&amp;"|",F_Custom2_wrapped)),1,0),0))</f>
        <v>1</v>
      </c>
      <c r="H151">
        <f>F151*G151*1</f>
        <v>1</v>
      </c>
      <c r="I151">
        <f>1</f>
        <v>1</v>
      </c>
      <c r="J1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150)&amp;"|",All_Questions_Q20_F_wrapped)),1,0),0))</f>
        <v>1</v>
      </c>
    </row>
    <row r="152">
      <c r="A152" t="n">
        <v>151</v>
      </c>
      <c r="B152" t="n">
        <v>28.9</v>
      </c>
      <c r="C152" t="n">
        <v>24.6</v>
      </c>
      <c r="D152" t="n">
        <v>22.9</v>
      </c>
      <c r="E152">
        <f>1</f>
        <v>1</v>
      </c>
      <c r="F152">
        <f>IF(OR(F_Custom1_Q="(None)",F_Custom1_Q="",ISBLANK(F_Custom1_Q),F_Custom1_V="(All)",F_Custom1_V="",ISBLANK(F_Custom1_V)),1,IFERROR(IF(ISNUMBER(SEARCH("|"&amp;INDEX(INDIRECT(F_Custom1_resolved_column),151)&amp;"|",F_Custom1_wrapped)),1,0),0))</f>
        <v>1</v>
      </c>
      <c r="G152">
        <f>IF(OR(F_Custom2_Q="(None)",F_Custom2_Q="",ISBLANK(F_Custom2_Q),F_Custom2_V="(All)",F_Custom2_V="",ISBLANK(F_Custom2_V)),1,IFERROR(IF(ISNUMBER(SEARCH("|"&amp;INDEX(INDIRECT(F_Custom2_resolved_column),151)&amp;"|",F_Custom2_wrapped)),1,0),0))</f>
        <v>1</v>
      </c>
      <c r="H152">
        <f>F152*G152*1</f>
        <v>1</v>
      </c>
      <c r="I152">
        <f>1</f>
        <v>1</v>
      </c>
      <c r="J1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151)&amp;"|",All_Questions_Q20_F_wrapped)),1,0),0))</f>
        <v>1</v>
      </c>
    </row>
    <row r="153">
      <c r="A153" t="n">
        <v>152</v>
      </c>
      <c r="B153" t="n">
        <v>28.9</v>
      </c>
      <c r="C153" t="n">
        <v>24.6</v>
      </c>
      <c r="D153" t="n">
        <v>22.9</v>
      </c>
      <c r="E153">
        <f>1</f>
        <v>1</v>
      </c>
      <c r="F153">
        <f>IF(OR(F_Custom1_Q="(None)",F_Custom1_Q="",ISBLANK(F_Custom1_Q),F_Custom1_V="(All)",F_Custom1_V="",ISBLANK(F_Custom1_V)),1,IFERROR(IF(ISNUMBER(SEARCH("|"&amp;INDEX(INDIRECT(F_Custom1_resolved_column),152)&amp;"|",F_Custom1_wrapped)),1,0),0))</f>
        <v>1</v>
      </c>
      <c r="G153">
        <f>IF(OR(F_Custom2_Q="(None)",F_Custom2_Q="",ISBLANK(F_Custom2_Q),F_Custom2_V="(All)",F_Custom2_V="",ISBLANK(F_Custom2_V)),1,IFERROR(IF(ISNUMBER(SEARCH("|"&amp;INDEX(INDIRECT(F_Custom2_resolved_column),152)&amp;"|",F_Custom2_wrapped)),1,0),0))</f>
        <v>1</v>
      </c>
      <c r="H153">
        <f>F153*G153*1</f>
        <v>1</v>
      </c>
      <c r="I153">
        <f>1</f>
        <v>1</v>
      </c>
      <c r="J1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152)&amp;"|",All_Questions_Q20_F_wrapped)),1,0),0))</f>
        <v>1</v>
      </c>
    </row>
    <row r="154">
      <c r="A154" t="n">
        <v>153</v>
      </c>
      <c r="B154" t="n">
        <v>28.9</v>
      </c>
      <c r="C154" t="n">
        <v>24.6</v>
      </c>
      <c r="D154" t="n">
        <v>22.9</v>
      </c>
      <c r="E154">
        <f>1</f>
        <v>1</v>
      </c>
      <c r="F154">
        <f>IF(OR(F_Custom1_Q="(None)",F_Custom1_Q="",ISBLANK(F_Custom1_Q),F_Custom1_V="(All)",F_Custom1_V="",ISBLANK(F_Custom1_V)),1,IFERROR(IF(ISNUMBER(SEARCH("|"&amp;INDEX(INDIRECT(F_Custom1_resolved_column),153)&amp;"|",F_Custom1_wrapped)),1,0),0))</f>
        <v>1</v>
      </c>
      <c r="G154">
        <f>IF(OR(F_Custom2_Q="(None)",F_Custom2_Q="",ISBLANK(F_Custom2_Q),F_Custom2_V="(All)",F_Custom2_V="",ISBLANK(F_Custom2_V)),1,IFERROR(IF(ISNUMBER(SEARCH("|"&amp;INDEX(INDIRECT(F_Custom2_resolved_column),153)&amp;"|",F_Custom2_wrapped)),1,0),0))</f>
        <v>1</v>
      </c>
      <c r="H154">
        <f>F154*G154*1</f>
        <v>1</v>
      </c>
      <c r="I154">
        <f>1</f>
        <v>1</v>
      </c>
      <c r="J1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153)&amp;"|",All_Questions_Q20_F_wrapped)),1,0),0))</f>
        <v>1</v>
      </c>
    </row>
    <row r="155">
      <c r="A155" t="n">
        <v>154</v>
      </c>
      <c r="B155" t="n">
        <v>28.9</v>
      </c>
      <c r="C155" t="n">
        <v>24.6</v>
      </c>
      <c r="D155" t="n">
        <v>22.9</v>
      </c>
      <c r="E155">
        <f>1</f>
        <v>1</v>
      </c>
      <c r="F155">
        <f>IF(OR(F_Custom1_Q="(None)",F_Custom1_Q="",ISBLANK(F_Custom1_Q),F_Custom1_V="(All)",F_Custom1_V="",ISBLANK(F_Custom1_V)),1,IFERROR(IF(ISNUMBER(SEARCH("|"&amp;INDEX(INDIRECT(F_Custom1_resolved_column),154)&amp;"|",F_Custom1_wrapped)),1,0),0))</f>
        <v>1</v>
      </c>
      <c r="G155">
        <f>IF(OR(F_Custom2_Q="(None)",F_Custom2_Q="",ISBLANK(F_Custom2_Q),F_Custom2_V="(All)",F_Custom2_V="",ISBLANK(F_Custom2_V)),1,IFERROR(IF(ISNUMBER(SEARCH("|"&amp;INDEX(INDIRECT(F_Custom2_resolved_column),154)&amp;"|",F_Custom2_wrapped)),1,0),0))</f>
        <v>1</v>
      </c>
      <c r="H155">
        <f>F155*G155*1</f>
        <v>1</v>
      </c>
      <c r="I155">
        <f>1</f>
        <v>1</v>
      </c>
      <c r="J1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154)&amp;"|",All_Questions_Q20_F_wrapped)),1,0),0))</f>
        <v>1</v>
      </c>
    </row>
    <row r="156">
      <c r="A156" t="n">
        <v>155</v>
      </c>
      <c r="B156" t="n">
        <v>28.9</v>
      </c>
      <c r="C156" t="n">
        <v>24.6</v>
      </c>
      <c r="D156" t="n">
        <v>22.9</v>
      </c>
      <c r="E156">
        <f>1</f>
        <v>1</v>
      </c>
      <c r="F156">
        <f>IF(OR(F_Custom1_Q="(None)",F_Custom1_Q="",ISBLANK(F_Custom1_Q),F_Custom1_V="(All)",F_Custom1_V="",ISBLANK(F_Custom1_V)),1,IFERROR(IF(ISNUMBER(SEARCH("|"&amp;INDEX(INDIRECT(F_Custom1_resolved_column),155)&amp;"|",F_Custom1_wrapped)),1,0),0))</f>
        <v>1</v>
      </c>
      <c r="G156">
        <f>IF(OR(F_Custom2_Q="(None)",F_Custom2_Q="",ISBLANK(F_Custom2_Q),F_Custom2_V="(All)",F_Custom2_V="",ISBLANK(F_Custom2_V)),1,IFERROR(IF(ISNUMBER(SEARCH("|"&amp;INDEX(INDIRECT(F_Custom2_resolved_column),155)&amp;"|",F_Custom2_wrapped)),1,0),0))</f>
        <v>1</v>
      </c>
      <c r="H156">
        <f>F156*G156*1</f>
        <v>1</v>
      </c>
      <c r="I156">
        <f>1</f>
        <v>1</v>
      </c>
      <c r="J1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155)&amp;"|",All_Questions_Q20_F_wrapped)),1,0),0))</f>
        <v>1</v>
      </c>
    </row>
    <row r="157">
      <c r="A157" t="n">
        <v>156</v>
      </c>
      <c r="B157" t="n">
        <v>28.9</v>
      </c>
      <c r="C157" t="n">
        <v>24.6</v>
      </c>
      <c r="D157" t="n">
        <v>22.9</v>
      </c>
      <c r="E157">
        <f>1</f>
        <v>1</v>
      </c>
      <c r="F157">
        <f>IF(OR(F_Custom1_Q="(None)",F_Custom1_Q="",ISBLANK(F_Custom1_Q),F_Custom1_V="(All)",F_Custom1_V="",ISBLANK(F_Custom1_V)),1,IFERROR(IF(ISNUMBER(SEARCH("|"&amp;INDEX(INDIRECT(F_Custom1_resolved_column),156)&amp;"|",F_Custom1_wrapped)),1,0),0))</f>
        <v>1</v>
      </c>
      <c r="G157">
        <f>IF(OR(F_Custom2_Q="(None)",F_Custom2_Q="",ISBLANK(F_Custom2_Q),F_Custom2_V="(All)",F_Custom2_V="",ISBLANK(F_Custom2_V)),1,IFERROR(IF(ISNUMBER(SEARCH("|"&amp;INDEX(INDIRECT(F_Custom2_resolved_column),156)&amp;"|",F_Custom2_wrapped)),1,0),0))</f>
        <v>1</v>
      </c>
      <c r="H157">
        <f>F157*G157*1</f>
        <v>1</v>
      </c>
      <c r="I157">
        <f>1</f>
        <v>1</v>
      </c>
      <c r="J1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156)&amp;"|",All_Questions_Q20_F_wrapped)),1,0),0))</f>
        <v>1</v>
      </c>
    </row>
    <row r="158">
      <c r="A158" t="n">
        <v>157</v>
      </c>
      <c r="B158" t="n">
        <v>28.9</v>
      </c>
      <c r="C158" t="n">
        <v>24.6</v>
      </c>
      <c r="D158" t="n">
        <v>22.9</v>
      </c>
      <c r="E158">
        <f>1</f>
        <v>1</v>
      </c>
      <c r="F158">
        <f>IF(OR(F_Custom1_Q="(None)",F_Custom1_Q="",ISBLANK(F_Custom1_Q),F_Custom1_V="(All)",F_Custom1_V="",ISBLANK(F_Custom1_V)),1,IFERROR(IF(ISNUMBER(SEARCH("|"&amp;INDEX(INDIRECT(F_Custom1_resolved_column),157)&amp;"|",F_Custom1_wrapped)),1,0),0))</f>
        <v>1</v>
      </c>
      <c r="G158">
        <f>IF(OR(F_Custom2_Q="(None)",F_Custom2_Q="",ISBLANK(F_Custom2_Q),F_Custom2_V="(All)",F_Custom2_V="",ISBLANK(F_Custom2_V)),1,IFERROR(IF(ISNUMBER(SEARCH("|"&amp;INDEX(INDIRECT(F_Custom2_resolved_column),157)&amp;"|",F_Custom2_wrapped)),1,0),0))</f>
        <v>1</v>
      </c>
      <c r="H158">
        <f>F158*G158*1</f>
        <v>1</v>
      </c>
      <c r="I158">
        <f>1</f>
        <v>1</v>
      </c>
      <c r="J1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157)&amp;"|",All_Questions_Q20_F_wrapped)),1,0),0))</f>
        <v>1</v>
      </c>
    </row>
    <row r="159">
      <c r="A159" t="n">
        <v>158</v>
      </c>
      <c r="B159" t="n">
        <v>28.9</v>
      </c>
      <c r="C159" t="n">
        <v>24.6</v>
      </c>
      <c r="D159" t="n">
        <v>22.9</v>
      </c>
      <c r="E159">
        <f>1</f>
        <v>1</v>
      </c>
      <c r="F159">
        <f>IF(OR(F_Custom1_Q="(None)",F_Custom1_Q="",ISBLANK(F_Custom1_Q),F_Custom1_V="(All)",F_Custom1_V="",ISBLANK(F_Custom1_V)),1,IFERROR(IF(ISNUMBER(SEARCH("|"&amp;INDEX(INDIRECT(F_Custom1_resolved_column),158)&amp;"|",F_Custom1_wrapped)),1,0),0))</f>
        <v>1</v>
      </c>
      <c r="G159">
        <f>IF(OR(F_Custom2_Q="(None)",F_Custom2_Q="",ISBLANK(F_Custom2_Q),F_Custom2_V="(All)",F_Custom2_V="",ISBLANK(F_Custom2_V)),1,IFERROR(IF(ISNUMBER(SEARCH("|"&amp;INDEX(INDIRECT(F_Custom2_resolved_column),158)&amp;"|",F_Custom2_wrapped)),1,0),0))</f>
        <v>1</v>
      </c>
      <c r="H159">
        <f>F159*G159*1</f>
        <v>1</v>
      </c>
      <c r="I159">
        <f>1</f>
        <v>1</v>
      </c>
      <c r="J1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158)&amp;"|",All_Questions_Q20_F_wrapped)),1,0),0))</f>
        <v>1</v>
      </c>
    </row>
    <row r="160">
      <c r="A160" t="n">
        <v>159</v>
      </c>
      <c r="B160" t="n">
        <v>28.9</v>
      </c>
      <c r="C160" t="n">
        <v>24.6</v>
      </c>
      <c r="D160" t="n">
        <v>22.9</v>
      </c>
      <c r="E160">
        <f>1</f>
        <v>1</v>
      </c>
      <c r="F160">
        <f>IF(OR(F_Custom1_Q="(None)",F_Custom1_Q="",ISBLANK(F_Custom1_Q),F_Custom1_V="(All)",F_Custom1_V="",ISBLANK(F_Custom1_V)),1,IFERROR(IF(ISNUMBER(SEARCH("|"&amp;INDEX(INDIRECT(F_Custom1_resolved_column),159)&amp;"|",F_Custom1_wrapped)),1,0),0))</f>
        <v>1</v>
      </c>
      <c r="G160">
        <f>IF(OR(F_Custom2_Q="(None)",F_Custom2_Q="",ISBLANK(F_Custom2_Q),F_Custom2_V="(All)",F_Custom2_V="",ISBLANK(F_Custom2_V)),1,IFERROR(IF(ISNUMBER(SEARCH("|"&amp;INDEX(INDIRECT(F_Custom2_resolved_column),159)&amp;"|",F_Custom2_wrapped)),1,0),0))</f>
        <v>1</v>
      </c>
      <c r="H160">
        <f>F160*G160*1</f>
        <v>1</v>
      </c>
      <c r="I160">
        <f>1</f>
        <v>1</v>
      </c>
      <c r="J1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159)&amp;"|",All_Questions_Q20_F_wrapped)),1,0),0))</f>
        <v>1</v>
      </c>
    </row>
    <row r="161">
      <c r="A161" t="n">
        <v>160</v>
      </c>
      <c r="B161" t="n">
        <v>28.9</v>
      </c>
      <c r="C161" t="n">
        <v>24.6</v>
      </c>
      <c r="D161" t="n">
        <v>22.9</v>
      </c>
      <c r="E161">
        <f>1</f>
        <v>1</v>
      </c>
      <c r="F161">
        <f>IF(OR(F_Custom1_Q="(None)",F_Custom1_Q="",ISBLANK(F_Custom1_Q),F_Custom1_V="(All)",F_Custom1_V="",ISBLANK(F_Custom1_V)),1,IFERROR(IF(ISNUMBER(SEARCH("|"&amp;INDEX(INDIRECT(F_Custom1_resolved_column),160)&amp;"|",F_Custom1_wrapped)),1,0),0))</f>
        <v>1</v>
      </c>
      <c r="G161">
        <f>IF(OR(F_Custom2_Q="(None)",F_Custom2_Q="",ISBLANK(F_Custom2_Q),F_Custom2_V="(All)",F_Custom2_V="",ISBLANK(F_Custom2_V)),1,IFERROR(IF(ISNUMBER(SEARCH("|"&amp;INDEX(INDIRECT(F_Custom2_resolved_column),160)&amp;"|",F_Custom2_wrapped)),1,0),0))</f>
        <v>1</v>
      </c>
      <c r="H161">
        <f>F161*G161*1</f>
        <v>1</v>
      </c>
      <c r="I161">
        <f>1</f>
        <v>1</v>
      </c>
      <c r="J1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160)&amp;"|",All_Questions_Q20_F_wrapped)),1,0),0))</f>
        <v>1</v>
      </c>
    </row>
    <row r="162">
      <c r="A162" t="n">
        <v>161</v>
      </c>
      <c r="B162" t="n">
        <v>28.9</v>
      </c>
      <c r="C162" t="n">
        <v>24.6</v>
      </c>
      <c r="D162" t="n">
        <v>22.9</v>
      </c>
      <c r="E162">
        <f>1</f>
        <v>1</v>
      </c>
      <c r="F162">
        <f>IF(OR(F_Custom1_Q="(None)",F_Custom1_Q="",ISBLANK(F_Custom1_Q),F_Custom1_V="(All)",F_Custom1_V="",ISBLANK(F_Custom1_V)),1,IFERROR(IF(ISNUMBER(SEARCH("|"&amp;INDEX(INDIRECT(F_Custom1_resolved_column),161)&amp;"|",F_Custom1_wrapped)),1,0),0))</f>
        <v>1</v>
      </c>
      <c r="G162">
        <f>IF(OR(F_Custom2_Q="(None)",F_Custom2_Q="",ISBLANK(F_Custom2_Q),F_Custom2_V="(All)",F_Custom2_V="",ISBLANK(F_Custom2_V)),1,IFERROR(IF(ISNUMBER(SEARCH("|"&amp;INDEX(INDIRECT(F_Custom2_resolved_column),161)&amp;"|",F_Custom2_wrapped)),1,0),0))</f>
        <v>1</v>
      </c>
      <c r="H162">
        <f>F162*G162*1</f>
        <v>1</v>
      </c>
      <c r="I162">
        <f>1</f>
        <v>1</v>
      </c>
      <c r="J1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161)&amp;"|",All_Questions_Q20_F_wrapped)),1,0),0))</f>
        <v>1</v>
      </c>
    </row>
    <row r="163">
      <c r="A163" t="n">
        <v>162</v>
      </c>
      <c r="B163" t="n">
        <v>28.9</v>
      </c>
      <c r="C163" t="n">
        <v>24.6</v>
      </c>
      <c r="D163" t="n">
        <v>22.9</v>
      </c>
      <c r="E163">
        <f>1</f>
        <v>1</v>
      </c>
      <c r="F163">
        <f>IF(OR(F_Custom1_Q="(None)",F_Custom1_Q="",ISBLANK(F_Custom1_Q),F_Custom1_V="(All)",F_Custom1_V="",ISBLANK(F_Custom1_V)),1,IFERROR(IF(ISNUMBER(SEARCH("|"&amp;INDEX(INDIRECT(F_Custom1_resolved_column),162)&amp;"|",F_Custom1_wrapped)),1,0),0))</f>
        <v>1</v>
      </c>
      <c r="G163">
        <f>IF(OR(F_Custom2_Q="(None)",F_Custom2_Q="",ISBLANK(F_Custom2_Q),F_Custom2_V="(All)",F_Custom2_V="",ISBLANK(F_Custom2_V)),1,IFERROR(IF(ISNUMBER(SEARCH("|"&amp;INDEX(INDIRECT(F_Custom2_resolved_column),162)&amp;"|",F_Custom2_wrapped)),1,0),0))</f>
        <v>1</v>
      </c>
      <c r="H163">
        <f>F163*G163*1</f>
        <v>1</v>
      </c>
      <c r="I163">
        <f>1</f>
        <v>1</v>
      </c>
      <c r="J1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162)&amp;"|",All_Questions_Q20_F_wrapped)),1,0),0))</f>
        <v>1</v>
      </c>
    </row>
    <row r="164">
      <c r="A164" t="n">
        <v>163</v>
      </c>
      <c r="B164" t="n">
        <v>28.9</v>
      </c>
      <c r="C164" t="n">
        <v>24.6</v>
      </c>
      <c r="D164" t="n">
        <v>22.9</v>
      </c>
      <c r="E164">
        <f>1</f>
        <v>1</v>
      </c>
      <c r="F164">
        <f>IF(OR(F_Custom1_Q="(None)",F_Custom1_Q="",ISBLANK(F_Custom1_Q),F_Custom1_V="(All)",F_Custom1_V="",ISBLANK(F_Custom1_V)),1,IFERROR(IF(ISNUMBER(SEARCH("|"&amp;INDEX(INDIRECT(F_Custom1_resolved_column),163)&amp;"|",F_Custom1_wrapped)),1,0),0))</f>
        <v>1</v>
      </c>
      <c r="G164">
        <f>IF(OR(F_Custom2_Q="(None)",F_Custom2_Q="",ISBLANK(F_Custom2_Q),F_Custom2_V="(All)",F_Custom2_V="",ISBLANK(F_Custom2_V)),1,IFERROR(IF(ISNUMBER(SEARCH("|"&amp;INDEX(INDIRECT(F_Custom2_resolved_column),163)&amp;"|",F_Custom2_wrapped)),1,0),0))</f>
        <v>1</v>
      </c>
      <c r="H164">
        <f>F164*G164*1</f>
        <v>1</v>
      </c>
      <c r="I164">
        <f>1</f>
        <v>1</v>
      </c>
      <c r="J1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163)&amp;"|",All_Questions_Q20_F_wrapped)),1,0),0))</f>
        <v>1</v>
      </c>
    </row>
    <row r="165">
      <c r="A165" t="n">
        <v>164</v>
      </c>
      <c r="B165" t="n">
        <v>28.9</v>
      </c>
      <c r="C165" t="n">
        <v>24.6</v>
      </c>
      <c r="D165" t="n">
        <v>22.9</v>
      </c>
      <c r="E165">
        <f>1</f>
        <v>1</v>
      </c>
      <c r="F165">
        <f>IF(OR(F_Custom1_Q="(None)",F_Custom1_Q="",ISBLANK(F_Custom1_Q),F_Custom1_V="(All)",F_Custom1_V="",ISBLANK(F_Custom1_V)),1,IFERROR(IF(ISNUMBER(SEARCH("|"&amp;INDEX(INDIRECT(F_Custom1_resolved_column),164)&amp;"|",F_Custom1_wrapped)),1,0),0))</f>
        <v>1</v>
      </c>
      <c r="G165">
        <f>IF(OR(F_Custom2_Q="(None)",F_Custom2_Q="",ISBLANK(F_Custom2_Q),F_Custom2_V="(All)",F_Custom2_V="",ISBLANK(F_Custom2_V)),1,IFERROR(IF(ISNUMBER(SEARCH("|"&amp;INDEX(INDIRECT(F_Custom2_resolved_column),164)&amp;"|",F_Custom2_wrapped)),1,0),0))</f>
        <v>1</v>
      </c>
      <c r="H165">
        <f>F165*G165*1</f>
        <v>1</v>
      </c>
      <c r="I165">
        <f>1</f>
        <v>1</v>
      </c>
      <c r="J1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164)&amp;"|",All_Questions_Q20_F_wrapped)),1,0),0))</f>
        <v>1</v>
      </c>
    </row>
    <row r="166">
      <c r="A166" t="n">
        <v>165</v>
      </c>
      <c r="B166" t="n">
        <v>28.9</v>
      </c>
      <c r="C166" t="n">
        <v>24.6</v>
      </c>
      <c r="D166" t="n">
        <v>22.9</v>
      </c>
      <c r="E166">
        <f>1</f>
        <v>1</v>
      </c>
      <c r="F166">
        <f>IF(OR(F_Custom1_Q="(None)",F_Custom1_Q="",ISBLANK(F_Custom1_Q),F_Custom1_V="(All)",F_Custom1_V="",ISBLANK(F_Custom1_V)),1,IFERROR(IF(ISNUMBER(SEARCH("|"&amp;INDEX(INDIRECT(F_Custom1_resolved_column),165)&amp;"|",F_Custom1_wrapped)),1,0),0))</f>
        <v>1</v>
      </c>
      <c r="G166">
        <f>IF(OR(F_Custom2_Q="(None)",F_Custom2_Q="",ISBLANK(F_Custom2_Q),F_Custom2_V="(All)",F_Custom2_V="",ISBLANK(F_Custom2_V)),1,IFERROR(IF(ISNUMBER(SEARCH("|"&amp;INDEX(INDIRECT(F_Custom2_resolved_column),165)&amp;"|",F_Custom2_wrapped)),1,0),0))</f>
        <v>1</v>
      </c>
      <c r="H166">
        <f>F166*G166*1</f>
        <v>1</v>
      </c>
      <c r="I166">
        <f>1</f>
        <v>1</v>
      </c>
      <c r="J1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165)&amp;"|",All_Questions_Q20_F_wrapped)),1,0),0))</f>
        <v>1</v>
      </c>
    </row>
    <row r="167">
      <c r="A167" t="n">
        <v>166</v>
      </c>
      <c r="B167" t="n">
        <v>28.9</v>
      </c>
      <c r="C167" t="n">
        <v>24.6</v>
      </c>
      <c r="D167" t="n">
        <v>22.9</v>
      </c>
      <c r="E167">
        <f>1</f>
        <v>1</v>
      </c>
      <c r="F167">
        <f>IF(OR(F_Custom1_Q="(None)",F_Custom1_Q="",ISBLANK(F_Custom1_Q),F_Custom1_V="(All)",F_Custom1_V="",ISBLANK(F_Custom1_V)),1,IFERROR(IF(ISNUMBER(SEARCH("|"&amp;INDEX(INDIRECT(F_Custom1_resolved_column),166)&amp;"|",F_Custom1_wrapped)),1,0),0))</f>
        <v>1</v>
      </c>
      <c r="G167">
        <f>IF(OR(F_Custom2_Q="(None)",F_Custom2_Q="",ISBLANK(F_Custom2_Q),F_Custom2_V="(All)",F_Custom2_V="",ISBLANK(F_Custom2_V)),1,IFERROR(IF(ISNUMBER(SEARCH("|"&amp;INDEX(INDIRECT(F_Custom2_resolved_column),166)&amp;"|",F_Custom2_wrapped)),1,0),0))</f>
        <v>1</v>
      </c>
      <c r="H167">
        <f>F167*G167*1</f>
        <v>1</v>
      </c>
      <c r="I167">
        <f>1</f>
        <v>1</v>
      </c>
      <c r="J1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166)&amp;"|",All_Questions_Q20_F_wrapped)),1,0),0))</f>
        <v>1</v>
      </c>
    </row>
    <row r="168">
      <c r="A168" t="n">
        <v>167</v>
      </c>
      <c r="B168" t="n">
        <v>28.9</v>
      </c>
      <c r="C168" t="n">
        <v>24.6</v>
      </c>
      <c r="D168" t="n">
        <v>22.9</v>
      </c>
      <c r="E168">
        <f>1</f>
        <v>1</v>
      </c>
      <c r="F168">
        <f>IF(OR(F_Custom1_Q="(None)",F_Custom1_Q="",ISBLANK(F_Custom1_Q),F_Custom1_V="(All)",F_Custom1_V="",ISBLANK(F_Custom1_V)),1,IFERROR(IF(ISNUMBER(SEARCH("|"&amp;INDEX(INDIRECT(F_Custom1_resolved_column),167)&amp;"|",F_Custom1_wrapped)),1,0),0))</f>
        <v>1</v>
      </c>
      <c r="G168">
        <f>IF(OR(F_Custom2_Q="(None)",F_Custom2_Q="",ISBLANK(F_Custom2_Q),F_Custom2_V="(All)",F_Custom2_V="",ISBLANK(F_Custom2_V)),1,IFERROR(IF(ISNUMBER(SEARCH("|"&amp;INDEX(INDIRECT(F_Custom2_resolved_column),167)&amp;"|",F_Custom2_wrapped)),1,0),0))</f>
        <v>1</v>
      </c>
      <c r="H168">
        <f>F168*G168*1</f>
        <v>1</v>
      </c>
      <c r="I168">
        <f>1</f>
        <v>1</v>
      </c>
      <c r="J1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167)&amp;"|",All_Questions_Q20_F_wrapped)),1,0),0))</f>
        <v>1</v>
      </c>
    </row>
    <row r="169">
      <c r="A169" t="n">
        <v>168</v>
      </c>
      <c r="B169" t="n">
        <v>28.9</v>
      </c>
      <c r="C169" t="n">
        <v>24.6</v>
      </c>
      <c r="D169" t="n">
        <v>22.9</v>
      </c>
      <c r="E169">
        <f>1</f>
        <v>1</v>
      </c>
      <c r="F169">
        <f>IF(OR(F_Custom1_Q="(None)",F_Custom1_Q="",ISBLANK(F_Custom1_Q),F_Custom1_V="(All)",F_Custom1_V="",ISBLANK(F_Custom1_V)),1,IFERROR(IF(ISNUMBER(SEARCH("|"&amp;INDEX(INDIRECT(F_Custom1_resolved_column),168)&amp;"|",F_Custom1_wrapped)),1,0),0))</f>
        <v>1</v>
      </c>
      <c r="G169">
        <f>IF(OR(F_Custom2_Q="(None)",F_Custom2_Q="",ISBLANK(F_Custom2_Q),F_Custom2_V="(All)",F_Custom2_V="",ISBLANK(F_Custom2_V)),1,IFERROR(IF(ISNUMBER(SEARCH("|"&amp;INDEX(INDIRECT(F_Custom2_resolved_column),168)&amp;"|",F_Custom2_wrapped)),1,0),0))</f>
        <v>1</v>
      </c>
      <c r="H169">
        <f>F169*G169*1</f>
        <v>1</v>
      </c>
      <c r="I169">
        <f>1</f>
        <v>1</v>
      </c>
      <c r="J1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168)&amp;"|",All_Questions_Q20_F_wrapped)),1,0),0))</f>
        <v>1</v>
      </c>
    </row>
    <row r="170">
      <c r="A170" t="n">
        <v>169</v>
      </c>
      <c r="B170" t="n">
        <v>28.9</v>
      </c>
      <c r="C170" t="n">
        <v>24.6</v>
      </c>
      <c r="D170" t="n">
        <v>22.9</v>
      </c>
      <c r="E170">
        <f>1</f>
        <v>1</v>
      </c>
      <c r="F170">
        <f>IF(OR(F_Custom1_Q="(None)",F_Custom1_Q="",ISBLANK(F_Custom1_Q),F_Custom1_V="(All)",F_Custom1_V="",ISBLANK(F_Custom1_V)),1,IFERROR(IF(ISNUMBER(SEARCH("|"&amp;INDEX(INDIRECT(F_Custom1_resolved_column),169)&amp;"|",F_Custom1_wrapped)),1,0),0))</f>
        <v>1</v>
      </c>
      <c r="G170">
        <f>IF(OR(F_Custom2_Q="(None)",F_Custom2_Q="",ISBLANK(F_Custom2_Q),F_Custom2_V="(All)",F_Custom2_V="",ISBLANK(F_Custom2_V)),1,IFERROR(IF(ISNUMBER(SEARCH("|"&amp;INDEX(INDIRECT(F_Custom2_resolved_column),169)&amp;"|",F_Custom2_wrapped)),1,0),0))</f>
        <v>1</v>
      </c>
      <c r="H170">
        <f>F170*G170*1</f>
        <v>1</v>
      </c>
      <c r="I170">
        <f>1</f>
        <v>1</v>
      </c>
      <c r="J1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169)&amp;"|",All_Questions_Q20_F_wrapped)),1,0),0))</f>
        <v>1</v>
      </c>
    </row>
    <row r="171">
      <c r="A171" t="n">
        <v>170</v>
      </c>
      <c r="B171" t="n">
        <v>28.9</v>
      </c>
      <c r="C171" t="n">
        <v>24.6</v>
      </c>
      <c r="D171" t="n">
        <v>22.9</v>
      </c>
      <c r="E171">
        <f>1</f>
        <v>1</v>
      </c>
      <c r="F171">
        <f>IF(OR(F_Custom1_Q="(None)",F_Custom1_Q="",ISBLANK(F_Custom1_Q),F_Custom1_V="(All)",F_Custom1_V="",ISBLANK(F_Custom1_V)),1,IFERROR(IF(ISNUMBER(SEARCH("|"&amp;INDEX(INDIRECT(F_Custom1_resolved_column),170)&amp;"|",F_Custom1_wrapped)),1,0),0))</f>
        <v>1</v>
      </c>
      <c r="G171">
        <f>IF(OR(F_Custom2_Q="(None)",F_Custom2_Q="",ISBLANK(F_Custom2_Q),F_Custom2_V="(All)",F_Custom2_V="",ISBLANK(F_Custom2_V)),1,IFERROR(IF(ISNUMBER(SEARCH("|"&amp;INDEX(INDIRECT(F_Custom2_resolved_column),170)&amp;"|",F_Custom2_wrapped)),1,0),0))</f>
        <v>1</v>
      </c>
      <c r="H171">
        <f>F171*G171*1</f>
        <v>1</v>
      </c>
      <c r="I171">
        <f>1</f>
        <v>1</v>
      </c>
      <c r="J1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170)&amp;"|",All_Questions_Q20_F_wrapped)),1,0),0))</f>
        <v>1</v>
      </c>
    </row>
    <row r="172">
      <c r="A172" t="n">
        <v>171</v>
      </c>
      <c r="B172" t="n">
        <v>28.9</v>
      </c>
      <c r="C172" t="n">
        <v>24.6</v>
      </c>
      <c r="D172" t="n">
        <v>22.9</v>
      </c>
      <c r="E172">
        <f>1</f>
        <v>1</v>
      </c>
      <c r="F172">
        <f>IF(OR(F_Custom1_Q="(None)",F_Custom1_Q="",ISBLANK(F_Custom1_Q),F_Custom1_V="(All)",F_Custom1_V="",ISBLANK(F_Custom1_V)),1,IFERROR(IF(ISNUMBER(SEARCH("|"&amp;INDEX(INDIRECT(F_Custom1_resolved_column),171)&amp;"|",F_Custom1_wrapped)),1,0),0))</f>
        <v>1</v>
      </c>
      <c r="G172">
        <f>IF(OR(F_Custom2_Q="(None)",F_Custom2_Q="",ISBLANK(F_Custom2_Q),F_Custom2_V="(All)",F_Custom2_V="",ISBLANK(F_Custom2_V)),1,IFERROR(IF(ISNUMBER(SEARCH("|"&amp;INDEX(INDIRECT(F_Custom2_resolved_column),171)&amp;"|",F_Custom2_wrapped)),1,0),0))</f>
        <v>1</v>
      </c>
      <c r="H172">
        <f>F172*G172*1</f>
        <v>1</v>
      </c>
      <c r="I172">
        <f>1</f>
        <v>1</v>
      </c>
      <c r="J1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171)&amp;"|",All_Questions_Q20_F_wrapped)),1,0),0))</f>
        <v>1</v>
      </c>
    </row>
    <row r="173">
      <c r="A173" t="n">
        <v>172</v>
      </c>
      <c r="B173" t="n">
        <v>28.9</v>
      </c>
      <c r="C173" t="n">
        <v>24.6</v>
      </c>
      <c r="D173" t="n">
        <v>22.9</v>
      </c>
      <c r="E173">
        <f>1</f>
        <v>1</v>
      </c>
      <c r="F173">
        <f>IF(OR(F_Custom1_Q="(None)",F_Custom1_Q="",ISBLANK(F_Custom1_Q),F_Custom1_V="(All)",F_Custom1_V="",ISBLANK(F_Custom1_V)),1,IFERROR(IF(ISNUMBER(SEARCH("|"&amp;INDEX(INDIRECT(F_Custom1_resolved_column),172)&amp;"|",F_Custom1_wrapped)),1,0),0))</f>
        <v>1</v>
      </c>
      <c r="G173">
        <f>IF(OR(F_Custom2_Q="(None)",F_Custom2_Q="",ISBLANK(F_Custom2_Q),F_Custom2_V="(All)",F_Custom2_V="",ISBLANK(F_Custom2_V)),1,IFERROR(IF(ISNUMBER(SEARCH("|"&amp;INDEX(INDIRECT(F_Custom2_resolved_column),172)&amp;"|",F_Custom2_wrapped)),1,0),0))</f>
        <v>1</v>
      </c>
      <c r="H173">
        <f>F173*G173*1</f>
        <v>1</v>
      </c>
      <c r="I173">
        <f>1</f>
        <v>1</v>
      </c>
      <c r="J1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172)&amp;"|",All_Questions_Q20_F_wrapped)),1,0),0))</f>
        <v>1</v>
      </c>
    </row>
    <row r="174">
      <c r="A174" t="n">
        <v>173</v>
      </c>
      <c r="B174" t="n">
        <v>28.9</v>
      </c>
      <c r="C174" t="n">
        <v>24.6</v>
      </c>
      <c r="D174" t="n">
        <v>22.9</v>
      </c>
      <c r="E174">
        <f>1</f>
        <v>1</v>
      </c>
      <c r="F174">
        <f>IF(OR(F_Custom1_Q="(None)",F_Custom1_Q="",ISBLANK(F_Custom1_Q),F_Custom1_V="(All)",F_Custom1_V="",ISBLANK(F_Custom1_V)),1,IFERROR(IF(ISNUMBER(SEARCH("|"&amp;INDEX(INDIRECT(F_Custom1_resolved_column),173)&amp;"|",F_Custom1_wrapped)),1,0),0))</f>
        <v>1</v>
      </c>
      <c r="G174">
        <f>IF(OR(F_Custom2_Q="(None)",F_Custom2_Q="",ISBLANK(F_Custom2_Q),F_Custom2_V="(All)",F_Custom2_V="",ISBLANK(F_Custom2_V)),1,IFERROR(IF(ISNUMBER(SEARCH("|"&amp;INDEX(INDIRECT(F_Custom2_resolved_column),173)&amp;"|",F_Custom2_wrapped)),1,0),0))</f>
        <v>1</v>
      </c>
      <c r="H174">
        <f>F174*G174*1</f>
        <v>1</v>
      </c>
      <c r="I174">
        <f>1</f>
        <v>1</v>
      </c>
      <c r="J1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173)&amp;"|",All_Questions_Q20_F_wrapped)),1,0),0))</f>
        <v>1</v>
      </c>
    </row>
    <row r="175">
      <c r="A175" t="n">
        <v>174</v>
      </c>
      <c r="B175" t="n">
        <v>28.9</v>
      </c>
      <c r="C175" t="n">
        <v>24.6</v>
      </c>
      <c r="D175" t="n">
        <v>22.9</v>
      </c>
      <c r="E175">
        <f>1</f>
        <v>1</v>
      </c>
      <c r="F175">
        <f>IF(OR(F_Custom1_Q="(None)",F_Custom1_Q="",ISBLANK(F_Custom1_Q),F_Custom1_V="(All)",F_Custom1_V="",ISBLANK(F_Custom1_V)),1,IFERROR(IF(ISNUMBER(SEARCH("|"&amp;INDEX(INDIRECT(F_Custom1_resolved_column),174)&amp;"|",F_Custom1_wrapped)),1,0),0))</f>
        <v>1</v>
      </c>
      <c r="G175">
        <f>IF(OR(F_Custom2_Q="(None)",F_Custom2_Q="",ISBLANK(F_Custom2_Q),F_Custom2_V="(All)",F_Custom2_V="",ISBLANK(F_Custom2_V)),1,IFERROR(IF(ISNUMBER(SEARCH("|"&amp;INDEX(INDIRECT(F_Custom2_resolved_column),174)&amp;"|",F_Custom2_wrapped)),1,0),0))</f>
        <v>1</v>
      </c>
      <c r="H175">
        <f>F175*G175*1</f>
        <v>1</v>
      </c>
      <c r="I175">
        <f>1</f>
        <v>1</v>
      </c>
      <c r="J1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174)&amp;"|",All_Questions_Q20_F_wrapped)),1,0),0))</f>
        <v>1</v>
      </c>
    </row>
    <row r="176">
      <c r="A176" t="n">
        <v>175</v>
      </c>
      <c r="B176" t="n">
        <v>28.9</v>
      </c>
      <c r="C176" t="n">
        <v>24.6</v>
      </c>
      <c r="D176" t="n">
        <v>22.9</v>
      </c>
      <c r="E176">
        <f>1</f>
        <v>1</v>
      </c>
      <c r="F176">
        <f>IF(OR(F_Custom1_Q="(None)",F_Custom1_Q="",ISBLANK(F_Custom1_Q),F_Custom1_V="(All)",F_Custom1_V="",ISBLANK(F_Custom1_V)),1,IFERROR(IF(ISNUMBER(SEARCH("|"&amp;INDEX(INDIRECT(F_Custom1_resolved_column),175)&amp;"|",F_Custom1_wrapped)),1,0),0))</f>
        <v>1</v>
      </c>
      <c r="G176">
        <f>IF(OR(F_Custom2_Q="(None)",F_Custom2_Q="",ISBLANK(F_Custom2_Q),F_Custom2_V="(All)",F_Custom2_V="",ISBLANK(F_Custom2_V)),1,IFERROR(IF(ISNUMBER(SEARCH("|"&amp;INDEX(INDIRECT(F_Custom2_resolved_column),175)&amp;"|",F_Custom2_wrapped)),1,0),0))</f>
        <v>1</v>
      </c>
      <c r="H176">
        <f>F176*G176*1</f>
        <v>1</v>
      </c>
      <c r="I176">
        <f>1</f>
        <v>1</v>
      </c>
      <c r="J1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175)&amp;"|",All_Questions_Q20_F_wrapped)),1,0),0))</f>
        <v>1</v>
      </c>
    </row>
    <row r="177">
      <c r="A177" t="n">
        <v>176</v>
      </c>
      <c r="B177" t="n">
        <v>28.9</v>
      </c>
      <c r="C177" t="n">
        <v>24.6</v>
      </c>
      <c r="D177" t="n">
        <v>22.9</v>
      </c>
      <c r="E177">
        <f>1</f>
        <v>1</v>
      </c>
      <c r="F177">
        <f>IF(OR(F_Custom1_Q="(None)",F_Custom1_Q="",ISBLANK(F_Custom1_Q),F_Custom1_V="(All)",F_Custom1_V="",ISBLANK(F_Custom1_V)),1,IFERROR(IF(ISNUMBER(SEARCH("|"&amp;INDEX(INDIRECT(F_Custom1_resolved_column),176)&amp;"|",F_Custom1_wrapped)),1,0),0))</f>
        <v>1</v>
      </c>
      <c r="G177">
        <f>IF(OR(F_Custom2_Q="(None)",F_Custom2_Q="",ISBLANK(F_Custom2_Q),F_Custom2_V="(All)",F_Custom2_V="",ISBLANK(F_Custom2_V)),1,IFERROR(IF(ISNUMBER(SEARCH("|"&amp;INDEX(INDIRECT(F_Custom2_resolved_column),176)&amp;"|",F_Custom2_wrapped)),1,0),0))</f>
        <v>1</v>
      </c>
      <c r="H177">
        <f>F177*G177*1</f>
        <v>1</v>
      </c>
      <c r="I177">
        <f>1</f>
        <v>1</v>
      </c>
      <c r="J1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176)&amp;"|",All_Questions_Q20_F_wrapped)),1,0),0))</f>
        <v>1</v>
      </c>
    </row>
    <row r="178">
      <c r="A178" t="n">
        <v>177</v>
      </c>
      <c r="B178" t="n">
        <v>28.9</v>
      </c>
      <c r="C178" t="n">
        <v>24.6</v>
      </c>
      <c r="D178" t="n">
        <v>22.9</v>
      </c>
      <c r="E178">
        <f>1</f>
        <v>1</v>
      </c>
      <c r="F178">
        <f>IF(OR(F_Custom1_Q="(None)",F_Custom1_Q="",ISBLANK(F_Custom1_Q),F_Custom1_V="(All)",F_Custom1_V="",ISBLANK(F_Custom1_V)),1,IFERROR(IF(ISNUMBER(SEARCH("|"&amp;INDEX(INDIRECT(F_Custom1_resolved_column),177)&amp;"|",F_Custom1_wrapped)),1,0),0))</f>
        <v>1</v>
      </c>
      <c r="G178">
        <f>IF(OR(F_Custom2_Q="(None)",F_Custom2_Q="",ISBLANK(F_Custom2_Q),F_Custom2_V="(All)",F_Custom2_V="",ISBLANK(F_Custom2_V)),1,IFERROR(IF(ISNUMBER(SEARCH("|"&amp;INDEX(INDIRECT(F_Custom2_resolved_column),177)&amp;"|",F_Custom2_wrapped)),1,0),0))</f>
        <v>1</v>
      </c>
      <c r="H178">
        <f>F178*G178*1</f>
        <v>1</v>
      </c>
      <c r="I178">
        <f>1</f>
        <v>1</v>
      </c>
      <c r="J1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177)&amp;"|",All_Questions_Q20_F_wrapped)),1,0),0))</f>
        <v>1</v>
      </c>
    </row>
    <row r="179">
      <c r="A179" t="n">
        <v>178</v>
      </c>
      <c r="B179" t="n">
        <v>28.9</v>
      </c>
      <c r="C179" t="n">
        <v>24.6</v>
      </c>
      <c r="D179" t="n">
        <v>22.9</v>
      </c>
      <c r="E179">
        <f>1</f>
        <v>1</v>
      </c>
      <c r="F179">
        <f>IF(OR(F_Custom1_Q="(None)",F_Custom1_Q="",ISBLANK(F_Custom1_Q),F_Custom1_V="(All)",F_Custom1_V="",ISBLANK(F_Custom1_V)),1,IFERROR(IF(ISNUMBER(SEARCH("|"&amp;INDEX(INDIRECT(F_Custom1_resolved_column),178)&amp;"|",F_Custom1_wrapped)),1,0),0))</f>
        <v>1</v>
      </c>
      <c r="G179">
        <f>IF(OR(F_Custom2_Q="(None)",F_Custom2_Q="",ISBLANK(F_Custom2_Q),F_Custom2_V="(All)",F_Custom2_V="",ISBLANK(F_Custom2_V)),1,IFERROR(IF(ISNUMBER(SEARCH("|"&amp;INDEX(INDIRECT(F_Custom2_resolved_column),178)&amp;"|",F_Custom2_wrapped)),1,0),0))</f>
        <v>1</v>
      </c>
      <c r="H179">
        <f>F179*G179*1</f>
        <v>1</v>
      </c>
      <c r="I179">
        <f>1</f>
        <v>1</v>
      </c>
      <c r="J1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178)&amp;"|",All_Questions_Q20_F_wrapped)),1,0),0))</f>
        <v>1</v>
      </c>
    </row>
    <row r="180">
      <c r="A180" t="n">
        <v>179</v>
      </c>
      <c r="B180" t="n">
        <v>28.9</v>
      </c>
      <c r="C180" t="n">
        <v>24.6</v>
      </c>
      <c r="D180" t="n">
        <v>22.9</v>
      </c>
      <c r="E180">
        <f>1</f>
        <v>1</v>
      </c>
      <c r="F180">
        <f>IF(OR(F_Custom1_Q="(None)",F_Custom1_Q="",ISBLANK(F_Custom1_Q),F_Custom1_V="(All)",F_Custom1_V="",ISBLANK(F_Custom1_V)),1,IFERROR(IF(ISNUMBER(SEARCH("|"&amp;INDEX(INDIRECT(F_Custom1_resolved_column),179)&amp;"|",F_Custom1_wrapped)),1,0),0))</f>
        <v>1</v>
      </c>
      <c r="G180">
        <f>IF(OR(F_Custom2_Q="(None)",F_Custom2_Q="",ISBLANK(F_Custom2_Q),F_Custom2_V="(All)",F_Custom2_V="",ISBLANK(F_Custom2_V)),1,IFERROR(IF(ISNUMBER(SEARCH("|"&amp;INDEX(INDIRECT(F_Custom2_resolved_column),179)&amp;"|",F_Custom2_wrapped)),1,0),0))</f>
        <v>1</v>
      </c>
      <c r="H180">
        <f>F180*G180*1</f>
        <v>1</v>
      </c>
      <c r="I180">
        <f>1</f>
        <v>1</v>
      </c>
      <c r="J1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179)&amp;"|",All_Questions_Q20_F_wrapped)),1,0),0))</f>
        <v>1</v>
      </c>
    </row>
    <row r="181">
      <c r="A181" t="n">
        <v>180</v>
      </c>
      <c r="B181" t="n">
        <v>28.9</v>
      </c>
      <c r="C181" t="n">
        <v>24.6</v>
      </c>
      <c r="D181" t="n">
        <v>22.9</v>
      </c>
      <c r="E181">
        <f>1</f>
        <v>1</v>
      </c>
      <c r="F181">
        <f>IF(OR(F_Custom1_Q="(None)",F_Custom1_Q="",ISBLANK(F_Custom1_Q),F_Custom1_V="(All)",F_Custom1_V="",ISBLANK(F_Custom1_V)),1,IFERROR(IF(ISNUMBER(SEARCH("|"&amp;INDEX(INDIRECT(F_Custom1_resolved_column),180)&amp;"|",F_Custom1_wrapped)),1,0),0))</f>
        <v>1</v>
      </c>
      <c r="G181">
        <f>IF(OR(F_Custom2_Q="(None)",F_Custom2_Q="",ISBLANK(F_Custom2_Q),F_Custom2_V="(All)",F_Custom2_V="",ISBLANK(F_Custom2_V)),1,IFERROR(IF(ISNUMBER(SEARCH("|"&amp;INDEX(INDIRECT(F_Custom2_resolved_column),180)&amp;"|",F_Custom2_wrapped)),1,0),0))</f>
        <v>1</v>
      </c>
      <c r="H181">
        <f>F181*G181*1</f>
        <v>1</v>
      </c>
      <c r="I181">
        <f>1</f>
        <v>1</v>
      </c>
      <c r="J1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180)&amp;"|",All_Questions_Q20_F_wrapped)),1,0),0))</f>
        <v>1</v>
      </c>
    </row>
    <row r="182">
      <c r="A182" t="n">
        <v>181</v>
      </c>
      <c r="B182" t="n">
        <v>28.9</v>
      </c>
      <c r="C182" t="n">
        <v>24.6</v>
      </c>
      <c r="D182" t="n">
        <v>22.9</v>
      </c>
      <c r="E182">
        <f>1</f>
        <v>1</v>
      </c>
      <c r="F182">
        <f>IF(OR(F_Custom1_Q="(None)",F_Custom1_Q="",ISBLANK(F_Custom1_Q),F_Custom1_V="(All)",F_Custom1_V="",ISBLANK(F_Custom1_V)),1,IFERROR(IF(ISNUMBER(SEARCH("|"&amp;INDEX(INDIRECT(F_Custom1_resolved_column),181)&amp;"|",F_Custom1_wrapped)),1,0),0))</f>
        <v>1</v>
      </c>
      <c r="G182">
        <f>IF(OR(F_Custom2_Q="(None)",F_Custom2_Q="",ISBLANK(F_Custom2_Q),F_Custom2_V="(All)",F_Custom2_V="",ISBLANK(F_Custom2_V)),1,IFERROR(IF(ISNUMBER(SEARCH("|"&amp;INDEX(INDIRECT(F_Custom2_resolved_column),181)&amp;"|",F_Custom2_wrapped)),1,0),0))</f>
        <v>1</v>
      </c>
      <c r="H182">
        <f>F182*G182*1</f>
        <v>1</v>
      </c>
      <c r="I182">
        <f>1</f>
        <v>1</v>
      </c>
      <c r="J1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181)&amp;"|",All_Questions_Q20_F_wrapped)),1,0),0))</f>
        <v>1</v>
      </c>
    </row>
    <row r="183">
      <c r="A183" t="n">
        <v>182</v>
      </c>
      <c r="B183" t="n">
        <v>28.9</v>
      </c>
      <c r="C183" t="n">
        <v>24.6</v>
      </c>
      <c r="D183" t="n">
        <v>22.9</v>
      </c>
      <c r="E183">
        <f>1</f>
        <v>1</v>
      </c>
      <c r="F183">
        <f>IF(OR(F_Custom1_Q="(None)",F_Custom1_Q="",ISBLANK(F_Custom1_Q),F_Custom1_V="(All)",F_Custom1_V="",ISBLANK(F_Custom1_V)),1,IFERROR(IF(ISNUMBER(SEARCH("|"&amp;INDEX(INDIRECT(F_Custom1_resolved_column),182)&amp;"|",F_Custom1_wrapped)),1,0),0))</f>
        <v>1</v>
      </c>
      <c r="G183">
        <f>IF(OR(F_Custom2_Q="(None)",F_Custom2_Q="",ISBLANK(F_Custom2_Q),F_Custom2_V="(All)",F_Custom2_V="",ISBLANK(F_Custom2_V)),1,IFERROR(IF(ISNUMBER(SEARCH("|"&amp;INDEX(INDIRECT(F_Custom2_resolved_column),182)&amp;"|",F_Custom2_wrapped)),1,0),0))</f>
        <v>1</v>
      </c>
      <c r="H183">
        <f>F183*G183*1</f>
        <v>1</v>
      </c>
      <c r="I183">
        <f>1</f>
        <v>1</v>
      </c>
      <c r="J1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182)&amp;"|",All_Questions_Q20_F_wrapped)),1,0),0))</f>
        <v>1</v>
      </c>
    </row>
    <row r="184">
      <c r="A184" t="n">
        <v>183</v>
      </c>
      <c r="B184" t="n">
        <v>28.9</v>
      </c>
      <c r="C184" t="n">
        <v>24.6</v>
      </c>
      <c r="D184" t="n">
        <v>22.9</v>
      </c>
      <c r="E184">
        <f>1</f>
        <v>1</v>
      </c>
      <c r="F184">
        <f>IF(OR(F_Custom1_Q="(None)",F_Custom1_Q="",ISBLANK(F_Custom1_Q),F_Custom1_V="(All)",F_Custom1_V="",ISBLANK(F_Custom1_V)),1,IFERROR(IF(ISNUMBER(SEARCH("|"&amp;INDEX(INDIRECT(F_Custom1_resolved_column),183)&amp;"|",F_Custom1_wrapped)),1,0),0))</f>
        <v>1</v>
      </c>
      <c r="G184">
        <f>IF(OR(F_Custom2_Q="(None)",F_Custom2_Q="",ISBLANK(F_Custom2_Q),F_Custom2_V="(All)",F_Custom2_V="",ISBLANK(F_Custom2_V)),1,IFERROR(IF(ISNUMBER(SEARCH("|"&amp;INDEX(INDIRECT(F_Custom2_resolved_column),183)&amp;"|",F_Custom2_wrapped)),1,0),0))</f>
        <v>1</v>
      </c>
      <c r="H184">
        <f>F184*G184*1</f>
        <v>1</v>
      </c>
      <c r="I184">
        <f>1</f>
        <v>1</v>
      </c>
      <c r="J1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183)&amp;"|",All_Questions_Q20_F_wrapped)),1,0),0))</f>
        <v>1</v>
      </c>
    </row>
    <row r="185">
      <c r="A185" t="n">
        <v>184</v>
      </c>
      <c r="B185" t="n">
        <v>28.9</v>
      </c>
      <c r="C185" t="n">
        <v>24.6</v>
      </c>
      <c r="D185" t="n">
        <v>22.9</v>
      </c>
      <c r="E185">
        <f>1</f>
        <v>1</v>
      </c>
      <c r="F185">
        <f>IF(OR(F_Custom1_Q="(None)",F_Custom1_Q="",ISBLANK(F_Custom1_Q),F_Custom1_V="(All)",F_Custom1_V="",ISBLANK(F_Custom1_V)),1,IFERROR(IF(ISNUMBER(SEARCH("|"&amp;INDEX(INDIRECT(F_Custom1_resolved_column),184)&amp;"|",F_Custom1_wrapped)),1,0),0))</f>
        <v>1</v>
      </c>
      <c r="G185">
        <f>IF(OR(F_Custom2_Q="(None)",F_Custom2_Q="",ISBLANK(F_Custom2_Q),F_Custom2_V="(All)",F_Custom2_V="",ISBLANK(F_Custom2_V)),1,IFERROR(IF(ISNUMBER(SEARCH("|"&amp;INDEX(INDIRECT(F_Custom2_resolved_column),184)&amp;"|",F_Custom2_wrapped)),1,0),0))</f>
        <v>1</v>
      </c>
      <c r="H185">
        <f>F185*G185*1</f>
        <v>1</v>
      </c>
      <c r="I185">
        <f>1</f>
        <v>1</v>
      </c>
      <c r="J1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184)&amp;"|",All_Questions_Q20_F_wrapped)),1,0),0))</f>
        <v>1</v>
      </c>
    </row>
    <row r="186">
      <c r="A186" t="n">
        <v>185</v>
      </c>
      <c r="B186" t="n">
        <v>28.9</v>
      </c>
      <c r="C186" t="n">
        <v>24.6</v>
      </c>
      <c r="D186" t="n">
        <v>22.9</v>
      </c>
      <c r="E186">
        <f>1</f>
        <v>1</v>
      </c>
      <c r="F186">
        <f>IF(OR(F_Custom1_Q="(None)",F_Custom1_Q="",ISBLANK(F_Custom1_Q),F_Custom1_V="(All)",F_Custom1_V="",ISBLANK(F_Custom1_V)),1,IFERROR(IF(ISNUMBER(SEARCH("|"&amp;INDEX(INDIRECT(F_Custom1_resolved_column),185)&amp;"|",F_Custom1_wrapped)),1,0),0))</f>
        <v>1</v>
      </c>
      <c r="G186">
        <f>IF(OR(F_Custom2_Q="(None)",F_Custom2_Q="",ISBLANK(F_Custom2_Q),F_Custom2_V="(All)",F_Custom2_V="",ISBLANK(F_Custom2_V)),1,IFERROR(IF(ISNUMBER(SEARCH("|"&amp;INDEX(INDIRECT(F_Custom2_resolved_column),185)&amp;"|",F_Custom2_wrapped)),1,0),0))</f>
        <v>1</v>
      </c>
      <c r="H186">
        <f>F186*G186*1</f>
        <v>1</v>
      </c>
      <c r="I186">
        <f>1</f>
        <v>1</v>
      </c>
      <c r="J1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185)&amp;"|",All_Questions_Q20_F_wrapped)),1,0),0))</f>
        <v>1</v>
      </c>
    </row>
    <row r="187">
      <c r="A187" t="n">
        <v>186</v>
      </c>
      <c r="B187" t="n">
        <v>28.9</v>
      </c>
      <c r="C187" t="n">
        <v>24.6</v>
      </c>
      <c r="D187" t="n">
        <v>22.9</v>
      </c>
      <c r="E187">
        <f>1</f>
        <v>1</v>
      </c>
      <c r="F187">
        <f>IF(OR(F_Custom1_Q="(None)",F_Custom1_Q="",ISBLANK(F_Custom1_Q),F_Custom1_V="(All)",F_Custom1_V="",ISBLANK(F_Custom1_V)),1,IFERROR(IF(ISNUMBER(SEARCH("|"&amp;INDEX(INDIRECT(F_Custom1_resolved_column),186)&amp;"|",F_Custom1_wrapped)),1,0),0))</f>
        <v>1</v>
      </c>
      <c r="G187">
        <f>IF(OR(F_Custom2_Q="(None)",F_Custom2_Q="",ISBLANK(F_Custom2_Q),F_Custom2_V="(All)",F_Custom2_V="",ISBLANK(F_Custom2_V)),1,IFERROR(IF(ISNUMBER(SEARCH("|"&amp;INDEX(INDIRECT(F_Custom2_resolved_column),186)&amp;"|",F_Custom2_wrapped)),1,0),0))</f>
        <v>1</v>
      </c>
      <c r="H187">
        <f>F187*G187*1</f>
        <v>1</v>
      </c>
      <c r="I187">
        <f>1</f>
        <v>1</v>
      </c>
      <c r="J1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186)&amp;"|",All_Questions_Q20_F_wrapped)),1,0),0))</f>
        <v>1</v>
      </c>
    </row>
    <row r="188">
      <c r="A188" t="n">
        <v>187</v>
      </c>
      <c r="B188" t="n">
        <v>28.9</v>
      </c>
      <c r="C188" t="n">
        <v>24.6</v>
      </c>
      <c r="D188" t="n">
        <v>22.9</v>
      </c>
      <c r="E188">
        <f>1</f>
        <v>1</v>
      </c>
      <c r="F188">
        <f>IF(OR(F_Custom1_Q="(None)",F_Custom1_Q="",ISBLANK(F_Custom1_Q),F_Custom1_V="(All)",F_Custom1_V="",ISBLANK(F_Custom1_V)),1,IFERROR(IF(ISNUMBER(SEARCH("|"&amp;INDEX(INDIRECT(F_Custom1_resolved_column),187)&amp;"|",F_Custom1_wrapped)),1,0),0))</f>
        <v>1</v>
      </c>
      <c r="G188">
        <f>IF(OR(F_Custom2_Q="(None)",F_Custom2_Q="",ISBLANK(F_Custom2_Q),F_Custom2_V="(All)",F_Custom2_V="",ISBLANK(F_Custom2_V)),1,IFERROR(IF(ISNUMBER(SEARCH("|"&amp;INDEX(INDIRECT(F_Custom2_resolved_column),187)&amp;"|",F_Custom2_wrapped)),1,0),0))</f>
        <v>1</v>
      </c>
      <c r="H188">
        <f>F188*G188*1</f>
        <v>1</v>
      </c>
      <c r="I188">
        <f>1</f>
        <v>1</v>
      </c>
      <c r="J1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187)&amp;"|",All_Questions_Q20_F_wrapped)),1,0),0))</f>
        <v>1</v>
      </c>
    </row>
    <row r="189">
      <c r="A189" t="n">
        <v>188</v>
      </c>
      <c r="B189" t="n">
        <v>28.9</v>
      </c>
      <c r="C189" t="n">
        <v>24.6</v>
      </c>
      <c r="D189" t="n">
        <v>22.9</v>
      </c>
      <c r="E189">
        <f>1</f>
        <v>1</v>
      </c>
      <c r="F189">
        <f>IF(OR(F_Custom1_Q="(None)",F_Custom1_Q="",ISBLANK(F_Custom1_Q),F_Custom1_V="(All)",F_Custom1_V="",ISBLANK(F_Custom1_V)),1,IFERROR(IF(ISNUMBER(SEARCH("|"&amp;INDEX(INDIRECT(F_Custom1_resolved_column),188)&amp;"|",F_Custom1_wrapped)),1,0),0))</f>
        <v>1</v>
      </c>
      <c r="G189">
        <f>IF(OR(F_Custom2_Q="(None)",F_Custom2_Q="",ISBLANK(F_Custom2_Q),F_Custom2_V="(All)",F_Custom2_V="",ISBLANK(F_Custom2_V)),1,IFERROR(IF(ISNUMBER(SEARCH("|"&amp;INDEX(INDIRECT(F_Custom2_resolved_column),188)&amp;"|",F_Custom2_wrapped)),1,0),0))</f>
        <v>1</v>
      </c>
      <c r="H189">
        <f>F189*G189*1</f>
        <v>1</v>
      </c>
      <c r="I189">
        <f>1</f>
        <v>1</v>
      </c>
      <c r="J1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188)&amp;"|",All_Questions_Q20_F_wrapped)),1,0),0))</f>
        <v>1</v>
      </c>
    </row>
    <row r="190">
      <c r="A190" t="n">
        <v>189</v>
      </c>
      <c r="B190" t="n">
        <v>28.9</v>
      </c>
      <c r="C190" t="n">
        <v>24.6</v>
      </c>
      <c r="D190" t="n">
        <v>22.9</v>
      </c>
      <c r="E190">
        <f>1</f>
        <v>1</v>
      </c>
      <c r="F190">
        <f>IF(OR(F_Custom1_Q="(None)",F_Custom1_Q="",ISBLANK(F_Custom1_Q),F_Custom1_V="(All)",F_Custom1_V="",ISBLANK(F_Custom1_V)),1,IFERROR(IF(ISNUMBER(SEARCH("|"&amp;INDEX(INDIRECT(F_Custom1_resolved_column),189)&amp;"|",F_Custom1_wrapped)),1,0),0))</f>
        <v>1</v>
      </c>
      <c r="G190">
        <f>IF(OR(F_Custom2_Q="(None)",F_Custom2_Q="",ISBLANK(F_Custom2_Q),F_Custom2_V="(All)",F_Custom2_V="",ISBLANK(F_Custom2_V)),1,IFERROR(IF(ISNUMBER(SEARCH("|"&amp;INDEX(INDIRECT(F_Custom2_resolved_column),189)&amp;"|",F_Custom2_wrapped)),1,0),0))</f>
        <v>1</v>
      </c>
      <c r="H190">
        <f>F190*G190*1</f>
        <v>1</v>
      </c>
      <c r="I190">
        <f>1</f>
        <v>1</v>
      </c>
      <c r="J1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189)&amp;"|",All_Questions_Q20_F_wrapped)),1,0),0))</f>
        <v>1</v>
      </c>
    </row>
    <row r="191">
      <c r="A191" t="n">
        <v>190</v>
      </c>
      <c r="B191" t="n">
        <v>28.9</v>
      </c>
      <c r="C191" t="n">
        <v>24.6</v>
      </c>
      <c r="D191" t="n">
        <v>22.9</v>
      </c>
      <c r="E191">
        <f>1</f>
        <v>1</v>
      </c>
      <c r="F191">
        <f>IF(OR(F_Custom1_Q="(None)",F_Custom1_Q="",ISBLANK(F_Custom1_Q),F_Custom1_V="(All)",F_Custom1_V="",ISBLANK(F_Custom1_V)),1,IFERROR(IF(ISNUMBER(SEARCH("|"&amp;INDEX(INDIRECT(F_Custom1_resolved_column),190)&amp;"|",F_Custom1_wrapped)),1,0),0))</f>
        <v>1</v>
      </c>
      <c r="G191">
        <f>IF(OR(F_Custom2_Q="(None)",F_Custom2_Q="",ISBLANK(F_Custom2_Q),F_Custom2_V="(All)",F_Custom2_V="",ISBLANK(F_Custom2_V)),1,IFERROR(IF(ISNUMBER(SEARCH("|"&amp;INDEX(INDIRECT(F_Custom2_resolved_column),190)&amp;"|",F_Custom2_wrapped)),1,0),0))</f>
        <v>1</v>
      </c>
      <c r="H191">
        <f>F191*G191*1</f>
        <v>1</v>
      </c>
      <c r="I191">
        <f>1</f>
        <v>1</v>
      </c>
      <c r="J1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190)&amp;"|",All_Questions_Q20_F_wrapped)),1,0),0))</f>
        <v>1</v>
      </c>
    </row>
    <row r="192">
      <c r="A192" t="n">
        <v>191</v>
      </c>
      <c r="B192" t="n">
        <v>28.9</v>
      </c>
      <c r="C192" t="n">
        <v>24.6</v>
      </c>
      <c r="D192" t="n">
        <v>22.9</v>
      </c>
      <c r="E192">
        <f>1</f>
        <v>1</v>
      </c>
      <c r="F192">
        <f>IF(OR(F_Custom1_Q="(None)",F_Custom1_Q="",ISBLANK(F_Custom1_Q),F_Custom1_V="(All)",F_Custom1_V="",ISBLANK(F_Custom1_V)),1,IFERROR(IF(ISNUMBER(SEARCH("|"&amp;INDEX(INDIRECT(F_Custom1_resolved_column),191)&amp;"|",F_Custom1_wrapped)),1,0),0))</f>
        <v>1</v>
      </c>
      <c r="G192">
        <f>IF(OR(F_Custom2_Q="(None)",F_Custom2_Q="",ISBLANK(F_Custom2_Q),F_Custom2_V="(All)",F_Custom2_V="",ISBLANK(F_Custom2_V)),1,IFERROR(IF(ISNUMBER(SEARCH("|"&amp;INDEX(INDIRECT(F_Custom2_resolved_column),191)&amp;"|",F_Custom2_wrapped)),1,0),0))</f>
        <v>1</v>
      </c>
      <c r="H192">
        <f>F192*G192*1</f>
        <v>1</v>
      </c>
      <c r="I192">
        <f>1</f>
        <v>1</v>
      </c>
      <c r="J1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191)&amp;"|",All_Questions_Q20_F_wrapped)),1,0),0))</f>
        <v>1</v>
      </c>
    </row>
    <row r="193">
      <c r="A193" t="n">
        <v>192</v>
      </c>
      <c r="B193" t="n">
        <v>28.9</v>
      </c>
      <c r="C193" t="n">
        <v>24.6</v>
      </c>
      <c r="D193" t="n">
        <v>22.9</v>
      </c>
      <c r="E193">
        <f>1</f>
        <v>1</v>
      </c>
      <c r="F193">
        <f>IF(OR(F_Custom1_Q="(None)",F_Custom1_Q="",ISBLANK(F_Custom1_Q),F_Custom1_V="(All)",F_Custom1_V="",ISBLANK(F_Custom1_V)),1,IFERROR(IF(ISNUMBER(SEARCH("|"&amp;INDEX(INDIRECT(F_Custom1_resolved_column),192)&amp;"|",F_Custom1_wrapped)),1,0),0))</f>
        <v>1</v>
      </c>
      <c r="G193">
        <f>IF(OR(F_Custom2_Q="(None)",F_Custom2_Q="",ISBLANK(F_Custom2_Q),F_Custom2_V="(All)",F_Custom2_V="",ISBLANK(F_Custom2_V)),1,IFERROR(IF(ISNUMBER(SEARCH("|"&amp;INDEX(INDIRECT(F_Custom2_resolved_column),192)&amp;"|",F_Custom2_wrapped)),1,0),0))</f>
        <v>1</v>
      </c>
      <c r="H193">
        <f>F193*G193*1</f>
        <v>1</v>
      </c>
      <c r="I193">
        <f>1</f>
        <v>1</v>
      </c>
      <c r="J1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192)&amp;"|",All_Questions_Q20_F_wrapped)),1,0),0))</f>
        <v>1</v>
      </c>
    </row>
    <row r="194">
      <c r="A194" t="n">
        <v>193</v>
      </c>
      <c r="B194" t="n">
        <v>28.9</v>
      </c>
      <c r="C194" t="n">
        <v>24.6</v>
      </c>
      <c r="D194" t="n">
        <v>22.9</v>
      </c>
      <c r="E194">
        <f>1</f>
        <v>1</v>
      </c>
      <c r="F194">
        <f>IF(OR(F_Custom1_Q="(None)",F_Custom1_Q="",ISBLANK(F_Custom1_Q),F_Custom1_V="(All)",F_Custom1_V="",ISBLANK(F_Custom1_V)),1,IFERROR(IF(ISNUMBER(SEARCH("|"&amp;INDEX(INDIRECT(F_Custom1_resolved_column),193)&amp;"|",F_Custom1_wrapped)),1,0),0))</f>
        <v>1</v>
      </c>
      <c r="G194">
        <f>IF(OR(F_Custom2_Q="(None)",F_Custom2_Q="",ISBLANK(F_Custom2_Q),F_Custom2_V="(All)",F_Custom2_V="",ISBLANK(F_Custom2_V)),1,IFERROR(IF(ISNUMBER(SEARCH("|"&amp;INDEX(INDIRECT(F_Custom2_resolved_column),193)&amp;"|",F_Custom2_wrapped)),1,0),0))</f>
        <v>1</v>
      </c>
      <c r="H194">
        <f>F194*G194*1</f>
        <v>1</v>
      </c>
      <c r="I194">
        <f>1</f>
        <v>1</v>
      </c>
      <c r="J1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193)&amp;"|",All_Questions_Q20_F_wrapped)),1,0),0))</f>
        <v>1</v>
      </c>
    </row>
    <row r="195">
      <c r="A195" t="n">
        <v>194</v>
      </c>
      <c r="B195" t="n">
        <v>28.9</v>
      </c>
      <c r="C195" t="n">
        <v>24.6</v>
      </c>
      <c r="D195" t="n">
        <v>22.9</v>
      </c>
      <c r="E195">
        <f>1</f>
        <v>1</v>
      </c>
      <c r="F195">
        <f>IF(OR(F_Custom1_Q="(None)",F_Custom1_Q="",ISBLANK(F_Custom1_Q),F_Custom1_V="(All)",F_Custom1_V="",ISBLANK(F_Custom1_V)),1,IFERROR(IF(ISNUMBER(SEARCH("|"&amp;INDEX(INDIRECT(F_Custom1_resolved_column),194)&amp;"|",F_Custom1_wrapped)),1,0),0))</f>
        <v>1</v>
      </c>
      <c r="G195">
        <f>IF(OR(F_Custom2_Q="(None)",F_Custom2_Q="",ISBLANK(F_Custom2_Q),F_Custom2_V="(All)",F_Custom2_V="",ISBLANK(F_Custom2_V)),1,IFERROR(IF(ISNUMBER(SEARCH("|"&amp;INDEX(INDIRECT(F_Custom2_resolved_column),194)&amp;"|",F_Custom2_wrapped)),1,0),0))</f>
        <v>1</v>
      </c>
      <c r="H195">
        <f>F195*G195*1</f>
        <v>1</v>
      </c>
      <c r="I195">
        <f>1</f>
        <v>1</v>
      </c>
      <c r="J1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194)&amp;"|",All_Questions_Q20_F_wrapped)),1,0),0))</f>
        <v>1</v>
      </c>
    </row>
    <row r="196">
      <c r="A196" t="n">
        <v>195</v>
      </c>
      <c r="B196" t="n">
        <v>28.9</v>
      </c>
      <c r="C196" t="n">
        <v>24.6</v>
      </c>
      <c r="D196" t="n">
        <v>22.9</v>
      </c>
      <c r="E196">
        <f>1</f>
        <v>1</v>
      </c>
      <c r="F196">
        <f>IF(OR(F_Custom1_Q="(None)",F_Custom1_Q="",ISBLANK(F_Custom1_Q),F_Custom1_V="(All)",F_Custom1_V="",ISBLANK(F_Custom1_V)),1,IFERROR(IF(ISNUMBER(SEARCH("|"&amp;INDEX(INDIRECT(F_Custom1_resolved_column),195)&amp;"|",F_Custom1_wrapped)),1,0),0))</f>
        <v>1</v>
      </c>
      <c r="G196">
        <f>IF(OR(F_Custom2_Q="(None)",F_Custom2_Q="",ISBLANK(F_Custom2_Q),F_Custom2_V="(All)",F_Custom2_V="",ISBLANK(F_Custom2_V)),1,IFERROR(IF(ISNUMBER(SEARCH("|"&amp;INDEX(INDIRECT(F_Custom2_resolved_column),195)&amp;"|",F_Custom2_wrapped)),1,0),0))</f>
        <v>1</v>
      </c>
      <c r="H196">
        <f>F196*G196*1</f>
        <v>1</v>
      </c>
      <c r="I196">
        <f>1</f>
        <v>1</v>
      </c>
      <c r="J1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195)&amp;"|",All_Questions_Q20_F_wrapped)),1,0),0))</f>
        <v>1</v>
      </c>
    </row>
    <row r="197">
      <c r="A197" t="n">
        <v>196</v>
      </c>
      <c r="B197" t="n">
        <v>28.9</v>
      </c>
      <c r="C197" t="n">
        <v>24.6</v>
      </c>
      <c r="D197" t="n">
        <v>22.9</v>
      </c>
      <c r="E197">
        <f>1</f>
        <v>1</v>
      </c>
      <c r="F197">
        <f>IF(OR(F_Custom1_Q="(None)",F_Custom1_Q="",ISBLANK(F_Custom1_Q),F_Custom1_V="(All)",F_Custom1_V="",ISBLANK(F_Custom1_V)),1,IFERROR(IF(ISNUMBER(SEARCH("|"&amp;INDEX(INDIRECT(F_Custom1_resolved_column),196)&amp;"|",F_Custom1_wrapped)),1,0),0))</f>
        <v>1</v>
      </c>
      <c r="G197">
        <f>IF(OR(F_Custom2_Q="(None)",F_Custom2_Q="",ISBLANK(F_Custom2_Q),F_Custom2_V="(All)",F_Custom2_V="",ISBLANK(F_Custom2_V)),1,IFERROR(IF(ISNUMBER(SEARCH("|"&amp;INDEX(INDIRECT(F_Custom2_resolved_column),196)&amp;"|",F_Custom2_wrapped)),1,0),0))</f>
        <v>1</v>
      </c>
      <c r="H197">
        <f>F197*G197*1</f>
        <v>1</v>
      </c>
      <c r="I197">
        <f>1</f>
        <v>1</v>
      </c>
      <c r="J1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196)&amp;"|",All_Questions_Q20_F_wrapped)),1,0),0))</f>
        <v>1</v>
      </c>
    </row>
    <row r="198">
      <c r="A198" t="n">
        <v>197</v>
      </c>
      <c r="B198" t="n">
        <v>28.9</v>
      </c>
      <c r="C198" t="n">
        <v>24.6</v>
      </c>
      <c r="D198" t="n">
        <v>22.9</v>
      </c>
      <c r="E198">
        <f>1</f>
        <v>1</v>
      </c>
      <c r="F198">
        <f>IF(OR(F_Custom1_Q="(None)",F_Custom1_Q="",ISBLANK(F_Custom1_Q),F_Custom1_V="(All)",F_Custom1_V="",ISBLANK(F_Custom1_V)),1,IFERROR(IF(ISNUMBER(SEARCH("|"&amp;INDEX(INDIRECT(F_Custom1_resolved_column),197)&amp;"|",F_Custom1_wrapped)),1,0),0))</f>
        <v>1</v>
      </c>
      <c r="G198">
        <f>IF(OR(F_Custom2_Q="(None)",F_Custom2_Q="",ISBLANK(F_Custom2_Q),F_Custom2_V="(All)",F_Custom2_V="",ISBLANK(F_Custom2_V)),1,IFERROR(IF(ISNUMBER(SEARCH("|"&amp;INDEX(INDIRECT(F_Custom2_resolved_column),197)&amp;"|",F_Custom2_wrapped)),1,0),0))</f>
        <v>1</v>
      </c>
      <c r="H198">
        <f>F198*G198*1</f>
        <v>1</v>
      </c>
      <c r="I198">
        <f>1</f>
        <v>1</v>
      </c>
      <c r="J1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197)&amp;"|",All_Questions_Q20_F_wrapped)),1,0),0))</f>
        <v>1</v>
      </c>
    </row>
    <row r="199">
      <c r="A199" t="n">
        <v>198</v>
      </c>
      <c r="B199" t="n">
        <v>28.9</v>
      </c>
      <c r="C199" t="n">
        <v>24.6</v>
      </c>
      <c r="D199" t="n">
        <v>22.9</v>
      </c>
      <c r="E199">
        <f>1</f>
        <v>1</v>
      </c>
      <c r="F199">
        <f>IF(OR(F_Custom1_Q="(None)",F_Custom1_Q="",ISBLANK(F_Custom1_Q),F_Custom1_V="(All)",F_Custom1_V="",ISBLANK(F_Custom1_V)),1,IFERROR(IF(ISNUMBER(SEARCH("|"&amp;INDEX(INDIRECT(F_Custom1_resolved_column),198)&amp;"|",F_Custom1_wrapped)),1,0),0))</f>
        <v>1</v>
      </c>
      <c r="G199">
        <f>IF(OR(F_Custom2_Q="(None)",F_Custom2_Q="",ISBLANK(F_Custom2_Q),F_Custom2_V="(All)",F_Custom2_V="",ISBLANK(F_Custom2_V)),1,IFERROR(IF(ISNUMBER(SEARCH("|"&amp;INDEX(INDIRECT(F_Custom2_resolved_column),198)&amp;"|",F_Custom2_wrapped)),1,0),0))</f>
        <v>1</v>
      </c>
      <c r="H199">
        <f>F199*G199*1</f>
        <v>1</v>
      </c>
      <c r="I199">
        <f>1</f>
        <v>1</v>
      </c>
      <c r="J1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198)&amp;"|",All_Questions_Q20_F_wrapped)),1,0),0))</f>
        <v>1</v>
      </c>
    </row>
    <row r="200">
      <c r="A200" t="n">
        <v>199</v>
      </c>
      <c r="B200" t="n">
        <v>28.9</v>
      </c>
      <c r="C200" t="n">
        <v>24.6</v>
      </c>
      <c r="D200" t="n">
        <v>22.9</v>
      </c>
      <c r="E200">
        <f>1</f>
        <v>1</v>
      </c>
      <c r="F200">
        <f>IF(OR(F_Custom1_Q="(None)",F_Custom1_Q="",ISBLANK(F_Custom1_Q),F_Custom1_V="(All)",F_Custom1_V="",ISBLANK(F_Custom1_V)),1,IFERROR(IF(ISNUMBER(SEARCH("|"&amp;INDEX(INDIRECT(F_Custom1_resolved_column),199)&amp;"|",F_Custom1_wrapped)),1,0),0))</f>
        <v>1</v>
      </c>
      <c r="G200">
        <f>IF(OR(F_Custom2_Q="(None)",F_Custom2_Q="",ISBLANK(F_Custom2_Q),F_Custom2_V="(All)",F_Custom2_V="",ISBLANK(F_Custom2_V)),1,IFERROR(IF(ISNUMBER(SEARCH("|"&amp;INDEX(INDIRECT(F_Custom2_resolved_column),199)&amp;"|",F_Custom2_wrapped)),1,0),0))</f>
        <v>1</v>
      </c>
      <c r="H200">
        <f>F200*G200*1</f>
        <v>1</v>
      </c>
      <c r="I200">
        <f>1</f>
        <v>1</v>
      </c>
      <c r="J2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199)&amp;"|",All_Questions_Q20_F_wrapped)),1,0),0))</f>
        <v>1</v>
      </c>
    </row>
    <row r="201">
      <c r="A201" t="n">
        <v>200</v>
      </c>
      <c r="B201" t="n">
        <v>28.9</v>
      </c>
      <c r="C201" t="n">
        <v>24.6</v>
      </c>
      <c r="D201" t="n">
        <v>22.9</v>
      </c>
      <c r="E201">
        <f>1</f>
        <v>1</v>
      </c>
      <c r="F201">
        <f>IF(OR(F_Custom1_Q="(None)",F_Custom1_Q="",ISBLANK(F_Custom1_Q),F_Custom1_V="(All)",F_Custom1_V="",ISBLANK(F_Custom1_V)),1,IFERROR(IF(ISNUMBER(SEARCH("|"&amp;INDEX(INDIRECT(F_Custom1_resolved_column),200)&amp;"|",F_Custom1_wrapped)),1,0),0))</f>
        <v>1</v>
      </c>
      <c r="G201">
        <f>IF(OR(F_Custom2_Q="(None)",F_Custom2_Q="",ISBLANK(F_Custom2_Q),F_Custom2_V="(All)",F_Custom2_V="",ISBLANK(F_Custom2_V)),1,IFERROR(IF(ISNUMBER(SEARCH("|"&amp;INDEX(INDIRECT(F_Custom2_resolved_column),200)&amp;"|",F_Custom2_wrapped)),1,0),0))</f>
        <v>1</v>
      </c>
      <c r="H201">
        <f>F201*G201*1</f>
        <v>1</v>
      </c>
      <c r="I201">
        <f>1</f>
        <v>1</v>
      </c>
      <c r="J2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200)&amp;"|",All_Questions_Q20_F_wrapped)),1,0),0))</f>
        <v>1</v>
      </c>
    </row>
    <row r="202">
      <c r="A202" t="n">
        <v>201</v>
      </c>
      <c r="B202" t="n">
        <v>28.9</v>
      </c>
      <c r="C202" t="n">
        <v>24.6</v>
      </c>
      <c r="D202" t="n">
        <v>22.9</v>
      </c>
      <c r="E202">
        <f>1</f>
        <v>1</v>
      </c>
      <c r="F202">
        <f>IF(OR(F_Custom1_Q="(None)",F_Custom1_Q="",ISBLANK(F_Custom1_Q),F_Custom1_V="(All)",F_Custom1_V="",ISBLANK(F_Custom1_V)),1,IFERROR(IF(ISNUMBER(SEARCH("|"&amp;INDEX(INDIRECT(F_Custom1_resolved_column),201)&amp;"|",F_Custom1_wrapped)),1,0),0))</f>
        <v>1</v>
      </c>
      <c r="G202">
        <f>IF(OR(F_Custom2_Q="(None)",F_Custom2_Q="",ISBLANK(F_Custom2_Q),F_Custom2_V="(All)",F_Custom2_V="",ISBLANK(F_Custom2_V)),1,IFERROR(IF(ISNUMBER(SEARCH("|"&amp;INDEX(INDIRECT(F_Custom2_resolved_column),201)&amp;"|",F_Custom2_wrapped)),1,0),0))</f>
        <v>1</v>
      </c>
      <c r="H202">
        <f>F202*G202*1</f>
        <v>1</v>
      </c>
      <c r="I202">
        <f>1</f>
        <v>1</v>
      </c>
      <c r="J2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201)&amp;"|",All_Questions_Q20_F_wrapped)),1,0),0))</f>
        <v>1</v>
      </c>
    </row>
    <row r="203">
      <c r="A203" t="n">
        <v>202</v>
      </c>
      <c r="B203" t="n">
        <v>28.9</v>
      </c>
      <c r="C203" t="n">
        <v>24.6</v>
      </c>
      <c r="D203" t="n">
        <v>22.9</v>
      </c>
      <c r="E203">
        <f>1</f>
        <v>1</v>
      </c>
      <c r="F203">
        <f>IF(OR(F_Custom1_Q="(None)",F_Custom1_Q="",ISBLANK(F_Custom1_Q),F_Custom1_V="(All)",F_Custom1_V="",ISBLANK(F_Custom1_V)),1,IFERROR(IF(ISNUMBER(SEARCH("|"&amp;INDEX(INDIRECT(F_Custom1_resolved_column),202)&amp;"|",F_Custom1_wrapped)),1,0),0))</f>
        <v>1</v>
      </c>
      <c r="G203">
        <f>IF(OR(F_Custom2_Q="(None)",F_Custom2_Q="",ISBLANK(F_Custom2_Q),F_Custom2_V="(All)",F_Custom2_V="",ISBLANK(F_Custom2_V)),1,IFERROR(IF(ISNUMBER(SEARCH("|"&amp;INDEX(INDIRECT(F_Custom2_resolved_column),202)&amp;"|",F_Custom2_wrapped)),1,0),0))</f>
        <v>1</v>
      </c>
      <c r="H203">
        <f>F203*G203*1</f>
        <v>1</v>
      </c>
      <c r="I203">
        <f>1</f>
        <v>1</v>
      </c>
      <c r="J2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202)&amp;"|",All_Questions_Q20_F_wrapped)),1,0),0))</f>
        <v>1</v>
      </c>
    </row>
    <row r="204">
      <c r="A204" t="n">
        <v>203</v>
      </c>
      <c r="B204" t="n">
        <v>28.9</v>
      </c>
      <c r="C204" t="n">
        <v>24.6</v>
      </c>
      <c r="D204" t="n">
        <v>22.9</v>
      </c>
      <c r="E204">
        <f>1</f>
        <v>1</v>
      </c>
      <c r="F204">
        <f>IF(OR(F_Custom1_Q="(None)",F_Custom1_Q="",ISBLANK(F_Custom1_Q),F_Custom1_V="(All)",F_Custom1_V="",ISBLANK(F_Custom1_V)),1,IFERROR(IF(ISNUMBER(SEARCH("|"&amp;INDEX(INDIRECT(F_Custom1_resolved_column),203)&amp;"|",F_Custom1_wrapped)),1,0),0))</f>
        <v>1</v>
      </c>
      <c r="G204">
        <f>IF(OR(F_Custom2_Q="(None)",F_Custom2_Q="",ISBLANK(F_Custom2_Q),F_Custom2_V="(All)",F_Custom2_V="",ISBLANK(F_Custom2_V)),1,IFERROR(IF(ISNUMBER(SEARCH("|"&amp;INDEX(INDIRECT(F_Custom2_resolved_column),203)&amp;"|",F_Custom2_wrapped)),1,0),0))</f>
        <v>1</v>
      </c>
      <c r="H204">
        <f>F204*G204*1</f>
        <v>1</v>
      </c>
      <c r="I204">
        <f>1</f>
        <v>1</v>
      </c>
      <c r="J2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203)&amp;"|",All_Questions_Q20_F_wrapped)),1,0),0))</f>
        <v>1</v>
      </c>
    </row>
    <row r="205">
      <c r="A205" t="n">
        <v>204</v>
      </c>
      <c r="B205" t="n">
        <v>28.9</v>
      </c>
      <c r="C205" t="n">
        <v>24.6</v>
      </c>
      <c r="D205" t="n">
        <v>22.9</v>
      </c>
      <c r="E205">
        <f>1</f>
        <v>1</v>
      </c>
      <c r="F205">
        <f>IF(OR(F_Custom1_Q="(None)",F_Custom1_Q="",ISBLANK(F_Custom1_Q),F_Custom1_V="(All)",F_Custom1_V="",ISBLANK(F_Custom1_V)),1,IFERROR(IF(ISNUMBER(SEARCH("|"&amp;INDEX(INDIRECT(F_Custom1_resolved_column),204)&amp;"|",F_Custom1_wrapped)),1,0),0))</f>
        <v>1</v>
      </c>
      <c r="G205">
        <f>IF(OR(F_Custom2_Q="(None)",F_Custom2_Q="",ISBLANK(F_Custom2_Q),F_Custom2_V="(All)",F_Custom2_V="",ISBLANK(F_Custom2_V)),1,IFERROR(IF(ISNUMBER(SEARCH("|"&amp;INDEX(INDIRECT(F_Custom2_resolved_column),204)&amp;"|",F_Custom2_wrapped)),1,0),0))</f>
        <v>1</v>
      </c>
      <c r="H205">
        <f>F205*G205*1</f>
        <v>1</v>
      </c>
      <c r="I205">
        <f>1</f>
        <v>1</v>
      </c>
      <c r="J2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204)&amp;"|",All_Questions_Q20_F_wrapped)),1,0),0))</f>
        <v>1</v>
      </c>
    </row>
    <row r="206">
      <c r="A206" t="n">
        <v>205</v>
      </c>
      <c r="B206" t="n">
        <v>28.9</v>
      </c>
      <c r="C206" t="n">
        <v>24.6</v>
      </c>
      <c r="D206" t="n">
        <v>22.9</v>
      </c>
      <c r="E206">
        <f>1</f>
        <v>1</v>
      </c>
      <c r="F206">
        <f>IF(OR(F_Custom1_Q="(None)",F_Custom1_Q="",ISBLANK(F_Custom1_Q),F_Custom1_V="(All)",F_Custom1_V="",ISBLANK(F_Custom1_V)),1,IFERROR(IF(ISNUMBER(SEARCH("|"&amp;INDEX(INDIRECT(F_Custom1_resolved_column),205)&amp;"|",F_Custom1_wrapped)),1,0),0))</f>
        <v>1</v>
      </c>
      <c r="G206">
        <f>IF(OR(F_Custom2_Q="(None)",F_Custom2_Q="",ISBLANK(F_Custom2_Q),F_Custom2_V="(All)",F_Custom2_V="",ISBLANK(F_Custom2_V)),1,IFERROR(IF(ISNUMBER(SEARCH("|"&amp;INDEX(INDIRECT(F_Custom2_resolved_column),205)&amp;"|",F_Custom2_wrapped)),1,0),0))</f>
        <v>1</v>
      </c>
      <c r="H206">
        <f>F206*G206*1</f>
        <v>1</v>
      </c>
      <c r="I206">
        <f>1</f>
        <v>1</v>
      </c>
      <c r="J2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205)&amp;"|",All_Questions_Q20_F_wrapped)),1,0),0))</f>
        <v>1</v>
      </c>
    </row>
    <row r="207">
      <c r="A207" t="n">
        <v>206</v>
      </c>
      <c r="B207" t="n">
        <v>28.9</v>
      </c>
      <c r="C207" t="n">
        <v>24.6</v>
      </c>
      <c r="D207" t="n">
        <v>22.9</v>
      </c>
      <c r="E207">
        <f>1</f>
        <v>1</v>
      </c>
      <c r="F207">
        <f>IF(OR(F_Custom1_Q="(None)",F_Custom1_Q="",ISBLANK(F_Custom1_Q),F_Custom1_V="(All)",F_Custom1_V="",ISBLANK(F_Custom1_V)),1,IFERROR(IF(ISNUMBER(SEARCH("|"&amp;INDEX(INDIRECT(F_Custom1_resolved_column),206)&amp;"|",F_Custom1_wrapped)),1,0),0))</f>
        <v>1</v>
      </c>
      <c r="G207">
        <f>IF(OR(F_Custom2_Q="(None)",F_Custom2_Q="",ISBLANK(F_Custom2_Q),F_Custom2_V="(All)",F_Custom2_V="",ISBLANK(F_Custom2_V)),1,IFERROR(IF(ISNUMBER(SEARCH("|"&amp;INDEX(INDIRECT(F_Custom2_resolved_column),206)&amp;"|",F_Custom2_wrapped)),1,0),0))</f>
        <v>1</v>
      </c>
      <c r="H207">
        <f>F207*G207*1</f>
        <v>1</v>
      </c>
      <c r="I207">
        <f>1</f>
        <v>1</v>
      </c>
      <c r="J2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206)&amp;"|",All_Questions_Q20_F_wrapped)),1,0),0))</f>
        <v>1</v>
      </c>
    </row>
    <row r="208">
      <c r="A208" t="n">
        <v>207</v>
      </c>
      <c r="B208" t="n">
        <v>28.9</v>
      </c>
      <c r="C208" t="n">
        <v>24.6</v>
      </c>
      <c r="D208" t="n">
        <v>22.9</v>
      </c>
      <c r="E208">
        <f>1</f>
        <v>1</v>
      </c>
      <c r="F208">
        <f>IF(OR(F_Custom1_Q="(None)",F_Custom1_Q="",ISBLANK(F_Custom1_Q),F_Custom1_V="(All)",F_Custom1_V="",ISBLANK(F_Custom1_V)),1,IFERROR(IF(ISNUMBER(SEARCH("|"&amp;INDEX(INDIRECT(F_Custom1_resolved_column),207)&amp;"|",F_Custom1_wrapped)),1,0),0))</f>
        <v>1</v>
      </c>
      <c r="G208">
        <f>IF(OR(F_Custom2_Q="(None)",F_Custom2_Q="",ISBLANK(F_Custom2_Q),F_Custom2_V="(All)",F_Custom2_V="",ISBLANK(F_Custom2_V)),1,IFERROR(IF(ISNUMBER(SEARCH("|"&amp;INDEX(INDIRECT(F_Custom2_resolved_column),207)&amp;"|",F_Custom2_wrapped)),1,0),0))</f>
        <v>1</v>
      </c>
      <c r="H208">
        <f>F208*G208*1</f>
        <v>1</v>
      </c>
      <c r="I208">
        <f>1</f>
        <v>1</v>
      </c>
      <c r="J2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207)&amp;"|",All_Questions_Q20_F_wrapped)),1,0),0))</f>
        <v>1</v>
      </c>
    </row>
    <row r="209">
      <c r="A209" t="n">
        <v>208</v>
      </c>
      <c r="B209" t="n">
        <v>28.9</v>
      </c>
      <c r="C209" t="n">
        <v>24.6</v>
      </c>
      <c r="D209" t="n">
        <v>22.9</v>
      </c>
      <c r="E209">
        <f>1</f>
        <v>1</v>
      </c>
      <c r="F209">
        <f>IF(OR(F_Custom1_Q="(None)",F_Custom1_Q="",ISBLANK(F_Custom1_Q),F_Custom1_V="(All)",F_Custom1_V="",ISBLANK(F_Custom1_V)),1,IFERROR(IF(ISNUMBER(SEARCH("|"&amp;INDEX(INDIRECT(F_Custom1_resolved_column),208)&amp;"|",F_Custom1_wrapped)),1,0),0))</f>
        <v>1</v>
      </c>
      <c r="G209">
        <f>IF(OR(F_Custom2_Q="(None)",F_Custom2_Q="",ISBLANK(F_Custom2_Q),F_Custom2_V="(All)",F_Custom2_V="",ISBLANK(F_Custom2_V)),1,IFERROR(IF(ISNUMBER(SEARCH("|"&amp;INDEX(INDIRECT(F_Custom2_resolved_column),208)&amp;"|",F_Custom2_wrapped)),1,0),0))</f>
        <v>1</v>
      </c>
      <c r="H209">
        <f>F209*G209*1</f>
        <v>1</v>
      </c>
      <c r="I209">
        <f>1</f>
        <v>1</v>
      </c>
      <c r="J2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208)&amp;"|",All_Questions_Q20_F_wrapped)),1,0),0))</f>
        <v>1</v>
      </c>
    </row>
    <row r="210">
      <c r="A210" t="n">
        <v>209</v>
      </c>
      <c r="B210" t="n">
        <v>28.9</v>
      </c>
      <c r="C210" t="n">
        <v>24.6</v>
      </c>
      <c r="D210" t="n">
        <v>22.9</v>
      </c>
      <c r="E210">
        <f>1</f>
        <v>1</v>
      </c>
      <c r="F210">
        <f>IF(OR(F_Custom1_Q="(None)",F_Custom1_Q="",ISBLANK(F_Custom1_Q),F_Custom1_V="(All)",F_Custom1_V="",ISBLANK(F_Custom1_V)),1,IFERROR(IF(ISNUMBER(SEARCH("|"&amp;INDEX(INDIRECT(F_Custom1_resolved_column),209)&amp;"|",F_Custom1_wrapped)),1,0),0))</f>
        <v>1</v>
      </c>
      <c r="G210">
        <f>IF(OR(F_Custom2_Q="(None)",F_Custom2_Q="",ISBLANK(F_Custom2_Q),F_Custom2_V="(All)",F_Custom2_V="",ISBLANK(F_Custom2_V)),1,IFERROR(IF(ISNUMBER(SEARCH("|"&amp;INDEX(INDIRECT(F_Custom2_resolved_column),209)&amp;"|",F_Custom2_wrapped)),1,0),0))</f>
        <v>1</v>
      </c>
      <c r="H210">
        <f>F210*G210*1</f>
        <v>1</v>
      </c>
      <c r="I210">
        <f>1</f>
        <v>1</v>
      </c>
      <c r="J2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209)&amp;"|",All_Questions_Q20_F_wrapped)),1,0),0))</f>
        <v>1</v>
      </c>
    </row>
    <row r="211">
      <c r="A211" t="n">
        <v>210</v>
      </c>
      <c r="B211" t="n">
        <v>28.9</v>
      </c>
      <c r="C211" t="n">
        <v>24.6</v>
      </c>
      <c r="D211" t="n">
        <v>22.9</v>
      </c>
      <c r="E211">
        <f>1</f>
        <v>1</v>
      </c>
      <c r="F211">
        <f>IF(OR(F_Custom1_Q="(None)",F_Custom1_Q="",ISBLANK(F_Custom1_Q),F_Custom1_V="(All)",F_Custom1_V="",ISBLANK(F_Custom1_V)),1,IFERROR(IF(ISNUMBER(SEARCH("|"&amp;INDEX(INDIRECT(F_Custom1_resolved_column),210)&amp;"|",F_Custom1_wrapped)),1,0),0))</f>
        <v>1</v>
      </c>
      <c r="G211">
        <f>IF(OR(F_Custom2_Q="(None)",F_Custom2_Q="",ISBLANK(F_Custom2_Q),F_Custom2_V="(All)",F_Custom2_V="",ISBLANK(F_Custom2_V)),1,IFERROR(IF(ISNUMBER(SEARCH("|"&amp;INDEX(INDIRECT(F_Custom2_resolved_column),210)&amp;"|",F_Custom2_wrapped)),1,0),0))</f>
        <v>1</v>
      </c>
      <c r="H211">
        <f>F211*G211*1</f>
        <v>1</v>
      </c>
      <c r="I211">
        <f>1</f>
        <v>1</v>
      </c>
      <c r="J2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210)&amp;"|",All_Questions_Q20_F_wrapped)),1,0),0))</f>
        <v>1</v>
      </c>
    </row>
    <row r="212">
      <c r="A212" t="n">
        <v>211</v>
      </c>
      <c r="B212" t="n">
        <v>28.9</v>
      </c>
      <c r="C212" t="n">
        <v>24.6</v>
      </c>
      <c r="D212" t="n">
        <v>22.9</v>
      </c>
      <c r="E212">
        <f>1</f>
        <v>1</v>
      </c>
      <c r="F212">
        <f>IF(OR(F_Custom1_Q="(None)",F_Custom1_Q="",ISBLANK(F_Custom1_Q),F_Custom1_V="(All)",F_Custom1_V="",ISBLANK(F_Custom1_V)),1,IFERROR(IF(ISNUMBER(SEARCH("|"&amp;INDEX(INDIRECT(F_Custom1_resolved_column),211)&amp;"|",F_Custom1_wrapped)),1,0),0))</f>
        <v>1</v>
      </c>
      <c r="G212">
        <f>IF(OR(F_Custom2_Q="(None)",F_Custom2_Q="",ISBLANK(F_Custom2_Q),F_Custom2_V="(All)",F_Custom2_V="",ISBLANK(F_Custom2_V)),1,IFERROR(IF(ISNUMBER(SEARCH("|"&amp;INDEX(INDIRECT(F_Custom2_resolved_column),211)&amp;"|",F_Custom2_wrapped)),1,0),0))</f>
        <v>1</v>
      </c>
      <c r="H212">
        <f>F212*G212*1</f>
        <v>1</v>
      </c>
      <c r="I212">
        <f>1</f>
        <v>1</v>
      </c>
      <c r="J2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211)&amp;"|",All_Questions_Q20_F_wrapped)),1,0),0))</f>
        <v>1</v>
      </c>
    </row>
    <row r="213">
      <c r="A213" t="n">
        <v>212</v>
      </c>
      <c r="B213" t="n">
        <v>28.9</v>
      </c>
      <c r="C213" t="n">
        <v>24.6</v>
      </c>
      <c r="D213" t="n">
        <v>22.9</v>
      </c>
      <c r="E213">
        <f>1</f>
        <v>1</v>
      </c>
      <c r="F213">
        <f>IF(OR(F_Custom1_Q="(None)",F_Custom1_Q="",ISBLANK(F_Custom1_Q),F_Custom1_V="(All)",F_Custom1_V="",ISBLANK(F_Custom1_V)),1,IFERROR(IF(ISNUMBER(SEARCH("|"&amp;INDEX(INDIRECT(F_Custom1_resolved_column),212)&amp;"|",F_Custom1_wrapped)),1,0),0))</f>
        <v>1</v>
      </c>
      <c r="G213">
        <f>IF(OR(F_Custom2_Q="(None)",F_Custom2_Q="",ISBLANK(F_Custom2_Q),F_Custom2_V="(All)",F_Custom2_V="",ISBLANK(F_Custom2_V)),1,IFERROR(IF(ISNUMBER(SEARCH("|"&amp;INDEX(INDIRECT(F_Custom2_resolved_column),212)&amp;"|",F_Custom2_wrapped)),1,0),0))</f>
        <v>1</v>
      </c>
      <c r="H213">
        <f>F213*G213*1</f>
        <v>1</v>
      </c>
      <c r="I213">
        <f>1</f>
        <v>1</v>
      </c>
      <c r="J2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212)&amp;"|",All_Questions_Q20_F_wrapped)),1,0),0))</f>
        <v>1</v>
      </c>
    </row>
    <row r="214">
      <c r="A214" t="n">
        <v>213</v>
      </c>
      <c r="B214" t="n">
        <v>28.9</v>
      </c>
      <c r="C214" t="n">
        <v>24.6</v>
      </c>
      <c r="D214" t="n">
        <v>22.9</v>
      </c>
      <c r="E214">
        <f>1</f>
        <v>1</v>
      </c>
      <c r="F214">
        <f>IF(OR(F_Custom1_Q="(None)",F_Custom1_Q="",ISBLANK(F_Custom1_Q),F_Custom1_V="(All)",F_Custom1_V="",ISBLANK(F_Custom1_V)),1,IFERROR(IF(ISNUMBER(SEARCH("|"&amp;INDEX(INDIRECT(F_Custom1_resolved_column),213)&amp;"|",F_Custom1_wrapped)),1,0),0))</f>
        <v>1</v>
      </c>
      <c r="G214">
        <f>IF(OR(F_Custom2_Q="(None)",F_Custom2_Q="",ISBLANK(F_Custom2_Q),F_Custom2_V="(All)",F_Custom2_V="",ISBLANK(F_Custom2_V)),1,IFERROR(IF(ISNUMBER(SEARCH("|"&amp;INDEX(INDIRECT(F_Custom2_resolved_column),213)&amp;"|",F_Custom2_wrapped)),1,0),0))</f>
        <v>1</v>
      </c>
      <c r="H214">
        <f>F214*G214*1</f>
        <v>1</v>
      </c>
      <c r="I214">
        <f>1</f>
        <v>1</v>
      </c>
      <c r="J2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213)&amp;"|",All_Questions_Q20_F_wrapped)),1,0),0))</f>
        <v>1</v>
      </c>
    </row>
    <row r="215">
      <c r="A215" t="n">
        <v>214</v>
      </c>
      <c r="B215" t="n">
        <v>28.9</v>
      </c>
      <c r="C215" t="n">
        <v>24.6</v>
      </c>
      <c r="D215" t="n">
        <v>22.9</v>
      </c>
      <c r="E215">
        <f>1</f>
        <v>1</v>
      </c>
      <c r="F215">
        <f>IF(OR(F_Custom1_Q="(None)",F_Custom1_Q="",ISBLANK(F_Custom1_Q),F_Custom1_V="(All)",F_Custom1_V="",ISBLANK(F_Custom1_V)),1,IFERROR(IF(ISNUMBER(SEARCH("|"&amp;INDEX(INDIRECT(F_Custom1_resolved_column),214)&amp;"|",F_Custom1_wrapped)),1,0),0))</f>
        <v>1</v>
      </c>
      <c r="G215">
        <f>IF(OR(F_Custom2_Q="(None)",F_Custom2_Q="",ISBLANK(F_Custom2_Q),F_Custom2_V="(All)",F_Custom2_V="",ISBLANK(F_Custom2_V)),1,IFERROR(IF(ISNUMBER(SEARCH("|"&amp;INDEX(INDIRECT(F_Custom2_resolved_column),214)&amp;"|",F_Custom2_wrapped)),1,0),0))</f>
        <v>1</v>
      </c>
      <c r="H215">
        <f>F215*G215*1</f>
        <v>1</v>
      </c>
      <c r="I215">
        <f>1</f>
        <v>1</v>
      </c>
      <c r="J2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214)&amp;"|",All_Questions_Q20_F_wrapped)),1,0),0))</f>
        <v>1</v>
      </c>
    </row>
    <row r="216">
      <c r="A216" t="n">
        <v>215</v>
      </c>
      <c r="B216" t="n">
        <v>28.9</v>
      </c>
      <c r="C216" t="n">
        <v>24.6</v>
      </c>
      <c r="D216" t="n">
        <v>22.9</v>
      </c>
      <c r="E216">
        <f>1</f>
        <v>1</v>
      </c>
      <c r="F216">
        <f>IF(OR(F_Custom1_Q="(None)",F_Custom1_Q="",ISBLANK(F_Custom1_Q),F_Custom1_V="(All)",F_Custom1_V="",ISBLANK(F_Custom1_V)),1,IFERROR(IF(ISNUMBER(SEARCH("|"&amp;INDEX(INDIRECT(F_Custom1_resolved_column),215)&amp;"|",F_Custom1_wrapped)),1,0),0))</f>
        <v>1</v>
      </c>
      <c r="G216">
        <f>IF(OR(F_Custom2_Q="(None)",F_Custom2_Q="",ISBLANK(F_Custom2_Q),F_Custom2_V="(All)",F_Custom2_V="",ISBLANK(F_Custom2_V)),1,IFERROR(IF(ISNUMBER(SEARCH("|"&amp;INDEX(INDIRECT(F_Custom2_resolved_column),215)&amp;"|",F_Custom2_wrapped)),1,0),0))</f>
        <v>1</v>
      </c>
      <c r="H216">
        <f>F216*G216*1</f>
        <v>1</v>
      </c>
      <c r="I216">
        <f>1</f>
        <v>1</v>
      </c>
      <c r="J2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215)&amp;"|",All_Questions_Q20_F_wrapped)),1,0),0))</f>
        <v>1</v>
      </c>
    </row>
    <row r="217">
      <c r="A217" t="n">
        <v>216</v>
      </c>
      <c r="B217" t="n">
        <v>28.9</v>
      </c>
      <c r="C217" t="n">
        <v>24.6</v>
      </c>
      <c r="D217" t="n">
        <v>22.9</v>
      </c>
      <c r="E217">
        <f>1</f>
        <v>1</v>
      </c>
      <c r="F217">
        <f>IF(OR(F_Custom1_Q="(None)",F_Custom1_Q="",ISBLANK(F_Custom1_Q),F_Custom1_V="(All)",F_Custom1_V="",ISBLANK(F_Custom1_V)),1,IFERROR(IF(ISNUMBER(SEARCH("|"&amp;INDEX(INDIRECT(F_Custom1_resolved_column),216)&amp;"|",F_Custom1_wrapped)),1,0),0))</f>
        <v>1</v>
      </c>
      <c r="G217">
        <f>IF(OR(F_Custom2_Q="(None)",F_Custom2_Q="",ISBLANK(F_Custom2_Q),F_Custom2_V="(All)",F_Custom2_V="",ISBLANK(F_Custom2_V)),1,IFERROR(IF(ISNUMBER(SEARCH("|"&amp;INDEX(INDIRECT(F_Custom2_resolved_column),216)&amp;"|",F_Custom2_wrapped)),1,0),0))</f>
        <v>1</v>
      </c>
      <c r="H217">
        <f>F217*G217*1</f>
        <v>1</v>
      </c>
      <c r="I217">
        <f>1</f>
        <v>1</v>
      </c>
      <c r="J2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216)&amp;"|",All_Questions_Q20_F_wrapped)),1,0),0))</f>
        <v>1</v>
      </c>
    </row>
    <row r="218">
      <c r="A218" t="n">
        <v>217</v>
      </c>
      <c r="B218" t="n">
        <v>28.9</v>
      </c>
      <c r="C218" t="n">
        <v>24.6</v>
      </c>
      <c r="D218" t="n">
        <v>22.9</v>
      </c>
      <c r="E218">
        <f>1</f>
        <v>1</v>
      </c>
      <c r="F218">
        <f>IF(OR(F_Custom1_Q="(None)",F_Custom1_Q="",ISBLANK(F_Custom1_Q),F_Custom1_V="(All)",F_Custom1_V="",ISBLANK(F_Custom1_V)),1,IFERROR(IF(ISNUMBER(SEARCH("|"&amp;INDEX(INDIRECT(F_Custom1_resolved_column),217)&amp;"|",F_Custom1_wrapped)),1,0),0))</f>
        <v>1</v>
      </c>
      <c r="G218">
        <f>IF(OR(F_Custom2_Q="(None)",F_Custom2_Q="",ISBLANK(F_Custom2_Q),F_Custom2_V="(All)",F_Custom2_V="",ISBLANK(F_Custom2_V)),1,IFERROR(IF(ISNUMBER(SEARCH("|"&amp;INDEX(INDIRECT(F_Custom2_resolved_column),217)&amp;"|",F_Custom2_wrapped)),1,0),0))</f>
        <v>1</v>
      </c>
      <c r="H218">
        <f>F218*G218*1</f>
        <v>1</v>
      </c>
      <c r="I218">
        <f>1</f>
        <v>1</v>
      </c>
      <c r="J2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217)&amp;"|",All_Questions_Q20_F_wrapped)),1,0),0))</f>
        <v>1</v>
      </c>
    </row>
    <row r="219">
      <c r="A219" t="n">
        <v>218</v>
      </c>
      <c r="B219" t="n">
        <v>28.9</v>
      </c>
      <c r="C219" t="n">
        <v>24.6</v>
      </c>
      <c r="D219" t="n">
        <v>22.9</v>
      </c>
      <c r="E219">
        <f>1</f>
        <v>1</v>
      </c>
      <c r="F219">
        <f>IF(OR(F_Custom1_Q="(None)",F_Custom1_Q="",ISBLANK(F_Custom1_Q),F_Custom1_V="(All)",F_Custom1_V="",ISBLANK(F_Custom1_V)),1,IFERROR(IF(ISNUMBER(SEARCH("|"&amp;INDEX(INDIRECT(F_Custom1_resolved_column),218)&amp;"|",F_Custom1_wrapped)),1,0),0))</f>
        <v>1</v>
      </c>
      <c r="G219">
        <f>IF(OR(F_Custom2_Q="(None)",F_Custom2_Q="",ISBLANK(F_Custom2_Q),F_Custom2_V="(All)",F_Custom2_V="",ISBLANK(F_Custom2_V)),1,IFERROR(IF(ISNUMBER(SEARCH("|"&amp;INDEX(INDIRECT(F_Custom2_resolved_column),218)&amp;"|",F_Custom2_wrapped)),1,0),0))</f>
        <v>1</v>
      </c>
      <c r="H219">
        <f>F219*G219*1</f>
        <v>1</v>
      </c>
      <c r="I219">
        <f>1</f>
        <v>1</v>
      </c>
      <c r="J2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218)&amp;"|",All_Questions_Q20_F_wrapped)),1,0),0))</f>
        <v>1</v>
      </c>
    </row>
    <row r="220">
      <c r="A220" t="n">
        <v>219</v>
      </c>
      <c r="B220" t="n">
        <v>28.9</v>
      </c>
      <c r="C220" t="n">
        <v>24.6</v>
      </c>
      <c r="D220" t="n">
        <v>22.9</v>
      </c>
      <c r="E220">
        <f>1</f>
        <v>1</v>
      </c>
      <c r="F220">
        <f>IF(OR(F_Custom1_Q="(None)",F_Custom1_Q="",ISBLANK(F_Custom1_Q),F_Custom1_V="(All)",F_Custom1_V="",ISBLANK(F_Custom1_V)),1,IFERROR(IF(ISNUMBER(SEARCH("|"&amp;INDEX(INDIRECT(F_Custom1_resolved_column),219)&amp;"|",F_Custom1_wrapped)),1,0),0))</f>
        <v>1</v>
      </c>
      <c r="G220">
        <f>IF(OR(F_Custom2_Q="(None)",F_Custom2_Q="",ISBLANK(F_Custom2_Q),F_Custom2_V="(All)",F_Custom2_V="",ISBLANK(F_Custom2_V)),1,IFERROR(IF(ISNUMBER(SEARCH("|"&amp;INDEX(INDIRECT(F_Custom2_resolved_column),219)&amp;"|",F_Custom2_wrapped)),1,0),0))</f>
        <v>1</v>
      </c>
      <c r="H220">
        <f>F220*G220*1</f>
        <v>1</v>
      </c>
      <c r="I220">
        <f>1</f>
        <v>1</v>
      </c>
      <c r="J2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219)&amp;"|",All_Questions_Q20_F_wrapped)),1,0),0))</f>
        <v>1</v>
      </c>
    </row>
    <row r="221">
      <c r="A221" t="n">
        <v>220</v>
      </c>
      <c r="B221" t="n">
        <v>28.9</v>
      </c>
      <c r="C221" t="n">
        <v>24.6</v>
      </c>
      <c r="D221" t="n">
        <v>22.9</v>
      </c>
      <c r="E221">
        <f>1</f>
        <v>1</v>
      </c>
      <c r="F221">
        <f>IF(OR(F_Custom1_Q="(None)",F_Custom1_Q="",ISBLANK(F_Custom1_Q),F_Custom1_V="(All)",F_Custom1_V="",ISBLANK(F_Custom1_V)),1,IFERROR(IF(ISNUMBER(SEARCH("|"&amp;INDEX(INDIRECT(F_Custom1_resolved_column),220)&amp;"|",F_Custom1_wrapped)),1,0),0))</f>
        <v>1</v>
      </c>
      <c r="G221">
        <f>IF(OR(F_Custom2_Q="(None)",F_Custom2_Q="",ISBLANK(F_Custom2_Q),F_Custom2_V="(All)",F_Custom2_V="",ISBLANK(F_Custom2_V)),1,IFERROR(IF(ISNUMBER(SEARCH("|"&amp;INDEX(INDIRECT(F_Custom2_resolved_column),220)&amp;"|",F_Custom2_wrapped)),1,0),0))</f>
        <v>1</v>
      </c>
      <c r="H221">
        <f>F221*G221*1</f>
        <v>1</v>
      </c>
      <c r="I221">
        <f>1</f>
        <v>1</v>
      </c>
      <c r="J2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220)&amp;"|",All_Questions_Q20_F_wrapped)),1,0),0))</f>
        <v>1</v>
      </c>
    </row>
    <row r="222">
      <c r="A222" t="n">
        <v>221</v>
      </c>
      <c r="B222" t="n">
        <v>28.9</v>
      </c>
      <c r="C222" t="n">
        <v>24.6</v>
      </c>
      <c r="D222" t="n">
        <v>22.9</v>
      </c>
      <c r="E222">
        <f>1</f>
        <v>1</v>
      </c>
      <c r="F222">
        <f>IF(OR(F_Custom1_Q="(None)",F_Custom1_Q="",ISBLANK(F_Custom1_Q),F_Custom1_V="(All)",F_Custom1_V="",ISBLANK(F_Custom1_V)),1,IFERROR(IF(ISNUMBER(SEARCH("|"&amp;INDEX(INDIRECT(F_Custom1_resolved_column),221)&amp;"|",F_Custom1_wrapped)),1,0),0))</f>
        <v>1</v>
      </c>
      <c r="G222">
        <f>IF(OR(F_Custom2_Q="(None)",F_Custom2_Q="",ISBLANK(F_Custom2_Q),F_Custom2_V="(All)",F_Custom2_V="",ISBLANK(F_Custom2_V)),1,IFERROR(IF(ISNUMBER(SEARCH("|"&amp;INDEX(INDIRECT(F_Custom2_resolved_column),221)&amp;"|",F_Custom2_wrapped)),1,0),0))</f>
        <v>1</v>
      </c>
      <c r="H222">
        <f>F222*G222*1</f>
        <v>1</v>
      </c>
      <c r="I222">
        <f>1</f>
        <v>1</v>
      </c>
      <c r="J2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221)&amp;"|",All_Questions_Q20_F_wrapped)),1,0),0))</f>
        <v>1</v>
      </c>
    </row>
    <row r="223">
      <c r="A223" t="n">
        <v>222</v>
      </c>
      <c r="B223" t="n">
        <v>28.9</v>
      </c>
      <c r="C223" t="n">
        <v>24.6</v>
      </c>
      <c r="D223" t="n">
        <v>22.9</v>
      </c>
      <c r="E223">
        <f>1</f>
        <v>1</v>
      </c>
      <c r="F223">
        <f>IF(OR(F_Custom1_Q="(None)",F_Custom1_Q="",ISBLANK(F_Custom1_Q),F_Custom1_V="(All)",F_Custom1_V="",ISBLANK(F_Custom1_V)),1,IFERROR(IF(ISNUMBER(SEARCH("|"&amp;INDEX(INDIRECT(F_Custom1_resolved_column),222)&amp;"|",F_Custom1_wrapped)),1,0),0))</f>
        <v>1</v>
      </c>
      <c r="G223">
        <f>IF(OR(F_Custom2_Q="(None)",F_Custom2_Q="",ISBLANK(F_Custom2_Q),F_Custom2_V="(All)",F_Custom2_V="",ISBLANK(F_Custom2_V)),1,IFERROR(IF(ISNUMBER(SEARCH("|"&amp;INDEX(INDIRECT(F_Custom2_resolved_column),222)&amp;"|",F_Custom2_wrapped)),1,0),0))</f>
        <v>1</v>
      </c>
      <c r="H223">
        <f>F223*G223*1</f>
        <v>1</v>
      </c>
      <c r="I223">
        <f>1</f>
        <v>1</v>
      </c>
      <c r="J2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222)&amp;"|",All_Questions_Q20_F_wrapped)),1,0),0))</f>
        <v>1</v>
      </c>
    </row>
    <row r="224">
      <c r="A224" t="n">
        <v>223</v>
      </c>
      <c r="B224" t="n">
        <v>28.9</v>
      </c>
      <c r="C224" t="n">
        <v>24.6</v>
      </c>
      <c r="D224" t="n">
        <v>22.9</v>
      </c>
      <c r="E224">
        <f>1</f>
        <v>1</v>
      </c>
      <c r="F224">
        <f>IF(OR(F_Custom1_Q="(None)",F_Custom1_Q="",ISBLANK(F_Custom1_Q),F_Custom1_V="(All)",F_Custom1_V="",ISBLANK(F_Custom1_V)),1,IFERROR(IF(ISNUMBER(SEARCH("|"&amp;INDEX(INDIRECT(F_Custom1_resolved_column),223)&amp;"|",F_Custom1_wrapped)),1,0),0))</f>
        <v>1</v>
      </c>
      <c r="G224">
        <f>IF(OR(F_Custom2_Q="(None)",F_Custom2_Q="",ISBLANK(F_Custom2_Q),F_Custom2_V="(All)",F_Custom2_V="",ISBLANK(F_Custom2_V)),1,IFERROR(IF(ISNUMBER(SEARCH("|"&amp;INDEX(INDIRECT(F_Custom2_resolved_column),223)&amp;"|",F_Custom2_wrapped)),1,0),0))</f>
        <v>1</v>
      </c>
      <c r="H224">
        <f>F224*G224*1</f>
        <v>1</v>
      </c>
      <c r="I224">
        <f>1</f>
        <v>1</v>
      </c>
      <c r="J2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223)&amp;"|",All_Questions_Q20_F_wrapped)),1,0),0))</f>
        <v>1</v>
      </c>
    </row>
    <row r="225">
      <c r="A225" t="n">
        <v>224</v>
      </c>
      <c r="B225" t="n">
        <v>28.9</v>
      </c>
      <c r="C225" t="n">
        <v>24.6</v>
      </c>
      <c r="D225" t="n">
        <v>22.9</v>
      </c>
      <c r="E225">
        <f>1</f>
        <v>1</v>
      </c>
      <c r="F225">
        <f>IF(OR(F_Custom1_Q="(None)",F_Custom1_Q="",ISBLANK(F_Custom1_Q),F_Custom1_V="(All)",F_Custom1_V="",ISBLANK(F_Custom1_V)),1,IFERROR(IF(ISNUMBER(SEARCH("|"&amp;INDEX(INDIRECT(F_Custom1_resolved_column),224)&amp;"|",F_Custom1_wrapped)),1,0),0))</f>
        <v>1</v>
      </c>
      <c r="G225">
        <f>IF(OR(F_Custom2_Q="(None)",F_Custom2_Q="",ISBLANK(F_Custom2_Q),F_Custom2_V="(All)",F_Custom2_V="",ISBLANK(F_Custom2_V)),1,IFERROR(IF(ISNUMBER(SEARCH("|"&amp;INDEX(INDIRECT(F_Custom2_resolved_column),224)&amp;"|",F_Custom2_wrapped)),1,0),0))</f>
        <v>1</v>
      </c>
      <c r="H225">
        <f>F225*G225*1</f>
        <v>1</v>
      </c>
      <c r="I225">
        <f>1</f>
        <v>1</v>
      </c>
      <c r="J2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224)&amp;"|",All_Questions_Q20_F_wrapped)),1,0),0))</f>
        <v>1</v>
      </c>
    </row>
    <row r="226">
      <c r="A226" t="n">
        <v>225</v>
      </c>
      <c r="B226" t="n">
        <v>28.9</v>
      </c>
      <c r="C226" t="n">
        <v>24.6</v>
      </c>
      <c r="D226" t="n">
        <v>22.9</v>
      </c>
      <c r="E226">
        <f>1</f>
        <v>1</v>
      </c>
      <c r="F226">
        <f>IF(OR(F_Custom1_Q="(None)",F_Custom1_Q="",ISBLANK(F_Custom1_Q),F_Custom1_V="(All)",F_Custom1_V="",ISBLANK(F_Custom1_V)),1,IFERROR(IF(ISNUMBER(SEARCH("|"&amp;INDEX(INDIRECT(F_Custom1_resolved_column),225)&amp;"|",F_Custom1_wrapped)),1,0),0))</f>
        <v>1</v>
      </c>
      <c r="G226">
        <f>IF(OR(F_Custom2_Q="(None)",F_Custom2_Q="",ISBLANK(F_Custom2_Q),F_Custom2_V="(All)",F_Custom2_V="",ISBLANK(F_Custom2_V)),1,IFERROR(IF(ISNUMBER(SEARCH("|"&amp;INDEX(INDIRECT(F_Custom2_resolved_column),225)&amp;"|",F_Custom2_wrapped)),1,0),0))</f>
        <v>1</v>
      </c>
      <c r="H226">
        <f>F226*G226*1</f>
        <v>1</v>
      </c>
      <c r="I226">
        <f>1</f>
        <v>1</v>
      </c>
      <c r="J2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225)&amp;"|",All_Questions_Q20_F_wrapped)),1,0),0))</f>
        <v>1</v>
      </c>
    </row>
    <row r="227">
      <c r="A227" t="n">
        <v>226</v>
      </c>
      <c r="B227" t="n">
        <v>28.9</v>
      </c>
      <c r="C227" t="n">
        <v>24.6</v>
      </c>
      <c r="D227" t="n">
        <v>22.9</v>
      </c>
      <c r="E227">
        <f>1</f>
        <v>1</v>
      </c>
      <c r="F227">
        <f>IF(OR(F_Custom1_Q="(None)",F_Custom1_Q="",ISBLANK(F_Custom1_Q),F_Custom1_V="(All)",F_Custom1_V="",ISBLANK(F_Custom1_V)),1,IFERROR(IF(ISNUMBER(SEARCH("|"&amp;INDEX(INDIRECT(F_Custom1_resolved_column),226)&amp;"|",F_Custom1_wrapped)),1,0),0))</f>
        <v>1</v>
      </c>
      <c r="G227">
        <f>IF(OR(F_Custom2_Q="(None)",F_Custom2_Q="",ISBLANK(F_Custom2_Q),F_Custom2_V="(All)",F_Custom2_V="",ISBLANK(F_Custom2_V)),1,IFERROR(IF(ISNUMBER(SEARCH("|"&amp;INDEX(INDIRECT(F_Custom2_resolved_column),226)&amp;"|",F_Custom2_wrapped)),1,0),0))</f>
        <v>1</v>
      </c>
      <c r="H227">
        <f>F227*G227*1</f>
        <v>1</v>
      </c>
      <c r="I227">
        <f>1</f>
        <v>1</v>
      </c>
      <c r="J2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226)&amp;"|",All_Questions_Q20_F_wrapped)),1,0),0))</f>
        <v>1</v>
      </c>
    </row>
    <row r="228">
      <c r="A228" t="n">
        <v>227</v>
      </c>
      <c r="B228" t="n">
        <v>28.9</v>
      </c>
      <c r="C228" t="n">
        <v>24.6</v>
      </c>
      <c r="D228" t="n">
        <v>22.9</v>
      </c>
      <c r="E228">
        <f>1</f>
        <v>1</v>
      </c>
      <c r="F228">
        <f>IF(OR(F_Custom1_Q="(None)",F_Custom1_Q="",ISBLANK(F_Custom1_Q),F_Custom1_V="(All)",F_Custom1_V="",ISBLANK(F_Custom1_V)),1,IFERROR(IF(ISNUMBER(SEARCH("|"&amp;INDEX(INDIRECT(F_Custom1_resolved_column),227)&amp;"|",F_Custom1_wrapped)),1,0),0))</f>
        <v>1</v>
      </c>
      <c r="G228">
        <f>IF(OR(F_Custom2_Q="(None)",F_Custom2_Q="",ISBLANK(F_Custom2_Q),F_Custom2_V="(All)",F_Custom2_V="",ISBLANK(F_Custom2_V)),1,IFERROR(IF(ISNUMBER(SEARCH("|"&amp;INDEX(INDIRECT(F_Custom2_resolved_column),227)&amp;"|",F_Custom2_wrapped)),1,0),0))</f>
        <v>1</v>
      </c>
      <c r="H228">
        <f>F228*G228*1</f>
        <v>1</v>
      </c>
      <c r="I228">
        <f>1</f>
        <v>1</v>
      </c>
      <c r="J2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227)&amp;"|",All_Questions_Q20_F_wrapped)),1,0),0))</f>
        <v>1</v>
      </c>
    </row>
    <row r="229">
      <c r="A229" t="n">
        <v>228</v>
      </c>
      <c r="B229" t="n">
        <v>28.9</v>
      </c>
      <c r="C229" t="n">
        <v>24.6</v>
      </c>
      <c r="D229" t="n">
        <v>22.9</v>
      </c>
      <c r="E229">
        <f>1</f>
        <v>1</v>
      </c>
      <c r="F229">
        <f>IF(OR(F_Custom1_Q="(None)",F_Custom1_Q="",ISBLANK(F_Custom1_Q),F_Custom1_V="(All)",F_Custom1_V="",ISBLANK(F_Custom1_V)),1,IFERROR(IF(ISNUMBER(SEARCH("|"&amp;INDEX(INDIRECT(F_Custom1_resolved_column),228)&amp;"|",F_Custom1_wrapped)),1,0),0))</f>
        <v>1</v>
      </c>
      <c r="G229">
        <f>IF(OR(F_Custom2_Q="(None)",F_Custom2_Q="",ISBLANK(F_Custom2_Q),F_Custom2_V="(All)",F_Custom2_V="",ISBLANK(F_Custom2_V)),1,IFERROR(IF(ISNUMBER(SEARCH("|"&amp;INDEX(INDIRECT(F_Custom2_resolved_column),228)&amp;"|",F_Custom2_wrapped)),1,0),0))</f>
        <v>1</v>
      </c>
      <c r="H229">
        <f>F229*G229*1</f>
        <v>1</v>
      </c>
      <c r="I229">
        <f>1</f>
        <v>1</v>
      </c>
      <c r="J2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228)&amp;"|",All_Questions_Q20_F_wrapped)),1,0),0))</f>
        <v>1</v>
      </c>
    </row>
    <row r="230">
      <c r="A230" t="n">
        <v>229</v>
      </c>
      <c r="B230" t="n">
        <v>28.9</v>
      </c>
      <c r="C230" t="n">
        <v>24.6</v>
      </c>
      <c r="D230" t="n">
        <v>22.9</v>
      </c>
      <c r="E230">
        <f>1</f>
        <v>1</v>
      </c>
      <c r="F230">
        <f>IF(OR(F_Custom1_Q="(None)",F_Custom1_Q="",ISBLANK(F_Custom1_Q),F_Custom1_V="(All)",F_Custom1_V="",ISBLANK(F_Custom1_V)),1,IFERROR(IF(ISNUMBER(SEARCH("|"&amp;INDEX(INDIRECT(F_Custom1_resolved_column),229)&amp;"|",F_Custom1_wrapped)),1,0),0))</f>
        <v>1</v>
      </c>
      <c r="G230">
        <f>IF(OR(F_Custom2_Q="(None)",F_Custom2_Q="",ISBLANK(F_Custom2_Q),F_Custom2_V="(All)",F_Custom2_V="",ISBLANK(F_Custom2_V)),1,IFERROR(IF(ISNUMBER(SEARCH("|"&amp;INDEX(INDIRECT(F_Custom2_resolved_column),229)&amp;"|",F_Custom2_wrapped)),1,0),0))</f>
        <v>1</v>
      </c>
      <c r="H230">
        <f>F230*G230*1</f>
        <v>1</v>
      </c>
      <c r="I230">
        <f>1</f>
        <v>1</v>
      </c>
      <c r="J2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229)&amp;"|",All_Questions_Q20_F_wrapped)),1,0),0))</f>
        <v>1</v>
      </c>
    </row>
    <row r="231">
      <c r="A231" t="n">
        <v>230</v>
      </c>
      <c r="B231" t="n">
        <v>28.9</v>
      </c>
      <c r="C231" t="n">
        <v>24.6</v>
      </c>
      <c r="D231" t="n">
        <v>22.9</v>
      </c>
      <c r="E231">
        <f>1</f>
        <v>1</v>
      </c>
      <c r="F231">
        <f>IF(OR(F_Custom1_Q="(None)",F_Custom1_Q="",ISBLANK(F_Custom1_Q),F_Custom1_V="(All)",F_Custom1_V="",ISBLANK(F_Custom1_V)),1,IFERROR(IF(ISNUMBER(SEARCH("|"&amp;INDEX(INDIRECT(F_Custom1_resolved_column),230)&amp;"|",F_Custom1_wrapped)),1,0),0))</f>
        <v>1</v>
      </c>
      <c r="G231">
        <f>IF(OR(F_Custom2_Q="(None)",F_Custom2_Q="",ISBLANK(F_Custom2_Q),F_Custom2_V="(All)",F_Custom2_V="",ISBLANK(F_Custom2_V)),1,IFERROR(IF(ISNUMBER(SEARCH("|"&amp;INDEX(INDIRECT(F_Custom2_resolved_column),230)&amp;"|",F_Custom2_wrapped)),1,0),0))</f>
        <v>1</v>
      </c>
      <c r="H231">
        <f>F231*G231*1</f>
        <v>1</v>
      </c>
      <c r="I231">
        <f>1</f>
        <v>1</v>
      </c>
      <c r="J2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230)&amp;"|",All_Questions_Q20_F_wrapped)),1,0),0))</f>
        <v>1</v>
      </c>
    </row>
    <row r="232">
      <c r="A232" t="n">
        <v>231</v>
      </c>
      <c r="B232" t="n">
        <v>28.9</v>
      </c>
      <c r="C232" t="n">
        <v>24.6</v>
      </c>
      <c r="D232" t="n">
        <v>22.9</v>
      </c>
      <c r="E232">
        <f>1</f>
        <v>1</v>
      </c>
      <c r="F232">
        <f>IF(OR(F_Custom1_Q="(None)",F_Custom1_Q="",ISBLANK(F_Custom1_Q),F_Custom1_V="(All)",F_Custom1_V="",ISBLANK(F_Custom1_V)),1,IFERROR(IF(ISNUMBER(SEARCH("|"&amp;INDEX(INDIRECT(F_Custom1_resolved_column),231)&amp;"|",F_Custom1_wrapped)),1,0),0))</f>
        <v>1</v>
      </c>
      <c r="G232">
        <f>IF(OR(F_Custom2_Q="(None)",F_Custom2_Q="",ISBLANK(F_Custom2_Q),F_Custom2_V="(All)",F_Custom2_V="",ISBLANK(F_Custom2_V)),1,IFERROR(IF(ISNUMBER(SEARCH("|"&amp;INDEX(INDIRECT(F_Custom2_resolved_column),231)&amp;"|",F_Custom2_wrapped)),1,0),0))</f>
        <v>1</v>
      </c>
      <c r="H232">
        <f>F232*G232*1</f>
        <v>1</v>
      </c>
      <c r="I232">
        <f>1</f>
        <v>1</v>
      </c>
      <c r="J2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231)&amp;"|",All_Questions_Q20_F_wrapped)),1,0),0))</f>
        <v>1</v>
      </c>
    </row>
    <row r="233">
      <c r="A233" t="n">
        <v>232</v>
      </c>
      <c r="B233" t="n">
        <v>28.9</v>
      </c>
      <c r="C233" t="n">
        <v>24.6</v>
      </c>
      <c r="D233" t="n">
        <v>22.9</v>
      </c>
      <c r="E233">
        <f>1</f>
        <v>1</v>
      </c>
      <c r="F233">
        <f>IF(OR(F_Custom1_Q="(None)",F_Custom1_Q="",ISBLANK(F_Custom1_Q),F_Custom1_V="(All)",F_Custom1_V="",ISBLANK(F_Custom1_V)),1,IFERROR(IF(ISNUMBER(SEARCH("|"&amp;INDEX(INDIRECT(F_Custom1_resolved_column),232)&amp;"|",F_Custom1_wrapped)),1,0),0))</f>
        <v>1</v>
      </c>
      <c r="G233">
        <f>IF(OR(F_Custom2_Q="(None)",F_Custom2_Q="",ISBLANK(F_Custom2_Q),F_Custom2_V="(All)",F_Custom2_V="",ISBLANK(F_Custom2_V)),1,IFERROR(IF(ISNUMBER(SEARCH("|"&amp;INDEX(INDIRECT(F_Custom2_resolved_column),232)&amp;"|",F_Custom2_wrapped)),1,0),0))</f>
        <v>1</v>
      </c>
      <c r="H233">
        <f>F233*G233*1</f>
        <v>1</v>
      </c>
      <c r="I233">
        <f>1</f>
        <v>1</v>
      </c>
      <c r="J2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232)&amp;"|",All_Questions_Q20_F_wrapped)),1,0),0))</f>
        <v>1</v>
      </c>
    </row>
    <row r="234">
      <c r="A234" t="n">
        <v>233</v>
      </c>
      <c r="B234" t="n">
        <v>28.9</v>
      </c>
      <c r="C234" t="n">
        <v>24.6</v>
      </c>
      <c r="D234" t="n">
        <v>22.9</v>
      </c>
      <c r="E234">
        <f>1</f>
        <v>1</v>
      </c>
      <c r="F234">
        <f>IF(OR(F_Custom1_Q="(None)",F_Custom1_Q="",ISBLANK(F_Custom1_Q),F_Custom1_V="(All)",F_Custom1_V="",ISBLANK(F_Custom1_V)),1,IFERROR(IF(ISNUMBER(SEARCH("|"&amp;INDEX(INDIRECT(F_Custom1_resolved_column),233)&amp;"|",F_Custom1_wrapped)),1,0),0))</f>
        <v>1</v>
      </c>
      <c r="G234">
        <f>IF(OR(F_Custom2_Q="(None)",F_Custom2_Q="",ISBLANK(F_Custom2_Q),F_Custom2_V="(All)",F_Custom2_V="",ISBLANK(F_Custom2_V)),1,IFERROR(IF(ISNUMBER(SEARCH("|"&amp;INDEX(INDIRECT(F_Custom2_resolved_column),233)&amp;"|",F_Custom2_wrapped)),1,0),0))</f>
        <v>1</v>
      </c>
      <c r="H234">
        <f>F234*G234*1</f>
        <v>1</v>
      </c>
      <c r="I234">
        <f>1</f>
        <v>1</v>
      </c>
      <c r="J2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233)&amp;"|",All_Questions_Q20_F_wrapped)),1,0),0))</f>
        <v>1</v>
      </c>
    </row>
    <row r="235">
      <c r="A235" t="n">
        <v>234</v>
      </c>
      <c r="B235" t="n">
        <v>28.9</v>
      </c>
      <c r="C235" t="n">
        <v>24.6</v>
      </c>
      <c r="D235" t="n">
        <v>22.9</v>
      </c>
      <c r="E235">
        <f>1</f>
        <v>1</v>
      </c>
      <c r="F235">
        <f>IF(OR(F_Custom1_Q="(None)",F_Custom1_Q="",ISBLANK(F_Custom1_Q),F_Custom1_V="(All)",F_Custom1_V="",ISBLANK(F_Custom1_V)),1,IFERROR(IF(ISNUMBER(SEARCH("|"&amp;INDEX(INDIRECT(F_Custom1_resolved_column),234)&amp;"|",F_Custom1_wrapped)),1,0),0))</f>
        <v>1</v>
      </c>
      <c r="G235">
        <f>IF(OR(F_Custom2_Q="(None)",F_Custom2_Q="",ISBLANK(F_Custom2_Q),F_Custom2_V="(All)",F_Custom2_V="",ISBLANK(F_Custom2_V)),1,IFERROR(IF(ISNUMBER(SEARCH("|"&amp;INDEX(INDIRECT(F_Custom2_resolved_column),234)&amp;"|",F_Custom2_wrapped)),1,0),0))</f>
        <v>1</v>
      </c>
      <c r="H235">
        <f>F235*G235*1</f>
        <v>1</v>
      </c>
      <c r="I235">
        <f>1</f>
        <v>1</v>
      </c>
      <c r="J2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234)&amp;"|",All_Questions_Q20_F_wrapped)),1,0),0))</f>
        <v>1</v>
      </c>
    </row>
    <row r="236">
      <c r="A236" t="n">
        <v>235</v>
      </c>
      <c r="B236" t="n">
        <v>28.9</v>
      </c>
      <c r="C236" t="n">
        <v>24.6</v>
      </c>
      <c r="D236" t="n">
        <v>22.9</v>
      </c>
      <c r="E236">
        <f>1</f>
        <v>1</v>
      </c>
      <c r="F236">
        <f>IF(OR(F_Custom1_Q="(None)",F_Custom1_Q="",ISBLANK(F_Custom1_Q),F_Custom1_V="(All)",F_Custom1_V="",ISBLANK(F_Custom1_V)),1,IFERROR(IF(ISNUMBER(SEARCH("|"&amp;INDEX(INDIRECT(F_Custom1_resolved_column),235)&amp;"|",F_Custom1_wrapped)),1,0),0))</f>
        <v>1</v>
      </c>
      <c r="G236">
        <f>IF(OR(F_Custom2_Q="(None)",F_Custom2_Q="",ISBLANK(F_Custom2_Q),F_Custom2_V="(All)",F_Custom2_V="",ISBLANK(F_Custom2_V)),1,IFERROR(IF(ISNUMBER(SEARCH("|"&amp;INDEX(INDIRECT(F_Custom2_resolved_column),235)&amp;"|",F_Custom2_wrapped)),1,0),0))</f>
        <v>1</v>
      </c>
      <c r="H236">
        <f>F236*G236*1</f>
        <v>1</v>
      </c>
      <c r="I236">
        <f>1</f>
        <v>1</v>
      </c>
      <c r="J2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235)&amp;"|",All_Questions_Q20_F_wrapped)),1,0),0))</f>
        <v>1</v>
      </c>
    </row>
    <row r="237">
      <c r="A237" t="n">
        <v>236</v>
      </c>
      <c r="B237" t="n">
        <v>28.9</v>
      </c>
      <c r="C237" t="n">
        <v>24.6</v>
      </c>
      <c r="D237" t="n">
        <v>22.9</v>
      </c>
      <c r="E237">
        <f>1</f>
        <v>1</v>
      </c>
      <c r="F237">
        <f>IF(OR(F_Custom1_Q="(None)",F_Custom1_Q="",ISBLANK(F_Custom1_Q),F_Custom1_V="(All)",F_Custom1_V="",ISBLANK(F_Custom1_V)),1,IFERROR(IF(ISNUMBER(SEARCH("|"&amp;INDEX(INDIRECT(F_Custom1_resolved_column),236)&amp;"|",F_Custom1_wrapped)),1,0),0))</f>
        <v>1</v>
      </c>
      <c r="G237">
        <f>IF(OR(F_Custom2_Q="(None)",F_Custom2_Q="",ISBLANK(F_Custom2_Q),F_Custom2_V="(All)",F_Custom2_V="",ISBLANK(F_Custom2_V)),1,IFERROR(IF(ISNUMBER(SEARCH("|"&amp;INDEX(INDIRECT(F_Custom2_resolved_column),236)&amp;"|",F_Custom2_wrapped)),1,0),0))</f>
        <v>1</v>
      </c>
      <c r="H237">
        <f>F237*G237*1</f>
        <v>1</v>
      </c>
      <c r="I237">
        <f>1</f>
        <v>1</v>
      </c>
      <c r="J2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236)&amp;"|",All_Questions_Q20_F_wrapped)),1,0),0))</f>
        <v>1</v>
      </c>
    </row>
    <row r="238">
      <c r="A238" t="n">
        <v>237</v>
      </c>
      <c r="B238" t="n">
        <v>28.9</v>
      </c>
      <c r="C238" t="n">
        <v>24.6</v>
      </c>
      <c r="D238" t="n">
        <v>22.9</v>
      </c>
      <c r="E238">
        <f>1</f>
        <v>1</v>
      </c>
      <c r="F238">
        <f>IF(OR(F_Custom1_Q="(None)",F_Custom1_Q="",ISBLANK(F_Custom1_Q),F_Custom1_V="(All)",F_Custom1_V="",ISBLANK(F_Custom1_V)),1,IFERROR(IF(ISNUMBER(SEARCH("|"&amp;INDEX(INDIRECT(F_Custom1_resolved_column),237)&amp;"|",F_Custom1_wrapped)),1,0),0))</f>
        <v>1</v>
      </c>
      <c r="G238">
        <f>IF(OR(F_Custom2_Q="(None)",F_Custom2_Q="",ISBLANK(F_Custom2_Q),F_Custom2_V="(All)",F_Custom2_V="",ISBLANK(F_Custom2_V)),1,IFERROR(IF(ISNUMBER(SEARCH("|"&amp;INDEX(INDIRECT(F_Custom2_resolved_column),237)&amp;"|",F_Custom2_wrapped)),1,0),0))</f>
        <v>1</v>
      </c>
      <c r="H238">
        <f>F238*G238*1</f>
        <v>1</v>
      </c>
      <c r="I238">
        <f>1</f>
        <v>1</v>
      </c>
      <c r="J2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237)&amp;"|",All_Questions_Q20_F_wrapped)),1,0),0))</f>
        <v>1</v>
      </c>
    </row>
    <row r="239">
      <c r="A239" t="n">
        <v>238</v>
      </c>
      <c r="B239" t="n">
        <v>28.9</v>
      </c>
      <c r="C239" t="n">
        <v>24.6</v>
      </c>
      <c r="D239" t="n">
        <v>22.9</v>
      </c>
      <c r="E239">
        <f>1</f>
        <v>1</v>
      </c>
      <c r="F239">
        <f>IF(OR(F_Custom1_Q="(None)",F_Custom1_Q="",ISBLANK(F_Custom1_Q),F_Custom1_V="(All)",F_Custom1_V="",ISBLANK(F_Custom1_V)),1,IFERROR(IF(ISNUMBER(SEARCH("|"&amp;INDEX(INDIRECT(F_Custom1_resolved_column),238)&amp;"|",F_Custom1_wrapped)),1,0),0))</f>
        <v>1</v>
      </c>
      <c r="G239">
        <f>IF(OR(F_Custom2_Q="(None)",F_Custom2_Q="",ISBLANK(F_Custom2_Q),F_Custom2_V="(All)",F_Custom2_V="",ISBLANK(F_Custom2_V)),1,IFERROR(IF(ISNUMBER(SEARCH("|"&amp;INDEX(INDIRECT(F_Custom2_resolved_column),238)&amp;"|",F_Custom2_wrapped)),1,0),0))</f>
        <v>1</v>
      </c>
      <c r="H239">
        <f>F239*G239*1</f>
        <v>1</v>
      </c>
      <c r="I239">
        <f>1</f>
        <v>1</v>
      </c>
      <c r="J2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238)&amp;"|",All_Questions_Q20_F_wrapped)),1,0),0))</f>
        <v>1</v>
      </c>
    </row>
    <row r="240">
      <c r="A240" t="n">
        <v>239</v>
      </c>
      <c r="B240" t="n">
        <v>28.9</v>
      </c>
      <c r="C240" t="n">
        <v>24.6</v>
      </c>
      <c r="D240" t="n">
        <v>22.9</v>
      </c>
      <c r="E240">
        <f>1</f>
        <v>1</v>
      </c>
      <c r="F240">
        <f>IF(OR(F_Custom1_Q="(None)",F_Custom1_Q="",ISBLANK(F_Custom1_Q),F_Custom1_V="(All)",F_Custom1_V="",ISBLANK(F_Custom1_V)),1,IFERROR(IF(ISNUMBER(SEARCH("|"&amp;INDEX(INDIRECT(F_Custom1_resolved_column),239)&amp;"|",F_Custom1_wrapped)),1,0),0))</f>
        <v>1</v>
      </c>
      <c r="G240">
        <f>IF(OR(F_Custom2_Q="(None)",F_Custom2_Q="",ISBLANK(F_Custom2_Q),F_Custom2_V="(All)",F_Custom2_V="",ISBLANK(F_Custom2_V)),1,IFERROR(IF(ISNUMBER(SEARCH("|"&amp;INDEX(INDIRECT(F_Custom2_resolved_column),239)&amp;"|",F_Custom2_wrapped)),1,0),0))</f>
        <v>1</v>
      </c>
      <c r="H240">
        <f>F240*G240*1</f>
        <v>1</v>
      </c>
      <c r="I240">
        <f>1</f>
        <v>1</v>
      </c>
      <c r="J2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239)&amp;"|",All_Questions_Q20_F_wrapped)),1,0),0))</f>
        <v>1</v>
      </c>
    </row>
    <row r="241">
      <c r="A241" t="n">
        <v>240</v>
      </c>
      <c r="B241" t="n">
        <v>28.9</v>
      </c>
      <c r="C241" t="n">
        <v>24.6</v>
      </c>
      <c r="D241" t="n">
        <v>22.9</v>
      </c>
      <c r="E241">
        <f>1</f>
        <v>1</v>
      </c>
      <c r="F241">
        <f>IF(OR(F_Custom1_Q="(None)",F_Custom1_Q="",ISBLANK(F_Custom1_Q),F_Custom1_V="(All)",F_Custom1_V="",ISBLANK(F_Custom1_V)),1,IFERROR(IF(ISNUMBER(SEARCH("|"&amp;INDEX(INDIRECT(F_Custom1_resolved_column),240)&amp;"|",F_Custom1_wrapped)),1,0),0))</f>
        <v>1</v>
      </c>
      <c r="G241">
        <f>IF(OR(F_Custom2_Q="(None)",F_Custom2_Q="",ISBLANK(F_Custom2_Q),F_Custom2_V="(All)",F_Custom2_V="",ISBLANK(F_Custom2_V)),1,IFERROR(IF(ISNUMBER(SEARCH("|"&amp;INDEX(INDIRECT(F_Custom2_resolved_column),240)&amp;"|",F_Custom2_wrapped)),1,0),0))</f>
        <v>1</v>
      </c>
      <c r="H241">
        <f>F241*G241*1</f>
        <v>1</v>
      </c>
      <c r="I241">
        <f>1</f>
        <v>1</v>
      </c>
      <c r="J2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240)&amp;"|",All_Questions_Q20_F_wrapped)),1,0),0))</f>
        <v>1</v>
      </c>
    </row>
    <row r="242">
      <c r="A242" t="n">
        <v>241</v>
      </c>
      <c r="B242" t="n">
        <v>28.9</v>
      </c>
      <c r="C242" t="n">
        <v>24.6</v>
      </c>
      <c r="D242" t="n">
        <v>22.9</v>
      </c>
      <c r="E242">
        <f>1</f>
        <v>1</v>
      </c>
      <c r="F242">
        <f>IF(OR(F_Custom1_Q="(None)",F_Custom1_Q="",ISBLANK(F_Custom1_Q),F_Custom1_V="(All)",F_Custom1_V="",ISBLANK(F_Custom1_V)),1,IFERROR(IF(ISNUMBER(SEARCH("|"&amp;INDEX(INDIRECT(F_Custom1_resolved_column),241)&amp;"|",F_Custom1_wrapped)),1,0),0))</f>
        <v>1</v>
      </c>
      <c r="G242">
        <f>IF(OR(F_Custom2_Q="(None)",F_Custom2_Q="",ISBLANK(F_Custom2_Q),F_Custom2_V="(All)",F_Custom2_V="",ISBLANK(F_Custom2_V)),1,IFERROR(IF(ISNUMBER(SEARCH("|"&amp;INDEX(INDIRECT(F_Custom2_resolved_column),241)&amp;"|",F_Custom2_wrapped)),1,0),0))</f>
        <v>1</v>
      </c>
      <c r="H242">
        <f>F242*G242*1</f>
        <v>1</v>
      </c>
      <c r="I242">
        <f>1</f>
        <v>1</v>
      </c>
      <c r="J2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241)&amp;"|",All_Questions_Q20_F_wrapped)),1,0),0))</f>
        <v>1</v>
      </c>
    </row>
    <row r="243">
      <c r="A243" t="n">
        <v>242</v>
      </c>
      <c r="B243" t="n">
        <v>28.9</v>
      </c>
      <c r="C243" t="n">
        <v>24.6</v>
      </c>
      <c r="D243" t="n">
        <v>22.9</v>
      </c>
      <c r="E243">
        <f>1</f>
        <v>1</v>
      </c>
      <c r="F243">
        <f>IF(OR(F_Custom1_Q="(None)",F_Custom1_Q="",ISBLANK(F_Custom1_Q),F_Custom1_V="(All)",F_Custom1_V="",ISBLANK(F_Custom1_V)),1,IFERROR(IF(ISNUMBER(SEARCH("|"&amp;INDEX(INDIRECT(F_Custom1_resolved_column),242)&amp;"|",F_Custom1_wrapped)),1,0),0))</f>
        <v>1</v>
      </c>
      <c r="G243">
        <f>IF(OR(F_Custom2_Q="(None)",F_Custom2_Q="",ISBLANK(F_Custom2_Q),F_Custom2_V="(All)",F_Custom2_V="",ISBLANK(F_Custom2_V)),1,IFERROR(IF(ISNUMBER(SEARCH("|"&amp;INDEX(INDIRECT(F_Custom2_resolved_column),242)&amp;"|",F_Custom2_wrapped)),1,0),0))</f>
        <v>1</v>
      </c>
      <c r="H243">
        <f>F243*G243*1</f>
        <v>1</v>
      </c>
      <c r="I243">
        <f>1</f>
        <v>1</v>
      </c>
      <c r="J2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242)&amp;"|",All_Questions_Q20_F_wrapped)),1,0),0))</f>
        <v>1</v>
      </c>
    </row>
    <row r="244">
      <c r="A244" t="n">
        <v>243</v>
      </c>
      <c r="B244" t="n">
        <v>28.9</v>
      </c>
      <c r="C244" t="n">
        <v>24.6</v>
      </c>
      <c r="D244" t="n">
        <v>22.9</v>
      </c>
      <c r="E244">
        <f>1</f>
        <v>1</v>
      </c>
      <c r="F244">
        <f>IF(OR(F_Custom1_Q="(None)",F_Custom1_Q="",ISBLANK(F_Custom1_Q),F_Custom1_V="(All)",F_Custom1_V="",ISBLANK(F_Custom1_V)),1,IFERROR(IF(ISNUMBER(SEARCH("|"&amp;INDEX(INDIRECT(F_Custom1_resolved_column),243)&amp;"|",F_Custom1_wrapped)),1,0),0))</f>
        <v>1</v>
      </c>
      <c r="G244">
        <f>IF(OR(F_Custom2_Q="(None)",F_Custom2_Q="",ISBLANK(F_Custom2_Q),F_Custom2_V="(All)",F_Custom2_V="",ISBLANK(F_Custom2_V)),1,IFERROR(IF(ISNUMBER(SEARCH("|"&amp;INDEX(INDIRECT(F_Custom2_resolved_column),243)&amp;"|",F_Custom2_wrapped)),1,0),0))</f>
        <v>1</v>
      </c>
      <c r="H244">
        <f>F244*G244*1</f>
        <v>1</v>
      </c>
      <c r="I244">
        <f>1</f>
        <v>1</v>
      </c>
      <c r="J2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243)&amp;"|",All_Questions_Q20_F_wrapped)),1,0),0))</f>
        <v>1</v>
      </c>
    </row>
    <row r="245">
      <c r="A245" t="n">
        <v>244</v>
      </c>
      <c r="B245" t="n">
        <v>28.9</v>
      </c>
      <c r="C245" t="n">
        <v>24.6</v>
      </c>
      <c r="D245" t="n">
        <v>22.9</v>
      </c>
      <c r="E245">
        <f>1</f>
        <v>1</v>
      </c>
      <c r="F245">
        <f>IF(OR(F_Custom1_Q="(None)",F_Custom1_Q="",ISBLANK(F_Custom1_Q),F_Custom1_V="(All)",F_Custom1_V="",ISBLANK(F_Custom1_V)),1,IFERROR(IF(ISNUMBER(SEARCH("|"&amp;INDEX(INDIRECT(F_Custom1_resolved_column),244)&amp;"|",F_Custom1_wrapped)),1,0),0))</f>
        <v>1</v>
      </c>
      <c r="G245">
        <f>IF(OR(F_Custom2_Q="(None)",F_Custom2_Q="",ISBLANK(F_Custom2_Q),F_Custom2_V="(All)",F_Custom2_V="",ISBLANK(F_Custom2_V)),1,IFERROR(IF(ISNUMBER(SEARCH("|"&amp;INDEX(INDIRECT(F_Custom2_resolved_column),244)&amp;"|",F_Custom2_wrapped)),1,0),0))</f>
        <v>1</v>
      </c>
      <c r="H245">
        <f>F245*G245*1</f>
        <v>1</v>
      </c>
      <c r="I245">
        <f>1</f>
        <v>1</v>
      </c>
      <c r="J2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244)&amp;"|",All_Questions_Q20_F_wrapped)),1,0),0))</f>
        <v>1</v>
      </c>
    </row>
    <row r="246">
      <c r="A246" t="n">
        <v>245</v>
      </c>
      <c r="B246" t="n">
        <v>28.9</v>
      </c>
      <c r="C246" t="n">
        <v>24.6</v>
      </c>
      <c r="D246" t="n">
        <v>22.9</v>
      </c>
      <c r="E246">
        <f>1</f>
        <v>1</v>
      </c>
      <c r="F246">
        <f>IF(OR(F_Custom1_Q="(None)",F_Custom1_Q="",ISBLANK(F_Custom1_Q),F_Custom1_V="(All)",F_Custom1_V="",ISBLANK(F_Custom1_V)),1,IFERROR(IF(ISNUMBER(SEARCH("|"&amp;INDEX(INDIRECT(F_Custom1_resolved_column),245)&amp;"|",F_Custom1_wrapped)),1,0),0))</f>
        <v>1</v>
      </c>
      <c r="G246">
        <f>IF(OR(F_Custom2_Q="(None)",F_Custom2_Q="",ISBLANK(F_Custom2_Q),F_Custom2_V="(All)",F_Custom2_V="",ISBLANK(F_Custom2_V)),1,IFERROR(IF(ISNUMBER(SEARCH("|"&amp;INDEX(INDIRECT(F_Custom2_resolved_column),245)&amp;"|",F_Custom2_wrapped)),1,0),0))</f>
        <v>1</v>
      </c>
      <c r="H246">
        <f>F246*G246*1</f>
        <v>1</v>
      </c>
      <c r="I246">
        <f>1</f>
        <v>1</v>
      </c>
      <c r="J2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245)&amp;"|",All_Questions_Q20_F_wrapped)),1,0),0))</f>
        <v>1</v>
      </c>
    </row>
    <row r="247">
      <c r="A247" t="n">
        <v>246</v>
      </c>
      <c r="B247" t="n">
        <v>28.9</v>
      </c>
      <c r="C247" t="n">
        <v>24.6</v>
      </c>
      <c r="D247" t="n">
        <v>22.9</v>
      </c>
      <c r="E247">
        <f>1</f>
        <v>1</v>
      </c>
      <c r="F247">
        <f>IF(OR(F_Custom1_Q="(None)",F_Custom1_Q="",ISBLANK(F_Custom1_Q),F_Custom1_V="(All)",F_Custom1_V="",ISBLANK(F_Custom1_V)),1,IFERROR(IF(ISNUMBER(SEARCH("|"&amp;INDEX(INDIRECT(F_Custom1_resolved_column),246)&amp;"|",F_Custom1_wrapped)),1,0),0))</f>
        <v>1</v>
      </c>
      <c r="G247">
        <f>IF(OR(F_Custom2_Q="(None)",F_Custom2_Q="",ISBLANK(F_Custom2_Q),F_Custom2_V="(All)",F_Custom2_V="",ISBLANK(F_Custom2_V)),1,IFERROR(IF(ISNUMBER(SEARCH("|"&amp;INDEX(INDIRECT(F_Custom2_resolved_column),246)&amp;"|",F_Custom2_wrapped)),1,0),0))</f>
        <v>1</v>
      </c>
      <c r="H247">
        <f>F247*G247*1</f>
        <v>1</v>
      </c>
      <c r="I247">
        <f>1</f>
        <v>1</v>
      </c>
      <c r="J2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246)&amp;"|",All_Questions_Q20_F_wrapped)),1,0),0))</f>
        <v>1</v>
      </c>
    </row>
    <row r="248">
      <c r="A248" t="n">
        <v>247</v>
      </c>
      <c r="B248" t="n">
        <v>28.9</v>
      </c>
      <c r="C248" t="n">
        <v>24.6</v>
      </c>
      <c r="D248" t="n">
        <v>22.9</v>
      </c>
      <c r="E248">
        <f>1</f>
        <v>1</v>
      </c>
      <c r="F248">
        <f>IF(OR(F_Custom1_Q="(None)",F_Custom1_Q="",ISBLANK(F_Custom1_Q),F_Custom1_V="(All)",F_Custom1_V="",ISBLANK(F_Custom1_V)),1,IFERROR(IF(ISNUMBER(SEARCH("|"&amp;INDEX(INDIRECT(F_Custom1_resolved_column),247)&amp;"|",F_Custom1_wrapped)),1,0),0))</f>
        <v>1</v>
      </c>
      <c r="G248">
        <f>IF(OR(F_Custom2_Q="(None)",F_Custom2_Q="",ISBLANK(F_Custom2_Q),F_Custom2_V="(All)",F_Custom2_V="",ISBLANK(F_Custom2_V)),1,IFERROR(IF(ISNUMBER(SEARCH("|"&amp;INDEX(INDIRECT(F_Custom2_resolved_column),247)&amp;"|",F_Custom2_wrapped)),1,0),0))</f>
        <v>1</v>
      </c>
      <c r="H248">
        <f>F248*G248*1</f>
        <v>1</v>
      </c>
      <c r="I248">
        <f>1</f>
        <v>1</v>
      </c>
      <c r="J2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247)&amp;"|",All_Questions_Q20_F_wrapped)),1,0),0))</f>
        <v>1</v>
      </c>
    </row>
    <row r="249">
      <c r="A249" t="n">
        <v>248</v>
      </c>
      <c r="B249" t="n">
        <v>28.9</v>
      </c>
      <c r="C249" t="n">
        <v>24.6</v>
      </c>
      <c r="D249" t="n">
        <v>22.9</v>
      </c>
      <c r="E249">
        <f>1</f>
        <v>1</v>
      </c>
      <c r="F249">
        <f>IF(OR(F_Custom1_Q="(None)",F_Custom1_Q="",ISBLANK(F_Custom1_Q),F_Custom1_V="(All)",F_Custom1_V="",ISBLANK(F_Custom1_V)),1,IFERROR(IF(ISNUMBER(SEARCH("|"&amp;INDEX(INDIRECT(F_Custom1_resolved_column),248)&amp;"|",F_Custom1_wrapped)),1,0),0))</f>
        <v>1</v>
      </c>
      <c r="G249">
        <f>IF(OR(F_Custom2_Q="(None)",F_Custom2_Q="",ISBLANK(F_Custom2_Q),F_Custom2_V="(All)",F_Custom2_V="",ISBLANK(F_Custom2_V)),1,IFERROR(IF(ISNUMBER(SEARCH("|"&amp;INDEX(INDIRECT(F_Custom2_resolved_column),248)&amp;"|",F_Custom2_wrapped)),1,0),0))</f>
        <v>1</v>
      </c>
      <c r="H249">
        <f>F249*G249*1</f>
        <v>1</v>
      </c>
      <c r="I249">
        <f>1</f>
        <v>1</v>
      </c>
      <c r="J2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248)&amp;"|",All_Questions_Q20_F_wrapped)),1,0),0))</f>
        <v>1</v>
      </c>
    </row>
    <row r="250">
      <c r="A250" t="n">
        <v>249</v>
      </c>
      <c r="B250" t="n">
        <v>28.9</v>
      </c>
      <c r="C250" t="n">
        <v>24.6</v>
      </c>
      <c r="D250" t="n">
        <v>22.9</v>
      </c>
      <c r="E250">
        <f>1</f>
        <v>1</v>
      </c>
      <c r="F250">
        <f>IF(OR(F_Custom1_Q="(None)",F_Custom1_Q="",ISBLANK(F_Custom1_Q),F_Custom1_V="(All)",F_Custom1_V="",ISBLANK(F_Custom1_V)),1,IFERROR(IF(ISNUMBER(SEARCH("|"&amp;INDEX(INDIRECT(F_Custom1_resolved_column),249)&amp;"|",F_Custom1_wrapped)),1,0),0))</f>
        <v>1</v>
      </c>
      <c r="G250">
        <f>IF(OR(F_Custom2_Q="(None)",F_Custom2_Q="",ISBLANK(F_Custom2_Q),F_Custom2_V="(All)",F_Custom2_V="",ISBLANK(F_Custom2_V)),1,IFERROR(IF(ISNUMBER(SEARCH("|"&amp;INDEX(INDIRECT(F_Custom2_resolved_column),249)&amp;"|",F_Custom2_wrapped)),1,0),0))</f>
        <v>1</v>
      </c>
      <c r="H250">
        <f>F250*G250*1</f>
        <v>1</v>
      </c>
      <c r="I250">
        <f>1</f>
        <v>1</v>
      </c>
      <c r="J2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249)&amp;"|",All_Questions_Q20_F_wrapped)),1,0),0))</f>
        <v>1</v>
      </c>
    </row>
    <row r="251">
      <c r="A251" t="n">
        <v>250</v>
      </c>
      <c r="B251" t="n">
        <v>28.9</v>
      </c>
      <c r="C251" t="n">
        <v>24.6</v>
      </c>
      <c r="D251" t="n">
        <v>22.9</v>
      </c>
      <c r="E251">
        <f>1</f>
        <v>1</v>
      </c>
      <c r="F251">
        <f>IF(OR(F_Custom1_Q="(None)",F_Custom1_Q="",ISBLANK(F_Custom1_Q),F_Custom1_V="(All)",F_Custom1_V="",ISBLANK(F_Custom1_V)),1,IFERROR(IF(ISNUMBER(SEARCH("|"&amp;INDEX(INDIRECT(F_Custom1_resolved_column),250)&amp;"|",F_Custom1_wrapped)),1,0),0))</f>
        <v>1</v>
      </c>
      <c r="G251">
        <f>IF(OR(F_Custom2_Q="(None)",F_Custom2_Q="",ISBLANK(F_Custom2_Q),F_Custom2_V="(All)",F_Custom2_V="",ISBLANK(F_Custom2_V)),1,IFERROR(IF(ISNUMBER(SEARCH("|"&amp;INDEX(INDIRECT(F_Custom2_resolved_column),250)&amp;"|",F_Custom2_wrapped)),1,0),0))</f>
        <v>1</v>
      </c>
      <c r="H251">
        <f>F251*G251*1</f>
        <v>1</v>
      </c>
      <c r="I251">
        <f>1</f>
        <v>1</v>
      </c>
      <c r="J2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250)&amp;"|",All_Questions_Q20_F_wrapped)),1,0),0))</f>
        <v>1</v>
      </c>
    </row>
    <row r="252">
      <c r="A252" t="n">
        <v>251</v>
      </c>
      <c r="B252" t="n">
        <v>28.9</v>
      </c>
      <c r="C252" t="n">
        <v>24.6</v>
      </c>
      <c r="D252" t="n">
        <v>22.9</v>
      </c>
      <c r="E252">
        <f>1</f>
        <v>1</v>
      </c>
      <c r="F252">
        <f>IF(OR(F_Custom1_Q="(None)",F_Custom1_Q="",ISBLANK(F_Custom1_Q),F_Custom1_V="(All)",F_Custom1_V="",ISBLANK(F_Custom1_V)),1,IFERROR(IF(ISNUMBER(SEARCH("|"&amp;INDEX(INDIRECT(F_Custom1_resolved_column),251)&amp;"|",F_Custom1_wrapped)),1,0),0))</f>
        <v>1</v>
      </c>
      <c r="G252">
        <f>IF(OR(F_Custom2_Q="(None)",F_Custom2_Q="",ISBLANK(F_Custom2_Q),F_Custom2_V="(All)",F_Custom2_V="",ISBLANK(F_Custom2_V)),1,IFERROR(IF(ISNUMBER(SEARCH("|"&amp;INDEX(INDIRECT(F_Custom2_resolved_column),251)&amp;"|",F_Custom2_wrapped)),1,0),0))</f>
        <v>1</v>
      </c>
      <c r="H252">
        <f>F252*G252*1</f>
        <v>1</v>
      </c>
      <c r="I252">
        <f>1</f>
        <v>1</v>
      </c>
      <c r="J2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251)&amp;"|",All_Questions_Q20_F_wrapped)),1,0),0))</f>
        <v>1</v>
      </c>
    </row>
    <row r="253">
      <c r="A253" t="n">
        <v>252</v>
      </c>
      <c r="B253" t="n">
        <v>28.9</v>
      </c>
      <c r="C253" t="n">
        <v>24.6</v>
      </c>
      <c r="D253" t="n">
        <v>22.9</v>
      </c>
      <c r="E253">
        <f>1</f>
        <v>1</v>
      </c>
      <c r="F253">
        <f>IF(OR(F_Custom1_Q="(None)",F_Custom1_Q="",ISBLANK(F_Custom1_Q),F_Custom1_V="(All)",F_Custom1_V="",ISBLANK(F_Custom1_V)),1,IFERROR(IF(ISNUMBER(SEARCH("|"&amp;INDEX(INDIRECT(F_Custom1_resolved_column),252)&amp;"|",F_Custom1_wrapped)),1,0),0))</f>
        <v>1</v>
      </c>
      <c r="G253">
        <f>IF(OR(F_Custom2_Q="(None)",F_Custom2_Q="",ISBLANK(F_Custom2_Q),F_Custom2_V="(All)",F_Custom2_V="",ISBLANK(F_Custom2_V)),1,IFERROR(IF(ISNUMBER(SEARCH("|"&amp;INDEX(INDIRECT(F_Custom2_resolved_column),252)&amp;"|",F_Custom2_wrapped)),1,0),0))</f>
        <v>1</v>
      </c>
      <c r="H253">
        <f>F253*G253*1</f>
        <v>1</v>
      </c>
      <c r="I253">
        <f>1</f>
        <v>1</v>
      </c>
      <c r="J2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252)&amp;"|",All_Questions_Q20_F_wrapped)),1,0),0))</f>
        <v>1</v>
      </c>
    </row>
    <row r="254">
      <c r="A254" t="n">
        <v>253</v>
      </c>
      <c r="B254" t="n">
        <v>28.9</v>
      </c>
      <c r="C254" t="n">
        <v>24.6</v>
      </c>
      <c r="D254" t="n">
        <v>22.9</v>
      </c>
      <c r="E254">
        <f>1</f>
        <v>1</v>
      </c>
      <c r="F254">
        <f>IF(OR(F_Custom1_Q="(None)",F_Custom1_Q="",ISBLANK(F_Custom1_Q),F_Custom1_V="(All)",F_Custom1_V="",ISBLANK(F_Custom1_V)),1,IFERROR(IF(ISNUMBER(SEARCH("|"&amp;INDEX(INDIRECT(F_Custom1_resolved_column),253)&amp;"|",F_Custom1_wrapped)),1,0),0))</f>
        <v>1</v>
      </c>
      <c r="G254">
        <f>IF(OR(F_Custom2_Q="(None)",F_Custom2_Q="",ISBLANK(F_Custom2_Q),F_Custom2_V="(All)",F_Custom2_V="",ISBLANK(F_Custom2_V)),1,IFERROR(IF(ISNUMBER(SEARCH("|"&amp;INDEX(INDIRECT(F_Custom2_resolved_column),253)&amp;"|",F_Custom2_wrapped)),1,0),0))</f>
        <v>1</v>
      </c>
      <c r="H254">
        <f>F254*G254*1</f>
        <v>1</v>
      </c>
      <c r="I254">
        <f>1</f>
        <v>1</v>
      </c>
      <c r="J2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253)&amp;"|",All_Questions_Q20_F_wrapped)),1,0),0))</f>
        <v>1</v>
      </c>
    </row>
    <row r="255">
      <c r="A255" t="n">
        <v>254</v>
      </c>
      <c r="B255" t="n">
        <v>28.9</v>
      </c>
      <c r="C255" t="n">
        <v>24.6</v>
      </c>
      <c r="D255" t="n">
        <v>22.9</v>
      </c>
      <c r="E255">
        <f>1</f>
        <v>1</v>
      </c>
      <c r="F255">
        <f>IF(OR(F_Custom1_Q="(None)",F_Custom1_Q="",ISBLANK(F_Custom1_Q),F_Custom1_V="(All)",F_Custom1_V="",ISBLANK(F_Custom1_V)),1,IFERROR(IF(ISNUMBER(SEARCH("|"&amp;INDEX(INDIRECT(F_Custom1_resolved_column),254)&amp;"|",F_Custom1_wrapped)),1,0),0))</f>
        <v>1</v>
      </c>
      <c r="G255">
        <f>IF(OR(F_Custom2_Q="(None)",F_Custom2_Q="",ISBLANK(F_Custom2_Q),F_Custom2_V="(All)",F_Custom2_V="",ISBLANK(F_Custom2_V)),1,IFERROR(IF(ISNUMBER(SEARCH("|"&amp;INDEX(INDIRECT(F_Custom2_resolved_column),254)&amp;"|",F_Custom2_wrapped)),1,0),0))</f>
        <v>1</v>
      </c>
      <c r="H255">
        <f>F255*G255*1</f>
        <v>1</v>
      </c>
      <c r="I255">
        <f>1</f>
        <v>1</v>
      </c>
      <c r="J2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254)&amp;"|",All_Questions_Q20_F_wrapped)),1,0),0))</f>
        <v>1</v>
      </c>
    </row>
    <row r="256">
      <c r="A256" t="n">
        <v>255</v>
      </c>
      <c r="B256" t="n">
        <v>28.9</v>
      </c>
      <c r="C256" t="n">
        <v>24.6</v>
      </c>
      <c r="D256" t="n">
        <v>22.9</v>
      </c>
      <c r="E256">
        <f>1</f>
        <v>1</v>
      </c>
      <c r="F256">
        <f>IF(OR(F_Custom1_Q="(None)",F_Custom1_Q="",ISBLANK(F_Custom1_Q),F_Custom1_V="(All)",F_Custom1_V="",ISBLANK(F_Custom1_V)),1,IFERROR(IF(ISNUMBER(SEARCH("|"&amp;INDEX(INDIRECT(F_Custom1_resolved_column),255)&amp;"|",F_Custom1_wrapped)),1,0),0))</f>
        <v>1</v>
      </c>
      <c r="G256">
        <f>IF(OR(F_Custom2_Q="(None)",F_Custom2_Q="",ISBLANK(F_Custom2_Q),F_Custom2_V="(All)",F_Custom2_V="",ISBLANK(F_Custom2_V)),1,IFERROR(IF(ISNUMBER(SEARCH("|"&amp;INDEX(INDIRECT(F_Custom2_resolved_column),255)&amp;"|",F_Custom2_wrapped)),1,0),0))</f>
        <v>1</v>
      </c>
      <c r="H256">
        <f>F256*G256*1</f>
        <v>1</v>
      </c>
      <c r="I256">
        <f>1</f>
        <v>1</v>
      </c>
      <c r="J2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255)&amp;"|",All_Questions_Q20_F_wrapped)),1,0),0))</f>
        <v>1</v>
      </c>
    </row>
    <row r="257">
      <c r="A257" t="n">
        <v>256</v>
      </c>
      <c r="B257" t="n">
        <v>28.9</v>
      </c>
      <c r="C257" t="n">
        <v>24.6</v>
      </c>
      <c r="D257" t="n">
        <v>22.9</v>
      </c>
      <c r="E257">
        <f>1</f>
        <v>1</v>
      </c>
      <c r="F257">
        <f>IF(OR(F_Custom1_Q="(None)",F_Custom1_Q="",ISBLANK(F_Custom1_Q),F_Custom1_V="(All)",F_Custom1_V="",ISBLANK(F_Custom1_V)),1,IFERROR(IF(ISNUMBER(SEARCH("|"&amp;INDEX(INDIRECT(F_Custom1_resolved_column),256)&amp;"|",F_Custom1_wrapped)),1,0),0))</f>
        <v>1</v>
      </c>
      <c r="G257">
        <f>IF(OR(F_Custom2_Q="(None)",F_Custom2_Q="",ISBLANK(F_Custom2_Q),F_Custom2_V="(All)",F_Custom2_V="",ISBLANK(F_Custom2_V)),1,IFERROR(IF(ISNUMBER(SEARCH("|"&amp;INDEX(INDIRECT(F_Custom2_resolved_column),256)&amp;"|",F_Custom2_wrapped)),1,0),0))</f>
        <v>1</v>
      </c>
      <c r="H257">
        <f>F257*G257*1</f>
        <v>1</v>
      </c>
      <c r="I257">
        <f>1</f>
        <v>1</v>
      </c>
      <c r="J2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256)&amp;"|",All_Questions_Q20_F_wrapped)),1,0),0))</f>
        <v>1</v>
      </c>
    </row>
    <row r="258">
      <c r="A258" t="n">
        <v>257</v>
      </c>
      <c r="B258" t="n">
        <v>28.9</v>
      </c>
      <c r="C258" t="n">
        <v>24.6</v>
      </c>
      <c r="D258" t="n">
        <v>22.9</v>
      </c>
      <c r="E258">
        <f>1</f>
        <v>1</v>
      </c>
      <c r="F258">
        <f>IF(OR(F_Custom1_Q="(None)",F_Custom1_Q="",ISBLANK(F_Custom1_Q),F_Custom1_V="(All)",F_Custom1_V="",ISBLANK(F_Custom1_V)),1,IFERROR(IF(ISNUMBER(SEARCH("|"&amp;INDEX(INDIRECT(F_Custom1_resolved_column),257)&amp;"|",F_Custom1_wrapped)),1,0),0))</f>
        <v>1</v>
      </c>
      <c r="G258">
        <f>IF(OR(F_Custom2_Q="(None)",F_Custom2_Q="",ISBLANK(F_Custom2_Q),F_Custom2_V="(All)",F_Custom2_V="",ISBLANK(F_Custom2_V)),1,IFERROR(IF(ISNUMBER(SEARCH("|"&amp;INDEX(INDIRECT(F_Custom2_resolved_column),257)&amp;"|",F_Custom2_wrapped)),1,0),0))</f>
        <v>1</v>
      </c>
      <c r="H258">
        <f>F258*G258*1</f>
        <v>1</v>
      </c>
      <c r="I258">
        <f>1</f>
        <v>1</v>
      </c>
      <c r="J2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257)&amp;"|",All_Questions_Q20_F_wrapped)),1,0),0))</f>
        <v>1</v>
      </c>
    </row>
    <row r="259">
      <c r="A259" t="n">
        <v>258</v>
      </c>
      <c r="B259" t="n">
        <v>28.9</v>
      </c>
      <c r="C259" t="n">
        <v>24.6</v>
      </c>
      <c r="D259" t="n">
        <v>22.9</v>
      </c>
      <c r="E259">
        <f>1</f>
        <v>1</v>
      </c>
      <c r="F259">
        <f>IF(OR(F_Custom1_Q="(None)",F_Custom1_Q="",ISBLANK(F_Custom1_Q),F_Custom1_V="(All)",F_Custom1_V="",ISBLANK(F_Custom1_V)),1,IFERROR(IF(ISNUMBER(SEARCH("|"&amp;INDEX(INDIRECT(F_Custom1_resolved_column),258)&amp;"|",F_Custom1_wrapped)),1,0),0))</f>
        <v>1</v>
      </c>
      <c r="G259">
        <f>IF(OR(F_Custom2_Q="(None)",F_Custom2_Q="",ISBLANK(F_Custom2_Q),F_Custom2_V="(All)",F_Custom2_V="",ISBLANK(F_Custom2_V)),1,IFERROR(IF(ISNUMBER(SEARCH("|"&amp;INDEX(INDIRECT(F_Custom2_resolved_column),258)&amp;"|",F_Custom2_wrapped)),1,0),0))</f>
        <v>1</v>
      </c>
      <c r="H259">
        <f>F259*G259*1</f>
        <v>1</v>
      </c>
      <c r="I259">
        <f>1</f>
        <v>1</v>
      </c>
      <c r="J2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258)&amp;"|",All_Questions_Q20_F_wrapped)),1,0),0))</f>
        <v>1</v>
      </c>
    </row>
    <row r="260">
      <c r="A260" t="n">
        <v>259</v>
      </c>
      <c r="B260" t="n">
        <v>28.9</v>
      </c>
      <c r="C260" t="n">
        <v>24.6</v>
      </c>
      <c r="D260" t="n">
        <v>22.9</v>
      </c>
      <c r="E260">
        <f>1</f>
        <v>1</v>
      </c>
      <c r="F260">
        <f>IF(OR(F_Custom1_Q="(None)",F_Custom1_Q="",ISBLANK(F_Custom1_Q),F_Custom1_V="(All)",F_Custom1_V="",ISBLANK(F_Custom1_V)),1,IFERROR(IF(ISNUMBER(SEARCH("|"&amp;INDEX(INDIRECT(F_Custom1_resolved_column),259)&amp;"|",F_Custom1_wrapped)),1,0),0))</f>
        <v>1</v>
      </c>
      <c r="G260">
        <f>IF(OR(F_Custom2_Q="(None)",F_Custom2_Q="",ISBLANK(F_Custom2_Q),F_Custom2_V="(All)",F_Custom2_V="",ISBLANK(F_Custom2_V)),1,IFERROR(IF(ISNUMBER(SEARCH("|"&amp;INDEX(INDIRECT(F_Custom2_resolved_column),259)&amp;"|",F_Custom2_wrapped)),1,0),0))</f>
        <v>1</v>
      </c>
      <c r="H260">
        <f>F260*G260*1</f>
        <v>1</v>
      </c>
      <c r="I260">
        <f>1</f>
        <v>1</v>
      </c>
      <c r="J2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259)&amp;"|",All_Questions_Q20_F_wrapped)),1,0),0))</f>
        <v>1</v>
      </c>
    </row>
    <row r="261">
      <c r="A261" t="n">
        <v>260</v>
      </c>
      <c r="B261" t="n">
        <v>28.9</v>
      </c>
      <c r="C261" t="n">
        <v>24.6</v>
      </c>
      <c r="D261" t="n">
        <v>22.9</v>
      </c>
      <c r="E261">
        <f>1</f>
        <v>1</v>
      </c>
      <c r="F261">
        <f>IF(OR(F_Custom1_Q="(None)",F_Custom1_Q="",ISBLANK(F_Custom1_Q),F_Custom1_V="(All)",F_Custom1_V="",ISBLANK(F_Custom1_V)),1,IFERROR(IF(ISNUMBER(SEARCH("|"&amp;INDEX(INDIRECT(F_Custom1_resolved_column),260)&amp;"|",F_Custom1_wrapped)),1,0),0))</f>
        <v>1</v>
      </c>
      <c r="G261">
        <f>IF(OR(F_Custom2_Q="(None)",F_Custom2_Q="",ISBLANK(F_Custom2_Q),F_Custom2_V="(All)",F_Custom2_V="",ISBLANK(F_Custom2_V)),1,IFERROR(IF(ISNUMBER(SEARCH("|"&amp;INDEX(INDIRECT(F_Custom2_resolved_column),260)&amp;"|",F_Custom2_wrapped)),1,0),0))</f>
        <v>1</v>
      </c>
      <c r="H261">
        <f>F261*G261*1</f>
        <v>1</v>
      </c>
      <c r="I261">
        <f>1</f>
        <v>1</v>
      </c>
      <c r="J2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260)&amp;"|",All_Questions_Q20_F_wrapped)),1,0),0))</f>
        <v>1</v>
      </c>
    </row>
    <row r="262">
      <c r="A262" t="n">
        <v>261</v>
      </c>
      <c r="B262" t="n">
        <v>28.9</v>
      </c>
      <c r="C262" t="n">
        <v>24.6</v>
      </c>
      <c r="D262" t="n">
        <v>22.9</v>
      </c>
      <c r="E262">
        <f>1</f>
        <v>1</v>
      </c>
      <c r="F262">
        <f>IF(OR(F_Custom1_Q="(None)",F_Custom1_Q="",ISBLANK(F_Custom1_Q),F_Custom1_V="(All)",F_Custom1_V="",ISBLANK(F_Custom1_V)),1,IFERROR(IF(ISNUMBER(SEARCH("|"&amp;INDEX(INDIRECT(F_Custom1_resolved_column),261)&amp;"|",F_Custom1_wrapped)),1,0),0))</f>
        <v>1</v>
      </c>
      <c r="G262">
        <f>IF(OR(F_Custom2_Q="(None)",F_Custom2_Q="",ISBLANK(F_Custom2_Q),F_Custom2_V="(All)",F_Custom2_V="",ISBLANK(F_Custom2_V)),1,IFERROR(IF(ISNUMBER(SEARCH("|"&amp;INDEX(INDIRECT(F_Custom2_resolved_column),261)&amp;"|",F_Custom2_wrapped)),1,0),0))</f>
        <v>1</v>
      </c>
      <c r="H262">
        <f>F262*G262*1</f>
        <v>1</v>
      </c>
      <c r="I262">
        <f>1</f>
        <v>1</v>
      </c>
      <c r="J2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261)&amp;"|",All_Questions_Q20_F_wrapped)),1,0),0))</f>
        <v>1</v>
      </c>
    </row>
    <row r="263">
      <c r="A263" t="n">
        <v>262</v>
      </c>
      <c r="B263" t="n">
        <v>28.9</v>
      </c>
      <c r="C263" t="n">
        <v>24.6</v>
      </c>
      <c r="D263" t="n">
        <v>22.9</v>
      </c>
      <c r="E263">
        <f>1</f>
        <v>1</v>
      </c>
      <c r="F263">
        <f>IF(OR(F_Custom1_Q="(None)",F_Custom1_Q="",ISBLANK(F_Custom1_Q),F_Custom1_V="(All)",F_Custom1_V="",ISBLANK(F_Custom1_V)),1,IFERROR(IF(ISNUMBER(SEARCH("|"&amp;INDEX(INDIRECT(F_Custom1_resolved_column),262)&amp;"|",F_Custom1_wrapped)),1,0),0))</f>
        <v>1</v>
      </c>
      <c r="G263">
        <f>IF(OR(F_Custom2_Q="(None)",F_Custom2_Q="",ISBLANK(F_Custom2_Q),F_Custom2_V="(All)",F_Custom2_V="",ISBLANK(F_Custom2_V)),1,IFERROR(IF(ISNUMBER(SEARCH("|"&amp;INDEX(INDIRECT(F_Custom2_resolved_column),262)&amp;"|",F_Custom2_wrapped)),1,0),0))</f>
        <v>1</v>
      </c>
      <c r="H263">
        <f>F263*G263*1</f>
        <v>1</v>
      </c>
      <c r="I263">
        <f>1</f>
        <v>1</v>
      </c>
      <c r="J2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262)&amp;"|",All_Questions_Q20_F_wrapped)),1,0),0))</f>
        <v>1</v>
      </c>
    </row>
    <row r="264">
      <c r="A264" t="n">
        <v>263</v>
      </c>
      <c r="B264" t="n">
        <v>28.9</v>
      </c>
      <c r="C264" t="n">
        <v>24.6</v>
      </c>
      <c r="D264" t="n">
        <v>22.9</v>
      </c>
      <c r="E264">
        <f>1</f>
        <v>1</v>
      </c>
      <c r="F264">
        <f>IF(OR(F_Custom1_Q="(None)",F_Custom1_Q="",ISBLANK(F_Custom1_Q),F_Custom1_V="(All)",F_Custom1_V="",ISBLANK(F_Custom1_V)),1,IFERROR(IF(ISNUMBER(SEARCH("|"&amp;INDEX(INDIRECT(F_Custom1_resolved_column),263)&amp;"|",F_Custom1_wrapped)),1,0),0))</f>
        <v>1</v>
      </c>
      <c r="G264">
        <f>IF(OR(F_Custom2_Q="(None)",F_Custom2_Q="",ISBLANK(F_Custom2_Q),F_Custom2_V="(All)",F_Custom2_V="",ISBLANK(F_Custom2_V)),1,IFERROR(IF(ISNUMBER(SEARCH("|"&amp;INDEX(INDIRECT(F_Custom2_resolved_column),263)&amp;"|",F_Custom2_wrapped)),1,0),0))</f>
        <v>1</v>
      </c>
      <c r="H264">
        <f>F264*G264*1</f>
        <v>1</v>
      </c>
      <c r="I264">
        <f>1</f>
        <v>1</v>
      </c>
      <c r="J2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263)&amp;"|",All_Questions_Q20_F_wrapped)),1,0),0))</f>
        <v>1</v>
      </c>
    </row>
    <row r="265">
      <c r="A265" t="n">
        <v>264</v>
      </c>
      <c r="B265" t="n">
        <v>28.9</v>
      </c>
      <c r="C265" t="n">
        <v>24.6</v>
      </c>
      <c r="D265" t="n">
        <v>22.9</v>
      </c>
      <c r="E265">
        <f>1</f>
        <v>1</v>
      </c>
      <c r="F265">
        <f>IF(OR(F_Custom1_Q="(None)",F_Custom1_Q="",ISBLANK(F_Custom1_Q),F_Custom1_V="(All)",F_Custom1_V="",ISBLANK(F_Custom1_V)),1,IFERROR(IF(ISNUMBER(SEARCH("|"&amp;INDEX(INDIRECT(F_Custom1_resolved_column),264)&amp;"|",F_Custom1_wrapped)),1,0),0))</f>
        <v>1</v>
      </c>
      <c r="G265">
        <f>IF(OR(F_Custom2_Q="(None)",F_Custom2_Q="",ISBLANK(F_Custom2_Q),F_Custom2_V="(All)",F_Custom2_V="",ISBLANK(F_Custom2_V)),1,IFERROR(IF(ISNUMBER(SEARCH("|"&amp;INDEX(INDIRECT(F_Custom2_resolved_column),264)&amp;"|",F_Custom2_wrapped)),1,0),0))</f>
        <v>1</v>
      </c>
      <c r="H265">
        <f>F265*G265*1</f>
        <v>1</v>
      </c>
      <c r="I265">
        <f>1</f>
        <v>1</v>
      </c>
      <c r="J2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264)&amp;"|",All_Questions_Q20_F_wrapped)),1,0),0))</f>
        <v>1</v>
      </c>
    </row>
    <row r="266">
      <c r="A266" t="n">
        <v>265</v>
      </c>
      <c r="B266" t="n">
        <v>28.9</v>
      </c>
      <c r="C266" t="n">
        <v>24.6</v>
      </c>
      <c r="D266" t="n">
        <v>22.9</v>
      </c>
      <c r="E266">
        <f>1</f>
        <v>1</v>
      </c>
      <c r="F266">
        <f>IF(OR(F_Custom1_Q="(None)",F_Custom1_Q="",ISBLANK(F_Custom1_Q),F_Custom1_V="(All)",F_Custom1_V="",ISBLANK(F_Custom1_V)),1,IFERROR(IF(ISNUMBER(SEARCH("|"&amp;INDEX(INDIRECT(F_Custom1_resolved_column),265)&amp;"|",F_Custom1_wrapped)),1,0),0))</f>
        <v>1</v>
      </c>
      <c r="G266">
        <f>IF(OR(F_Custom2_Q="(None)",F_Custom2_Q="",ISBLANK(F_Custom2_Q),F_Custom2_V="(All)",F_Custom2_V="",ISBLANK(F_Custom2_V)),1,IFERROR(IF(ISNUMBER(SEARCH("|"&amp;INDEX(INDIRECT(F_Custom2_resolved_column),265)&amp;"|",F_Custom2_wrapped)),1,0),0))</f>
        <v>1</v>
      </c>
      <c r="H266">
        <f>F266*G266*1</f>
        <v>1</v>
      </c>
      <c r="I266">
        <f>1</f>
        <v>1</v>
      </c>
      <c r="J2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265)&amp;"|",All_Questions_Q20_F_wrapped)),1,0),0))</f>
        <v>1</v>
      </c>
    </row>
    <row r="267">
      <c r="A267" t="n">
        <v>266</v>
      </c>
      <c r="B267" t="n">
        <v>28.9</v>
      </c>
      <c r="C267" t="n">
        <v>24.6</v>
      </c>
      <c r="D267" t="n">
        <v>22.9</v>
      </c>
      <c r="E267">
        <f>1</f>
        <v>1</v>
      </c>
      <c r="F267">
        <f>IF(OR(F_Custom1_Q="(None)",F_Custom1_Q="",ISBLANK(F_Custom1_Q),F_Custom1_V="(All)",F_Custom1_V="",ISBLANK(F_Custom1_V)),1,IFERROR(IF(ISNUMBER(SEARCH("|"&amp;INDEX(INDIRECT(F_Custom1_resolved_column),266)&amp;"|",F_Custom1_wrapped)),1,0),0))</f>
        <v>1</v>
      </c>
      <c r="G267">
        <f>IF(OR(F_Custom2_Q="(None)",F_Custom2_Q="",ISBLANK(F_Custom2_Q),F_Custom2_V="(All)",F_Custom2_V="",ISBLANK(F_Custom2_V)),1,IFERROR(IF(ISNUMBER(SEARCH("|"&amp;INDEX(INDIRECT(F_Custom2_resolved_column),266)&amp;"|",F_Custom2_wrapped)),1,0),0))</f>
        <v>1</v>
      </c>
      <c r="H267">
        <f>F267*G267*1</f>
        <v>1</v>
      </c>
      <c r="I267">
        <f>1</f>
        <v>1</v>
      </c>
      <c r="J2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266)&amp;"|",All_Questions_Q20_F_wrapped)),1,0),0))</f>
        <v>1</v>
      </c>
    </row>
    <row r="268">
      <c r="A268" t="n">
        <v>267</v>
      </c>
      <c r="B268" t="n">
        <v>28.9</v>
      </c>
      <c r="C268" t="n">
        <v>24.6</v>
      </c>
      <c r="D268" t="n">
        <v>22.9</v>
      </c>
      <c r="E268">
        <f>1</f>
        <v>1</v>
      </c>
      <c r="F268">
        <f>IF(OR(F_Custom1_Q="(None)",F_Custom1_Q="",ISBLANK(F_Custom1_Q),F_Custom1_V="(All)",F_Custom1_V="",ISBLANK(F_Custom1_V)),1,IFERROR(IF(ISNUMBER(SEARCH("|"&amp;INDEX(INDIRECT(F_Custom1_resolved_column),267)&amp;"|",F_Custom1_wrapped)),1,0),0))</f>
        <v>1</v>
      </c>
      <c r="G268">
        <f>IF(OR(F_Custom2_Q="(None)",F_Custom2_Q="",ISBLANK(F_Custom2_Q),F_Custom2_V="(All)",F_Custom2_V="",ISBLANK(F_Custom2_V)),1,IFERROR(IF(ISNUMBER(SEARCH("|"&amp;INDEX(INDIRECT(F_Custom2_resolved_column),267)&amp;"|",F_Custom2_wrapped)),1,0),0))</f>
        <v>1</v>
      </c>
      <c r="H268">
        <f>F268*G268*1</f>
        <v>1</v>
      </c>
      <c r="I268">
        <f>1</f>
        <v>1</v>
      </c>
      <c r="J2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267)&amp;"|",All_Questions_Q20_F_wrapped)),1,0),0))</f>
        <v>1</v>
      </c>
    </row>
    <row r="269">
      <c r="A269" t="n">
        <v>268</v>
      </c>
      <c r="B269" t="n">
        <v>28.9</v>
      </c>
      <c r="C269" t="n">
        <v>24.6</v>
      </c>
      <c r="D269" t="n">
        <v>22.9</v>
      </c>
      <c r="E269">
        <f>1</f>
        <v>1</v>
      </c>
      <c r="F269">
        <f>IF(OR(F_Custom1_Q="(None)",F_Custom1_Q="",ISBLANK(F_Custom1_Q),F_Custom1_V="(All)",F_Custom1_V="",ISBLANK(F_Custom1_V)),1,IFERROR(IF(ISNUMBER(SEARCH("|"&amp;INDEX(INDIRECT(F_Custom1_resolved_column),268)&amp;"|",F_Custom1_wrapped)),1,0),0))</f>
        <v>1</v>
      </c>
      <c r="G269">
        <f>IF(OR(F_Custom2_Q="(None)",F_Custom2_Q="",ISBLANK(F_Custom2_Q),F_Custom2_V="(All)",F_Custom2_V="",ISBLANK(F_Custom2_V)),1,IFERROR(IF(ISNUMBER(SEARCH("|"&amp;INDEX(INDIRECT(F_Custom2_resolved_column),268)&amp;"|",F_Custom2_wrapped)),1,0),0))</f>
        <v>1</v>
      </c>
      <c r="H269">
        <f>F269*G269*1</f>
        <v>1</v>
      </c>
      <c r="I269">
        <f>1</f>
        <v>1</v>
      </c>
      <c r="J2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268)&amp;"|",All_Questions_Q20_F_wrapped)),1,0),0))</f>
        <v>1</v>
      </c>
    </row>
    <row r="270">
      <c r="A270" t="n">
        <v>269</v>
      </c>
      <c r="B270" t="n">
        <v>28.9</v>
      </c>
      <c r="C270" t="n">
        <v>24.6</v>
      </c>
      <c r="D270" t="n">
        <v>22.9</v>
      </c>
      <c r="E270">
        <f>1</f>
        <v>1</v>
      </c>
      <c r="F270">
        <f>IF(OR(F_Custom1_Q="(None)",F_Custom1_Q="",ISBLANK(F_Custom1_Q),F_Custom1_V="(All)",F_Custom1_V="",ISBLANK(F_Custom1_V)),1,IFERROR(IF(ISNUMBER(SEARCH("|"&amp;INDEX(INDIRECT(F_Custom1_resolved_column),269)&amp;"|",F_Custom1_wrapped)),1,0),0))</f>
        <v>1</v>
      </c>
      <c r="G270">
        <f>IF(OR(F_Custom2_Q="(None)",F_Custom2_Q="",ISBLANK(F_Custom2_Q),F_Custom2_V="(All)",F_Custom2_V="",ISBLANK(F_Custom2_V)),1,IFERROR(IF(ISNUMBER(SEARCH("|"&amp;INDEX(INDIRECT(F_Custom2_resolved_column),269)&amp;"|",F_Custom2_wrapped)),1,0),0))</f>
        <v>1</v>
      </c>
      <c r="H270">
        <f>F270*G270*1</f>
        <v>1</v>
      </c>
      <c r="I270">
        <f>1</f>
        <v>1</v>
      </c>
      <c r="J2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269)&amp;"|",All_Questions_Q20_F_wrapped)),1,0),0))</f>
        <v>1</v>
      </c>
    </row>
    <row r="271">
      <c r="A271" t="n">
        <v>270</v>
      </c>
      <c r="B271" t="n">
        <v>28.9</v>
      </c>
      <c r="C271" t="n">
        <v>24.6</v>
      </c>
      <c r="D271" t="n">
        <v>22.9</v>
      </c>
      <c r="E271">
        <f>1</f>
        <v>1</v>
      </c>
      <c r="F271">
        <f>IF(OR(F_Custom1_Q="(None)",F_Custom1_Q="",ISBLANK(F_Custom1_Q),F_Custom1_V="(All)",F_Custom1_V="",ISBLANK(F_Custom1_V)),1,IFERROR(IF(ISNUMBER(SEARCH("|"&amp;INDEX(INDIRECT(F_Custom1_resolved_column),270)&amp;"|",F_Custom1_wrapped)),1,0),0))</f>
        <v>1</v>
      </c>
      <c r="G271">
        <f>IF(OR(F_Custom2_Q="(None)",F_Custom2_Q="",ISBLANK(F_Custom2_Q),F_Custom2_V="(All)",F_Custom2_V="",ISBLANK(F_Custom2_V)),1,IFERROR(IF(ISNUMBER(SEARCH("|"&amp;INDEX(INDIRECT(F_Custom2_resolved_column),270)&amp;"|",F_Custom2_wrapped)),1,0),0))</f>
        <v>1</v>
      </c>
      <c r="H271">
        <f>F271*G271*1</f>
        <v>1</v>
      </c>
      <c r="I271">
        <f>1</f>
        <v>1</v>
      </c>
      <c r="J2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270)&amp;"|",All_Questions_Q20_F_wrapped)),1,0),0))</f>
        <v>1</v>
      </c>
    </row>
    <row r="272">
      <c r="A272" t="n">
        <v>271</v>
      </c>
      <c r="B272" t="n">
        <v>28.9</v>
      </c>
      <c r="C272" t="n">
        <v>24.6</v>
      </c>
      <c r="D272" t="n">
        <v>22.9</v>
      </c>
      <c r="E272">
        <f>1</f>
        <v>1</v>
      </c>
      <c r="F272">
        <f>IF(OR(F_Custom1_Q="(None)",F_Custom1_Q="",ISBLANK(F_Custom1_Q),F_Custom1_V="(All)",F_Custom1_V="",ISBLANK(F_Custom1_V)),1,IFERROR(IF(ISNUMBER(SEARCH("|"&amp;INDEX(INDIRECT(F_Custom1_resolved_column),271)&amp;"|",F_Custom1_wrapped)),1,0),0))</f>
        <v>1</v>
      </c>
      <c r="G272">
        <f>IF(OR(F_Custom2_Q="(None)",F_Custom2_Q="",ISBLANK(F_Custom2_Q),F_Custom2_V="(All)",F_Custom2_V="",ISBLANK(F_Custom2_V)),1,IFERROR(IF(ISNUMBER(SEARCH("|"&amp;INDEX(INDIRECT(F_Custom2_resolved_column),271)&amp;"|",F_Custom2_wrapped)),1,0),0))</f>
        <v>1</v>
      </c>
      <c r="H272">
        <f>F272*G272*1</f>
        <v>1</v>
      </c>
      <c r="I272">
        <f>1</f>
        <v>1</v>
      </c>
      <c r="J2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271)&amp;"|",All_Questions_Q20_F_wrapped)),1,0),0))</f>
        <v>1</v>
      </c>
    </row>
    <row r="273">
      <c r="A273" t="n">
        <v>272</v>
      </c>
      <c r="B273" t="n">
        <v>28.9</v>
      </c>
      <c r="C273" t="n">
        <v>24.6</v>
      </c>
      <c r="D273" t="n">
        <v>22.9</v>
      </c>
      <c r="E273">
        <f>1</f>
        <v>1</v>
      </c>
      <c r="F273">
        <f>IF(OR(F_Custom1_Q="(None)",F_Custom1_Q="",ISBLANK(F_Custom1_Q),F_Custom1_V="(All)",F_Custom1_V="",ISBLANK(F_Custom1_V)),1,IFERROR(IF(ISNUMBER(SEARCH("|"&amp;INDEX(INDIRECT(F_Custom1_resolved_column),272)&amp;"|",F_Custom1_wrapped)),1,0),0))</f>
        <v>1</v>
      </c>
      <c r="G273">
        <f>IF(OR(F_Custom2_Q="(None)",F_Custom2_Q="",ISBLANK(F_Custom2_Q),F_Custom2_V="(All)",F_Custom2_V="",ISBLANK(F_Custom2_V)),1,IFERROR(IF(ISNUMBER(SEARCH("|"&amp;INDEX(INDIRECT(F_Custom2_resolved_column),272)&amp;"|",F_Custom2_wrapped)),1,0),0))</f>
        <v>1</v>
      </c>
      <c r="H273">
        <f>F273*G273*1</f>
        <v>1</v>
      </c>
      <c r="I273">
        <f>1</f>
        <v>1</v>
      </c>
      <c r="J2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272)&amp;"|",All_Questions_Q20_F_wrapped)),1,0),0))</f>
        <v>1</v>
      </c>
    </row>
    <row r="274">
      <c r="A274" t="n">
        <v>273</v>
      </c>
      <c r="B274" t="n">
        <v>28.9</v>
      </c>
      <c r="C274" t="n">
        <v>24.6</v>
      </c>
      <c r="D274" t="n">
        <v>22.9</v>
      </c>
      <c r="E274">
        <f>1</f>
        <v>1</v>
      </c>
      <c r="F274">
        <f>IF(OR(F_Custom1_Q="(None)",F_Custom1_Q="",ISBLANK(F_Custom1_Q),F_Custom1_V="(All)",F_Custom1_V="",ISBLANK(F_Custom1_V)),1,IFERROR(IF(ISNUMBER(SEARCH("|"&amp;INDEX(INDIRECT(F_Custom1_resolved_column),273)&amp;"|",F_Custom1_wrapped)),1,0),0))</f>
        <v>1</v>
      </c>
      <c r="G274">
        <f>IF(OR(F_Custom2_Q="(None)",F_Custom2_Q="",ISBLANK(F_Custom2_Q),F_Custom2_V="(All)",F_Custom2_V="",ISBLANK(F_Custom2_V)),1,IFERROR(IF(ISNUMBER(SEARCH("|"&amp;INDEX(INDIRECT(F_Custom2_resolved_column),273)&amp;"|",F_Custom2_wrapped)),1,0),0))</f>
        <v>1</v>
      </c>
      <c r="H274">
        <f>F274*G274*1</f>
        <v>1</v>
      </c>
      <c r="I274">
        <f>1</f>
        <v>1</v>
      </c>
      <c r="J2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273)&amp;"|",All_Questions_Q20_F_wrapped)),1,0),0))</f>
        <v>1</v>
      </c>
    </row>
    <row r="275">
      <c r="A275" t="n">
        <v>274</v>
      </c>
      <c r="B275" t="n">
        <v>28.9</v>
      </c>
      <c r="C275" t="n">
        <v>24.6</v>
      </c>
      <c r="D275" t="n">
        <v>22.9</v>
      </c>
      <c r="E275">
        <f>1</f>
        <v>1</v>
      </c>
      <c r="F275">
        <f>IF(OR(F_Custom1_Q="(None)",F_Custom1_Q="",ISBLANK(F_Custom1_Q),F_Custom1_V="(All)",F_Custom1_V="",ISBLANK(F_Custom1_V)),1,IFERROR(IF(ISNUMBER(SEARCH("|"&amp;INDEX(INDIRECT(F_Custom1_resolved_column),274)&amp;"|",F_Custom1_wrapped)),1,0),0))</f>
        <v>1</v>
      </c>
      <c r="G275">
        <f>IF(OR(F_Custom2_Q="(None)",F_Custom2_Q="",ISBLANK(F_Custom2_Q),F_Custom2_V="(All)",F_Custom2_V="",ISBLANK(F_Custom2_V)),1,IFERROR(IF(ISNUMBER(SEARCH("|"&amp;INDEX(INDIRECT(F_Custom2_resolved_column),274)&amp;"|",F_Custom2_wrapped)),1,0),0))</f>
        <v>1</v>
      </c>
      <c r="H275">
        <f>F275*G275*1</f>
        <v>1</v>
      </c>
      <c r="I275">
        <f>1</f>
        <v>1</v>
      </c>
      <c r="J2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274)&amp;"|",All_Questions_Q20_F_wrapped)),1,0),0))</f>
        <v>1</v>
      </c>
    </row>
    <row r="276">
      <c r="A276" t="n">
        <v>275</v>
      </c>
      <c r="B276" t="n">
        <v>28.9</v>
      </c>
      <c r="C276" t="n">
        <v>24.6</v>
      </c>
      <c r="D276" t="n">
        <v>22.9</v>
      </c>
      <c r="E276">
        <f>1</f>
        <v>1</v>
      </c>
      <c r="F276">
        <f>IF(OR(F_Custom1_Q="(None)",F_Custom1_Q="",ISBLANK(F_Custom1_Q),F_Custom1_V="(All)",F_Custom1_V="",ISBLANK(F_Custom1_V)),1,IFERROR(IF(ISNUMBER(SEARCH("|"&amp;INDEX(INDIRECT(F_Custom1_resolved_column),275)&amp;"|",F_Custom1_wrapped)),1,0),0))</f>
        <v>1</v>
      </c>
      <c r="G276">
        <f>IF(OR(F_Custom2_Q="(None)",F_Custom2_Q="",ISBLANK(F_Custom2_Q),F_Custom2_V="(All)",F_Custom2_V="",ISBLANK(F_Custom2_V)),1,IFERROR(IF(ISNUMBER(SEARCH("|"&amp;INDEX(INDIRECT(F_Custom2_resolved_column),275)&amp;"|",F_Custom2_wrapped)),1,0),0))</f>
        <v>1</v>
      </c>
      <c r="H276">
        <f>F276*G276*1</f>
        <v>1</v>
      </c>
      <c r="I276">
        <f>1</f>
        <v>1</v>
      </c>
      <c r="J2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275)&amp;"|",All_Questions_Q20_F_wrapped)),1,0),0))</f>
        <v>1</v>
      </c>
    </row>
    <row r="277">
      <c r="A277" t="n">
        <v>276</v>
      </c>
      <c r="B277" t="n">
        <v>28.9</v>
      </c>
      <c r="C277" t="n">
        <v>24.6</v>
      </c>
      <c r="D277" t="n">
        <v>22.9</v>
      </c>
      <c r="E277">
        <f>1</f>
        <v>1</v>
      </c>
      <c r="F277">
        <f>IF(OR(F_Custom1_Q="(None)",F_Custom1_Q="",ISBLANK(F_Custom1_Q),F_Custom1_V="(All)",F_Custom1_V="",ISBLANK(F_Custom1_V)),1,IFERROR(IF(ISNUMBER(SEARCH("|"&amp;INDEX(INDIRECT(F_Custom1_resolved_column),276)&amp;"|",F_Custom1_wrapped)),1,0),0))</f>
        <v>1</v>
      </c>
      <c r="G277">
        <f>IF(OR(F_Custom2_Q="(None)",F_Custom2_Q="",ISBLANK(F_Custom2_Q),F_Custom2_V="(All)",F_Custom2_V="",ISBLANK(F_Custom2_V)),1,IFERROR(IF(ISNUMBER(SEARCH("|"&amp;INDEX(INDIRECT(F_Custom2_resolved_column),276)&amp;"|",F_Custom2_wrapped)),1,0),0))</f>
        <v>1</v>
      </c>
      <c r="H277">
        <f>F277*G277*1</f>
        <v>1</v>
      </c>
      <c r="I277">
        <f>1</f>
        <v>1</v>
      </c>
      <c r="J2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276)&amp;"|",All_Questions_Q20_F_wrapped)),1,0),0))</f>
        <v>1</v>
      </c>
    </row>
    <row r="278">
      <c r="A278" t="n">
        <v>277</v>
      </c>
      <c r="B278" t="n">
        <v>28.9</v>
      </c>
      <c r="C278" t="n">
        <v>24.6</v>
      </c>
      <c r="D278" t="n">
        <v>22.9</v>
      </c>
      <c r="E278">
        <f>1</f>
        <v>1</v>
      </c>
      <c r="F278">
        <f>IF(OR(F_Custom1_Q="(None)",F_Custom1_Q="",ISBLANK(F_Custom1_Q),F_Custom1_V="(All)",F_Custom1_V="",ISBLANK(F_Custom1_V)),1,IFERROR(IF(ISNUMBER(SEARCH("|"&amp;INDEX(INDIRECT(F_Custom1_resolved_column),277)&amp;"|",F_Custom1_wrapped)),1,0),0))</f>
        <v>1</v>
      </c>
      <c r="G278">
        <f>IF(OR(F_Custom2_Q="(None)",F_Custom2_Q="",ISBLANK(F_Custom2_Q),F_Custom2_V="(All)",F_Custom2_V="",ISBLANK(F_Custom2_V)),1,IFERROR(IF(ISNUMBER(SEARCH("|"&amp;INDEX(INDIRECT(F_Custom2_resolved_column),277)&amp;"|",F_Custom2_wrapped)),1,0),0))</f>
        <v>1</v>
      </c>
      <c r="H278">
        <f>F278*G278*1</f>
        <v>1</v>
      </c>
      <c r="I278">
        <f>1</f>
        <v>1</v>
      </c>
      <c r="J2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277)&amp;"|",All_Questions_Q20_F_wrapped)),1,0),0))</f>
        <v>1</v>
      </c>
    </row>
    <row r="279">
      <c r="A279" t="n">
        <v>278</v>
      </c>
      <c r="B279" t="n">
        <v>28.9</v>
      </c>
      <c r="C279" t="n">
        <v>24.6</v>
      </c>
      <c r="D279" t="n">
        <v>22.9</v>
      </c>
      <c r="E279">
        <f>1</f>
        <v>1</v>
      </c>
      <c r="F279">
        <f>IF(OR(F_Custom1_Q="(None)",F_Custom1_Q="",ISBLANK(F_Custom1_Q),F_Custom1_V="(All)",F_Custom1_V="",ISBLANK(F_Custom1_V)),1,IFERROR(IF(ISNUMBER(SEARCH("|"&amp;INDEX(INDIRECT(F_Custom1_resolved_column),278)&amp;"|",F_Custom1_wrapped)),1,0),0))</f>
        <v>1</v>
      </c>
      <c r="G279">
        <f>IF(OR(F_Custom2_Q="(None)",F_Custom2_Q="",ISBLANK(F_Custom2_Q),F_Custom2_V="(All)",F_Custom2_V="",ISBLANK(F_Custom2_V)),1,IFERROR(IF(ISNUMBER(SEARCH("|"&amp;INDEX(INDIRECT(F_Custom2_resolved_column),278)&amp;"|",F_Custom2_wrapped)),1,0),0))</f>
        <v>1</v>
      </c>
      <c r="H279">
        <f>F279*G279*1</f>
        <v>1</v>
      </c>
      <c r="I279">
        <f>1</f>
        <v>1</v>
      </c>
      <c r="J2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278)&amp;"|",All_Questions_Q20_F_wrapped)),1,0),0))</f>
        <v>1</v>
      </c>
    </row>
    <row r="280">
      <c r="A280" t="n">
        <v>279</v>
      </c>
      <c r="B280" t="n">
        <v>28.9</v>
      </c>
      <c r="C280" t="n">
        <v>24.6</v>
      </c>
      <c r="D280" t="n">
        <v>22.9</v>
      </c>
      <c r="E280">
        <f>1</f>
        <v>1</v>
      </c>
      <c r="F280">
        <f>IF(OR(F_Custom1_Q="(None)",F_Custom1_Q="",ISBLANK(F_Custom1_Q),F_Custom1_V="(All)",F_Custom1_V="",ISBLANK(F_Custom1_V)),1,IFERROR(IF(ISNUMBER(SEARCH("|"&amp;INDEX(INDIRECT(F_Custom1_resolved_column),279)&amp;"|",F_Custom1_wrapped)),1,0),0))</f>
        <v>1</v>
      </c>
      <c r="G280">
        <f>IF(OR(F_Custom2_Q="(None)",F_Custom2_Q="",ISBLANK(F_Custom2_Q),F_Custom2_V="(All)",F_Custom2_V="",ISBLANK(F_Custom2_V)),1,IFERROR(IF(ISNUMBER(SEARCH("|"&amp;INDEX(INDIRECT(F_Custom2_resolved_column),279)&amp;"|",F_Custom2_wrapped)),1,0),0))</f>
        <v>1</v>
      </c>
      <c r="H280">
        <f>F280*G280*1</f>
        <v>1</v>
      </c>
      <c r="I280">
        <f>1</f>
        <v>1</v>
      </c>
      <c r="J2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279)&amp;"|",All_Questions_Q20_F_wrapped)),1,0),0))</f>
        <v>1</v>
      </c>
    </row>
    <row r="281">
      <c r="A281" t="n">
        <v>280</v>
      </c>
      <c r="B281" t="n">
        <v>28.9</v>
      </c>
      <c r="C281" t="n">
        <v>24.6</v>
      </c>
      <c r="D281" t="n">
        <v>22.9</v>
      </c>
      <c r="E281">
        <f>1</f>
        <v>1</v>
      </c>
      <c r="F281">
        <f>IF(OR(F_Custom1_Q="(None)",F_Custom1_Q="",ISBLANK(F_Custom1_Q),F_Custom1_V="(All)",F_Custom1_V="",ISBLANK(F_Custom1_V)),1,IFERROR(IF(ISNUMBER(SEARCH("|"&amp;INDEX(INDIRECT(F_Custom1_resolved_column),280)&amp;"|",F_Custom1_wrapped)),1,0),0))</f>
        <v>1</v>
      </c>
      <c r="G281">
        <f>IF(OR(F_Custom2_Q="(None)",F_Custom2_Q="",ISBLANK(F_Custom2_Q),F_Custom2_V="(All)",F_Custom2_V="",ISBLANK(F_Custom2_V)),1,IFERROR(IF(ISNUMBER(SEARCH("|"&amp;INDEX(INDIRECT(F_Custom2_resolved_column),280)&amp;"|",F_Custom2_wrapped)),1,0),0))</f>
        <v>1</v>
      </c>
      <c r="H281">
        <f>F281*G281*1</f>
        <v>1</v>
      </c>
      <c r="I281">
        <f>1</f>
        <v>1</v>
      </c>
      <c r="J2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280)&amp;"|",All_Questions_Q20_F_wrapped)),1,0),0))</f>
        <v>1</v>
      </c>
    </row>
    <row r="282">
      <c r="A282" t="n">
        <v>281</v>
      </c>
      <c r="B282" t="n">
        <v>28.9</v>
      </c>
      <c r="C282" t="n">
        <v>24.6</v>
      </c>
      <c r="D282" t="n">
        <v>22.9</v>
      </c>
      <c r="E282">
        <f>1</f>
        <v>1</v>
      </c>
      <c r="F282">
        <f>IF(OR(F_Custom1_Q="(None)",F_Custom1_Q="",ISBLANK(F_Custom1_Q),F_Custom1_V="(All)",F_Custom1_V="",ISBLANK(F_Custom1_V)),1,IFERROR(IF(ISNUMBER(SEARCH("|"&amp;INDEX(INDIRECT(F_Custom1_resolved_column),281)&amp;"|",F_Custom1_wrapped)),1,0),0))</f>
        <v>1</v>
      </c>
      <c r="G282">
        <f>IF(OR(F_Custom2_Q="(None)",F_Custom2_Q="",ISBLANK(F_Custom2_Q),F_Custom2_V="(All)",F_Custom2_V="",ISBLANK(F_Custom2_V)),1,IFERROR(IF(ISNUMBER(SEARCH("|"&amp;INDEX(INDIRECT(F_Custom2_resolved_column),281)&amp;"|",F_Custom2_wrapped)),1,0),0))</f>
        <v>1</v>
      </c>
      <c r="H282">
        <f>F282*G282*1</f>
        <v>1</v>
      </c>
      <c r="I282">
        <f>1</f>
        <v>1</v>
      </c>
      <c r="J2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281)&amp;"|",All_Questions_Q20_F_wrapped)),1,0),0))</f>
        <v>1</v>
      </c>
    </row>
    <row r="283">
      <c r="A283" t="n">
        <v>282</v>
      </c>
      <c r="B283" t="n">
        <v>28.9</v>
      </c>
      <c r="C283" t="n">
        <v>24.6</v>
      </c>
      <c r="D283" t="n">
        <v>22.9</v>
      </c>
      <c r="E283">
        <f>1</f>
        <v>1</v>
      </c>
      <c r="F283">
        <f>IF(OR(F_Custom1_Q="(None)",F_Custom1_Q="",ISBLANK(F_Custom1_Q),F_Custom1_V="(All)",F_Custom1_V="",ISBLANK(F_Custom1_V)),1,IFERROR(IF(ISNUMBER(SEARCH("|"&amp;INDEX(INDIRECT(F_Custom1_resolved_column),282)&amp;"|",F_Custom1_wrapped)),1,0),0))</f>
        <v>1</v>
      </c>
      <c r="G283">
        <f>IF(OR(F_Custom2_Q="(None)",F_Custom2_Q="",ISBLANK(F_Custom2_Q),F_Custom2_V="(All)",F_Custom2_V="",ISBLANK(F_Custom2_V)),1,IFERROR(IF(ISNUMBER(SEARCH("|"&amp;INDEX(INDIRECT(F_Custom2_resolved_column),282)&amp;"|",F_Custom2_wrapped)),1,0),0))</f>
        <v>1</v>
      </c>
      <c r="H283">
        <f>F283*G283*1</f>
        <v>1</v>
      </c>
      <c r="I283">
        <f>1</f>
        <v>1</v>
      </c>
      <c r="J2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282)&amp;"|",All_Questions_Q20_F_wrapped)),1,0),0))</f>
        <v>1</v>
      </c>
    </row>
    <row r="284">
      <c r="A284" t="n">
        <v>283</v>
      </c>
      <c r="B284" t="n">
        <v>28.9</v>
      </c>
      <c r="C284" t="n">
        <v>24.6</v>
      </c>
      <c r="D284" t="n">
        <v>22.9</v>
      </c>
      <c r="E284">
        <f>1</f>
        <v>1</v>
      </c>
      <c r="F284">
        <f>IF(OR(F_Custom1_Q="(None)",F_Custom1_Q="",ISBLANK(F_Custom1_Q),F_Custom1_V="(All)",F_Custom1_V="",ISBLANK(F_Custom1_V)),1,IFERROR(IF(ISNUMBER(SEARCH("|"&amp;INDEX(INDIRECT(F_Custom1_resolved_column),283)&amp;"|",F_Custom1_wrapped)),1,0),0))</f>
        <v>1</v>
      </c>
      <c r="G284">
        <f>IF(OR(F_Custom2_Q="(None)",F_Custom2_Q="",ISBLANK(F_Custom2_Q),F_Custom2_V="(All)",F_Custom2_V="",ISBLANK(F_Custom2_V)),1,IFERROR(IF(ISNUMBER(SEARCH("|"&amp;INDEX(INDIRECT(F_Custom2_resolved_column),283)&amp;"|",F_Custom2_wrapped)),1,0),0))</f>
        <v>1</v>
      </c>
      <c r="H284">
        <f>F284*G284*1</f>
        <v>1</v>
      </c>
      <c r="I284">
        <f>1</f>
        <v>1</v>
      </c>
      <c r="J2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283)&amp;"|",All_Questions_Q20_F_wrapped)),1,0),0))</f>
        <v>1</v>
      </c>
    </row>
    <row r="285">
      <c r="A285" t="n">
        <v>284</v>
      </c>
      <c r="B285" t="n">
        <v>28.9</v>
      </c>
      <c r="C285" t="n">
        <v>24.6</v>
      </c>
      <c r="D285" t="n">
        <v>22.9</v>
      </c>
      <c r="E285">
        <f>1</f>
        <v>1</v>
      </c>
      <c r="F285">
        <f>IF(OR(F_Custom1_Q="(None)",F_Custom1_Q="",ISBLANK(F_Custom1_Q),F_Custom1_V="(All)",F_Custom1_V="",ISBLANK(F_Custom1_V)),1,IFERROR(IF(ISNUMBER(SEARCH("|"&amp;INDEX(INDIRECT(F_Custom1_resolved_column),284)&amp;"|",F_Custom1_wrapped)),1,0),0))</f>
        <v>1</v>
      </c>
      <c r="G285">
        <f>IF(OR(F_Custom2_Q="(None)",F_Custom2_Q="",ISBLANK(F_Custom2_Q),F_Custom2_V="(All)",F_Custom2_V="",ISBLANK(F_Custom2_V)),1,IFERROR(IF(ISNUMBER(SEARCH("|"&amp;INDEX(INDIRECT(F_Custom2_resolved_column),284)&amp;"|",F_Custom2_wrapped)),1,0),0))</f>
        <v>1</v>
      </c>
      <c r="H285">
        <f>F285*G285*1</f>
        <v>1</v>
      </c>
      <c r="I285">
        <f>1</f>
        <v>1</v>
      </c>
      <c r="J2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284)&amp;"|",All_Questions_Q20_F_wrapped)),1,0),0))</f>
        <v>1</v>
      </c>
    </row>
    <row r="286">
      <c r="A286" t="n">
        <v>285</v>
      </c>
      <c r="B286" t="n">
        <v>28.9</v>
      </c>
      <c r="C286" t="n">
        <v>24.6</v>
      </c>
      <c r="D286" t="n">
        <v>22.9</v>
      </c>
      <c r="E286">
        <f>1</f>
        <v>1</v>
      </c>
      <c r="F286">
        <f>IF(OR(F_Custom1_Q="(None)",F_Custom1_Q="",ISBLANK(F_Custom1_Q),F_Custom1_V="(All)",F_Custom1_V="",ISBLANK(F_Custom1_V)),1,IFERROR(IF(ISNUMBER(SEARCH("|"&amp;INDEX(INDIRECT(F_Custom1_resolved_column),285)&amp;"|",F_Custom1_wrapped)),1,0),0))</f>
        <v>1</v>
      </c>
      <c r="G286">
        <f>IF(OR(F_Custom2_Q="(None)",F_Custom2_Q="",ISBLANK(F_Custom2_Q),F_Custom2_V="(All)",F_Custom2_V="",ISBLANK(F_Custom2_V)),1,IFERROR(IF(ISNUMBER(SEARCH("|"&amp;INDEX(INDIRECT(F_Custom2_resolved_column),285)&amp;"|",F_Custom2_wrapped)),1,0),0))</f>
        <v>1</v>
      </c>
      <c r="H286">
        <f>F286*G286*1</f>
        <v>1</v>
      </c>
      <c r="I286">
        <f>1</f>
        <v>1</v>
      </c>
      <c r="J2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285)&amp;"|",All_Questions_Q20_F_wrapped)),1,0),0))</f>
        <v>1</v>
      </c>
    </row>
    <row r="287">
      <c r="A287" t="n">
        <v>286</v>
      </c>
      <c r="B287" t="n">
        <v>28.9</v>
      </c>
      <c r="C287" t="n">
        <v>24.6</v>
      </c>
      <c r="D287" t="n">
        <v>22.9</v>
      </c>
      <c r="E287">
        <f>1</f>
        <v>1</v>
      </c>
      <c r="F287">
        <f>IF(OR(F_Custom1_Q="(None)",F_Custom1_Q="",ISBLANK(F_Custom1_Q),F_Custom1_V="(All)",F_Custom1_V="",ISBLANK(F_Custom1_V)),1,IFERROR(IF(ISNUMBER(SEARCH("|"&amp;INDEX(INDIRECT(F_Custom1_resolved_column),286)&amp;"|",F_Custom1_wrapped)),1,0),0))</f>
        <v>1</v>
      </c>
      <c r="G287">
        <f>IF(OR(F_Custom2_Q="(None)",F_Custom2_Q="",ISBLANK(F_Custom2_Q),F_Custom2_V="(All)",F_Custom2_V="",ISBLANK(F_Custom2_V)),1,IFERROR(IF(ISNUMBER(SEARCH("|"&amp;INDEX(INDIRECT(F_Custom2_resolved_column),286)&amp;"|",F_Custom2_wrapped)),1,0),0))</f>
        <v>1</v>
      </c>
      <c r="H287">
        <f>F287*G287*1</f>
        <v>1</v>
      </c>
      <c r="I287">
        <f>1</f>
        <v>1</v>
      </c>
      <c r="J2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286)&amp;"|",All_Questions_Q20_F_wrapped)),1,0),0))</f>
        <v>1</v>
      </c>
    </row>
    <row r="288">
      <c r="A288" t="n">
        <v>287</v>
      </c>
      <c r="B288" t="n">
        <v>28.9</v>
      </c>
      <c r="C288" t="n">
        <v>24.6</v>
      </c>
      <c r="D288" t="n">
        <v>22.9</v>
      </c>
      <c r="E288">
        <f>1</f>
        <v>1</v>
      </c>
      <c r="F288">
        <f>IF(OR(F_Custom1_Q="(None)",F_Custom1_Q="",ISBLANK(F_Custom1_Q),F_Custom1_V="(All)",F_Custom1_V="",ISBLANK(F_Custom1_V)),1,IFERROR(IF(ISNUMBER(SEARCH("|"&amp;INDEX(INDIRECT(F_Custom1_resolved_column),287)&amp;"|",F_Custom1_wrapped)),1,0),0))</f>
        <v>1</v>
      </c>
      <c r="G288">
        <f>IF(OR(F_Custom2_Q="(None)",F_Custom2_Q="",ISBLANK(F_Custom2_Q),F_Custom2_V="(All)",F_Custom2_V="",ISBLANK(F_Custom2_V)),1,IFERROR(IF(ISNUMBER(SEARCH("|"&amp;INDEX(INDIRECT(F_Custom2_resolved_column),287)&amp;"|",F_Custom2_wrapped)),1,0),0))</f>
        <v>1</v>
      </c>
      <c r="H288">
        <f>F288*G288*1</f>
        <v>1</v>
      </c>
      <c r="I288">
        <f>1</f>
        <v>1</v>
      </c>
      <c r="J2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287)&amp;"|",All_Questions_Q20_F_wrapped)),1,0),0))</f>
        <v>1</v>
      </c>
    </row>
    <row r="289">
      <c r="A289" t="n">
        <v>288</v>
      </c>
      <c r="B289" t="n">
        <v>28.9</v>
      </c>
      <c r="C289" t="n">
        <v>24.6</v>
      </c>
      <c r="D289" t="n">
        <v>22.9</v>
      </c>
      <c r="E289">
        <f>1</f>
        <v>1</v>
      </c>
      <c r="F289">
        <f>IF(OR(F_Custom1_Q="(None)",F_Custom1_Q="",ISBLANK(F_Custom1_Q),F_Custom1_V="(All)",F_Custom1_V="",ISBLANK(F_Custom1_V)),1,IFERROR(IF(ISNUMBER(SEARCH("|"&amp;INDEX(INDIRECT(F_Custom1_resolved_column),288)&amp;"|",F_Custom1_wrapped)),1,0),0))</f>
        <v>1</v>
      </c>
      <c r="G289">
        <f>IF(OR(F_Custom2_Q="(None)",F_Custom2_Q="",ISBLANK(F_Custom2_Q),F_Custom2_V="(All)",F_Custom2_V="",ISBLANK(F_Custom2_V)),1,IFERROR(IF(ISNUMBER(SEARCH("|"&amp;INDEX(INDIRECT(F_Custom2_resolved_column),288)&amp;"|",F_Custom2_wrapped)),1,0),0))</f>
        <v>1</v>
      </c>
      <c r="H289">
        <f>F289*G289*1</f>
        <v>1</v>
      </c>
      <c r="I289">
        <f>1</f>
        <v>1</v>
      </c>
      <c r="J2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288)&amp;"|",All_Questions_Q20_F_wrapped)),1,0),0))</f>
        <v>1</v>
      </c>
    </row>
    <row r="290">
      <c r="A290" t="n">
        <v>289</v>
      </c>
      <c r="B290" t="n">
        <v>28.9</v>
      </c>
      <c r="C290" t="n">
        <v>24.6</v>
      </c>
      <c r="D290" t="n">
        <v>22.9</v>
      </c>
      <c r="E290">
        <f>1</f>
        <v>1</v>
      </c>
      <c r="F290">
        <f>IF(OR(F_Custom1_Q="(None)",F_Custom1_Q="",ISBLANK(F_Custom1_Q),F_Custom1_V="(All)",F_Custom1_V="",ISBLANK(F_Custom1_V)),1,IFERROR(IF(ISNUMBER(SEARCH("|"&amp;INDEX(INDIRECT(F_Custom1_resolved_column),289)&amp;"|",F_Custom1_wrapped)),1,0),0))</f>
        <v>1</v>
      </c>
      <c r="G290">
        <f>IF(OR(F_Custom2_Q="(None)",F_Custom2_Q="",ISBLANK(F_Custom2_Q),F_Custom2_V="(All)",F_Custom2_V="",ISBLANK(F_Custom2_V)),1,IFERROR(IF(ISNUMBER(SEARCH("|"&amp;INDEX(INDIRECT(F_Custom2_resolved_column),289)&amp;"|",F_Custom2_wrapped)),1,0),0))</f>
        <v>1</v>
      </c>
      <c r="H290">
        <f>F290*G290*1</f>
        <v>1</v>
      </c>
      <c r="I290">
        <f>1</f>
        <v>1</v>
      </c>
      <c r="J2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289)&amp;"|",All_Questions_Q20_F_wrapped)),1,0),0))</f>
        <v>1</v>
      </c>
    </row>
    <row r="291">
      <c r="A291" t="n">
        <v>290</v>
      </c>
      <c r="B291" t="n">
        <v>28.9</v>
      </c>
      <c r="C291" t="n">
        <v>24.6</v>
      </c>
      <c r="D291" t="n">
        <v>22.9</v>
      </c>
      <c r="E291">
        <f>1</f>
        <v>1</v>
      </c>
      <c r="F291">
        <f>IF(OR(F_Custom1_Q="(None)",F_Custom1_Q="",ISBLANK(F_Custom1_Q),F_Custom1_V="(All)",F_Custom1_V="",ISBLANK(F_Custom1_V)),1,IFERROR(IF(ISNUMBER(SEARCH("|"&amp;INDEX(INDIRECT(F_Custom1_resolved_column),290)&amp;"|",F_Custom1_wrapped)),1,0),0))</f>
        <v>1</v>
      </c>
      <c r="G291">
        <f>IF(OR(F_Custom2_Q="(None)",F_Custom2_Q="",ISBLANK(F_Custom2_Q),F_Custom2_V="(All)",F_Custom2_V="",ISBLANK(F_Custom2_V)),1,IFERROR(IF(ISNUMBER(SEARCH("|"&amp;INDEX(INDIRECT(F_Custom2_resolved_column),290)&amp;"|",F_Custom2_wrapped)),1,0),0))</f>
        <v>1</v>
      </c>
      <c r="H291">
        <f>F291*G291*1</f>
        <v>1</v>
      </c>
      <c r="I291">
        <f>1</f>
        <v>1</v>
      </c>
      <c r="J2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290)&amp;"|",All_Questions_Q20_F_wrapped)),1,0),0))</f>
        <v>1</v>
      </c>
    </row>
    <row r="292">
      <c r="A292" t="n">
        <v>291</v>
      </c>
      <c r="B292" t="n">
        <v>28.9</v>
      </c>
      <c r="C292" t="n">
        <v>24.6</v>
      </c>
      <c r="D292" t="n">
        <v>22.9</v>
      </c>
      <c r="E292">
        <f>1</f>
        <v>1</v>
      </c>
      <c r="F292">
        <f>IF(OR(F_Custom1_Q="(None)",F_Custom1_Q="",ISBLANK(F_Custom1_Q),F_Custom1_V="(All)",F_Custom1_V="",ISBLANK(F_Custom1_V)),1,IFERROR(IF(ISNUMBER(SEARCH("|"&amp;INDEX(INDIRECT(F_Custom1_resolved_column),291)&amp;"|",F_Custom1_wrapped)),1,0),0))</f>
        <v>1</v>
      </c>
      <c r="G292">
        <f>IF(OR(F_Custom2_Q="(None)",F_Custom2_Q="",ISBLANK(F_Custom2_Q),F_Custom2_V="(All)",F_Custom2_V="",ISBLANK(F_Custom2_V)),1,IFERROR(IF(ISNUMBER(SEARCH("|"&amp;INDEX(INDIRECT(F_Custom2_resolved_column),291)&amp;"|",F_Custom2_wrapped)),1,0),0))</f>
        <v>1</v>
      </c>
      <c r="H292">
        <f>F292*G292*1</f>
        <v>1</v>
      </c>
      <c r="I292">
        <f>1</f>
        <v>1</v>
      </c>
      <c r="J2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291)&amp;"|",All_Questions_Q20_F_wrapped)),1,0),0))</f>
        <v>1</v>
      </c>
    </row>
    <row r="293">
      <c r="A293" t="n">
        <v>292</v>
      </c>
      <c r="B293" t="n">
        <v>28.9</v>
      </c>
      <c r="C293" t="n">
        <v>24.6</v>
      </c>
      <c r="D293" t="n">
        <v>22.9</v>
      </c>
      <c r="E293">
        <f>1</f>
        <v>1</v>
      </c>
      <c r="F293">
        <f>IF(OR(F_Custom1_Q="(None)",F_Custom1_Q="",ISBLANK(F_Custom1_Q),F_Custom1_V="(All)",F_Custom1_V="",ISBLANK(F_Custom1_V)),1,IFERROR(IF(ISNUMBER(SEARCH("|"&amp;INDEX(INDIRECT(F_Custom1_resolved_column),292)&amp;"|",F_Custom1_wrapped)),1,0),0))</f>
        <v>1</v>
      </c>
      <c r="G293">
        <f>IF(OR(F_Custom2_Q="(None)",F_Custom2_Q="",ISBLANK(F_Custom2_Q),F_Custom2_V="(All)",F_Custom2_V="",ISBLANK(F_Custom2_V)),1,IFERROR(IF(ISNUMBER(SEARCH("|"&amp;INDEX(INDIRECT(F_Custom2_resolved_column),292)&amp;"|",F_Custom2_wrapped)),1,0),0))</f>
        <v>1</v>
      </c>
      <c r="H293">
        <f>F293*G293*1</f>
        <v>1</v>
      </c>
      <c r="I293">
        <f>1</f>
        <v>1</v>
      </c>
      <c r="J2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292)&amp;"|",All_Questions_Q20_F_wrapped)),1,0),0))</f>
        <v>1</v>
      </c>
    </row>
    <row r="294">
      <c r="A294" t="n">
        <v>293</v>
      </c>
      <c r="B294" t="n">
        <v>28.9</v>
      </c>
      <c r="C294" t="n">
        <v>24.6</v>
      </c>
      <c r="D294" t="n">
        <v>22.9</v>
      </c>
      <c r="E294">
        <f>1</f>
        <v>1</v>
      </c>
      <c r="F294">
        <f>IF(OR(F_Custom1_Q="(None)",F_Custom1_Q="",ISBLANK(F_Custom1_Q),F_Custom1_V="(All)",F_Custom1_V="",ISBLANK(F_Custom1_V)),1,IFERROR(IF(ISNUMBER(SEARCH("|"&amp;INDEX(INDIRECT(F_Custom1_resolved_column),293)&amp;"|",F_Custom1_wrapped)),1,0),0))</f>
        <v>1</v>
      </c>
      <c r="G294">
        <f>IF(OR(F_Custom2_Q="(None)",F_Custom2_Q="",ISBLANK(F_Custom2_Q),F_Custom2_V="(All)",F_Custom2_V="",ISBLANK(F_Custom2_V)),1,IFERROR(IF(ISNUMBER(SEARCH("|"&amp;INDEX(INDIRECT(F_Custom2_resolved_column),293)&amp;"|",F_Custom2_wrapped)),1,0),0))</f>
        <v>1</v>
      </c>
      <c r="H294">
        <f>F294*G294*1</f>
        <v>1</v>
      </c>
      <c r="I294">
        <f>1</f>
        <v>1</v>
      </c>
      <c r="J2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293)&amp;"|",All_Questions_Q20_F_wrapped)),1,0),0))</f>
        <v>1</v>
      </c>
    </row>
    <row r="295">
      <c r="A295" t="n">
        <v>294</v>
      </c>
      <c r="B295" t="n">
        <v>28.9</v>
      </c>
      <c r="C295" t="n">
        <v>24.6</v>
      </c>
      <c r="D295" t="n">
        <v>22.9</v>
      </c>
      <c r="E295">
        <f>1</f>
        <v>1</v>
      </c>
      <c r="F295">
        <f>IF(OR(F_Custom1_Q="(None)",F_Custom1_Q="",ISBLANK(F_Custom1_Q),F_Custom1_V="(All)",F_Custom1_V="",ISBLANK(F_Custom1_V)),1,IFERROR(IF(ISNUMBER(SEARCH("|"&amp;INDEX(INDIRECT(F_Custom1_resolved_column),294)&amp;"|",F_Custom1_wrapped)),1,0),0))</f>
        <v>1</v>
      </c>
      <c r="G295">
        <f>IF(OR(F_Custom2_Q="(None)",F_Custom2_Q="",ISBLANK(F_Custom2_Q),F_Custom2_V="(All)",F_Custom2_V="",ISBLANK(F_Custom2_V)),1,IFERROR(IF(ISNUMBER(SEARCH("|"&amp;INDEX(INDIRECT(F_Custom2_resolved_column),294)&amp;"|",F_Custom2_wrapped)),1,0),0))</f>
        <v>1</v>
      </c>
      <c r="H295">
        <f>F295*G295*1</f>
        <v>1</v>
      </c>
      <c r="I295">
        <f>1</f>
        <v>1</v>
      </c>
      <c r="J2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294)&amp;"|",All_Questions_Q20_F_wrapped)),1,0),0))</f>
        <v>1</v>
      </c>
    </row>
    <row r="296">
      <c r="A296" t="n">
        <v>295</v>
      </c>
      <c r="B296" t="n">
        <v>28.9</v>
      </c>
      <c r="C296" t="n">
        <v>24.6</v>
      </c>
      <c r="D296" t="n">
        <v>22.9</v>
      </c>
      <c r="E296">
        <f>1</f>
        <v>1</v>
      </c>
      <c r="F296">
        <f>IF(OR(F_Custom1_Q="(None)",F_Custom1_Q="",ISBLANK(F_Custom1_Q),F_Custom1_V="(All)",F_Custom1_V="",ISBLANK(F_Custom1_V)),1,IFERROR(IF(ISNUMBER(SEARCH("|"&amp;INDEX(INDIRECT(F_Custom1_resolved_column),295)&amp;"|",F_Custom1_wrapped)),1,0),0))</f>
        <v>1</v>
      </c>
      <c r="G296">
        <f>IF(OR(F_Custom2_Q="(None)",F_Custom2_Q="",ISBLANK(F_Custom2_Q),F_Custom2_V="(All)",F_Custom2_V="",ISBLANK(F_Custom2_V)),1,IFERROR(IF(ISNUMBER(SEARCH("|"&amp;INDEX(INDIRECT(F_Custom2_resolved_column),295)&amp;"|",F_Custom2_wrapped)),1,0),0))</f>
        <v>1</v>
      </c>
      <c r="H296">
        <f>F296*G296*1</f>
        <v>1</v>
      </c>
      <c r="I296">
        <f>1</f>
        <v>1</v>
      </c>
      <c r="J2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295)&amp;"|",All_Questions_Q20_F_wrapped)),1,0),0))</f>
        <v>1</v>
      </c>
    </row>
    <row r="297">
      <c r="A297" t="n">
        <v>296</v>
      </c>
      <c r="B297" t="n">
        <v>28.9</v>
      </c>
      <c r="C297" t="n">
        <v>24.6</v>
      </c>
      <c r="D297" t="n">
        <v>22.9</v>
      </c>
      <c r="E297">
        <f>1</f>
        <v>1</v>
      </c>
      <c r="F297">
        <f>IF(OR(F_Custom1_Q="(None)",F_Custom1_Q="",ISBLANK(F_Custom1_Q),F_Custom1_V="(All)",F_Custom1_V="",ISBLANK(F_Custom1_V)),1,IFERROR(IF(ISNUMBER(SEARCH("|"&amp;INDEX(INDIRECT(F_Custom1_resolved_column),296)&amp;"|",F_Custom1_wrapped)),1,0),0))</f>
        <v>1</v>
      </c>
      <c r="G297">
        <f>IF(OR(F_Custom2_Q="(None)",F_Custom2_Q="",ISBLANK(F_Custom2_Q),F_Custom2_V="(All)",F_Custom2_V="",ISBLANK(F_Custom2_V)),1,IFERROR(IF(ISNUMBER(SEARCH("|"&amp;INDEX(INDIRECT(F_Custom2_resolved_column),296)&amp;"|",F_Custom2_wrapped)),1,0),0))</f>
        <v>1</v>
      </c>
      <c r="H297">
        <f>F297*G297*1</f>
        <v>1</v>
      </c>
      <c r="I297">
        <f>1</f>
        <v>1</v>
      </c>
      <c r="J2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296)&amp;"|",All_Questions_Q20_F_wrapped)),1,0),0))</f>
        <v>1</v>
      </c>
    </row>
    <row r="298">
      <c r="A298" t="n">
        <v>297</v>
      </c>
      <c r="B298" t="n">
        <v>28.9</v>
      </c>
      <c r="C298" t="n">
        <v>24.6</v>
      </c>
      <c r="D298" t="n">
        <v>22.9</v>
      </c>
      <c r="E298">
        <f>1</f>
        <v>1</v>
      </c>
      <c r="F298">
        <f>IF(OR(F_Custom1_Q="(None)",F_Custom1_Q="",ISBLANK(F_Custom1_Q),F_Custom1_V="(All)",F_Custom1_V="",ISBLANK(F_Custom1_V)),1,IFERROR(IF(ISNUMBER(SEARCH("|"&amp;INDEX(INDIRECT(F_Custom1_resolved_column),297)&amp;"|",F_Custom1_wrapped)),1,0),0))</f>
        <v>1</v>
      </c>
      <c r="G298">
        <f>IF(OR(F_Custom2_Q="(None)",F_Custom2_Q="",ISBLANK(F_Custom2_Q),F_Custom2_V="(All)",F_Custom2_V="",ISBLANK(F_Custom2_V)),1,IFERROR(IF(ISNUMBER(SEARCH("|"&amp;INDEX(INDIRECT(F_Custom2_resolved_column),297)&amp;"|",F_Custom2_wrapped)),1,0),0))</f>
        <v>1</v>
      </c>
      <c r="H298">
        <f>F298*G298*1</f>
        <v>1</v>
      </c>
      <c r="I298">
        <f>1</f>
        <v>1</v>
      </c>
      <c r="J2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297)&amp;"|",All_Questions_Q20_F_wrapped)),1,0),0))</f>
        <v>1</v>
      </c>
    </row>
    <row r="299">
      <c r="A299" t="n">
        <v>298</v>
      </c>
      <c r="B299" t="n">
        <v>28.9</v>
      </c>
      <c r="C299" t="n">
        <v>24.6</v>
      </c>
      <c r="D299" t="n">
        <v>22.9</v>
      </c>
      <c r="E299">
        <f>1</f>
        <v>1</v>
      </c>
      <c r="F299">
        <f>IF(OR(F_Custom1_Q="(None)",F_Custom1_Q="",ISBLANK(F_Custom1_Q),F_Custom1_V="(All)",F_Custom1_V="",ISBLANK(F_Custom1_V)),1,IFERROR(IF(ISNUMBER(SEARCH("|"&amp;INDEX(INDIRECT(F_Custom1_resolved_column),298)&amp;"|",F_Custom1_wrapped)),1,0),0))</f>
        <v>1</v>
      </c>
      <c r="G299">
        <f>IF(OR(F_Custom2_Q="(None)",F_Custom2_Q="",ISBLANK(F_Custom2_Q),F_Custom2_V="(All)",F_Custom2_V="",ISBLANK(F_Custom2_V)),1,IFERROR(IF(ISNUMBER(SEARCH("|"&amp;INDEX(INDIRECT(F_Custom2_resolved_column),298)&amp;"|",F_Custom2_wrapped)),1,0),0))</f>
        <v>1</v>
      </c>
      <c r="H299">
        <f>F299*G299*1</f>
        <v>1</v>
      </c>
      <c r="I299">
        <f>1</f>
        <v>1</v>
      </c>
      <c r="J2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298)&amp;"|",All_Questions_Q20_F_wrapped)),1,0),0))</f>
        <v>1</v>
      </c>
    </row>
    <row r="300">
      <c r="A300" t="n">
        <v>299</v>
      </c>
      <c r="B300" t="n">
        <v>28.9</v>
      </c>
      <c r="C300" t="n">
        <v>24.6</v>
      </c>
      <c r="D300" t="n">
        <v>22.9</v>
      </c>
      <c r="E300">
        <f>1</f>
        <v>1</v>
      </c>
      <c r="F300">
        <f>IF(OR(F_Custom1_Q="(None)",F_Custom1_Q="",ISBLANK(F_Custom1_Q),F_Custom1_V="(All)",F_Custom1_V="",ISBLANK(F_Custom1_V)),1,IFERROR(IF(ISNUMBER(SEARCH("|"&amp;INDEX(INDIRECT(F_Custom1_resolved_column),299)&amp;"|",F_Custom1_wrapped)),1,0),0))</f>
        <v>1</v>
      </c>
      <c r="G300">
        <f>IF(OR(F_Custom2_Q="(None)",F_Custom2_Q="",ISBLANK(F_Custom2_Q),F_Custom2_V="(All)",F_Custom2_V="",ISBLANK(F_Custom2_V)),1,IFERROR(IF(ISNUMBER(SEARCH("|"&amp;INDEX(INDIRECT(F_Custom2_resolved_column),299)&amp;"|",F_Custom2_wrapped)),1,0),0))</f>
        <v>1</v>
      </c>
      <c r="H300">
        <f>F300*G300*1</f>
        <v>1</v>
      </c>
      <c r="I300">
        <f>1</f>
        <v>1</v>
      </c>
      <c r="J3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299)&amp;"|",All_Questions_Q20_F_wrapped)),1,0),0))</f>
        <v>1</v>
      </c>
    </row>
    <row r="301">
      <c r="A301" t="n">
        <v>300</v>
      </c>
      <c r="B301" t="n">
        <v>28.9</v>
      </c>
      <c r="C301" t="n">
        <v>24.6</v>
      </c>
      <c r="D301" t="n">
        <v>22.9</v>
      </c>
      <c r="E301">
        <f>1</f>
        <v>1</v>
      </c>
      <c r="F301">
        <f>IF(OR(F_Custom1_Q="(None)",F_Custom1_Q="",ISBLANK(F_Custom1_Q),F_Custom1_V="(All)",F_Custom1_V="",ISBLANK(F_Custom1_V)),1,IFERROR(IF(ISNUMBER(SEARCH("|"&amp;INDEX(INDIRECT(F_Custom1_resolved_column),300)&amp;"|",F_Custom1_wrapped)),1,0),0))</f>
        <v>1</v>
      </c>
      <c r="G301">
        <f>IF(OR(F_Custom2_Q="(None)",F_Custom2_Q="",ISBLANK(F_Custom2_Q),F_Custom2_V="(All)",F_Custom2_V="",ISBLANK(F_Custom2_V)),1,IFERROR(IF(ISNUMBER(SEARCH("|"&amp;INDEX(INDIRECT(F_Custom2_resolved_column),300)&amp;"|",F_Custom2_wrapped)),1,0),0))</f>
        <v>1</v>
      </c>
      <c r="H301">
        <f>F301*G301*1</f>
        <v>1</v>
      </c>
      <c r="I301">
        <f>1</f>
        <v>1</v>
      </c>
      <c r="J3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300)&amp;"|",All_Questions_Q20_F_wrapped)),1,0),0))</f>
        <v>1</v>
      </c>
    </row>
    <row r="302">
      <c r="A302" t="n">
        <v>301</v>
      </c>
      <c r="B302" t="n">
        <v>28.9</v>
      </c>
      <c r="C302" t="n">
        <v>24.6</v>
      </c>
      <c r="D302" t="n">
        <v>22.9</v>
      </c>
      <c r="E302">
        <f>1</f>
        <v>1</v>
      </c>
      <c r="F302">
        <f>IF(OR(F_Custom1_Q="(None)",F_Custom1_Q="",ISBLANK(F_Custom1_Q),F_Custom1_V="(All)",F_Custom1_V="",ISBLANK(F_Custom1_V)),1,IFERROR(IF(ISNUMBER(SEARCH("|"&amp;INDEX(INDIRECT(F_Custom1_resolved_column),301)&amp;"|",F_Custom1_wrapped)),1,0),0))</f>
        <v>1</v>
      </c>
      <c r="G302">
        <f>IF(OR(F_Custom2_Q="(None)",F_Custom2_Q="",ISBLANK(F_Custom2_Q),F_Custom2_V="(All)",F_Custom2_V="",ISBLANK(F_Custom2_V)),1,IFERROR(IF(ISNUMBER(SEARCH("|"&amp;INDEX(INDIRECT(F_Custom2_resolved_column),301)&amp;"|",F_Custom2_wrapped)),1,0),0))</f>
        <v>1</v>
      </c>
      <c r="H302">
        <f>F302*G302*1</f>
        <v>1</v>
      </c>
      <c r="I302">
        <f>1</f>
        <v>1</v>
      </c>
      <c r="J3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301)&amp;"|",All_Questions_Q20_F_wrapped)),1,0),0))</f>
        <v>1</v>
      </c>
    </row>
    <row r="303">
      <c r="A303" t="n">
        <v>302</v>
      </c>
      <c r="B303" t="n">
        <v>28.9</v>
      </c>
      <c r="C303" t="n">
        <v>24.6</v>
      </c>
      <c r="D303" t="n">
        <v>22.9</v>
      </c>
      <c r="E303">
        <f>1</f>
        <v>1</v>
      </c>
      <c r="F303">
        <f>IF(OR(F_Custom1_Q="(None)",F_Custom1_Q="",ISBLANK(F_Custom1_Q),F_Custom1_V="(All)",F_Custom1_V="",ISBLANK(F_Custom1_V)),1,IFERROR(IF(ISNUMBER(SEARCH("|"&amp;INDEX(INDIRECT(F_Custom1_resolved_column),302)&amp;"|",F_Custom1_wrapped)),1,0),0))</f>
        <v>1</v>
      </c>
      <c r="G303">
        <f>IF(OR(F_Custom2_Q="(None)",F_Custom2_Q="",ISBLANK(F_Custom2_Q),F_Custom2_V="(All)",F_Custom2_V="",ISBLANK(F_Custom2_V)),1,IFERROR(IF(ISNUMBER(SEARCH("|"&amp;INDEX(INDIRECT(F_Custom2_resolved_column),302)&amp;"|",F_Custom2_wrapped)),1,0),0))</f>
        <v>1</v>
      </c>
      <c r="H303">
        <f>F303*G303*1</f>
        <v>1</v>
      </c>
      <c r="I303">
        <f>1</f>
        <v>1</v>
      </c>
      <c r="J3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302)&amp;"|",All_Questions_Q20_F_wrapped)),1,0),0))</f>
        <v>1</v>
      </c>
    </row>
    <row r="304">
      <c r="A304" t="n">
        <v>303</v>
      </c>
      <c r="B304" t="n">
        <v>28.9</v>
      </c>
      <c r="C304" t="n">
        <v>24.6</v>
      </c>
      <c r="D304" t="n">
        <v>22.9</v>
      </c>
      <c r="E304">
        <f>1</f>
        <v>1</v>
      </c>
      <c r="F304">
        <f>IF(OR(F_Custom1_Q="(None)",F_Custom1_Q="",ISBLANK(F_Custom1_Q),F_Custom1_V="(All)",F_Custom1_V="",ISBLANK(F_Custom1_V)),1,IFERROR(IF(ISNUMBER(SEARCH("|"&amp;INDEX(INDIRECT(F_Custom1_resolved_column),303)&amp;"|",F_Custom1_wrapped)),1,0),0))</f>
        <v>1</v>
      </c>
      <c r="G304">
        <f>IF(OR(F_Custom2_Q="(None)",F_Custom2_Q="",ISBLANK(F_Custom2_Q),F_Custom2_V="(All)",F_Custom2_V="",ISBLANK(F_Custom2_V)),1,IFERROR(IF(ISNUMBER(SEARCH("|"&amp;INDEX(INDIRECT(F_Custom2_resolved_column),303)&amp;"|",F_Custom2_wrapped)),1,0),0))</f>
        <v>1</v>
      </c>
      <c r="H304">
        <f>F304*G304*1</f>
        <v>1</v>
      </c>
      <c r="I304">
        <f>1</f>
        <v>1</v>
      </c>
      <c r="J3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303)&amp;"|",All_Questions_Q20_F_wrapped)),1,0),0))</f>
        <v>1</v>
      </c>
    </row>
    <row r="305">
      <c r="A305" t="n">
        <v>304</v>
      </c>
      <c r="B305" t="n">
        <v>28.9</v>
      </c>
      <c r="C305" t="n">
        <v>24.6</v>
      </c>
      <c r="D305" t="n">
        <v>22.9</v>
      </c>
      <c r="E305">
        <f>1</f>
        <v>1</v>
      </c>
      <c r="F305">
        <f>IF(OR(F_Custom1_Q="(None)",F_Custom1_Q="",ISBLANK(F_Custom1_Q),F_Custom1_V="(All)",F_Custom1_V="",ISBLANK(F_Custom1_V)),1,IFERROR(IF(ISNUMBER(SEARCH("|"&amp;INDEX(INDIRECT(F_Custom1_resolved_column),304)&amp;"|",F_Custom1_wrapped)),1,0),0))</f>
        <v>1</v>
      </c>
      <c r="G305">
        <f>IF(OR(F_Custom2_Q="(None)",F_Custom2_Q="",ISBLANK(F_Custom2_Q),F_Custom2_V="(All)",F_Custom2_V="",ISBLANK(F_Custom2_V)),1,IFERROR(IF(ISNUMBER(SEARCH("|"&amp;INDEX(INDIRECT(F_Custom2_resolved_column),304)&amp;"|",F_Custom2_wrapped)),1,0),0))</f>
        <v>1</v>
      </c>
      <c r="H305">
        <f>F305*G305*1</f>
        <v>1</v>
      </c>
      <c r="I305">
        <f>1</f>
        <v>1</v>
      </c>
      <c r="J3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304)&amp;"|",All_Questions_Q20_F_wrapped)),1,0),0))</f>
        <v>1</v>
      </c>
    </row>
    <row r="306">
      <c r="A306" t="n">
        <v>305</v>
      </c>
      <c r="B306" t="n">
        <v>28.9</v>
      </c>
      <c r="C306" t="n">
        <v>24.6</v>
      </c>
      <c r="D306" t="n">
        <v>22.9</v>
      </c>
      <c r="E306">
        <f>1</f>
        <v>1</v>
      </c>
      <c r="F306">
        <f>IF(OR(F_Custom1_Q="(None)",F_Custom1_Q="",ISBLANK(F_Custom1_Q),F_Custom1_V="(All)",F_Custom1_V="",ISBLANK(F_Custom1_V)),1,IFERROR(IF(ISNUMBER(SEARCH("|"&amp;INDEX(INDIRECT(F_Custom1_resolved_column),305)&amp;"|",F_Custom1_wrapped)),1,0),0))</f>
        <v>1</v>
      </c>
      <c r="G306">
        <f>IF(OR(F_Custom2_Q="(None)",F_Custom2_Q="",ISBLANK(F_Custom2_Q),F_Custom2_V="(All)",F_Custom2_V="",ISBLANK(F_Custom2_V)),1,IFERROR(IF(ISNUMBER(SEARCH("|"&amp;INDEX(INDIRECT(F_Custom2_resolved_column),305)&amp;"|",F_Custom2_wrapped)),1,0),0))</f>
        <v>1</v>
      </c>
      <c r="H306">
        <f>F306*G306*1</f>
        <v>1</v>
      </c>
      <c r="I306">
        <f>1</f>
        <v>1</v>
      </c>
      <c r="J3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305)&amp;"|",All_Questions_Q20_F_wrapped)),1,0),0))</f>
        <v>1</v>
      </c>
    </row>
    <row r="307">
      <c r="A307" t="n">
        <v>306</v>
      </c>
      <c r="B307" t="n">
        <v>28.9</v>
      </c>
      <c r="C307" t="n">
        <v>24.6</v>
      </c>
      <c r="D307" t="n">
        <v>22.9</v>
      </c>
      <c r="E307">
        <f>1</f>
        <v>1</v>
      </c>
      <c r="F307">
        <f>IF(OR(F_Custom1_Q="(None)",F_Custom1_Q="",ISBLANK(F_Custom1_Q),F_Custom1_V="(All)",F_Custom1_V="",ISBLANK(F_Custom1_V)),1,IFERROR(IF(ISNUMBER(SEARCH("|"&amp;INDEX(INDIRECT(F_Custom1_resolved_column),306)&amp;"|",F_Custom1_wrapped)),1,0),0))</f>
        <v>1</v>
      </c>
      <c r="G307">
        <f>IF(OR(F_Custom2_Q="(None)",F_Custom2_Q="",ISBLANK(F_Custom2_Q),F_Custom2_V="(All)",F_Custom2_V="",ISBLANK(F_Custom2_V)),1,IFERROR(IF(ISNUMBER(SEARCH("|"&amp;INDEX(INDIRECT(F_Custom2_resolved_column),306)&amp;"|",F_Custom2_wrapped)),1,0),0))</f>
        <v>1</v>
      </c>
      <c r="H307">
        <f>F307*G307*1</f>
        <v>1</v>
      </c>
      <c r="I307">
        <f>1</f>
        <v>1</v>
      </c>
      <c r="J3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306)&amp;"|",All_Questions_Q20_F_wrapped)),1,0),0))</f>
        <v>1</v>
      </c>
    </row>
    <row r="308">
      <c r="A308" t="n">
        <v>307</v>
      </c>
      <c r="B308" t="n">
        <v>28.9</v>
      </c>
      <c r="C308" t="n">
        <v>24.6</v>
      </c>
      <c r="D308" t="n">
        <v>22.9</v>
      </c>
      <c r="E308">
        <f>1</f>
        <v>1</v>
      </c>
      <c r="F308">
        <f>IF(OR(F_Custom1_Q="(None)",F_Custom1_Q="",ISBLANK(F_Custom1_Q),F_Custom1_V="(All)",F_Custom1_V="",ISBLANK(F_Custom1_V)),1,IFERROR(IF(ISNUMBER(SEARCH("|"&amp;INDEX(INDIRECT(F_Custom1_resolved_column),307)&amp;"|",F_Custom1_wrapped)),1,0),0))</f>
        <v>1</v>
      </c>
      <c r="G308">
        <f>IF(OR(F_Custom2_Q="(None)",F_Custom2_Q="",ISBLANK(F_Custom2_Q),F_Custom2_V="(All)",F_Custom2_V="",ISBLANK(F_Custom2_V)),1,IFERROR(IF(ISNUMBER(SEARCH("|"&amp;INDEX(INDIRECT(F_Custom2_resolved_column),307)&amp;"|",F_Custom2_wrapped)),1,0),0))</f>
        <v>1</v>
      </c>
      <c r="H308">
        <f>F308*G308*1</f>
        <v>1</v>
      </c>
      <c r="I308">
        <f>1</f>
        <v>1</v>
      </c>
      <c r="J3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307)&amp;"|",All_Questions_Q20_F_wrapped)),1,0),0))</f>
        <v>1</v>
      </c>
    </row>
    <row r="309">
      <c r="A309" t="n">
        <v>308</v>
      </c>
      <c r="B309" t="n">
        <v>28.9</v>
      </c>
      <c r="C309" t="n">
        <v>24.6</v>
      </c>
      <c r="D309" t="n">
        <v>22.9</v>
      </c>
      <c r="E309">
        <f>1</f>
        <v>1</v>
      </c>
      <c r="F309">
        <f>IF(OR(F_Custom1_Q="(None)",F_Custom1_Q="",ISBLANK(F_Custom1_Q),F_Custom1_V="(All)",F_Custom1_V="",ISBLANK(F_Custom1_V)),1,IFERROR(IF(ISNUMBER(SEARCH("|"&amp;INDEX(INDIRECT(F_Custom1_resolved_column),308)&amp;"|",F_Custom1_wrapped)),1,0),0))</f>
        <v>1</v>
      </c>
      <c r="G309">
        <f>IF(OR(F_Custom2_Q="(None)",F_Custom2_Q="",ISBLANK(F_Custom2_Q),F_Custom2_V="(All)",F_Custom2_V="",ISBLANK(F_Custom2_V)),1,IFERROR(IF(ISNUMBER(SEARCH("|"&amp;INDEX(INDIRECT(F_Custom2_resolved_column),308)&amp;"|",F_Custom2_wrapped)),1,0),0))</f>
        <v>1</v>
      </c>
      <c r="H309">
        <f>F309*G309*1</f>
        <v>1</v>
      </c>
      <c r="I309">
        <f>1</f>
        <v>1</v>
      </c>
      <c r="J3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308)&amp;"|",All_Questions_Q20_F_wrapped)),1,0),0))</f>
        <v>1</v>
      </c>
    </row>
    <row r="310">
      <c r="A310" t="n">
        <v>309</v>
      </c>
      <c r="B310" t="n">
        <v>28.9</v>
      </c>
      <c r="C310" t="n">
        <v>24.6</v>
      </c>
      <c r="D310" t="n">
        <v>22.9</v>
      </c>
      <c r="E310">
        <f>1</f>
        <v>1</v>
      </c>
      <c r="F310">
        <f>IF(OR(F_Custom1_Q="(None)",F_Custom1_Q="",ISBLANK(F_Custom1_Q),F_Custom1_V="(All)",F_Custom1_V="",ISBLANK(F_Custom1_V)),1,IFERROR(IF(ISNUMBER(SEARCH("|"&amp;INDEX(INDIRECT(F_Custom1_resolved_column),309)&amp;"|",F_Custom1_wrapped)),1,0),0))</f>
        <v>1</v>
      </c>
      <c r="G310">
        <f>IF(OR(F_Custom2_Q="(None)",F_Custom2_Q="",ISBLANK(F_Custom2_Q),F_Custom2_V="(All)",F_Custom2_V="",ISBLANK(F_Custom2_V)),1,IFERROR(IF(ISNUMBER(SEARCH("|"&amp;INDEX(INDIRECT(F_Custom2_resolved_column),309)&amp;"|",F_Custom2_wrapped)),1,0),0))</f>
        <v>1</v>
      </c>
      <c r="H310">
        <f>F310*G310*1</f>
        <v>1</v>
      </c>
      <c r="I310">
        <f>1</f>
        <v>1</v>
      </c>
      <c r="J3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309)&amp;"|",All_Questions_Q20_F_wrapped)),1,0),0))</f>
        <v>1</v>
      </c>
    </row>
    <row r="311">
      <c r="A311" t="n">
        <v>310</v>
      </c>
      <c r="B311" t="n">
        <v>28.9</v>
      </c>
      <c r="C311" t="n">
        <v>24.6</v>
      </c>
      <c r="D311" t="n">
        <v>22.9</v>
      </c>
      <c r="E311">
        <f>1</f>
        <v>1</v>
      </c>
      <c r="F311">
        <f>IF(OR(F_Custom1_Q="(None)",F_Custom1_Q="",ISBLANK(F_Custom1_Q),F_Custom1_V="(All)",F_Custom1_V="",ISBLANK(F_Custom1_V)),1,IFERROR(IF(ISNUMBER(SEARCH("|"&amp;INDEX(INDIRECT(F_Custom1_resolved_column),310)&amp;"|",F_Custom1_wrapped)),1,0),0))</f>
        <v>1</v>
      </c>
      <c r="G311">
        <f>IF(OR(F_Custom2_Q="(None)",F_Custom2_Q="",ISBLANK(F_Custom2_Q),F_Custom2_V="(All)",F_Custom2_V="",ISBLANK(F_Custom2_V)),1,IFERROR(IF(ISNUMBER(SEARCH("|"&amp;INDEX(INDIRECT(F_Custom2_resolved_column),310)&amp;"|",F_Custom2_wrapped)),1,0),0))</f>
        <v>1</v>
      </c>
      <c r="H311">
        <f>F311*G311*1</f>
        <v>1</v>
      </c>
      <c r="I311">
        <f>1</f>
        <v>1</v>
      </c>
      <c r="J3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310)&amp;"|",All_Questions_Q20_F_wrapped)),1,0),0))</f>
        <v>1</v>
      </c>
    </row>
    <row r="312">
      <c r="A312" t="n">
        <v>311</v>
      </c>
      <c r="B312" t="n">
        <v>28.9</v>
      </c>
      <c r="C312" t="n">
        <v>24.6</v>
      </c>
      <c r="D312" t="n">
        <v>22.9</v>
      </c>
      <c r="E312">
        <f>1</f>
        <v>1</v>
      </c>
      <c r="F312">
        <f>IF(OR(F_Custom1_Q="(None)",F_Custom1_Q="",ISBLANK(F_Custom1_Q),F_Custom1_V="(All)",F_Custom1_V="",ISBLANK(F_Custom1_V)),1,IFERROR(IF(ISNUMBER(SEARCH("|"&amp;INDEX(INDIRECT(F_Custom1_resolved_column),311)&amp;"|",F_Custom1_wrapped)),1,0),0))</f>
        <v>1</v>
      </c>
      <c r="G312">
        <f>IF(OR(F_Custom2_Q="(None)",F_Custom2_Q="",ISBLANK(F_Custom2_Q),F_Custom2_V="(All)",F_Custom2_V="",ISBLANK(F_Custom2_V)),1,IFERROR(IF(ISNUMBER(SEARCH("|"&amp;INDEX(INDIRECT(F_Custom2_resolved_column),311)&amp;"|",F_Custom2_wrapped)),1,0),0))</f>
        <v>1</v>
      </c>
      <c r="H312">
        <f>F312*G312*1</f>
        <v>1</v>
      </c>
      <c r="I312">
        <f>1</f>
        <v>1</v>
      </c>
      <c r="J3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311)&amp;"|",All_Questions_Q20_F_wrapped)),1,0),0))</f>
        <v>1</v>
      </c>
    </row>
    <row r="313">
      <c r="A313" t="n">
        <v>312</v>
      </c>
      <c r="B313" t="n">
        <v>28.9</v>
      </c>
      <c r="C313" t="n">
        <v>24.6</v>
      </c>
      <c r="D313" t="n">
        <v>22.9</v>
      </c>
      <c r="E313">
        <f>1</f>
        <v>1</v>
      </c>
      <c r="F313">
        <f>IF(OR(F_Custom1_Q="(None)",F_Custom1_Q="",ISBLANK(F_Custom1_Q),F_Custom1_V="(All)",F_Custom1_V="",ISBLANK(F_Custom1_V)),1,IFERROR(IF(ISNUMBER(SEARCH("|"&amp;INDEX(INDIRECT(F_Custom1_resolved_column),312)&amp;"|",F_Custom1_wrapped)),1,0),0))</f>
        <v>1</v>
      </c>
      <c r="G313">
        <f>IF(OR(F_Custom2_Q="(None)",F_Custom2_Q="",ISBLANK(F_Custom2_Q),F_Custom2_V="(All)",F_Custom2_V="",ISBLANK(F_Custom2_V)),1,IFERROR(IF(ISNUMBER(SEARCH("|"&amp;INDEX(INDIRECT(F_Custom2_resolved_column),312)&amp;"|",F_Custom2_wrapped)),1,0),0))</f>
        <v>1</v>
      </c>
      <c r="H313">
        <f>F313*G313*1</f>
        <v>1</v>
      </c>
      <c r="I313">
        <f>1</f>
        <v>1</v>
      </c>
      <c r="J3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312)&amp;"|",All_Questions_Q20_F_wrapped)),1,0),0))</f>
        <v>1</v>
      </c>
    </row>
    <row r="314">
      <c r="A314" t="n">
        <v>313</v>
      </c>
      <c r="B314" t="n">
        <v>28.9</v>
      </c>
      <c r="C314" t="n">
        <v>24.6</v>
      </c>
      <c r="D314" t="n">
        <v>22.9</v>
      </c>
      <c r="E314">
        <f>1</f>
        <v>1</v>
      </c>
      <c r="F314">
        <f>IF(OR(F_Custom1_Q="(None)",F_Custom1_Q="",ISBLANK(F_Custom1_Q),F_Custom1_V="(All)",F_Custom1_V="",ISBLANK(F_Custom1_V)),1,IFERROR(IF(ISNUMBER(SEARCH("|"&amp;INDEX(INDIRECT(F_Custom1_resolved_column),313)&amp;"|",F_Custom1_wrapped)),1,0),0))</f>
        <v>1</v>
      </c>
      <c r="G314">
        <f>IF(OR(F_Custom2_Q="(None)",F_Custom2_Q="",ISBLANK(F_Custom2_Q),F_Custom2_V="(All)",F_Custom2_V="",ISBLANK(F_Custom2_V)),1,IFERROR(IF(ISNUMBER(SEARCH("|"&amp;INDEX(INDIRECT(F_Custom2_resolved_column),313)&amp;"|",F_Custom2_wrapped)),1,0),0))</f>
        <v>1</v>
      </c>
      <c r="H314">
        <f>F314*G314*1</f>
        <v>1</v>
      </c>
      <c r="I314">
        <f>1</f>
        <v>1</v>
      </c>
      <c r="J3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313)&amp;"|",All_Questions_Q20_F_wrapped)),1,0),0))</f>
        <v>1</v>
      </c>
    </row>
    <row r="315">
      <c r="A315" t="n">
        <v>314</v>
      </c>
      <c r="B315" t="n">
        <v>28.9</v>
      </c>
      <c r="C315" t="n">
        <v>24.6</v>
      </c>
      <c r="D315" t="n">
        <v>22.9</v>
      </c>
      <c r="E315">
        <f>1</f>
        <v>1</v>
      </c>
      <c r="F315">
        <f>IF(OR(F_Custom1_Q="(None)",F_Custom1_Q="",ISBLANK(F_Custom1_Q),F_Custom1_V="(All)",F_Custom1_V="",ISBLANK(F_Custom1_V)),1,IFERROR(IF(ISNUMBER(SEARCH("|"&amp;INDEX(INDIRECT(F_Custom1_resolved_column),314)&amp;"|",F_Custom1_wrapped)),1,0),0))</f>
        <v>1</v>
      </c>
      <c r="G315">
        <f>IF(OR(F_Custom2_Q="(None)",F_Custom2_Q="",ISBLANK(F_Custom2_Q),F_Custom2_V="(All)",F_Custom2_V="",ISBLANK(F_Custom2_V)),1,IFERROR(IF(ISNUMBER(SEARCH("|"&amp;INDEX(INDIRECT(F_Custom2_resolved_column),314)&amp;"|",F_Custom2_wrapped)),1,0),0))</f>
        <v>1</v>
      </c>
      <c r="H315">
        <f>F315*G315*1</f>
        <v>1</v>
      </c>
      <c r="I315">
        <f>1</f>
        <v>1</v>
      </c>
      <c r="J3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314)&amp;"|",All_Questions_Q20_F_wrapped)),1,0),0))</f>
        <v>1</v>
      </c>
    </row>
    <row r="316">
      <c r="A316" t="n">
        <v>315</v>
      </c>
      <c r="B316" t="n">
        <v>28.9</v>
      </c>
      <c r="C316" t="n">
        <v>24.6</v>
      </c>
      <c r="D316" t="n">
        <v>22.9</v>
      </c>
      <c r="E316">
        <f>1</f>
        <v>1</v>
      </c>
      <c r="F316">
        <f>IF(OR(F_Custom1_Q="(None)",F_Custom1_Q="",ISBLANK(F_Custom1_Q),F_Custom1_V="(All)",F_Custom1_V="",ISBLANK(F_Custom1_V)),1,IFERROR(IF(ISNUMBER(SEARCH("|"&amp;INDEX(INDIRECT(F_Custom1_resolved_column),315)&amp;"|",F_Custom1_wrapped)),1,0),0))</f>
        <v>1</v>
      </c>
      <c r="G316">
        <f>IF(OR(F_Custom2_Q="(None)",F_Custom2_Q="",ISBLANK(F_Custom2_Q),F_Custom2_V="(All)",F_Custom2_V="",ISBLANK(F_Custom2_V)),1,IFERROR(IF(ISNUMBER(SEARCH("|"&amp;INDEX(INDIRECT(F_Custom2_resolved_column),315)&amp;"|",F_Custom2_wrapped)),1,0),0))</f>
        <v>1</v>
      </c>
      <c r="H316">
        <f>F316*G316*1</f>
        <v>1</v>
      </c>
      <c r="I316">
        <f>1</f>
        <v>1</v>
      </c>
      <c r="J3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315)&amp;"|",All_Questions_Q20_F_wrapped)),1,0),0))</f>
        <v>1</v>
      </c>
    </row>
    <row r="317">
      <c r="A317" t="n">
        <v>316</v>
      </c>
      <c r="B317" t="n">
        <v>28.9</v>
      </c>
      <c r="C317" t="n">
        <v>24.6</v>
      </c>
      <c r="D317" t="n">
        <v>22.9</v>
      </c>
      <c r="E317">
        <f>1</f>
        <v>1</v>
      </c>
      <c r="F317">
        <f>IF(OR(F_Custom1_Q="(None)",F_Custom1_Q="",ISBLANK(F_Custom1_Q),F_Custom1_V="(All)",F_Custom1_V="",ISBLANK(F_Custom1_V)),1,IFERROR(IF(ISNUMBER(SEARCH("|"&amp;INDEX(INDIRECT(F_Custom1_resolved_column),316)&amp;"|",F_Custom1_wrapped)),1,0),0))</f>
        <v>1</v>
      </c>
      <c r="G317">
        <f>IF(OR(F_Custom2_Q="(None)",F_Custom2_Q="",ISBLANK(F_Custom2_Q),F_Custom2_V="(All)",F_Custom2_V="",ISBLANK(F_Custom2_V)),1,IFERROR(IF(ISNUMBER(SEARCH("|"&amp;INDEX(INDIRECT(F_Custom2_resolved_column),316)&amp;"|",F_Custom2_wrapped)),1,0),0))</f>
        <v>1</v>
      </c>
      <c r="H317">
        <f>F317*G317*1</f>
        <v>1</v>
      </c>
      <c r="I317">
        <f>1</f>
        <v>1</v>
      </c>
      <c r="J3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316)&amp;"|",All_Questions_Q20_F_wrapped)),1,0),0))</f>
        <v>1</v>
      </c>
    </row>
    <row r="318">
      <c r="A318" t="n">
        <v>317</v>
      </c>
      <c r="B318" t="n">
        <v>28.9</v>
      </c>
      <c r="C318" t="n">
        <v>24.6</v>
      </c>
      <c r="D318" t="n">
        <v>22.9</v>
      </c>
      <c r="E318">
        <f>1</f>
        <v>1</v>
      </c>
      <c r="F318">
        <f>IF(OR(F_Custom1_Q="(None)",F_Custom1_Q="",ISBLANK(F_Custom1_Q),F_Custom1_V="(All)",F_Custom1_V="",ISBLANK(F_Custom1_V)),1,IFERROR(IF(ISNUMBER(SEARCH("|"&amp;INDEX(INDIRECT(F_Custom1_resolved_column),317)&amp;"|",F_Custom1_wrapped)),1,0),0))</f>
        <v>1</v>
      </c>
      <c r="G318">
        <f>IF(OR(F_Custom2_Q="(None)",F_Custom2_Q="",ISBLANK(F_Custom2_Q),F_Custom2_V="(All)",F_Custom2_V="",ISBLANK(F_Custom2_V)),1,IFERROR(IF(ISNUMBER(SEARCH("|"&amp;INDEX(INDIRECT(F_Custom2_resolved_column),317)&amp;"|",F_Custom2_wrapped)),1,0),0))</f>
        <v>1</v>
      </c>
      <c r="H318">
        <f>F318*G318*1</f>
        <v>1</v>
      </c>
      <c r="I318">
        <f>1</f>
        <v>1</v>
      </c>
      <c r="J3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317)&amp;"|",All_Questions_Q20_F_wrapped)),1,0),0))</f>
        <v>1</v>
      </c>
    </row>
    <row r="319">
      <c r="A319" t="n">
        <v>318</v>
      </c>
      <c r="B319" t="n">
        <v>28.9</v>
      </c>
      <c r="C319" t="n">
        <v>24.6</v>
      </c>
      <c r="D319" t="n">
        <v>22.9</v>
      </c>
      <c r="E319">
        <f>1</f>
        <v>1</v>
      </c>
      <c r="F319">
        <f>IF(OR(F_Custom1_Q="(None)",F_Custom1_Q="",ISBLANK(F_Custom1_Q),F_Custom1_V="(All)",F_Custom1_V="",ISBLANK(F_Custom1_V)),1,IFERROR(IF(ISNUMBER(SEARCH("|"&amp;INDEX(INDIRECT(F_Custom1_resolved_column),318)&amp;"|",F_Custom1_wrapped)),1,0),0))</f>
        <v>1</v>
      </c>
      <c r="G319">
        <f>IF(OR(F_Custom2_Q="(None)",F_Custom2_Q="",ISBLANK(F_Custom2_Q),F_Custom2_V="(All)",F_Custom2_V="",ISBLANK(F_Custom2_V)),1,IFERROR(IF(ISNUMBER(SEARCH("|"&amp;INDEX(INDIRECT(F_Custom2_resolved_column),318)&amp;"|",F_Custom2_wrapped)),1,0),0))</f>
        <v>1</v>
      </c>
      <c r="H319">
        <f>F319*G319*1</f>
        <v>1</v>
      </c>
      <c r="I319">
        <f>1</f>
        <v>1</v>
      </c>
      <c r="J3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318)&amp;"|",All_Questions_Q20_F_wrapped)),1,0),0))</f>
        <v>1</v>
      </c>
    </row>
    <row r="320">
      <c r="A320" t="n">
        <v>319</v>
      </c>
      <c r="B320" t="n">
        <v>28.9</v>
      </c>
      <c r="C320" t="n">
        <v>24.6</v>
      </c>
      <c r="D320" t="n">
        <v>22.9</v>
      </c>
      <c r="E320">
        <f>1</f>
        <v>1</v>
      </c>
      <c r="F320">
        <f>IF(OR(F_Custom1_Q="(None)",F_Custom1_Q="",ISBLANK(F_Custom1_Q),F_Custom1_V="(All)",F_Custom1_V="",ISBLANK(F_Custom1_V)),1,IFERROR(IF(ISNUMBER(SEARCH("|"&amp;INDEX(INDIRECT(F_Custom1_resolved_column),319)&amp;"|",F_Custom1_wrapped)),1,0),0))</f>
        <v>1</v>
      </c>
      <c r="G320">
        <f>IF(OR(F_Custom2_Q="(None)",F_Custom2_Q="",ISBLANK(F_Custom2_Q),F_Custom2_V="(All)",F_Custom2_V="",ISBLANK(F_Custom2_V)),1,IFERROR(IF(ISNUMBER(SEARCH("|"&amp;INDEX(INDIRECT(F_Custom2_resolved_column),319)&amp;"|",F_Custom2_wrapped)),1,0),0))</f>
        <v>1</v>
      </c>
      <c r="H320">
        <f>F320*G320*1</f>
        <v>1</v>
      </c>
      <c r="I320">
        <f>1</f>
        <v>1</v>
      </c>
      <c r="J3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319)&amp;"|",All_Questions_Q20_F_wrapped)),1,0),0))</f>
        <v>1</v>
      </c>
    </row>
    <row r="321">
      <c r="A321" t="n">
        <v>320</v>
      </c>
      <c r="B321" t="n">
        <v>28.9</v>
      </c>
      <c r="C321" t="n">
        <v>24.6</v>
      </c>
      <c r="D321" t="n">
        <v>22.9</v>
      </c>
      <c r="E321">
        <f>1</f>
        <v>1</v>
      </c>
      <c r="F321">
        <f>IF(OR(F_Custom1_Q="(None)",F_Custom1_Q="",ISBLANK(F_Custom1_Q),F_Custom1_V="(All)",F_Custom1_V="",ISBLANK(F_Custom1_V)),1,IFERROR(IF(ISNUMBER(SEARCH("|"&amp;INDEX(INDIRECT(F_Custom1_resolved_column),320)&amp;"|",F_Custom1_wrapped)),1,0),0))</f>
        <v>1</v>
      </c>
      <c r="G321">
        <f>IF(OR(F_Custom2_Q="(None)",F_Custom2_Q="",ISBLANK(F_Custom2_Q),F_Custom2_V="(All)",F_Custom2_V="",ISBLANK(F_Custom2_V)),1,IFERROR(IF(ISNUMBER(SEARCH("|"&amp;INDEX(INDIRECT(F_Custom2_resolved_column),320)&amp;"|",F_Custom2_wrapped)),1,0),0))</f>
        <v>1</v>
      </c>
      <c r="H321">
        <f>F321*G321*1</f>
        <v>1</v>
      </c>
      <c r="I321">
        <f>1</f>
        <v>1</v>
      </c>
      <c r="J3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320)&amp;"|",All_Questions_Q20_F_wrapped)),1,0),0))</f>
        <v>1</v>
      </c>
    </row>
    <row r="322">
      <c r="A322" t="n">
        <v>321</v>
      </c>
      <c r="B322" t="n">
        <v>28.9</v>
      </c>
      <c r="C322" t="n">
        <v>24.6</v>
      </c>
      <c r="D322" t="n">
        <v>22.9</v>
      </c>
      <c r="E322">
        <f>1</f>
        <v>1</v>
      </c>
      <c r="F322">
        <f>IF(OR(F_Custom1_Q="(None)",F_Custom1_Q="",ISBLANK(F_Custom1_Q),F_Custom1_V="(All)",F_Custom1_V="",ISBLANK(F_Custom1_V)),1,IFERROR(IF(ISNUMBER(SEARCH("|"&amp;INDEX(INDIRECT(F_Custom1_resolved_column),321)&amp;"|",F_Custom1_wrapped)),1,0),0))</f>
        <v>1</v>
      </c>
      <c r="G322">
        <f>IF(OR(F_Custom2_Q="(None)",F_Custom2_Q="",ISBLANK(F_Custom2_Q),F_Custom2_V="(All)",F_Custom2_V="",ISBLANK(F_Custom2_V)),1,IFERROR(IF(ISNUMBER(SEARCH("|"&amp;INDEX(INDIRECT(F_Custom2_resolved_column),321)&amp;"|",F_Custom2_wrapped)),1,0),0))</f>
        <v>1</v>
      </c>
      <c r="H322">
        <f>F322*G322*1</f>
        <v>1</v>
      </c>
      <c r="I322">
        <f>1</f>
        <v>1</v>
      </c>
      <c r="J3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321)&amp;"|",All_Questions_Q20_F_wrapped)),1,0),0))</f>
        <v>1</v>
      </c>
    </row>
    <row r="323">
      <c r="A323" t="n">
        <v>322</v>
      </c>
      <c r="B323" t="n">
        <v>28.9</v>
      </c>
      <c r="C323" t="n">
        <v>24.6</v>
      </c>
      <c r="D323" t="n">
        <v>22.9</v>
      </c>
      <c r="E323">
        <f>1</f>
        <v>1</v>
      </c>
      <c r="F323">
        <f>IF(OR(F_Custom1_Q="(None)",F_Custom1_Q="",ISBLANK(F_Custom1_Q),F_Custom1_V="(All)",F_Custom1_V="",ISBLANK(F_Custom1_V)),1,IFERROR(IF(ISNUMBER(SEARCH("|"&amp;INDEX(INDIRECT(F_Custom1_resolved_column),322)&amp;"|",F_Custom1_wrapped)),1,0),0))</f>
        <v>1</v>
      </c>
      <c r="G323">
        <f>IF(OR(F_Custom2_Q="(None)",F_Custom2_Q="",ISBLANK(F_Custom2_Q),F_Custom2_V="(All)",F_Custom2_V="",ISBLANK(F_Custom2_V)),1,IFERROR(IF(ISNUMBER(SEARCH("|"&amp;INDEX(INDIRECT(F_Custom2_resolved_column),322)&amp;"|",F_Custom2_wrapped)),1,0),0))</f>
        <v>1</v>
      </c>
      <c r="H323">
        <f>F323*G323*1</f>
        <v>1</v>
      </c>
      <c r="I323">
        <f>1</f>
        <v>1</v>
      </c>
      <c r="J3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322)&amp;"|",All_Questions_Q20_F_wrapped)),1,0),0))</f>
        <v>1</v>
      </c>
    </row>
    <row r="324">
      <c r="A324" t="n">
        <v>323</v>
      </c>
      <c r="B324" t="n">
        <v>28.9</v>
      </c>
      <c r="C324" t="n">
        <v>24.6</v>
      </c>
      <c r="D324" t="n">
        <v>22.9</v>
      </c>
      <c r="E324">
        <f>1</f>
        <v>1</v>
      </c>
      <c r="F324">
        <f>IF(OR(F_Custom1_Q="(None)",F_Custom1_Q="",ISBLANK(F_Custom1_Q),F_Custom1_V="(All)",F_Custom1_V="",ISBLANK(F_Custom1_V)),1,IFERROR(IF(ISNUMBER(SEARCH("|"&amp;INDEX(INDIRECT(F_Custom1_resolved_column),323)&amp;"|",F_Custom1_wrapped)),1,0),0))</f>
        <v>1</v>
      </c>
      <c r="G324">
        <f>IF(OR(F_Custom2_Q="(None)",F_Custom2_Q="",ISBLANK(F_Custom2_Q),F_Custom2_V="(All)",F_Custom2_V="",ISBLANK(F_Custom2_V)),1,IFERROR(IF(ISNUMBER(SEARCH("|"&amp;INDEX(INDIRECT(F_Custom2_resolved_column),323)&amp;"|",F_Custom2_wrapped)),1,0),0))</f>
        <v>1</v>
      </c>
      <c r="H324">
        <f>F324*G324*1</f>
        <v>1</v>
      </c>
      <c r="I324">
        <f>1</f>
        <v>1</v>
      </c>
      <c r="J3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323)&amp;"|",All_Questions_Q20_F_wrapped)),1,0),0))</f>
        <v>1</v>
      </c>
    </row>
    <row r="325">
      <c r="A325" t="n">
        <v>324</v>
      </c>
      <c r="B325" t="n">
        <v>28.9</v>
      </c>
      <c r="C325" t="n">
        <v>24.6</v>
      </c>
      <c r="D325" t="n">
        <v>22.9</v>
      </c>
      <c r="E325">
        <f>1</f>
        <v>1</v>
      </c>
      <c r="F325">
        <f>IF(OR(F_Custom1_Q="(None)",F_Custom1_Q="",ISBLANK(F_Custom1_Q),F_Custom1_V="(All)",F_Custom1_V="",ISBLANK(F_Custom1_V)),1,IFERROR(IF(ISNUMBER(SEARCH("|"&amp;INDEX(INDIRECT(F_Custom1_resolved_column),324)&amp;"|",F_Custom1_wrapped)),1,0),0))</f>
        <v>1</v>
      </c>
      <c r="G325">
        <f>IF(OR(F_Custom2_Q="(None)",F_Custom2_Q="",ISBLANK(F_Custom2_Q),F_Custom2_V="(All)",F_Custom2_V="",ISBLANK(F_Custom2_V)),1,IFERROR(IF(ISNUMBER(SEARCH("|"&amp;INDEX(INDIRECT(F_Custom2_resolved_column),324)&amp;"|",F_Custom2_wrapped)),1,0),0))</f>
        <v>1</v>
      </c>
      <c r="H325">
        <f>F325*G325*1</f>
        <v>1</v>
      </c>
      <c r="I325">
        <f>1</f>
        <v>1</v>
      </c>
      <c r="J3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324)&amp;"|",All_Questions_Q20_F_wrapped)),1,0),0))</f>
        <v>1</v>
      </c>
    </row>
    <row r="326">
      <c r="A326" t="n">
        <v>325</v>
      </c>
      <c r="B326" t="n">
        <v>28.9</v>
      </c>
      <c r="C326" t="n">
        <v>24.6</v>
      </c>
      <c r="D326" t="n">
        <v>22.9</v>
      </c>
      <c r="E326">
        <f>1</f>
        <v>1</v>
      </c>
      <c r="F326">
        <f>IF(OR(F_Custom1_Q="(None)",F_Custom1_Q="",ISBLANK(F_Custom1_Q),F_Custom1_V="(All)",F_Custom1_V="",ISBLANK(F_Custom1_V)),1,IFERROR(IF(ISNUMBER(SEARCH("|"&amp;INDEX(INDIRECT(F_Custom1_resolved_column),325)&amp;"|",F_Custom1_wrapped)),1,0),0))</f>
        <v>1</v>
      </c>
      <c r="G326">
        <f>IF(OR(F_Custom2_Q="(None)",F_Custom2_Q="",ISBLANK(F_Custom2_Q),F_Custom2_V="(All)",F_Custom2_V="",ISBLANK(F_Custom2_V)),1,IFERROR(IF(ISNUMBER(SEARCH("|"&amp;INDEX(INDIRECT(F_Custom2_resolved_column),325)&amp;"|",F_Custom2_wrapped)),1,0),0))</f>
        <v>1</v>
      </c>
      <c r="H326">
        <f>F326*G326*1</f>
        <v>1</v>
      </c>
      <c r="I326">
        <f>1</f>
        <v>1</v>
      </c>
      <c r="J3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325)&amp;"|",All_Questions_Q20_F_wrapped)),1,0),0))</f>
        <v>1</v>
      </c>
    </row>
    <row r="327">
      <c r="A327" t="n">
        <v>326</v>
      </c>
      <c r="B327" t="n">
        <v>28.9</v>
      </c>
      <c r="C327" t="n">
        <v>24.6</v>
      </c>
      <c r="D327" t="n">
        <v>22.9</v>
      </c>
      <c r="E327">
        <f>1</f>
        <v>1</v>
      </c>
      <c r="F327">
        <f>IF(OR(F_Custom1_Q="(None)",F_Custom1_Q="",ISBLANK(F_Custom1_Q),F_Custom1_V="(All)",F_Custom1_V="",ISBLANK(F_Custom1_V)),1,IFERROR(IF(ISNUMBER(SEARCH("|"&amp;INDEX(INDIRECT(F_Custom1_resolved_column),326)&amp;"|",F_Custom1_wrapped)),1,0),0))</f>
        <v>1</v>
      </c>
      <c r="G327">
        <f>IF(OR(F_Custom2_Q="(None)",F_Custom2_Q="",ISBLANK(F_Custom2_Q),F_Custom2_V="(All)",F_Custom2_V="",ISBLANK(F_Custom2_V)),1,IFERROR(IF(ISNUMBER(SEARCH("|"&amp;INDEX(INDIRECT(F_Custom2_resolved_column),326)&amp;"|",F_Custom2_wrapped)),1,0),0))</f>
        <v>1</v>
      </c>
      <c r="H327">
        <f>F327*G327*1</f>
        <v>1</v>
      </c>
      <c r="I327">
        <f>1</f>
        <v>1</v>
      </c>
      <c r="J3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326)&amp;"|",All_Questions_Q20_F_wrapped)),1,0),0))</f>
        <v>1</v>
      </c>
    </row>
    <row r="328">
      <c r="A328" t="n">
        <v>327</v>
      </c>
      <c r="B328" t="n">
        <v>28.9</v>
      </c>
      <c r="C328" t="n">
        <v>24.6</v>
      </c>
      <c r="D328" t="n">
        <v>22.9</v>
      </c>
      <c r="E328">
        <f>1</f>
        <v>1</v>
      </c>
      <c r="F328">
        <f>IF(OR(F_Custom1_Q="(None)",F_Custom1_Q="",ISBLANK(F_Custom1_Q),F_Custom1_V="(All)",F_Custom1_V="",ISBLANK(F_Custom1_V)),1,IFERROR(IF(ISNUMBER(SEARCH("|"&amp;INDEX(INDIRECT(F_Custom1_resolved_column),327)&amp;"|",F_Custom1_wrapped)),1,0),0))</f>
        <v>1</v>
      </c>
      <c r="G328">
        <f>IF(OR(F_Custom2_Q="(None)",F_Custom2_Q="",ISBLANK(F_Custom2_Q),F_Custom2_V="(All)",F_Custom2_V="",ISBLANK(F_Custom2_V)),1,IFERROR(IF(ISNUMBER(SEARCH("|"&amp;INDEX(INDIRECT(F_Custom2_resolved_column),327)&amp;"|",F_Custom2_wrapped)),1,0),0))</f>
        <v>1</v>
      </c>
      <c r="H328">
        <f>F328*G328*1</f>
        <v>1</v>
      </c>
      <c r="I328">
        <f>1</f>
        <v>1</v>
      </c>
      <c r="J3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327)&amp;"|",All_Questions_Q20_F_wrapped)),1,0),0))</f>
        <v>1</v>
      </c>
    </row>
    <row r="329">
      <c r="A329" t="n">
        <v>328</v>
      </c>
      <c r="B329" t="n">
        <v>28.9</v>
      </c>
      <c r="C329" t="n">
        <v>24.6</v>
      </c>
      <c r="D329" t="n">
        <v>22.9</v>
      </c>
      <c r="E329">
        <f>1</f>
        <v>1</v>
      </c>
      <c r="F329">
        <f>IF(OR(F_Custom1_Q="(None)",F_Custom1_Q="",ISBLANK(F_Custom1_Q),F_Custom1_V="(All)",F_Custom1_V="",ISBLANK(F_Custom1_V)),1,IFERROR(IF(ISNUMBER(SEARCH("|"&amp;INDEX(INDIRECT(F_Custom1_resolved_column),328)&amp;"|",F_Custom1_wrapped)),1,0),0))</f>
        <v>1</v>
      </c>
      <c r="G329">
        <f>IF(OR(F_Custom2_Q="(None)",F_Custom2_Q="",ISBLANK(F_Custom2_Q),F_Custom2_V="(All)",F_Custom2_V="",ISBLANK(F_Custom2_V)),1,IFERROR(IF(ISNUMBER(SEARCH("|"&amp;INDEX(INDIRECT(F_Custom2_resolved_column),328)&amp;"|",F_Custom2_wrapped)),1,0),0))</f>
        <v>1</v>
      </c>
      <c r="H329">
        <f>F329*G329*1</f>
        <v>1</v>
      </c>
      <c r="I329">
        <f>1</f>
        <v>1</v>
      </c>
      <c r="J3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328)&amp;"|",All_Questions_Q20_F_wrapped)),1,0),0))</f>
        <v>1</v>
      </c>
    </row>
    <row r="330">
      <c r="A330" t="n">
        <v>329</v>
      </c>
      <c r="B330" t="n">
        <v>28.9</v>
      </c>
      <c r="C330" t="n">
        <v>24.6</v>
      </c>
      <c r="D330" t="n">
        <v>22.9</v>
      </c>
      <c r="E330">
        <f>1</f>
        <v>1</v>
      </c>
      <c r="F330">
        <f>IF(OR(F_Custom1_Q="(None)",F_Custom1_Q="",ISBLANK(F_Custom1_Q),F_Custom1_V="(All)",F_Custom1_V="",ISBLANK(F_Custom1_V)),1,IFERROR(IF(ISNUMBER(SEARCH("|"&amp;INDEX(INDIRECT(F_Custom1_resolved_column),329)&amp;"|",F_Custom1_wrapped)),1,0),0))</f>
        <v>1</v>
      </c>
      <c r="G330">
        <f>IF(OR(F_Custom2_Q="(None)",F_Custom2_Q="",ISBLANK(F_Custom2_Q),F_Custom2_V="(All)",F_Custom2_V="",ISBLANK(F_Custom2_V)),1,IFERROR(IF(ISNUMBER(SEARCH("|"&amp;INDEX(INDIRECT(F_Custom2_resolved_column),329)&amp;"|",F_Custom2_wrapped)),1,0),0))</f>
        <v>1</v>
      </c>
      <c r="H330">
        <f>F330*G330*1</f>
        <v>1</v>
      </c>
      <c r="I330">
        <f>1</f>
        <v>1</v>
      </c>
      <c r="J3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329)&amp;"|",All_Questions_Q20_F_wrapped)),1,0),0))</f>
        <v>1</v>
      </c>
    </row>
    <row r="331">
      <c r="A331" t="n">
        <v>330</v>
      </c>
      <c r="B331" t="n">
        <v>28.9</v>
      </c>
      <c r="C331" t="n">
        <v>24.6</v>
      </c>
      <c r="D331" t="n">
        <v>22.9</v>
      </c>
      <c r="E331">
        <f>1</f>
        <v>1</v>
      </c>
      <c r="F331">
        <f>IF(OR(F_Custom1_Q="(None)",F_Custom1_Q="",ISBLANK(F_Custom1_Q),F_Custom1_V="(All)",F_Custom1_V="",ISBLANK(F_Custom1_V)),1,IFERROR(IF(ISNUMBER(SEARCH("|"&amp;INDEX(INDIRECT(F_Custom1_resolved_column),330)&amp;"|",F_Custom1_wrapped)),1,0),0))</f>
        <v>1</v>
      </c>
      <c r="G331">
        <f>IF(OR(F_Custom2_Q="(None)",F_Custom2_Q="",ISBLANK(F_Custom2_Q),F_Custom2_V="(All)",F_Custom2_V="",ISBLANK(F_Custom2_V)),1,IFERROR(IF(ISNUMBER(SEARCH("|"&amp;INDEX(INDIRECT(F_Custom2_resolved_column),330)&amp;"|",F_Custom2_wrapped)),1,0),0))</f>
        <v>1</v>
      </c>
      <c r="H331">
        <f>F331*G331*1</f>
        <v>1</v>
      </c>
      <c r="I331">
        <f>1</f>
        <v>1</v>
      </c>
      <c r="J3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330)&amp;"|",All_Questions_Q20_F_wrapped)),1,0),0))</f>
        <v>1</v>
      </c>
    </row>
    <row r="332">
      <c r="A332" t="n">
        <v>331</v>
      </c>
      <c r="B332" t="n">
        <v>28.9</v>
      </c>
      <c r="C332" t="n">
        <v>24.6</v>
      </c>
      <c r="D332" t="n">
        <v>22.9</v>
      </c>
      <c r="E332">
        <f>1</f>
        <v>1</v>
      </c>
      <c r="F332">
        <f>IF(OR(F_Custom1_Q="(None)",F_Custom1_Q="",ISBLANK(F_Custom1_Q),F_Custom1_V="(All)",F_Custom1_V="",ISBLANK(F_Custom1_V)),1,IFERROR(IF(ISNUMBER(SEARCH("|"&amp;INDEX(INDIRECT(F_Custom1_resolved_column),331)&amp;"|",F_Custom1_wrapped)),1,0),0))</f>
        <v>1</v>
      </c>
      <c r="G332">
        <f>IF(OR(F_Custom2_Q="(None)",F_Custom2_Q="",ISBLANK(F_Custom2_Q),F_Custom2_V="(All)",F_Custom2_V="",ISBLANK(F_Custom2_V)),1,IFERROR(IF(ISNUMBER(SEARCH("|"&amp;INDEX(INDIRECT(F_Custom2_resolved_column),331)&amp;"|",F_Custom2_wrapped)),1,0),0))</f>
        <v>1</v>
      </c>
      <c r="H332">
        <f>F332*G332*1</f>
        <v>1</v>
      </c>
      <c r="I332">
        <f>1</f>
        <v>1</v>
      </c>
      <c r="J3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331)&amp;"|",All_Questions_Q20_F_wrapped)),1,0),0))</f>
        <v>1</v>
      </c>
    </row>
    <row r="333">
      <c r="A333" t="n">
        <v>332</v>
      </c>
      <c r="B333" t="n">
        <v>28.9</v>
      </c>
      <c r="C333" t="n">
        <v>24.6</v>
      </c>
      <c r="D333" t="n">
        <v>22.9</v>
      </c>
      <c r="E333">
        <f>1</f>
        <v>1</v>
      </c>
      <c r="F333">
        <f>IF(OR(F_Custom1_Q="(None)",F_Custom1_Q="",ISBLANK(F_Custom1_Q),F_Custom1_V="(All)",F_Custom1_V="",ISBLANK(F_Custom1_V)),1,IFERROR(IF(ISNUMBER(SEARCH("|"&amp;INDEX(INDIRECT(F_Custom1_resolved_column),332)&amp;"|",F_Custom1_wrapped)),1,0),0))</f>
        <v>1</v>
      </c>
      <c r="G333">
        <f>IF(OR(F_Custom2_Q="(None)",F_Custom2_Q="",ISBLANK(F_Custom2_Q),F_Custom2_V="(All)",F_Custom2_V="",ISBLANK(F_Custom2_V)),1,IFERROR(IF(ISNUMBER(SEARCH("|"&amp;INDEX(INDIRECT(F_Custom2_resolved_column),332)&amp;"|",F_Custom2_wrapped)),1,0),0))</f>
        <v>1</v>
      </c>
      <c r="H333">
        <f>F333*G333*1</f>
        <v>1</v>
      </c>
      <c r="I333">
        <f>1</f>
        <v>1</v>
      </c>
      <c r="J3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332)&amp;"|",All_Questions_Q20_F_wrapped)),1,0),0))</f>
        <v>1</v>
      </c>
    </row>
    <row r="334">
      <c r="A334" t="n">
        <v>333</v>
      </c>
      <c r="B334" t="n">
        <v>28.9</v>
      </c>
      <c r="C334" t="n">
        <v>24.6</v>
      </c>
      <c r="D334" t="n">
        <v>22.9</v>
      </c>
      <c r="E334">
        <f>1</f>
        <v>1</v>
      </c>
      <c r="F334">
        <f>IF(OR(F_Custom1_Q="(None)",F_Custom1_Q="",ISBLANK(F_Custom1_Q),F_Custom1_V="(All)",F_Custom1_V="",ISBLANK(F_Custom1_V)),1,IFERROR(IF(ISNUMBER(SEARCH("|"&amp;INDEX(INDIRECT(F_Custom1_resolved_column),333)&amp;"|",F_Custom1_wrapped)),1,0),0))</f>
        <v>1</v>
      </c>
      <c r="G334">
        <f>IF(OR(F_Custom2_Q="(None)",F_Custom2_Q="",ISBLANK(F_Custom2_Q),F_Custom2_V="(All)",F_Custom2_V="",ISBLANK(F_Custom2_V)),1,IFERROR(IF(ISNUMBER(SEARCH("|"&amp;INDEX(INDIRECT(F_Custom2_resolved_column),333)&amp;"|",F_Custom2_wrapped)),1,0),0))</f>
        <v>1</v>
      </c>
      <c r="H334">
        <f>F334*G334*1</f>
        <v>1</v>
      </c>
      <c r="I334">
        <f>1</f>
        <v>1</v>
      </c>
      <c r="J3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333)&amp;"|",All_Questions_Q20_F_wrapped)),1,0),0))</f>
        <v>1</v>
      </c>
    </row>
    <row r="335">
      <c r="A335" t="n">
        <v>334</v>
      </c>
      <c r="B335" t="n">
        <v>28.9</v>
      </c>
      <c r="C335" t="n">
        <v>24.6</v>
      </c>
      <c r="D335" t="n">
        <v>22.9</v>
      </c>
      <c r="E335">
        <f>1</f>
        <v>1</v>
      </c>
      <c r="F335">
        <f>IF(OR(F_Custom1_Q="(None)",F_Custom1_Q="",ISBLANK(F_Custom1_Q),F_Custom1_V="(All)",F_Custom1_V="",ISBLANK(F_Custom1_V)),1,IFERROR(IF(ISNUMBER(SEARCH("|"&amp;INDEX(INDIRECT(F_Custom1_resolved_column),334)&amp;"|",F_Custom1_wrapped)),1,0),0))</f>
        <v>1</v>
      </c>
      <c r="G335">
        <f>IF(OR(F_Custom2_Q="(None)",F_Custom2_Q="",ISBLANK(F_Custom2_Q),F_Custom2_V="(All)",F_Custom2_V="",ISBLANK(F_Custom2_V)),1,IFERROR(IF(ISNUMBER(SEARCH("|"&amp;INDEX(INDIRECT(F_Custom2_resolved_column),334)&amp;"|",F_Custom2_wrapped)),1,0),0))</f>
        <v>1</v>
      </c>
      <c r="H335">
        <f>F335*G335*1</f>
        <v>1</v>
      </c>
      <c r="I335">
        <f>1</f>
        <v>1</v>
      </c>
      <c r="J3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334)&amp;"|",All_Questions_Q20_F_wrapped)),1,0),0))</f>
        <v>1</v>
      </c>
    </row>
    <row r="336">
      <c r="A336" t="n">
        <v>335</v>
      </c>
      <c r="B336" t="n">
        <v>28.9</v>
      </c>
      <c r="C336" t="n">
        <v>24.6</v>
      </c>
      <c r="D336" t="n">
        <v>22.9</v>
      </c>
      <c r="E336">
        <f>1</f>
        <v>1</v>
      </c>
      <c r="F336">
        <f>IF(OR(F_Custom1_Q="(None)",F_Custom1_Q="",ISBLANK(F_Custom1_Q),F_Custom1_V="(All)",F_Custom1_V="",ISBLANK(F_Custom1_V)),1,IFERROR(IF(ISNUMBER(SEARCH("|"&amp;INDEX(INDIRECT(F_Custom1_resolved_column),335)&amp;"|",F_Custom1_wrapped)),1,0),0))</f>
        <v>1</v>
      </c>
      <c r="G336">
        <f>IF(OR(F_Custom2_Q="(None)",F_Custom2_Q="",ISBLANK(F_Custom2_Q),F_Custom2_V="(All)",F_Custom2_V="",ISBLANK(F_Custom2_V)),1,IFERROR(IF(ISNUMBER(SEARCH("|"&amp;INDEX(INDIRECT(F_Custom2_resolved_column),335)&amp;"|",F_Custom2_wrapped)),1,0),0))</f>
        <v>1</v>
      </c>
      <c r="H336">
        <f>F336*G336*1</f>
        <v>1</v>
      </c>
      <c r="I336">
        <f>1</f>
        <v>1</v>
      </c>
      <c r="J3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335)&amp;"|",All_Questions_Q20_F_wrapped)),1,0),0))</f>
        <v>1</v>
      </c>
    </row>
    <row r="337">
      <c r="A337" t="n">
        <v>336</v>
      </c>
      <c r="B337" t="n">
        <v>28.9</v>
      </c>
      <c r="C337" t="n">
        <v>24.6</v>
      </c>
      <c r="D337" t="n">
        <v>22.9</v>
      </c>
      <c r="E337">
        <f>1</f>
        <v>1</v>
      </c>
      <c r="F337">
        <f>IF(OR(F_Custom1_Q="(None)",F_Custom1_Q="",ISBLANK(F_Custom1_Q),F_Custom1_V="(All)",F_Custom1_V="",ISBLANK(F_Custom1_V)),1,IFERROR(IF(ISNUMBER(SEARCH("|"&amp;INDEX(INDIRECT(F_Custom1_resolved_column),336)&amp;"|",F_Custom1_wrapped)),1,0),0))</f>
        <v>1</v>
      </c>
      <c r="G337">
        <f>IF(OR(F_Custom2_Q="(None)",F_Custom2_Q="",ISBLANK(F_Custom2_Q),F_Custom2_V="(All)",F_Custom2_V="",ISBLANK(F_Custom2_V)),1,IFERROR(IF(ISNUMBER(SEARCH("|"&amp;INDEX(INDIRECT(F_Custom2_resolved_column),336)&amp;"|",F_Custom2_wrapped)),1,0),0))</f>
        <v>1</v>
      </c>
      <c r="H337">
        <f>F337*G337*1</f>
        <v>1</v>
      </c>
      <c r="I337">
        <f>1</f>
        <v>1</v>
      </c>
      <c r="J3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336)&amp;"|",All_Questions_Q20_F_wrapped)),1,0),0))</f>
        <v>1</v>
      </c>
    </row>
    <row r="338">
      <c r="A338" t="n">
        <v>337</v>
      </c>
      <c r="B338" t="n">
        <v>28.9</v>
      </c>
      <c r="C338" t="n">
        <v>24.6</v>
      </c>
      <c r="D338" t="n">
        <v>22.9</v>
      </c>
      <c r="E338">
        <f>1</f>
        <v>1</v>
      </c>
      <c r="F338">
        <f>IF(OR(F_Custom1_Q="(None)",F_Custom1_Q="",ISBLANK(F_Custom1_Q),F_Custom1_V="(All)",F_Custom1_V="",ISBLANK(F_Custom1_V)),1,IFERROR(IF(ISNUMBER(SEARCH("|"&amp;INDEX(INDIRECT(F_Custom1_resolved_column),337)&amp;"|",F_Custom1_wrapped)),1,0),0))</f>
        <v>1</v>
      </c>
      <c r="G338">
        <f>IF(OR(F_Custom2_Q="(None)",F_Custom2_Q="",ISBLANK(F_Custom2_Q),F_Custom2_V="(All)",F_Custom2_V="",ISBLANK(F_Custom2_V)),1,IFERROR(IF(ISNUMBER(SEARCH("|"&amp;INDEX(INDIRECT(F_Custom2_resolved_column),337)&amp;"|",F_Custom2_wrapped)),1,0),0))</f>
        <v>1</v>
      </c>
      <c r="H338">
        <f>F338*G338*1</f>
        <v>1</v>
      </c>
      <c r="I338">
        <f>1</f>
        <v>1</v>
      </c>
      <c r="J3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337)&amp;"|",All_Questions_Q20_F_wrapped)),1,0),0))</f>
        <v>1</v>
      </c>
    </row>
    <row r="339">
      <c r="A339" t="n">
        <v>338</v>
      </c>
      <c r="B339" t="n">
        <v>28.9</v>
      </c>
      <c r="C339" t="n">
        <v>24.6</v>
      </c>
      <c r="D339" t="n">
        <v>22.9</v>
      </c>
      <c r="E339">
        <f>1</f>
        <v>1</v>
      </c>
      <c r="F339">
        <f>IF(OR(F_Custom1_Q="(None)",F_Custom1_Q="",ISBLANK(F_Custom1_Q),F_Custom1_V="(All)",F_Custom1_V="",ISBLANK(F_Custom1_V)),1,IFERROR(IF(ISNUMBER(SEARCH("|"&amp;INDEX(INDIRECT(F_Custom1_resolved_column),338)&amp;"|",F_Custom1_wrapped)),1,0),0))</f>
        <v>1</v>
      </c>
      <c r="G339">
        <f>IF(OR(F_Custom2_Q="(None)",F_Custom2_Q="",ISBLANK(F_Custom2_Q),F_Custom2_V="(All)",F_Custom2_V="",ISBLANK(F_Custom2_V)),1,IFERROR(IF(ISNUMBER(SEARCH("|"&amp;INDEX(INDIRECT(F_Custom2_resolved_column),338)&amp;"|",F_Custom2_wrapped)),1,0),0))</f>
        <v>1</v>
      </c>
      <c r="H339">
        <f>F339*G339*1</f>
        <v>1</v>
      </c>
      <c r="I339">
        <f>1</f>
        <v>1</v>
      </c>
      <c r="J3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338)&amp;"|",All_Questions_Q20_F_wrapped)),1,0),0))</f>
        <v>1</v>
      </c>
    </row>
    <row r="340">
      <c r="A340" t="n">
        <v>339</v>
      </c>
      <c r="B340" t="n">
        <v>28.9</v>
      </c>
      <c r="C340" t="n">
        <v>24.6</v>
      </c>
      <c r="D340" t="n">
        <v>22.9</v>
      </c>
      <c r="E340">
        <f>1</f>
        <v>1</v>
      </c>
      <c r="F340">
        <f>IF(OR(F_Custom1_Q="(None)",F_Custom1_Q="",ISBLANK(F_Custom1_Q),F_Custom1_V="(All)",F_Custom1_V="",ISBLANK(F_Custom1_V)),1,IFERROR(IF(ISNUMBER(SEARCH("|"&amp;INDEX(INDIRECT(F_Custom1_resolved_column),339)&amp;"|",F_Custom1_wrapped)),1,0),0))</f>
        <v>1</v>
      </c>
      <c r="G340">
        <f>IF(OR(F_Custom2_Q="(None)",F_Custom2_Q="",ISBLANK(F_Custom2_Q),F_Custom2_V="(All)",F_Custom2_V="",ISBLANK(F_Custom2_V)),1,IFERROR(IF(ISNUMBER(SEARCH("|"&amp;INDEX(INDIRECT(F_Custom2_resolved_column),339)&amp;"|",F_Custom2_wrapped)),1,0),0))</f>
        <v>1</v>
      </c>
      <c r="H340">
        <f>F340*G340*1</f>
        <v>1</v>
      </c>
      <c r="I340">
        <f>1</f>
        <v>1</v>
      </c>
      <c r="J3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339)&amp;"|",All_Questions_Q20_F_wrapped)),1,0),0))</f>
        <v>1</v>
      </c>
    </row>
    <row r="341">
      <c r="A341" t="n">
        <v>340</v>
      </c>
      <c r="B341" t="n">
        <v>28.9</v>
      </c>
      <c r="C341" t="n">
        <v>24.6</v>
      </c>
      <c r="D341" t="n">
        <v>22.9</v>
      </c>
      <c r="E341">
        <f>1</f>
        <v>1</v>
      </c>
      <c r="F341">
        <f>IF(OR(F_Custom1_Q="(None)",F_Custom1_Q="",ISBLANK(F_Custom1_Q),F_Custom1_V="(All)",F_Custom1_V="",ISBLANK(F_Custom1_V)),1,IFERROR(IF(ISNUMBER(SEARCH("|"&amp;INDEX(INDIRECT(F_Custom1_resolved_column),340)&amp;"|",F_Custom1_wrapped)),1,0),0))</f>
        <v>1</v>
      </c>
      <c r="G341">
        <f>IF(OR(F_Custom2_Q="(None)",F_Custom2_Q="",ISBLANK(F_Custom2_Q),F_Custom2_V="(All)",F_Custom2_V="",ISBLANK(F_Custom2_V)),1,IFERROR(IF(ISNUMBER(SEARCH("|"&amp;INDEX(INDIRECT(F_Custom2_resolved_column),340)&amp;"|",F_Custom2_wrapped)),1,0),0))</f>
        <v>1</v>
      </c>
      <c r="H341">
        <f>F341*G341*1</f>
        <v>1</v>
      </c>
      <c r="I341">
        <f>1</f>
        <v>1</v>
      </c>
      <c r="J3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340)&amp;"|",All_Questions_Q20_F_wrapped)),1,0),0))</f>
        <v>1</v>
      </c>
    </row>
    <row r="342">
      <c r="A342" t="n">
        <v>341</v>
      </c>
      <c r="B342" t="n">
        <v>28.9</v>
      </c>
      <c r="C342" t="n">
        <v>24.6</v>
      </c>
      <c r="D342" t="n">
        <v>22.9</v>
      </c>
      <c r="E342">
        <f>1</f>
        <v>1</v>
      </c>
      <c r="F342">
        <f>IF(OR(F_Custom1_Q="(None)",F_Custom1_Q="",ISBLANK(F_Custom1_Q),F_Custom1_V="(All)",F_Custom1_V="",ISBLANK(F_Custom1_V)),1,IFERROR(IF(ISNUMBER(SEARCH("|"&amp;INDEX(INDIRECT(F_Custom1_resolved_column),341)&amp;"|",F_Custom1_wrapped)),1,0),0))</f>
        <v>1</v>
      </c>
      <c r="G342">
        <f>IF(OR(F_Custom2_Q="(None)",F_Custom2_Q="",ISBLANK(F_Custom2_Q),F_Custom2_V="(All)",F_Custom2_V="",ISBLANK(F_Custom2_V)),1,IFERROR(IF(ISNUMBER(SEARCH("|"&amp;INDEX(INDIRECT(F_Custom2_resolved_column),341)&amp;"|",F_Custom2_wrapped)),1,0),0))</f>
        <v>1</v>
      </c>
      <c r="H342">
        <f>F342*G342*1</f>
        <v>1</v>
      </c>
      <c r="I342">
        <f>1</f>
        <v>1</v>
      </c>
      <c r="J3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341)&amp;"|",All_Questions_Q20_F_wrapped)),1,0),0))</f>
        <v>1</v>
      </c>
    </row>
    <row r="343">
      <c r="A343" t="n">
        <v>342</v>
      </c>
      <c r="B343" t="n">
        <v>28.9</v>
      </c>
      <c r="C343" t="n">
        <v>24.6</v>
      </c>
      <c r="D343" t="n">
        <v>22.9</v>
      </c>
      <c r="E343">
        <f>1</f>
        <v>1</v>
      </c>
      <c r="F343">
        <f>IF(OR(F_Custom1_Q="(None)",F_Custom1_Q="",ISBLANK(F_Custom1_Q),F_Custom1_V="(All)",F_Custom1_V="",ISBLANK(F_Custom1_V)),1,IFERROR(IF(ISNUMBER(SEARCH("|"&amp;INDEX(INDIRECT(F_Custom1_resolved_column),342)&amp;"|",F_Custom1_wrapped)),1,0),0))</f>
        <v>1</v>
      </c>
      <c r="G343">
        <f>IF(OR(F_Custom2_Q="(None)",F_Custom2_Q="",ISBLANK(F_Custom2_Q),F_Custom2_V="(All)",F_Custom2_V="",ISBLANK(F_Custom2_V)),1,IFERROR(IF(ISNUMBER(SEARCH("|"&amp;INDEX(INDIRECT(F_Custom2_resolved_column),342)&amp;"|",F_Custom2_wrapped)),1,0),0))</f>
        <v>1</v>
      </c>
      <c r="H343">
        <f>F343*G343*1</f>
        <v>1</v>
      </c>
      <c r="I343">
        <f>1</f>
        <v>1</v>
      </c>
      <c r="J3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342)&amp;"|",All_Questions_Q20_F_wrapped)),1,0),0))</f>
        <v>1</v>
      </c>
    </row>
    <row r="344">
      <c r="A344" t="n">
        <v>343</v>
      </c>
      <c r="B344" t="n">
        <v>28.9</v>
      </c>
      <c r="C344" t="n">
        <v>24.6</v>
      </c>
      <c r="D344" t="n">
        <v>22.9</v>
      </c>
      <c r="E344">
        <f>1</f>
        <v>1</v>
      </c>
      <c r="F344">
        <f>IF(OR(F_Custom1_Q="(None)",F_Custom1_Q="",ISBLANK(F_Custom1_Q),F_Custom1_V="(All)",F_Custom1_V="",ISBLANK(F_Custom1_V)),1,IFERROR(IF(ISNUMBER(SEARCH("|"&amp;INDEX(INDIRECT(F_Custom1_resolved_column),343)&amp;"|",F_Custom1_wrapped)),1,0),0))</f>
        <v>1</v>
      </c>
      <c r="G344">
        <f>IF(OR(F_Custom2_Q="(None)",F_Custom2_Q="",ISBLANK(F_Custom2_Q),F_Custom2_V="(All)",F_Custom2_V="",ISBLANK(F_Custom2_V)),1,IFERROR(IF(ISNUMBER(SEARCH("|"&amp;INDEX(INDIRECT(F_Custom2_resolved_column),343)&amp;"|",F_Custom2_wrapped)),1,0),0))</f>
        <v>1</v>
      </c>
      <c r="H344">
        <f>F344*G344*1</f>
        <v>1</v>
      </c>
      <c r="I344">
        <f>1</f>
        <v>1</v>
      </c>
      <c r="J3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343)&amp;"|",All_Questions_Q20_F_wrapped)),1,0),0))</f>
        <v>1</v>
      </c>
    </row>
    <row r="345">
      <c r="A345" t="n">
        <v>344</v>
      </c>
      <c r="B345" t="n">
        <v>28.9</v>
      </c>
      <c r="C345" t="n">
        <v>24.6</v>
      </c>
      <c r="D345" t="n">
        <v>22.9</v>
      </c>
      <c r="E345">
        <f>1</f>
        <v>1</v>
      </c>
      <c r="F345">
        <f>IF(OR(F_Custom1_Q="(None)",F_Custom1_Q="",ISBLANK(F_Custom1_Q),F_Custom1_V="(All)",F_Custom1_V="",ISBLANK(F_Custom1_V)),1,IFERROR(IF(ISNUMBER(SEARCH("|"&amp;INDEX(INDIRECT(F_Custom1_resolved_column),344)&amp;"|",F_Custom1_wrapped)),1,0),0))</f>
        <v>1</v>
      </c>
      <c r="G345">
        <f>IF(OR(F_Custom2_Q="(None)",F_Custom2_Q="",ISBLANK(F_Custom2_Q),F_Custom2_V="(All)",F_Custom2_V="",ISBLANK(F_Custom2_V)),1,IFERROR(IF(ISNUMBER(SEARCH("|"&amp;INDEX(INDIRECT(F_Custom2_resolved_column),344)&amp;"|",F_Custom2_wrapped)),1,0),0))</f>
        <v>1</v>
      </c>
      <c r="H345">
        <f>F345*G345*1</f>
        <v>1</v>
      </c>
      <c r="I345">
        <f>1</f>
        <v>1</v>
      </c>
      <c r="J3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344)&amp;"|",All_Questions_Q20_F_wrapped)),1,0),0))</f>
        <v>1</v>
      </c>
    </row>
    <row r="346">
      <c r="A346" t="n">
        <v>345</v>
      </c>
      <c r="B346" t="n">
        <v>28.9</v>
      </c>
      <c r="C346" t="n">
        <v>24.6</v>
      </c>
      <c r="D346" t="n">
        <v>22.9</v>
      </c>
      <c r="E346">
        <f>1</f>
        <v>1</v>
      </c>
      <c r="F346">
        <f>IF(OR(F_Custom1_Q="(None)",F_Custom1_Q="",ISBLANK(F_Custom1_Q),F_Custom1_V="(All)",F_Custom1_V="",ISBLANK(F_Custom1_V)),1,IFERROR(IF(ISNUMBER(SEARCH("|"&amp;INDEX(INDIRECT(F_Custom1_resolved_column),345)&amp;"|",F_Custom1_wrapped)),1,0),0))</f>
        <v>1</v>
      </c>
      <c r="G346">
        <f>IF(OR(F_Custom2_Q="(None)",F_Custom2_Q="",ISBLANK(F_Custom2_Q),F_Custom2_V="(All)",F_Custom2_V="",ISBLANK(F_Custom2_V)),1,IFERROR(IF(ISNUMBER(SEARCH("|"&amp;INDEX(INDIRECT(F_Custom2_resolved_column),345)&amp;"|",F_Custom2_wrapped)),1,0),0))</f>
        <v>1</v>
      </c>
      <c r="H346">
        <f>F346*G346*1</f>
        <v>1</v>
      </c>
      <c r="I346">
        <f>1</f>
        <v>1</v>
      </c>
      <c r="J3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345)&amp;"|",All_Questions_Q20_F_wrapped)),1,0),0))</f>
        <v>1</v>
      </c>
    </row>
    <row r="347">
      <c r="A347" t="n">
        <v>346</v>
      </c>
      <c r="B347" t="n">
        <v>28.9</v>
      </c>
      <c r="C347" t="n">
        <v>24.6</v>
      </c>
      <c r="D347" t="n">
        <v>22.9</v>
      </c>
      <c r="E347">
        <f>1</f>
        <v>1</v>
      </c>
      <c r="F347">
        <f>IF(OR(F_Custom1_Q="(None)",F_Custom1_Q="",ISBLANK(F_Custom1_Q),F_Custom1_V="(All)",F_Custom1_V="",ISBLANK(F_Custom1_V)),1,IFERROR(IF(ISNUMBER(SEARCH("|"&amp;INDEX(INDIRECT(F_Custom1_resolved_column),346)&amp;"|",F_Custom1_wrapped)),1,0),0))</f>
        <v>1</v>
      </c>
      <c r="G347">
        <f>IF(OR(F_Custom2_Q="(None)",F_Custom2_Q="",ISBLANK(F_Custom2_Q),F_Custom2_V="(All)",F_Custom2_V="",ISBLANK(F_Custom2_V)),1,IFERROR(IF(ISNUMBER(SEARCH("|"&amp;INDEX(INDIRECT(F_Custom2_resolved_column),346)&amp;"|",F_Custom2_wrapped)),1,0),0))</f>
        <v>1</v>
      </c>
      <c r="H347">
        <f>F347*G347*1</f>
        <v>1</v>
      </c>
      <c r="I347">
        <f>1</f>
        <v>1</v>
      </c>
      <c r="J3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346)&amp;"|",All_Questions_Q20_F_wrapped)),1,0),0))</f>
        <v>1</v>
      </c>
    </row>
    <row r="348">
      <c r="A348" t="n">
        <v>347</v>
      </c>
      <c r="B348" t="n">
        <v>28.9</v>
      </c>
      <c r="C348" t="n">
        <v>24.6</v>
      </c>
      <c r="D348" t="n">
        <v>22.9</v>
      </c>
      <c r="E348">
        <f>1</f>
        <v>1</v>
      </c>
      <c r="F348">
        <f>IF(OR(F_Custom1_Q="(None)",F_Custom1_Q="",ISBLANK(F_Custom1_Q),F_Custom1_V="(All)",F_Custom1_V="",ISBLANK(F_Custom1_V)),1,IFERROR(IF(ISNUMBER(SEARCH("|"&amp;INDEX(INDIRECT(F_Custom1_resolved_column),347)&amp;"|",F_Custom1_wrapped)),1,0),0))</f>
        <v>1</v>
      </c>
      <c r="G348">
        <f>IF(OR(F_Custom2_Q="(None)",F_Custom2_Q="",ISBLANK(F_Custom2_Q),F_Custom2_V="(All)",F_Custom2_V="",ISBLANK(F_Custom2_V)),1,IFERROR(IF(ISNUMBER(SEARCH("|"&amp;INDEX(INDIRECT(F_Custom2_resolved_column),347)&amp;"|",F_Custom2_wrapped)),1,0),0))</f>
        <v>1</v>
      </c>
      <c r="H348">
        <f>F348*G348*1</f>
        <v>1</v>
      </c>
      <c r="I348">
        <f>1</f>
        <v>1</v>
      </c>
      <c r="J3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347)&amp;"|",All_Questions_Q20_F_wrapped)),1,0),0))</f>
        <v>1</v>
      </c>
    </row>
    <row r="349">
      <c r="A349" t="n">
        <v>348</v>
      </c>
      <c r="B349" t="n">
        <v>28.9</v>
      </c>
      <c r="C349" t="n">
        <v>24.6</v>
      </c>
      <c r="D349" t="n">
        <v>22.9</v>
      </c>
      <c r="E349">
        <f>1</f>
        <v>1</v>
      </c>
      <c r="F349">
        <f>IF(OR(F_Custom1_Q="(None)",F_Custom1_Q="",ISBLANK(F_Custom1_Q),F_Custom1_V="(All)",F_Custom1_V="",ISBLANK(F_Custom1_V)),1,IFERROR(IF(ISNUMBER(SEARCH("|"&amp;INDEX(INDIRECT(F_Custom1_resolved_column),348)&amp;"|",F_Custom1_wrapped)),1,0),0))</f>
        <v>1</v>
      </c>
      <c r="G349">
        <f>IF(OR(F_Custom2_Q="(None)",F_Custom2_Q="",ISBLANK(F_Custom2_Q),F_Custom2_V="(All)",F_Custom2_V="",ISBLANK(F_Custom2_V)),1,IFERROR(IF(ISNUMBER(SEARCH("|"&amp;INDEX(INDIRECT(F_Custom2_resolved_column),348)&amp;"|",F_Custom2_wrapped)),1,0),0))</f>
        <v>1</v>
      </c>
      <c r="H349">
        <f>F349*G349*1</f>
        <v>1</v>
      </c>
      <c r="I349">
        <f>1</f>
        <v>1</v>
      </c>
      <c r="J3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348)&amp;"|",All_Questions_Q20_F_wrapped)),1,0),0))</f>
        <v>1</v>
      </c>
    </row>
    <row r="350">
      <c r="A350" t="n">
        <v>349</v>
      </c>
      <c r="B350" t="n">
        <v>28.9</v>
      </c>
      <c r="C350" t="n">
        <v>24.6</v>
      </c>
      <c r="D350" t="n">
        <v>22.9</v>
      </c>
      <c r="E350">
        <f>1</f>
        <v>1</v>
      </c>
      <c r="F350">
        <f>IF(OR(F_Custom1_Q="(None)",F_Custom1_Q="",ISBLANK(F_Custom1_Q),F_Custom1_V="(All)",F_Custom1_V="",ISBLANK(F_Custom1_V)),1,IFERROR(IF(ISNUMBER(SEARCH("|"&amp;INDEX(INDIRECT(F_Custom1_resolved_column),349)&amp;"|",F_Custom1_wrapped)),1,0),0))</f>
        <v>1</v>
      </c>
      <c r="G350">
        <f>IF(OR(F_Custom2_Q="(None)",F_Custom2_Q="",ISBLANK(F_Custom2_Q),F_Custom2_V="(All)",F_Custom2_V="",ISBLANK(F_Custom2_V)),1,IFERROR(IF(ISNUMBER(SEARCH("|"&amp;INDEX(INDIRECT(F_Custom2_resolved_column),349)&amp;"|",F_Custom2_wrapped)),1,0),0))</f>
        <v>1</v>
      </c>
      <c r="H350">
        <f>F350*G350*1</f>
        <v>1</v>
      </c>
      <c r="I350">
        <f>1</f>
        <v>1</v>
      </c>
      <c r="J3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349)&amp;"|",All_Questions_Q20_F_wrapped)),1,0),0))</f>
        <v>1</v>
      </c>
    </row>
    <row r="351">
      <c r="A351" t="n">
        <v>350</v>
      </c>
      <c r="B351" t="n">
        <v>28.9</v>
      </c>
      <c r="C351" t="n">
        <v>24.6</v>
      </c>
      <c r="D351" t="n">
        <v>22.9</v>
      </c>
      <c r="E351">
        <f>1</f>
        <v>1</v>
      </c>
      <c r="F351">
        <f>IF(OR(F_Custom1_Q="(None)",F_Custom1_Q="",ISBLANK(F_Custom1_Q),F_Custom1_V="(All)",F_Custom1_V="",ISBLANK(F_Custom1_V)),1,IFERROR(IF(ISNUMBER(SEARCH("|"&amp;INDEX(INDIRECT(F_Custom1_resolved_column),350)&amp;"|",F_Custom1_wrapped)),1,0),0))</f>
        <v>1</v>
      </c>
      <c r="G351">
        <f>IF(OR(F_Custom2_Q="(None)",F_Custom2_Q="",ISBLANK(F_Custom2_Q),F_Custom2_V="(All)",F_Custom2_V="",ISBLANK(F_Custom2_V)),1,IFERROR(IF(ISNUMBER(SEARCH("|"&amp;INDEX(INDIRECT(F_Custom2_resolved_column),350)&amp;"|",F_Custom2_wrapped)),1,0),0))</f>
        <v>1</v>
      </c>
      <c r="H351">
        <f>F351*G351*1</f>
        <v>1</v>
      </c>
      <c r="I351">
        <f>1</f>
        <v>1</v>
      </c>
      <c r="J3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350)&amp;"|",All_Questions_Q20_F_wrapped)),1,0),0))</f>
        <v>1</v>
      </c>
    </row>
    <row r="352">
      <c r="A352" t="n">
        <v>351</v>
      </c>
      <c r="B352" t="n">
        <v>28.9</v>
      </c>
      <c r="C352" t="n">
        <v>24.6</v>
      </c>
      <c r="D352" t="n">
        <v>22.9</v>
      </c>
      <c r="E352">
        <f>1</f>
        <v>1</v>
      </c>
      <c r="F352">
        <f>IF(OR(F_Custom1_Q="(None)",F_Custom1_Q="",ISBLANK(F_Custom1_Q),F_Custom1_V="(All)",F_Custom1_V="",ISBLANK(F_Custom1_V)),1,IFERROR(IF(ISNUMBER(SEARCH("|"&amp;INDEX(INDIRECT(F_Custom1_resolved_column),351)&amp;"|",F_Custom1_wrapped)),1,0),0))</f>
        <v>1</v>
      </c>
      <c r="G352">
        <f>IF(OR(F_Custom2_Q="(None)",F_Custom2_Q="",ISBLANK(F_Custom2_Q),F_Custom2_V="(All)",F_Custom2_V="",ISBLANK(F_Custom2_V)),1,IFERROR(IF(ISNUMBER(SEARCH("|"&amp;INDEX(INDIRECT(F_Custom2_resolved_column),351)&amp;"|",F_Custom2_wrapped)),1,0),0))</f>
        <v>1</v>
      </c>
      <c r="H352">
        <f>F352*G352*1</f>
        <v>1</v>
      </c>
      <c r="I352">
        <f>1</f>
        <v>1</v>
      </c>
      <c r="J3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351)&amp;"|",All_Questions_Q20_F_wrapped)),1,0),0))</f>
        <v>1</v>
      </c>
    </row>
    <row r="353">
      <c r="A353" t="n">
        <v>352</v>
      </c>
      <c r="B353" t="n">
        <v>28.9</v>
      </c>
      <c r="C353" t="n">
        <v>24.6</v>
      </c>
      <c r="D353" t="n">
        <v>22.9</v>
      </c>
      <c r="E353">
        <f>1</f>
        <v>1</v>
      </c>
      <c r="F353">
        <f>IF(OR(F_Custom1_Q="(None)",F_Custom1_Q="",ISBLANK(F_Custom1_Q),F_Custom1_V="(All)",F_Custom1_V="",ISBLANK(F_Custom1_V)),1,IFERROR(IF(ISNUMBER(SEARCH("|"&amp;INDEX(INDIRECT(F_Custom1_resolved_column),352)&amp;"|",F_Custom1_wrapped)),1,0),0))</f>
        <v>1</v>
      </c>
      <c r="G353">
        <f>IF(OR(F_Custom2_Q="(None)",F_Custom2_Q="",ISBLANK(F_Custom2_Q),F_Custom2_V="(All)",F_Custom2_V="",ISBLANK(F_Custom2_V)),1,IFERROR(IF(ISNUMBER(SEARCH("|"&amp;INDEX(INDIRECT(F_Custom2_resolved_column),352)&amp;"|",F_Custom2_wrapped)),1,0),0))</f>
        <v>1</v>
      </c>
      <c r="H353">
        <f>F353*G353*1</f>
        <v>1</v>
      </c>
      <c r="I353">
        <f>1</f>
        <v>1</v>
      </c>
      <c r="J3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352)&amp;"|",All_Questions_Q20_F_wrapped)),1,0),0))</f>
        <v>1</v>
      </c>
    </row>
    <row r="354">
      <c r="A354" t="n">
        <v>353</v>
      </c>
      <c r="B354" t="n">
        <v>28.9</v>
      </c>
      <c r="C354" t="n">
        <v>24.6</v>
      </c>
      <c r="D354" t="n">
        <v>22.9</v>
      </c>
      <c r="E354">
        <f>1</f>
        <v>1</v>
      </c>
      <c r="F354">
        <f>IF(OR(F_Custom1_Q="(None)",F_Custom1_Q="",ISBLANK(F_Custom1_Q),F_Custom1_V="(All)",F_Custom1_V="",ISBLANK(F_Custom1_V)),1,IFERROR(IF(ISNUMBER(SEARCH("|"&amp;INDEX(INDIRECT(F_Custom1_resolved_column),353)&amp;"|",F_Custom1_wrapped)),1,0),0))</f>
        <v>1</v>
      </c>
      <c r="G354">
        <f>IF(OR(F_Custom2_Q="(None)",F_Custom2_Q="",ISBLANK(F_Custom2_Q),F_Custom2_V="(All)",F_Custom2_V="",ISBLANK(F_Custom2_V)),1,IFERROR(IF(ISNUMBER(SEARCH("|"&amp;INDEX(INDIRECT(F_Custom2_resolved_column),353)&amp;"|",F_Custom2_wrapped)),1,0),0))</f>
        <v>1</v>
      </c>
      <c r="H354">
        <f>F354*G354*1</f>
        <v>1</v>
      </c>
      <c r="I354">
        <f>1</f>
        <v>1</v>
      </c>
      <c r="J3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353)&amp;"|",All_Questions_Q20_F_wrapped)),1,0),0))</f>
        <v>1</v>
      </c>
    </row>
    <row r="355">
      <c r="A355" t="n">
        <v>354</v>
      </c>
      <c r="B355" t="n">
        <v>28.9</v>
      </c>
      <c r="C355" t="n">
        <v>24.6</v>
      </c>
      <c r="D355" t="n">
        <v>22.9</v>
      </c>
      <c r="E355">
        <f>1</f>
        <v>1</v>
      </c>
      <c r="F355">
        <f>IF(OR(F_Custom1_Q="(None)",F_Custom1_Q="",ISBLANK(F_Custom1_Q),F_Custom1_V="(All)",F_Custom1_V="",ISBLANK(F_Custom1_V)),1,IFERROR(IF(ISNUMBER(SEARCH("|"&amp;INDEX(INDIRECT(F_Custom1_resolved_column),354)&amp;"|",F_Custom1_wrapped)),1,0),0))</f>
        <v>1</v>
      </c>
      <c r="G355">
        <f>IF(OR(F_Custom2_Q="(None)",F_Custom2_Q="",ISBLANK(F_Custom2_Q),F_Custom2_V="(All)",F_Custom2_V="",ISBLANK(F_Custom2_V)),1,IFERROR(IF(ISNUMBER(SEARCH("|"&amp;INDEX(INDIRECT(F_Custom2_resolved_column),354)&amp;"|",F_Custom2_wrapped)),1,0),0))</f>
        <v>1</v>
      </c>
      <c r="H355">
        <f>F355*G355*1</f>
        <v>1</v>
      </c>
      <c r="I355">
        <f>1</f>
        <v>1</v>
      </c>
      <c r="J3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354)&amp;"|",All_Questions_Q20_F_wrapped)),1,0),0))</f>
        <v>1</v>
      </c>
    </row>
    <row r="356">
      <c r="A356" t="n">
        <v>355</v>
      </c>
      <c r="B356" t="n">
        <v>28.9</v>
      </c>
      <c r="C356" t="n">
        <v>24.6</v>
      </c>
      <c r="D356" t="n">
        <v>22.9</v>
      </c>
      <c r="E356">
        <f>1</f>
        <v>1</v>
      </c>
      <c r="F356">
        <f>IF(OR(F_Custom1_Q="(None)",F_Custom1_Q="",ISBLANK(F_Custom1_Q),F_Custom1_V="(All)",F_Custom1_V="",ISBLANK(F_Custom1_V)),1,IFERROR(IF(ISNUMBER(SEARCH("|"&amp;INDEX(INDIRECT(F_Custom1_resolved_column),355)&amp;"|",F_Custom1_wrapped)),1,0),0))</f>
        <v>1</v>
      </c>
      <c r="G356">
        <f>IF(OR(F_Custom2_Q="(None)",F_Custom2_Q="",ISBLANK(F_Custom2_Q),F_Custom2_V="(All)",F_Custom2_V="",ISBLANK(F_Custom2_V)),1,IFERROR(IF(ISNUMBER(SEARCH("|"&amp;INDEX(INDIRECT(F_Custom2_resolved_column),355)&amp;"|",F_Custom2_wrapped)),1,0),0))</f>
        <v>1</v>
      </c>
      <c r="H356">
        <f>F356*G356*1</f>
        <v>1</v>
      </c>
      <c r="I356">
        <f>1</f>
        <v>1</v>
      </c>
      <c r="J3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355)&amp;"|",All_Questions_Q20_F_wrapped)),1,0),0))</f>
        <v>1</v>
      </c>
    </row>
    <row r="357">
      <c r="A357" t="n">
        <v>356</v>
      </c>
      <c r="B357" t="n">
        <v>28.9</v>
      </c>
      <c r="C357" t="n">
        <v>24.6</v>
      </c>
      <c r="D357" t="n">
        <v>22.9</v>
      </c>
      <c r="E357">
        <f>1</f>
        <v>1</v>
      </c>
      <c r="F357">
        <f>IF(OR(F_Custom1_Q="(None)",F_Custom1_Q="",ISBLANK(F_Custom1_Q),F_Custom1_V="(All)",F_Custom1_V="",ISBLANK(F_Custom1_V)),1,IFERROR(IF(ISNUMBER(SEARCH("|"&amp;INDEX(INDIRECT(F_Custom1_resolved_column),356)&amp;"|",F_Custom1_wrapped)),1,0),0))</f>
        <v>1</v>
      </c>
      <c r="G357">
        <f>IF(OR(F_Custom2_Q="(None)",F_Custom2_Q="",ISBLANK(F_Custom2_Q),F_Custom2_V="(All)",F_Custom2_V="",ISBLANK(F_Custom2_V)),1,IFERROR(IF(ISNUMBER(SEARCH("|"&amp;INDEX(INDIRECT(F_Custom2_resolved_column),356)&amp;"|",F_Custom2_wrapped)),1,0),0))</f>
        <v>1</v>
      </c>
      <c r="H357">
        <f>F357*G357*1</f>
        <v>1</v>
      </c>
      <c r="I357">
        <f>1</f>
        <v>1</v>
      </c>
      <c r="J3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356)&amp;"|",All_Questions_Q20_F_wrapped)),1,0),0))</f>
        <v>1</v>
      </c>
    </row>
    <row r="358">
      <c r="A358" t="n">
        <v>357</v>
      </c>
      <c r="B358" t="n">
        <v>28.9</v>
      </c>
      <c r="C358" t="n">
        <v>24.6</v>
      </c>
      <c r="D358" t="n">
        <v>22.9</v>
      </c>
      <c r="E358">
        <f>1</f>
        <v>1</v>
      </c>
      <c r="F358">
        <f>IF(OR(F_Custom1_Q="(None)",F_Custom1_Q="",ISBLANK(F_Custom1_Q),F_Custom1_V="(All)",F_Custom1_V="",ISBLANK(F_Custom1_V)),1,IFERROR(IF(ISNUMBER(SEARCH("|"&amp;INDEX(INDIRECT(F_Custom1_resolved_column),357)&amp;"|",F_Custom1_wrapped)),1,0),0))</f>
        <v>1</v>
      </c>
      <c r="G358">
        <f>IF(OR(F_Custom2_Q="(None)",F_Custom2_Q="",ISBLANK(F_Custom2_Q),F_Custom2_V="(All)",F_Custom2_V="",ISBLANK(F_Custom2_V)),1,IFERROR(IF(ISNUMBER(SEARCH("|"&amp;INDEX(INDIRECT(F_Custom2_resolved_column),357)&amp;"|",F_Custom2_wrapped)),1,0),0))</f>
        <v>1</v>
      </c>
      <c r="H358">
        <f>F358*G358*1</f>
        <v>1</v>
      </c>
      <c r="I358">
        <f>1</f>
        <v>1</v>
      </c>
      <c r="J3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357)&amp;"|",All_Questions_Q20_F_wrapped)),1,0),0))</f>
        <v>1</v>
      </c>
    </row>
    <row r="359">
      <c r="A359" t="n">
        <v>358</v>
      </c>
      <c r="B359" t="n">
        <v>28.9</v>
      </c>
      <c r="C359" t="n">
        <v>24.6</v>
      </c>
      <c r="D359" t="n">
        <v>22.9</v>
      </c>
      <c r="E359">
        <f>1</f>
        <v>1</v>
      </c>
      <c r="F359">
        <f>IF(OR(F_Custom1_Q="(None)",F_Custom1_Q="",ISBLANK(F_Custom1_Q),F_Custom1_V="(All)",F_Custom1_V="",ISBLANK(F_Custom1_V)),1,IFERROR(IF(ISNUMBER(SEARCH("|"&amp;INDEX(INDIRECT(F_Custom1_resolved_column),358)&amp;"|",F_Custom1_wrapped)),1,0),0))</f>
        <v>1</v>
      </c>
      <c r="G359">
        <f>IF(OR(F_Custom2_Q="(None)",F_Custom2_Q="",ISBLANK(F_Custom2_Q),F_Custom2_V="(All)",F_Custom2_V="",ISBLANK(F_Custom2_V)),1,IFERROR(IF(ISNUMBER(SEARCH("|"&amp;INDEX(INDIRECT(F_Custom2_resolved_column),358)&amp;"|",F_Custom2_wrapped)),1,0),0))</f>
        <v>1</v>
      </c>
      <c r="H359">
        <f>F359*G359*1</f>
        <v>1</v>
      </c>
      <c r="I359">
        <f>1</f>
        <v>1</v>
      </c>
      <c r="J3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358)&amp;"|",All_Questions_Q20_F_wrapped)),1,0),0))</f>
        <v>1</v>
      </c>
    </row>
    <row r="360">
      <c r="A360" t="n">
        <v>359</v>
      </c>
      <c r="B360" t="n">
        <v>28.9</v>
      </c>
      <c r="C360" t="n">
        <v>24.6</v>
      </c>
      <c r="D360" t="n">
        <v>22.9</v>
      </c>
      <c r="E360">
        <f>1</f>
        <v>1</v>
      </c>
      <c r="F360">
        <f>IF(OR(F_Custom1_Q="(None)",F_Custom1_Q="",ISBLANK(F_Custom1_Q),F_Custom1_V="(All)",F_Custom1_V="",ISBLANK(F_Custom1_V)),1,IFERROR(IF(ISNUMBER(SEARCH("|"&amp;INDEX(INDIRECT(F_Custom1_resolved_column),359)&amp;"|",F_Custom1_wrapped)),1,0),0))</f>
        <v>1</v>
      </c>
      <c r="G360">
        <f>IF(OR(F_Custom2_Q="(None)",F_Custom2_Q="",ISBLANK(F_Custom2_Q),F_Custom2_V="(All)",F_Custom2_V="",ISBLANK(F_Custom2_V)),1,IFERROR(IF(ISNUMBER(SEARCH("|"&amp;INDEX(INDIRECT(F_Custom2_resolved_column),359)&amp;"|",F_Custom2_wrapped)),1,0),0))</f>
        <v>1</v>
      </c>
      <c r="H360">
        <f>F360*G360*1</f>
        <v>1</v>
      </c>
      <c r="I360">
        <f>1</f>
        <v>1</v>
      </c>
      <c r="J3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359)&amp;"|",All_Questions_Q20_F_wrapped)),1,0),0))</f>
        <v>1</v>
      </c>
    </row>
    <row r="361">
      <c r="A361" t="n">
        <v>360</v>
      </c>
      <c r="B361" t="n">
        <v>28.9</v>
      </c>
      <c r="C361" t="n">
        <v>24.6</v>
      </c>
      <c r="D361" t="n">
        <v>22.9</v>
      </c>
      <c r="E361">
        <f>1</f>
        <v>1</v>
      </c>
      <c r="F361">
        <f>IF(OR(F_Custom1_Q="(None)",F_Custom1_Q="",ISBLANK(F_Custom1_Q),F_Custom1_V="(All)",F_Custom1_V="",ISBLANK(F_Custom1_V)),1,IFERROR(IF(ISNUMBER(SEARCH("|"&amp;INDEX(INDIRECT(F_Custom1_resolved_column),360)&amp;"|",F_Custom1_wrapped)),1,0),0))</f>
        <v>1</v>
      </c>
      <c r="G361">
        <f>IF(OR(F_Custom2_Q="(None)",F_Custom2_Q="",ISBLANK(F_Custom2_Q),F_Custom2_V="(All)",F_Custom2_V="",ISBLANK(F_Custom2_V)),1,IFERROR(IF(ISNUMBER(SEARCH("|"&amp;INDEX(INDIRECT(F_Custom2_resolved_column),360)&amp;"|",F_Custom2_wrapped)),1,0),0))</f>
        <v>1</v>
      </c>
      <c r="H361">
        <f>F361*G361*1</f>
        <v>1</v>
      </c>
      <c r="I361">
        <f>1</f>
        <v>1</v>
      </c>
      <c r="J3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360)&amp;"|",All_Questions_Q20_F_wrapped)),1,0),0))</f>
        <v>1</v>
      </c>
    </row>
    <row r="362">
      <c r="A362" t="n">
        <v>361</v>
      </c>
      <c r="B362" t="n">
        <v>28.9</v>
      </c>
      <c r="C362" t="n">
        <v>24.6</v>
      </c>
      <c r="D362" t="n">
        <v>22.9</v>
      </c>
      <c r="E362">
        <f>1</f>
        <v>1</v>
      </c>
      <c r="F362">
        <f>IF(OR(F_Custom1_Q="(None)",F_Custom1_Q="",ISBLANK(F_Custom1_Q),F_Custom1_V="(All)",F_Custom1_V="",ISBLANK(F_Custom1_V)),1,IFERROR(IF(ISNUMBER(SEARCH("|"&amp;INDEX(INDIRECT(F_Custom1_resolved_column),361)&amp;"|",F_Custom1_wrapped)),1,0),0))</f>
        <v>1</v>
      </c>
      <c r="G362">
        <f>IF(OR(F_Custom2_Q="(None)",F_Custom2_Q="",ISBLANK(F_Custom2_Q),F_Custom2_V="(All)",F_Custom2_V="",ISBLANK(F_Custom2_V)),1,IFERROR(IF(ISNUMBER(SEARCH("|"&amp;INDEX(INDIRECT(F_Custom2_resolved_column),361)&amp;"|",F_Custom2_wrapped)),1,0),0))</f>
        <v>1</v>
      </c>
      <c r="H362">
        <f>F362*G362*1</f>
        <v>1</v>
      </c>
      <c r="I362">
        <f>1</f>
        <v>1</v>
      </c>
      <c r="J3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361)&amp;"|",All_Questions_Q20_F_wrapped)),1,0),0))</f>
        <v>1</v>
      </c>
    </row>
    <row r="363">
      <c r="A363" t="n">
        <v>362</v>
      </c>
      <c r="B363" t="n">
        <v>28.9</v>
      </c>
      <c r="C363" t="n">
        <v>24.6</v>
      </c>
      <c r="D363" t="n">
        <v>22.9</v>
      </c>
      <c r="E363">
        <f>1</f>
        <v>1</v>
      </c>
      <c r="F363">
        <f>IF(OR(F_Custom1_Q="(None)",F_Custom1_Q="",ISBLANK(F_Custom1_Q),F_Custom1_V="(All)",F_Custom1_V="",ISBLANK(F_Custom1_V)),1,IFERROR(IF(ISNUMBER(SEARCH("|"&amp;INDEX(INDIRECT(F_Custom1_resolved_column),362)&amp;"|",F_Custom1_wrapped)),1,0),0))</f>
        <v>1</v>
      </c>
      <c r="G363">
        <f>IF(OR(F_Custom2_Q="(None)",F_Custom2_Q="",ISBLANK(F_Custom2_Q),F_Custom2_V="(All)",F_Custom2_V="",ISBLANK(F_Custom2_V)),1,IFERROR(IF(ISNUMBER(SEARCH("|"&amp;INDEX(INDIRECT(F_Custom2_resolved_column),362)&amp;"|",F_Custom2_wrapped)),1,0),0))</f>
        <v>1</v>
      </c>
      <c r="H363">
        <f>F363*G363*1</f>
        <v>1</v>
      </c>
      <c r="I363">
        <f>1</f>
        <v>1</v>
      </c>
      <c r="J3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362)&amp;"|",All_Questions_Q20_F_wrapped)),1,0),0))</f>
        <v>1</v>
      </c>
    </row>
    <row r="364">
      <c r="A364" t="n">
        <v>363</v>
      </c>
      <c r="B364" t="n">
        <v>28.9</v>
      </c>
      <c r="C364" t="n">
        <v>24.6</v>
      </c>
      <c r="D364" t="n">
        <v>22.9</v>
      </c>
      <c r="E364">
        <f>1</f>
        <v>1</v>
      </c>
      <c r="F364">
        <f>IF(OR(F_Custom1_Q="(None)",F_Custom1_Q="",ISBLANK(F_Custom1_Q),F_Custom1_V="(All)",F_Custom1_V="",ISBLANK(F_Custom1_V)),1,IFERROR(IF(ISNUMBER(SEARCH("|"&amp;INDEX(INDIRECT(F_Custom1_resolved_column),363)&amp;"|",F_Custom1_wrapped)),1,0),0))</f>
        <v>1</v>
      </c>
      <c r="G364">
        <f>IF(OR(F_Custom2_Q="(None)",F_Custom2_Q="",ISBLANK(F_Custom2_Q),F_Custom2_V="(All)",F_Custom2_V="",ISBLANK(F_Custom2_V)),1,IFERROR(IF(ISNUMBER(SEARCH("|"&amp;INDEX(INDIRECT(F_Custom2_resolved_column),363)&amp;"|",F_Custom2_wrapped)),1,0),0))</f>
        <v>1</v>
      </c>
      <c r="H364">
        <f>F364*G364*1</f>
        <v>1</v>
      </c>
      <c r="I364">
        <f>1</f>
        <v>1</v>
      </c>
      <c r="J3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363)&amp;"|",All_Questions_Q20_F_wrapped)),1,0),0))</f>
        <v>1</v>
      </c>
    </row>
    <row r="365">
      <c r="A365" t="n">
        <v>364</v>
      </c>
      <c r="B365" t="n">
        <v>28.9</v>
      </c>
      <c r="C365" t="n">
        <v>24.6</v>
      </c>
      <c r="D365" t="n">
        <v>22.9</v>
      </c>
      <c r="E365">
        <f>1</f>
        <v>1</v>
      </c>
      <c r="F365">
        <f>IF(OR(F_Custom1_Q="(None)",F_Custom1_Q="",ISBLANK(F_Custom1_Q),F_Custom1_V="(All)",F_Custom1_V="",ISBLANK(F_Custom1_V)),1,IFERROR(IF(ISNUMBER(SEARCH("|"&amp;INDEX(INDIRECT(F_Custom1_resolved_column),364)&amp;"|",F_Custom1_wrapped)),1,0),0))</f>
        <v>1</v>
      </c>
      <c r="G365">
        <f>IF(OR(F_Custom2_Q="(None)",F_Custom2_Q="",ISBLANK(F_Custom2_Q),F_Custom2_V="(All)",F_Custom2_V="",ISBLANK(F_Custom2_V)),1,IFERROR(IF(ISNUMBER(SEARCH("|"&amp;INDEX(INDIRECT(F_Custom2_resolved_column),364)&amp;"|",F_Custom2_wrapped)),1,0),0))</f>
        <v>1</v>
      </c>
      <c r="H365">
        <f>F365*G365*1</f>
        <v>1</v>
      </c>
      <c r="I365">
        <f>1</f>
        <v>1</v>
      </c>
      <c r="J3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364)&amp;"|",All_Questions_Q20_F_wrapped)),1,0),0))</f>
        <v>1</v>
      </c>
    </row>
    <row r="366">
      <c r="A366" t="n">
        <v>365</v>
      </c>
      <c r="B366" t="n">
        <v>28.9</v>
      </c>
      <c r="C366" t="n">
        <v>24.6</v>
      </c>
      <c r="D366" t="n">
        <v>22.9</v>
      </c>
      <c r="E366">
        <f>1</f>
        <v>1</v>
      </c>
      <c r="F366">
        <f>IF(OR(F_Custom1_Q="(None)",F_Custom1_Q="",ISBLANK(F_Custom1_Q),F_Custom1_V="(All)",F_Custom1_V="",ISBLANK(F_Custom1_V)),1,IFERROR(IF(ISNUMBER(SEARCH("|"&amp;INDEX(INDIRECT(F_Custom1_resolved_column),365)&amp;"|",F_Custom1_wrapped)),1,0),0))</f>
        <v>1</v>
      </c>
      <c r="G366">
        <f>IF(OR(F_Custom2_Q="(None)",F_Custom2_Q="",ISBLANK(F_Custom2_Q),F_Custom2_V="(All)",F_Custom2_V="",ISBLANK(F_Custom2_V)),1,IFERROR(IF(ISNUMBER(SEARCH("|"&amp;INDEX(INDIRECT(F_Custom2_resolved_column),365)&amp;"|",F_Custom2_wrapped)),1,0),0))</f>
        <v>1</v>
      </c>
      <c r="H366">
        <f>F366*G366*1</f>
        <v>1</v>
      </c>
      <c r="I366">
        <f>1</f>
        <v>1</v>
      </c>
      <c r="J3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365)&amp;"|",All_Questions_Q20_F_wrapped)),1,0),0))</f>
        <v>1</v>
      </c>
    </row>
    <row r="367">
      <c r="A367" t="n">
        <v>366</v>
      </c>
      <c r="B367" t="n">
        <v>28.9</v>
      </c>
      <c r="C367" t="n">
        <v>24.6</v>
      </c>
      <c r="D367" t="n">
        <v>22.9</v>
      </c>
      <c r="E367">
        <f>1</f>
        <v>1</v>
      </c>
      <c r="F367">
        <f>IF(OR(F_Custom1_Q="(None)",F_Custom1_Q="",ISBLANK(F_Custom1_Q),F_Custom1_V="(All)",F_Custom1_V="",ISBLANK(F_Custom1_V)),1,IFERROR(IF(ISNUMBER(SEARCH("|"&amp;INDEX(INDIRECT(F_Custom1_resolved_column),366)&amp;"|",F_Custom1_wrapped)),1,0),0))</f>
        <v>1</v>
      </c>
      <c r="G367">
        <f>IF(OR(F_Custom2_Q="(None)",F_Custom2_Q="",ISBLANK(F_Custom2_Q),F_Custom2_V="(All)",F_Custom2_V="",ISBLANK(F_Custom2_V)),1,IFERROR(IF(ISNUMBER(SEARCH("|"&amp;INDEX(INDIRECT(F_Custom2_resolved_column),366)&amp;"|",F_Custom2_wrapped)),1,0),0))</f>
        <v>1</v>
      </c>
      <c r="H367">
        <f>F367*G367*1</f>
        <v>1</v>
      </c>
      <c r="I367">
        <f>1</f>
        <v>1</v>
      </c>
      <c r="J3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366)&amp;"|",All_Questions_Q20_F_wrapped)),1,0),0))</f>
        <v>1</v>
      </c>
    </row>
    <row r="368">
      <c r="A368" t="n">
        <v>367</v>
      </c>
      <c r="B368" t="n">
        <v>28.9</v>
      </c>
      <c r="C368" t="n">
        <v>24.6</v>
      </c>
      <c r="D368" t="n">
        <v>22.9</v>
      </c>
      <c r="E368">
        <f>1</f>
        <v>1</v>
      </c>
      <c r="F368">
        <f>IF(OR(F_Custom1_Q="(None)",F_Custom1_Q="",ISBLANK(F_Custom1_Q),F_Custom1_V="(All)",F_Custom1_V="",ISBLANK(F_Custom1_V)),1,IFERROR(IF(ISNUMBER(SEARCH("|"&amp;INDEX(INDIRECT(F_Custom1_resolved_column),367)&amp;"|",F_Custom1_wrapped)),1,0),0))</f>
        <v>1</v>
      </c>
      <c r="G368">
        <f>IF(OR(F_Custom2_Q="(None)",F_Custom2_Q="",ISBLANK(F_Custom2_Q),F_Custom2_V="(All)",F_Custom2_V="",ISBLANK(F_Custom2_V)),1,IFERROR(IF(ISNUMBER(SEARCH("|"&amp;INDEX(INDIRECT(F_Custom2_resolved_column),367)&amp;"|",F_Custom2_wrapped)),1,0),0))</f>
        <v>1</v>
      </c>
      <c r="H368">
        <f>F368*G368*1</f>
        <v>1</v>
      </c>
      <c r="I368">
        <f>1</f>
        <v>1</v>
      </c>
      <c r="J3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367)&amp;"|",All_Questions_Q20_F_wrapped)),1,0),0))</f>
        <v>1</v>
      </c>
    </row>
    <row r="369">
      <c r="A369" t="n">
        <v>368</v>
      </c>
      <c r="B369" t="n">
        <v>28.9</v>
      </c>
      <c r="C369" t="n">
        <v>24.6</v>
      </c>
      <c r="D369" t="n">
        <v>22.9</v>
      </c>
      <c r="E369">
        <f>1</f>
        <v>1</v>
      </c>
      <c r="F369">
        <f>IF(OR(F_Custom1_Q="(None)",F_Custom1_Q="",ISBLANK(F_Custom1_Q),F_Custom1_V="(All)",F_Custom1_V="",ISBLANK(F_Custom1_V)),1,IFERROR(IF(ISNUMBER(SEARCH("|"&amp;INDEX(INDIRECT(F_Custom1_resolved_column),368)&amp;"|",F_Custom1_wrapped)),1,0),0))</f>
        <v>1</v>
      </c>
      <c r="G369">
        <f>IF(OR(F_Custom2_Q="(None)",F_Custom2_Q="",ISBLANK(F_Custom2_Q),F_Custom2_V="(All)",F_Custom2_V="",ISBLANK(F_Custom2_V)),1,IFERROR(IF(ISNUMBER(SEARCH("|"&amp;INDEX(INDIRECT(F_Custom2_resolved_column),368)&amp;"|",F_Custom2_wrapped)),1,0),0))</f>
        <v>1</v>
      </c>
      <c r="H369">
        <f>F369*G369*1</f>
        <v>1</v>
      </c>
      <c r="I369">
        <f>1</f>
        <v>1</v>
      </c>
      <c r="J3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368)&amp;"|",All_Questions_Q20_F_wrapped)),1,0),0))</f>
        <v>1</v>
      </c>
    </row>
    <row r="370">
      <c r="A370" t="n">
        <v>369</v>
      </c>
      <c r="B370" t="n">
        <v>28.9</v>
      </c>
      <c r="C370" t="n">
        <v>24.6</v>
      </c>
      <c r="D370" t="n">
        <v>22.9</v>
      </c>
      <c r="E370">
        <f>1</f>
        <v>1</v>
      </c>
      <c r="F370">
        <f>IF(OR(F_Custom1_Q="(None)",F_Custom1_Q="",ISBLANK(F_Custom1_Q),F_Custom1_V="(All)",F_Custom1_V="",ISBLANK(F_Custom1_V)),1,IFERROR(IF(ISNUMBER(SEARCH("|"&amp;INDEX(INDIRECT(F_Custom1_resolved_column),369)&amp;"|",F_Custom1_wrapped)),1,0),0))</f>
        <v>1</v>
      </c>
      <c r="G370">
        <f>IF(OR(F_Custom2_Q="(None)",F_Custom2_Q="",ISBLANK(F_Custom2_Q),F_Custom2_V="(All)",F_Custom2_V="",ISBLANK(F_Custom2_V)),1,IFERROR(IF(ISNUMBER(SEARCH("|"&amp;INDEX(INDIRECT(F_Custom2_resolved_column),369)&amp;"|",F_Custom2_wrapped)),1,0),0))</f>
        <v>1</v>
      </c>
      <c r="H370">
        <f>F370*G370*1</f>
        <v>1</v>
      </c>
      <c r="I370">
        <f>1</f>
        <v>1</v>
      </c>
      <c r="J3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369)&amp;"|",All_Questions_Q20_F_wrapped)),1,0),0))</f>
        <v>1</v>
      </c>
    </row>
    <row r="371">
      <c r="A371" t="n">
        <v>370</v>
      </c>
      <c r="B371" t="n">
        <v>28.9</v>
      </c>
      <c r="C371" t="n">
        <v>24.6</v>
      </c>
      <c r="D371" t="n">
        <v>22.9</v>
      </c>
      <c r="E371">
        <f>1</f>
        <v>1</v>
      </c>
      <c r="F371">
        <f>IF(OR(F_Custom1_Q="(None)",F_Custom1_Q="",ISBLANK(F_Custom1_Q),F_Custom1_V="(All)",F_Custom1_V="",ISBLANK(F_Custom1_V)),1,IFERROR(IF(ISNUMBER(SEARCH("|"&amp;INDEX(INDIRECT(F_Custom1_resolved_column),370)&amp;"|",F_Custom1_wrapped)),1,0),0))</f>
        <v>1</v>
      </c>
      <c r="G371">
        <f>IF(OR(F_Custom2_Q="(None)",F_Custom2_Q="",ISBLANK(F_Custom2_Q),F_Custom2_V="(All)",F_Custom2_V="",ISBLANK(F_Custom2_V)),1,IFERROR(IF(ISNUMBER(SEARCH("|"&amp;INDEX(INDIRECT(F_Custom2_resolved_column),370)&amp;"|",F_Custom2_wrapped)),1,0),0))</f>
        <v>1</v>
      </c>
      <c r="H371">
        <f>F371*G371*1</f>
        <v>1</v>
      </c>
      <c r="I371">
        <f>1</f>
        <v>1</v>
      </c>
      <c r="J3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370)&amp;"|",All_Questions_Q20_F_wrapped)),1,0),0))</f>
        <v>1</v>
      </c>
    </row>
    <row r="372">
      <c r="A372" t="n">
        <v>371</v>
      </c>
      <c r="B372" t="n">
        <v>28.9</v>
      </c>
      <c r="C372" t="n">
        <v>24.6</v>
      </c>
      <c r="D372" t="n">
        <v>22.9</v>
      </c>
      <c r="E372">
        <f>1</f>
        <v>1</v>
      </c>
      <c r="F372">
        <f>IF(OR(F_Custom1_Q="(None)",F_Custom1_Q="",ISBLANK(F_Custom1_Q),F_Custom1_V="(All)",F_Custom1_V="",ISBLANK(F_Custom1_V)),1,IFERROR(IF(ISNUMBER(SEARCH("|"&amp;INDEX(INDIRECT(F_Custom1_resolved_column),371)&amp;"|",F_Custom1_wrapped)),1,0),0))</f>
        <v>1</v>
      </c>
      <c r="G372">
        <f>IF(OR(F_Custom2_Q="(None)",F_Custom2_Q="",ISBLANK(F_Custom2_Q),F_Custom2_V="(All)",F_Custom2_V="",ISBLANK(F_Custom2_V)),1,IFERROR(IF(ISNUMBER(SEARCH("|"&amp;INDEX(INDIRECT(F_Custom2_resolved_column),371)&amp;"|",F_Custom2_wrapped)),1,0),0))</f>
        <v>1</v>
      </c>
      <c r="H372">
        <f>F372*G372*1</f>
        <v>1</v>
      </c>
      <c r="I372">
        <f>1</f>
        <v>1</v>
      </c>
      <c r="J3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371)&amp;"|",All_Questions_Q20_F_wrapped)),1,0),0))</f>
        <v>1</v>
      </c>
    </row>
    <row r="373">
      <c r="A373" t="n">
        <v>372</v>
      </c>
      <c r="B373" t="n">
        <v>28.9</v>
      </c>
      <c r="C373" t="n">
        <v>24.6</v>
      </c>
      <c r="D373" t="n">
        <v>22.9</v>
      </c>
      <c r="E373">
        <f>1</f>
        <v>1</v>
      </c>
      <c r="F373">
        <f>IF(OR(F_Custom1_Q="(None)",F_Custom1_Q="",ISBLANK(F_Custom1_Q),F_Custom1_V="(All)",F_Custom1_V="",ISBLANK(F_Custom1_V)),1,IFERROR(IF(ISNUMBER(SEARCH("|"&amp;INDEX(INDIRECT(F_Custom1_resolved_column),372)&amp;"|",F_Custom1_wrapped)),1,0),0))</f>
        <v>1</v>
      </c>
      <c r="G373">
        <f>IF(OR(F_Custom2_Q="(None)",F_Custom2_Q="",ISBLANK(F_Custom2_Q),F_Custom2_V="(All)",F_Custom2_V="",ISBLANK(F_Custom2_V)),1,IFERROR(IF(ISNUMBER(SEARCH("|"&amp;INDEX(INDIRECT(F_Custom2_resolved_column),372)&amp;"|",F_Custom2_wrapped)),1,0),0))</f>
        <v>1</v>
      </c>
      <c r="H373">
        <f>F373*G373*1</f>
        <v>1</v>
      </c>
      <c r="I373">
        <f>1</f>
        <v>1</v>
      </c>
      <c r="J3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372)&amp;"|",All_Questions_Q20_F_wrapped)),1,0),0))</f>
        <v>1</v>
      </c>
    </row>
    <row r="374">
      <c r="A374" t="n">
        <v>373</v>
      </c>
      <c r="B374" t="n">
        <v>28.9</v>
      </c>
      <c r="C374" t="n">
        <v>24.6</v>
      </c>
      <c r="D374" t="n">
        <v>22.9</v>
      </c>
      <c r="E374">
        <f>1</f>
        <v>1</v>
      </c>
      <c r="F374">
        <f>IF(OR(F_Custom1_Q="(None)",F_Custom1_Q="",ISBLANK(F_Custom1_Q),F_Custom1_V="(All)",F_Custom1_V="",ISBLANK(F_Custom1_V)),1,IFERROR(IF(ISNUMBER(SEARCH("|"&amp;INDEX(INDIRECT(F_Custom1_resolved_column),373)&amp;"|",F_Custom1_wrapped)),1,0),0))</f>
        <v>1</v>
      </c>
      <c r="G374">
        <f>IF(OR(F_Custom2_Q="(None)",F_Custom2_Q="",ISBLANK(F_Custom2_Q),F_Custom2_V="(All)",F_Custom2_V="",ISBLANK(F_Custom2_V)),1,IFERROR(IF(ISNUMBER(SEARCH("|"&amp;INDEX(INDIRECT(F_Custom2_resolved_column),373)&amp;"|",F_Custom2_wrapped)),1,0),0))</f>
        <v>1</v>
      </c>
      <c r="H374">
        <f>F374*G374*1</f>
        <v>1</v>
      </c>
      <c r="I374">
        <f>1</f>
        <v>1</v>
      </c>
      <c r="J3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373)&amp;"|",All_Questions_Q20_F_wrapped)),1,0),0))</f>
        <v>1</v>
      </c>
    </row>
    <row r="375">
      <c r="A375" t="n">
        <v>374</v>
      </c>
      <c r="B375" t="n">
        <v>28.9</v>
      </c>
      <c r="C375" t="n">
        <v>24.6</v>
      </c>
      <c r="D375" t="n">
        <v>22.9</v>
      </c>
      <c r="E375">
        <f>1</f>
        <v>1</v>
      </c>
      <c r="F375">
        <f>IF(OR(F_Custom1_Q="(None)",F_Custom1_Q="",ISBLANK(F_Custom1_Q),F_Custom1_V="(All)",F_Custom1_V="",ISBLANK(F_Custom1_V)),1,IFERROR(IF(ISNUMBER(SEARCH("|"&amp;INDEX(INDIRECT(F_Custom1_resolved_column),374)&amp;"|",F_Custom1_wrapped)),1,0),0))</f>
        <v>1</v>
      </c>
      <c r="G375">
        <f>IF(OR(F_Custom2_Q="(None)",F_Custom2_Q="",ISBLANK(F_Custom2_Q),F_Custom2_V="(All)",F_Custom2_V="",ISBLANK(F_Custom2_V)),1,IFERROR(IF(ISNUMBER(SEARCH("|"&amp;INDEX(INDIRECT(F_Custom2_resolved_column),374)&amp;"|",F_Custom2_wrapped)),1,0),0))</f>
        <v>1</v>
      </c>
      <c r="H375">
        <f>F375*G375*1</f>
        <v>1</v>
      </c>
      <c r="I375">
        <f>1</f>
        <v>1</v>
      </c>
      <c r="J3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374)&amp;"|",All_Questions_Q20_F_wrapped)),1,0),0))</f>
        <v>1</v>
      </c>
    </row>
    <row r="376">
      <c r="A376" t="n">
        <v>375</v>
      </c>
      <c r="B376" t="n">
        <v>28.9</v>
      </c>
      <c r="C376" t="n">
        <v>24.6</v>
      </c>
      <c r="D376" t="n">
        <v>22.9</v>
      </c>
      <c r="E376">
        <f>1</f>
        <v>1</v>
      </c>
      <c r="F376">
        <f>IF(OR(F_Custom1_Q="(None)",F_Custom1_Q="",ISBLANK(F_Custom1_Q),F_Custom1_V="(All)",F_Custom1_V="",ISBLANK(F_Custom1_V)),1,IFERROR(IF(ISNUMBER(SEARCH("|"&amp;INDEX(INDIRECT(F_Custom1_resolved_column),375)&amp;"|",F_Custom1_wrapped)),1,0),0))</f>
        <v>1</v>
      </c>
      <c r="G376">
        <f>IF(OR(F_Custom2_Q="(None)",F_Custom2_Q="",ISBLANK(F_Custom2_Q),F_Custom2_V="(All)",F_Custom2_V="",ISBLANK(F_Custom2_V)),1,IFERROR(IF(ISNUMBER(SEARCH("|"&amp;INDEX(INDIRECT(F_Custom2_resolved_column),375)&amp;"|",F_Custom2_wrapped)),1,0),0))</f>
        <v>1</v>
      </c>
      <c r="H376">
        <f>F376*G376*1</f>
        <v>1</v>
      </c>
      <c r="I376">
        <f>1</f>
        <v>1</v>
      </c>
      <c r="J3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375)&amp;"|",All_Questions_Q20_F_wrapped)),1,0),0))</f>
        <v>1</v>
      </c>
    </row>
    <row r="377">
      <c r="A377" t="n">
        <v>376</v>
      </c>
      <c r="B377" t="n">
        <v>28.9</v>
      </c>
      <c r="C377" t="n">
        <v>24.6</v>
      </c>
      <c r="D377" t="n">
        <v>22.9</v>
      </c>
      <c r="E377">
        <f>1</f>
        <v>1</v>
      </c>
      <c r="F377">
        <f>IF(OR(F_Custom1_Q="(None)",F_Custom1_Q="",ISBLANK(F_Custom1_Q),F_Custom1_V="(All)",F_Custom1_V="",ISBLANK(F_Custom1_V)),1,IFERROR(IF(ISNUMBER(SEARCH("|"&amp;INDEX(INDIRECT(F_Custom1_resolved_column),376)&amp;"|",F_Custom1_wrapped)),1,0),0))</f>
        <v>1</v>
      </c>
      <c r="G377">
        <f>IF(OR(F_Custom2_Q="(None)",F_Custom2_Q="",ISBLANK(F_Custom2_Q),F_Custom2_V="(All)",F_Custom2_V="",ISBLANK(F_Custom2_V)),1,IFERROR(IF(ISNUMBER(SEARCH("|"&amp;INDEX(INDIRECT(F_Custom2_resolved_column),376)&amp;"|",F_Custom2_wrapped)),1,0),0))</f>
        <v>1</v>
      </c>
      <c r="H377">
        <f>F377*G377*1</f>
        <v>1</v>
      </c>
      <c r="I377">
        <f>1</f>
        <v>1</v>
      </c>
      <c r="J3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376)&amp;"|",All_Questions_Q20_F_wrapped)),1,0),0))</f>
        <v>1</v>
      </c>
    </row>
    <row r="378">
      <c r="A378" t="n">
        <v>377</v>
      </c>
      <c r="B378" t="n">
        <v>28.9</v>
      </c>
      <c r="C378" t="n">
        <v>24.6</v>
      </c>
      <c r="D378" t="n">
        <v>22.9</v>
      </c>
      <c r="E378">
        <f>1</f>
        <v>1</v>
      </c>
      <c r="F378">
        <f>IF(OR(F_Custom1_Q="(None)",F_Custom1_Q="",ISBLANK(F_Custom1_Q),F_Custom1_V="(All)",F_Custom1_V="",ISBLANK(F_Custom1_V)),1,IFERROR(IF(ISNUMBER(SEARCH("|"&amp;INDEX(INDIRECT(F_Custom1_resolved_column),377)&amp;"|",F_Custom1_wrapped)),1,0),0))</f>
        <v>1</v>
      </c>
      <c r="G378">
        <f>IF(OR(F_Custom2_Q="(None)",F_Custom2_Q="",ISBLANK(F_Custom2_Q),F_Custom2_V="(All)",F_Custom2_V="",ISBLANK(F_Custom2_V)),1,IFERROR(IF(ISNUMBER(SEARCH("|"&amp;INDEX(INDIRECT(F_Custom2_resolved_column),377)&amp;"|",F_Custom2_wrapped)),1,0),0))</f>
        <v>1</v>
      </c>
      <c r="H378">
        <f>F378*G378*1</f>
        <v>1</v>
      </c>
      <c r="I378">
        <f>1</f>
        <v>1</v>
      </c>
      <c r="J3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377)&amp;"|",All_Questions_Q20_F_wrapped)),1,0),0))</f>
        <v>1</v>
      </c>
    </row>
    <row r="379">
      <c r="A379" t="n">
        <v>378</v>
      </c>
      <c r="B379" t="n">
        <v>28.9</v>
      </c>
      <c r="C379" t="n">
        <v>24.6</v>
      </c>
      <c r="D379" t="n">
        <v>22.9</v>
      </c>
      <c r="E379">
        <f>1</f>
        <v>1</v>
      </c>
      <c r="F379">
        <f>IF(OR(F_Custom1_Q="(None)",F_Custom1_Q="",ISBLANK(F_Custom1_Q),F_Custom1_V="(All)",F_Custom1_V="",ISBLANK(F_Custom1_V)),1,IFERROR(IF(ISNUMBER(SEARCH("|"&amp;INDEX(INDIRECT(F_Custom1_resolved_column),378)&amp;"|",F_Custom1_wrapped)),1,0),0))</f>
        <v>1</v>
      </c>
      <c r="G379">
        <f>IF(OR(F_Custom2_Q="(None)",F_Custom2_Q="",ISBLANK(F_Custom2_Q),F_Custom2_V="(All)",F_Custom2_V="",ISBLANK(F_Custom2_V)),1,IFERROR(IF(ISNUMBER(SEARCH("|"&amp;INDEX(INDIRECT(F_Custom2_resolved_column),378)&amp;"|",F_Custom2_wrapped)),1,0),0))</f>
        <v>1</v>
      </c>
      <c r="H379">
        <f>F379*G379*1</f>
        <v>1</v>
      </c>
      <c r="I379">
        <f>1</f>
        <v>1</v>
      </c>
      <c r="J3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378)&amp;"|",All_Questions_Q20_F_wrapped)),1,0),0))</f>
        <v>1</v>
      </c>
    </row>
    <row r="380">
      <c r="A380" t="n">
        <v>379</v>
      </c>
      <c r="B380" t="n">
        <v>28.9</v>
      </c>
      <c r="C380" t="n">
        <v>24.6</v>
      </c>
      <c r="D380" t="n">
        <v>22.9</v>
      </c>
      <c r="E380">
        <f>1</f>
        <v>1</v>
      </c>
      <c r="F380">
        <f>IF(OR(F_Custom1_Q="(None)",F_Custom1_Q="",ISBLANK(F_Custom1_Q),F_Custom1_V="(All)",F_Custom1_V="",ISBLANK(F_Custom1_V)),1,IFERROR(IF(ISNUMBER(SEARCH("|"&amp;INDEX(INDIRECT(F_Custom1_resolved_column),379)&amp;"|",F_Custom1_wrapped)),1,0),0))</f>
        <v>1</v>
      </c>
      <c r="G380">
        <f>IF(OR(F_Custom2_Q="(None)",F_Custom2_Q="",ISBLANK(F_Custom2_Q),F_Custom2_V="(All)",F_Custom2_V="",ISBLANK(F_Custom2_V)),1,IFERROR(IF(ISNUMBER(SEARCH("|"&amp;INDEX(INDIRECT(F_Custom2_resolved_column),379)&amp;"|",F_Custom2_wrapped)),1,0),0))</f>
        <v>1</v>
      </c>
      <c r="H380">
        <f>F380*G380*1</f>
        <v>1</v>
      </c>
      <c r="I380">
        <f>1</f>
        <v>1</v>
      </c>
      <c r="J3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379)&amp;"|",All_Questions_Q20_F_wrapped)),1,0),0))</f>
        <v>1</v>
      </c>
    </row>
    <row r="381">
      <c r="A381" t="n">
        <v>380</v>
      </c>
      <c r="B381" t="n">
        <v>28.9</v>
      </c>
      <c r="C381" t="n">
        <v>24.6</v>
      </c>
      <c r="D381" t="n">
        <v>22.9</v>
      </c>
      <c r="E381">
        <f>1</f>
        <v>1</v>
      </c>
      <c r="F381">
        <f>IF(OR(F_Custom1_Q="(None)",F_Custom1_Q="",ISBLANK(F_Custom1_Q),F_Custom1_V="(All)",F_Custom1_V="",ISBLANK(F_Custom1_V)),1,IFERROR(IF(ISNUMBER(SEARCH("|"&amp;INDEX(INDIRECT(F_Custom1_resolved_column),380)&amp;"|",F_Custom1_wrapped)),1,0),0))</f>
        <v>1</v>
      </c>
      <c r="G381">
        <f>IF(OR(F_Custom2_Q="(None)",F_Custom2_Q="",ISBLANK(F_Custom2_Q),F_Custom2_V="(All)",F_Custom2_V="",ISBLANK(F_Custom2_V)),1,IFERROR(IF(ISNUMBER(SEARCH("|"&amp;INDEX(INDIRECT(F_Custom2_resolved_column),380)&amp;"|",F_Custom2_wrapped)),1,0),0))</f>
        <v>1</v>
      </c>
      <c r="H381">
        <f>F381*G381*1</f>
        <v>1</v>
      </c>
      <c r="I381">
        <f>1</f>
        <v>1</v>
      </c>
      <c r="J3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380)&amp;"|",All_Questions_Q20_F_wrapped)),1,0),0))</f>
        <v>1</v>
      </c>
    </row>
    <row r="382">
      <c r="A382" t="n">
        <v>381</v>
      </c>
      <c r="B382" t="n">
        <v>28.9</v>
      </c>
      <c r="C382" t="n">
        <v>24.6</v>
      </c>
      <c r="D382" t="n">
        <v>22.9</v>
      </c>
      <c r="E382">
        <f>1</f>
        <v>1</v>
      </c>
      <c r="F382">
        <f>IF(OR(F_Custom1_Q="(None)",F_Custom1_Q="",ISBLANK(F_Custom1_Q),F_Custom1_V="(All)",F_Custom1_V="",ISBLANK(F_Custom1_V)),1,IFERROR(IF(ISNUMBER(SEARCH("|"&amp;INDEX(INDIRECT(F_Custom1_resolved_column),381)&amp;"|",F_Custom1_wrapped)),1,0),0))</f>
        <v>1</v>
      </c>
      <c r="G382">
        <f>IF(OR(F_Custom2_Q="(None)",F_Custom2_Q="",ISBLANK(F_Custom2_Q),F_Custom2_V="(All)",F_Custom2_V="",ISBLANK(F_Custom2_V)),1,IFERROR(IF(ISNUMBER(SEARCH("|"&amp;INDEX(INDIRECT(F_Custom2_resolved_column),381)&amp;"|",F_Custom2_wrapped)),1,0),0))</f>
        <v>1</v>
      </c>
      <c r="H382">
        <f>F382*G382*1</f>
        <v>1</v>
      </c>
      <c r="I382">
        <f>1</f>
        <v>1</v>
      </c>
      <c r="J3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381)&amp;"|",All_Questions_Q20_F_wrapped)),1,0),0))</f>
        <v>1</v>
      </c>
    </row>
    <row r="383">
      <c r="A383" t="n">
        <v>382</v>
      </c>
      <c r="B383" t="n">
        <v>28.9</v>
      </c>
      <c r="C383" t="n">
        <v>24.6</v>
      </c>
      <c r="D383" t="n">
        <v>22.9</v>
      </c>
      <c r="E383">
        <f>1</f>
        <v>1</v>
      </c>
      <c r="F383">
        <f>IF(OR(F_Custom1_Q="(None)",F_Custom1_Q="",ISBLANK(F_Custom1_Q),F_Custom1_V="(All)",F_Custom1_V="",ISBLANK(F_Custom1_V)),1,IFERROR(IF(ISNUMBER(SEARCH("|"&amp;INDEX(INDIRECT(F_Custom1_resolved_column),382)&amp;"|",F_Custom1_wrapped)),1,0),0))</f>
        <v>1</v>
      </c>
      <c r="G383">
        <f>IF(OR(F_Custom2_Q="(None)",F_Custom2_Q="",ISBLANK(F_Custom2_Q),F_Custom2_V="(All)",F_Custom2_V="",ISBLANK(F_Custom2_V)),1,IFERROR(IF(ISNUMBER(SEARCH("|"&amp;INDEX(INDIRECT(F_Custom2_resolved_column),382)&amp;"|",F_Custom2_wrapped)),1,0),0))</f>
        <v>1</v>
      </c>
      <c r="H383">
        <f>F383*G383*1</f>
        <v>1</v>
      </c>
      <c r="I383">
        <f>1</f>
        <v>1</v>
      </c>
      <c r="J3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382)&amp;"|",All_Questions_Q20_F_wrapped)),1,0),0))</f>
        <v>1</v>
      </c>
    </row>
    <row r="384">
      <c r="A384" t="n">
        <v>383</v>
      </c>
      <c r="B384" t="n">
        <v>28.9</v>
      </c>
      <c r="C384" t="n">
        <v>24.6</v>
      </c>
      <c r="D384" t="n">
        <v>22.9</v>
      </c>
      <c r="E384">
        <f>1</f>
        <v>1</v>
      </c>
      <c r="F384">
        <f>IF(OR(F_Custom1_Q="(None)",F_Custom1_Q="",ISBLANK(F_Custom1_Q),F_Custom1_V="(All)",F_Custom1_V="",ISBLANK(F_Custom1_V)),1,IFERROR(IF(ISNUMBER(SEARCH("|"&amp;INDEX(INDIRECT(F_Custom1_resolved_column),383)&amp;"|",F_Custom1_wrapped)),1,0),0))</f>
        <v>1</v>
      </c>
      <c r="G384">
        <f>IF(OR(F_Custom2_Q="(None)",F_Custom2_Q="",ISBLANK(F_Custom2_Q),F_Custom2_V="(All)",F_Custom2_V="",ISBLANK(F_Custom2_V)),1,IFERROR(IF(ISNUMBER(SEARCH("|"&amp;INDEX(INDIRECT(F_Custom2_resolved_column),383)&amp;"|",F_Custom2_wrapped)),1,0),0))</f>
        <v>1</v>
      </c>
      <c r="H384">
        <f>F384*G384*1</f>
        <v>1</v>
      </c>
      <c r="I384">
        <f>1</f>
        <v>1</v>
      </c>
      <c r="J3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383)&amp;"|",All_Questions_Q20_F_wrapped)),1,0),0))</f>
        <v>1</v>
      </c>
    </row>
    <row r="385">
      <c r="A385" t="n">
        <v>384</v>
      </c>
      <c r="B385" t="n">
        <v>28.9</v>
      </c>
      <c r="C385" t="n">
        <v>24.6</v>
      </c>
      <c r="D385" t="n">
        <v>22.9</v>
      </c>
      <c r="E385">
        <f>1</f>
        <v>1</v>
      </c>
      <c r="F385">
        <f>IF(OR(F_Custom1_Q="(None)",F_Custom1_Q="",ISBLANK(F_Custom1_Q),F_Custom1_V="(All)",F_Custom1_V="",ISBLANK(F_Custom1_V)),1,IFERROR(IF(ISNUMBER(SEARCH("|"&amp;INDEX(INDIRECT(F_Custom1_resolved_column),384)&amp;"|",F_Custom1_wrapped)),1,0),0))</f>
        <v>1</v>
      </c>
      <c r="G385">
        <f>IF(OR(F_Custom2_Q="(None)",F_Custom2_Q="",ISBLANK(F_Custom2_Q),F_Custom2_V="(All)",F_Custom2_V="",ISBLANK(F_Custom2_V)),1,IFERROR(IF(ISNUMBER(SEARCH("|"&amp;INDEX(INDIRECT(F_Custom2_resolved_column),384)&amp;"|",F_Custom2_wrapped)),1,0),0))</f>
        <v>1</v>
      </c>
      <c r="H385">
        <f>F385*G385*1</f>
        <v>1</v>
      </c>
      <c r="I385">
        <f>1</f>
        <v>1</v>
      </c>
      <c r="J3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384)&amp;"|",All_Questions_Q20_F_wrapped)),1,0),0))</f>
        <v>1</v>
      </c>
    </row>
    <row r="386">
      <c r="A386" t="n">
        <v>385</v>
      </c>
      <c r="B386" t="n">
        <v>28.9</v>
      </c>
      <c r="C386" t="n">
        <v>24.6</v>
      </c>
      <c r="D386" t="n">
        <v>22.9</v>
      </c>
      <c r="E386">
        <f>1</f>
        <v>1</v>
      </c>
      <c r="F386">
        <f>IF(OR(F_Custom1_Q="(None)",F_Custom1_Q="",ISBLANK(F_Custom1_Q),F_Custom1_V="(All)",F_Custom1_V="",ISBLANK(F_Custom1_V)),1,IFERROR(IF(ISNUMBER(SEARCH("|"&amp;INDEX(INDIRECT(F_Custom1_resolved_column),385)&amp;"|",F_Custom1_wrapped)),1,0),0))</f>
        <v>1</v>
      </c>
      <c r="G386">
        <f>IF(OR(F_Custom2_Q="(None)",F_Custom2_Q="",ISBLANK(F_Custom2_Q),F_Custom2_V="(All)",F_Custom2_V="",ISBLANK(F_Custom2_V)),1,IFERROR(IF(ISNUMBER(SEARCH("|"&amp;INDEX(INDIRECT(F_Custom2_resolved_column),385)&amp;"|",F_Custom2_wrapped)),1,0),0))</f>
        <v>1</v>
      </c>
      <c r="H386">
        <f>F386*G386*1</f>
        <v>1</v>
      </c>
      <c r="I386">
        <f>1</f>
        <v>1</v>
      </c>
      <c r="J3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385)&amp;"|",All_Questions_Q20_F_wrapped)),1,0),0))</f>
        <v>1</v>
      </c>
    </row>
    <row r="387">
      <c r="A387" t="n">
        <v>386</v>
      </c>
      <c r="B387" t="n">
        <v>28.9</v>
      </c>
      <c r="C387" t="n">
        <v>24.6</v>
      </c>
      <c r="D387" t="n">
        <v>22.9</v>
      </c>
      <c r="E387">
        <f>1</f>
        <v>1</v>
      </c>
      <c r="F387">
        <f>IF(OR(F_Custom1_Q="(None)",F_Custom1_Q="",ISBLANK(F_Custom1_Q),F_Custom1_V="(All)",F_Custom1_V="",ISBLANK(F_Custom1_V)),1,IFERROR(IF(ISNUMBER(SEARCH("|"&amp;INDEX(INDIRECT(F_Custom1_resolved_column),386)&amp;"|",F_Custom1_wrapped)),1,0),0))</f>
        <v>1</v>
      </c>
      <c r="G387">
        <f>IF(OR(F_Custom2_Q="(None)",F_Custom2_Q="",ISBLANK(F_Custom2_Q),F_Custom2_V="(All)",F_Custom2_V="",ISBLANK(F_Custom2_V)),1,IFERROR(IF(ISNUMBER(SEARCH("|"&amp;INDEX(INDIRECT(F_Custom2_resolved_column),386)&amp;"|",F_Custom2_wrapped)),1,0),0))</f>
        <v>1</v>
      </c>
      <c r="H387">
        <f>F387*G387*1</f>
        <v>1</v>
      </c>
      <c r="I387">
        <f>1</f>
        <v>1</v>
      </c>
      <c r="J3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386)&amp;"|",All_Questions_Q20_F_wrapped)),1,0),0))</f>
        <v>1</v>
      </c>
    </row>
    <row r="388">
      <c r="A388" t="n">
        <v>387</v>
      </c>
      <c r="B388" t="n">
        <v>28.9</v>
      </c>
      <c r="C388" t="n">
        <v>24.6</v>
      </c>
      <c r="D388" t="n">
        <v>22.9</v>
      </c>
      <c r="E388">
        <f>1</f>
        <v>1</v>
      </c>
      <c r="F388">
        <f>IF(OR(F_Custom1_Q="(None)",F_Custom1_Q="",ISBLANK(F_Custom1_Q),F_Custom1_V="(All)",F_Custom1_V="",ISBLANK(F_Custom1_V)),1,IFERROR(IF(ISNUMBER(SEARCH("|"&amp;INDEX(INDIRECT(F_Custom1_resolved_column),387)&amp;"|",F_Custom1_wrapped)),1,0),0))</f>
        <v>1</v>
      </c>
      <c r="G388">
        <f>IF(OR(F_Custom2_Q="(None)",F_Custom2_Q="",ISBLANK(F_Custom2_Q),F_Custom2_V="(All)",F_Custom2_V="",ISBLANK(F_Custom2_V)),1,IFERROR(IF(ISNUMBER(SEARCH("|"&amp;INDEX(INDIRECT(F_Custom2_resolved_column),387)&amp;"|",F_Custom2_wrapped)),1,0),0))</f>
        <v>1</v>
      </c>
      <c r="H388">
        <f>F388*G388*1</f>
        <v>1</v>
      </c>
      <c r="I388">
        <f>1</f>
        <v>1</v>
      </c>
      <c r="J3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387)&amp;"|",All_Questions_Q20_F_wrapped)),1,0),0))</f>
        <v>1</v>
      </c>
    </row>
    <row r="389">
      <c r="A389" t="n">
        <v>388</v>
      </c>
      <c r="B389" t="n">
        <v>28.9</v>
      </c>
      <c r="C389" t="n">
        <v>24.6</v>
      </c>
      <c r="D389" t="n">
        <v>22.9</v>
      </c>
      <c r="E389">
        <f>1</f>
        <v>1</v>
      </c>
      <c r="F389">
        <f>IF(OR(F_Custom1_Q="(None)",F_Custom1_Q="",ISBLANK(F_Custom1_Q),F_Custom1_V="(All)",F_Custom1_V="",ISBLANK(F_Custom1_V)),1,IFERROR(IF(ISNUMBER(SEARCH("|"&amp;INDEX(INDIRECT(F_Custom1_resolved_column),388)&amp;"|",F_Custom1_wrapped)),1,0),0))</f>
        <v>1</v>
      </c>
      <c r="G389">
        <f>IF(OR(F_Custom2_Q="(None)",F_Custom2_Q="",ISBLANK(F_Custom2_Q),F_Custom2_V="(All)",F_Custom2_V="",ISBLANK(F_Custom2_V)),1,IFERROR(IF(ISNUMBER(SEARCH("|"&amp;INDEX(INDIRECT(F_Custom2_resolved_column),388)&amp;"|",F_Custom2_wrapped)),1,0),0))</f>
        <v>1</v>
      </c>
      <c r="H389">
        <f>F389*G389*1</f>
        <v>1</v>
      </c>
      <c r="I389">
        <f>1</f>
        <v>1</v>
      </c>
      <c r="J3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388)&amp;"|",All_Questions_Q20_F_wrapped)),1,0),0))</f>
        <v>1</v>
      </c>
    </row>
    <row r="390">
      <c r="A390" t="n">
        <v>389</v>
      </c>
      <c r="B390" t="n">
        <v>28.9</v>
      </c>
      <c r="C390" t="n">
        <v>24.6</v>
      </c>
      <c r="D390" t="n">
        <v>22.9</v>
      </c>
      <c r="E390">
        <f>1</f>
        <v>1</v>
      </c>
      <c r="F390">
        <f>IF(OR(F_Custom1_Q="(None)",F_Custom1_Q="",ISBLANK(F_Custom1_Q),F_Custom1_V="(All)",F_Custom1_V="",ISBLANK(F_Custom1_V)),1,IFERROR(IF(ISNUMBER(SEARCH("|"&amp;INDEX(INDIRECT(F_Custom1_resolved_column),389)&amp;"|",F_Custom1_wrapped)),1,0),0))</f>
        <v>1</v>
      </c>
      <c r="G390">
        <f>IF(OR(F_Custom2_Q="(None)",F_Custom2_Q="",ISBLANK(F_Custom2_Q),F_Custom2_V="(All)",F_Custom2_V="",ISBLANK(F_Custom2_V)),1,IFERROR(IF(ISNUMBER(SEARCH("|"&amp;INDEX(INDIRECT(F_Custom2_resolved_column),389)&amp;"|",F_Custom2_wrapped)),1,0),0))</f>
        <v>1</v>
      </c>
      <c r="H390">
        <f>F390*G390*1</f>
        <v>1</v>
      </c>
      <c r="I390">
        <f>1</f>
        <v>1</v>
      </c>
      <c r="J3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389)&amp;"|",All_Questions_Q20_F_wrapped)),1,0),0))</f>
        <v>1</v>
      </c>
    </row>
    <row r="391">
      <c r="A391" t="n">
        <v>390</v>
      </c>
      <c r="B391" t="n">
        <v>28.9</v>
      </c>
      <c r="C391" t="n">
        <v>24.6</v>
      </c>
      <c r="D391" t="n">
        <v>22.9</v>
      </c>
      <c r="E391">
        <f>1</f>
        <v>1</v>
      </c>
      <c r="F391">
        <f>IF(OR(F_Custom1_Q="(None)",F_Custom1_Q="",ISBLANK(F_Custom1_Q),F_Custom1_V="(All)",F_Custom1_V="",ISBLANK(F_Custom1_V)),1,IFERROR(IF(ISNUMBER(SEARCH("|"&amp;INDEX(INDIRECT(F_Custom1_resolved_column),390)&amp;"|",F_Custom1_wrapped)),1,0),0))</f>
        <v>1</v>
      </c>
      <c r="G391">
        <f>IF(OR(F_Custom2_Q="(None)",F_Custom2_Q="",ISBLANK(F_Custom2_Q),F_Custom2_V="(All)",F_Custom2_V="",ISBLANK(F_Custom2_V)),1,IFERROR(IF(ISNUMBER(SEARCH("|"&amp;INDEX(INDIRECT(F_Custom2_resolved_column),390)&amp;"|",F_Custom2_wrapped)),1,0),0))</f>
        <v>1</v>
      </c>
      <c r="H391">
        <f>F391*G391*1</f>
        <v>1</v>
      </c>
      <c r="I391">
        <f>1</f>
        <v>1</v>
      </c>
      <c r="J3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390)&amp;"|",All_Questions_Q20_F_wrapped)),1,0),0))</f>
        <v>1</v>
      </c>
    </row>
    <row r="392">
      <c r="A392" t="n">
        <v>391</v>
      </c>
      <c r="B392" t="n">
        <v>28.9</v>
      </c>
      <c r="C392" t="n">
        <v>24.6</v>
      </c>
      <c r="D392" t="n">
        <v>22.9</v>
      </c>
      <c r="E392">
        <f>1</f>
        <v>1</v>
      </c>
      <c r="F392">
        <f>IF(OR(F_Custom1_Q="(None)",F_Custom1_Q="",ISBLANK(F_Custom1_Q),F_Custom1_V="(All)",F_Custom1_V="",ISBLANK(F_Custom1_V)),1,IFERROR(IF(ISNUMBER(SEARCH("|"&amp;INDEX(INDIRECT(F_Custom1_resolved_column),391)&amp;"|",F_Custom1_wrapped)),1,0),0))</f>
        <v>1</v>
      </c>
      <c r="G392">
        <f>IF(OR(F_Custom2_Q="(None)",F_Custom2_Q="",ISBLANK(F_Custom2_Q),F_Custom2_V="(All)",F_Custom2_V="",ISBLANK(F_Custom2_V)),1,IFERROR(IF(ISNUMBER(SEARCH("|"&amp;INDEX(INDIRECT(F_Custom2_resolved_column),391)&amp;"|",F_Custom2_wrapped)),1,0),0))</f>
        <v>1</v>
      </c>
      <c r="H392">
        <f>F392*G392*1</f>
        <v>1</v>
      </c>
      <c r="I392">
        <f>1</f>
        <v>1</v>
      </c>
      <c r="J3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391)&amp;"|",All_Questions_Q20_F_wrapped)),1,0),0))</f>
        <v>1</v>
      </c>
    </row>
    <row r="393">
      <c r="A393" t="n">
        <v>392</v>
      </c>
      <c r="B393" t="n">
        <v>28.9</v>
      </c>
      <c r="C393" t="n">
        <v>24.6</v>
      </c>
      <c r="D393" t="n">
        <v>22.9</v>
      </c>
      <c r="E393">
        <f>1</f>
        <v>1</v>
      </c>
      <c r="F393">
        <f>IF(OR(F_Custom1_Q="(None)",F_Custom1_Q="",ISBLANK(F_Custom1_Q),F_Custom1_V="(All)",F_Custom1_V="",ISBLANK(F_Custom1_V)),1,IFERROR(IF(ISNUMBER(SEARCH("|"&amp;INDEX(INDIRECT(F_Custom1_resolved_column),392)&amp;"|",F_Custom1_wrapped)),1,0),0))</f>
        <v>1</v>
      </c>
      <c r="G393">
        <f>IF(OR(F_Custom2_Q="(None)",F_Custom2_Q="",ISBLANK(F_Custom2_Q),F_Custom2_V="(All)",F_Custom2_V="",ISBLANK(F_Custom2_V)),1,IFERROR(IF(ISNUMBER(SEARCH("|"&amp;INDEX(INDIRECT(F_Custom2_resolved_column),392)&amp;"|",F_Custom2_wrapped)),1,0),0))</f>
        <v>1</v>
      </c>
      <c r="H393">
        <f>F393*G393*1</f>
        <v>1</v>
      </c>
      <c r="I393">
        <f>1</f>
        <v>1</v>
      </c>
      <c r="J3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392)&amp;"|",All_Questions_Q20_F_wrapped)),1,0),0))</f>
        <v>1</v>
      </c>
    </row>
    <row r="394">
      <c r="A394" t="n">
        <v>393</v>
      </c>
      <c r="B394" t="n">
        <v>28.9</v>
      </c>
      <c r="C394" t="n">
        <v>24.6</v>
      </c>
      <c r="D394" t="n">
        <v>22.9</v>
      </c>
      <c r="E394">
        <f>1</f>
        <v>1</v>
      </c>
      <c r="F394">
        <f>IF(OR(F_Custom1_Q="(None)",F_Custom1_Q="",ISBLANK(F_Custom1_Q),F_Custom1_V="(All)",F_Custom1_V="",ISBLANK(F_Custom1_V)),1,IFERROR(IF(ISNUMBER(SEARCH("|"&amp;INDEX(INDIRECT(F_Custom1_resolved_column),393)&amp;"|",F_Custom1_wrapped)),1,0),0))</f>
        <v>1</v>
      </c>
      <c r="G394">
        <f>IF(OR(F_Custom2_Q="(None)",F_Custom2_Q="",ISBLANK(F_Custom2_Q),F_Custom2_V="(All)",F_Custom2_V="",ISBLANK(F_Custom2_V)),1,IFERROR(IF(ISNUMBER(SEARCH("|"&amp;INDEX(INDIRECT(F_Custom2_resolved_column),393)&amp;"|",F_Custom2_wrapped)),1,0),0))</f>
        <v>1</v>
      </c>
      <c r="H394">
        <f>F394*G394*1</f>
        <v>1</v>
      </c>
      <c r="I394">
        <f>1</f>
        <v>1</v>
      </c>
      <c r="J3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393)&amp;"|",All_Questions_Q20_F_wrapped)),1,0),0))</f>
        <v>1</v>
      </c>
    </row>
    <row r="395">
      <c r="A395" t="n">
        <v>394</v>
      </c>
      <c r="B395" t="n">
        <v>28.9</v>
      </c>
      <c r="C395" t="n">
        <v>24.6</v>
      </c>
      <c r="D395" t="n">
        <v>22.9</v>
      </c>
      <c r="E395">
        <f>1</f>
        <v>1</v>
      </c>
      <c r="F395">
        <f>IF(OR(F_Custom1_Q="(None)",F_Custom1_Q="",ISBLANK(F_Custom1_Q),F_Custom1_V="(All)",F_Custom1_V="",ISBLANK(F_Custom1_V)),1,IFERROR(IF(ISNUMBER(SEARCH("|"&amp;INDEX(INDIRECT(F_Custom1_resolved_column),394)&amp;"|",F_Custom1_wrapped)),1,0),0))</f>
        <v>1</v>
      </c>
      <c r="G395">
        <f>IF(OR(F_Custom2_Q="(None)",F_Custom2_Q="",ISBLANK(F_Custom2_Q),F_Custom2_V="(All)",F_Custom2_V="",ISBLANK(F_Custom2_V)),1,IFERROR(IF(ISNUMBER(SEARCH("|"&amp;INDEX(INDIRECT(F_Custom2_resolved_column),394)&amp;"|",F_Custom2_wrapped)),1,0),0))</f>
        <v>1</v>
      </c>
      <c r="H395">
        <f>F395*G395*1</f>
        <v>1</v>
      </c>
      <c r="I395">
        <f>1</f>
        <v>1</v>
      </c>
      <c r="J3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394)&amp;"|",All_Questions_Q20_F_wrapped)),1,0),0))</f>
        <v>1</v>
      </c>
    </row>
    <row r="396">
      <c r="A396" t="n">
        <v>395</v>
      </c>
      <c r="B396" t="n">
        <v>28.9</v>
      </c>
      <c r="C396" t="n">
        <v>24.6</v>
      </c>
      <c r="D396" t="n">
        <v>22.9</v>
      </c>
      <c r="E396">
        <f>1</f>
        <v>1</v>
      </c>
      <c r="F396">
        <f>IF(OR(F_Custom1_Q="(None)",F_Custom1_Q="",ISBLANK(F_Custom1_Q),F_Custom1_V="(All)",F_Custom1_V="",ISBLANK(F_Custom1_V)),1,IFERROR(IF(ISNUMBER(SEARCH("|"&amp;INDEX(INDIRECT(F_Custom1_resolved_column),395)&amp;"|",F_Custom1_wrapped)),1,0),0))</f>
        <v>1</v>
      </c>
      <c r="G396">
        <f>IF(OR(F_Custom2_Q="(None)",F_Custom2_Q="",ISBLANK(F_Custom2_Q),F_Custom2_V="(All)",F_Custom2_V="",ISBLANK(F_Custom2_V)),1,IFERROR(IF(ISNUMBER(SEARCH("|"&amp;INDEX(INDIRECT(F_Custom2_resolved_column),395)&amp;"|",F_Custom2_wrapped)),1,0),0))</f>
        <v>1</v>
      </c>
      <c r="H396">
        <f>F396*G396*1</f>
        <v>1</v>
      </c>
      <c r="I396">
        <f>1</f>
        <v>1</v>
      </c>
      <c r="J3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395)&amp;"|",All_Questions_Q20_F_wrapped)),1,0),0))</f>
        <v>1</v>
      </c>
    </row>
    <row r="397">
      <c r="A397" t="n">
        <v>396</v>
      </c>
      <c r="B397" t="n">
        <v>28.9</v>
      </c>
      <c r="C397" t="n">
        <v>24.6</v>
      </c>
      <c r="D397" t="n">
        <v>22.9</v>
      </c>
      <c r="E397">
        <f>1</f>
        <v>1</v>
      </c>
      <c r="F397">
        <f>IF(OR(F_Custom1_Q="(None)",F_Custom1_Q="",ISBLANK(F_Custom1_Q),F_Custom1_V="(All)",F_Custom1_V="",ISBLANK(F_Custom1_V)),1,IFERROR(IF(ISNUMBER(SEARCH("|"&amp;INDEX(INDIRECT(F_Custom1_resolved_column),396)&amp;"|",F_Custom1_wrapped)),1,0),0))</f>
        <v>1</v>
      </c>
      <c r="G397">
        <f>IF(OR(F_Custom2_Q="(None)",F_Custom2_Q="",ISBLANK(F_Custom2_Q),F_Custom2_V="(All)",F_Custom2_V="",ISBLANK(F_Custom2_V)),1,IFERROR(IF(ISNUMBER(SEARCH("|"&amp;INDEX(INDIRECT(F_Custom2_resolved_column),396)&amp;"|",F_Custom2_wrapped)),1,0),0))</f>
        <v>1</v>
      </c>
      <c r="H397">
        <f>F397*G397*1</f>
        <v>1</v>
      </c>
      <c r="I397">
        <f>1</f>
        <v>1</v>
      </c>
      <c r="J3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396)&amp;"|",All_Questions_Q20_F_wrapped)),1,0),0))</f>
        <v>1</v>
      </c>
    </row>
    <row r="398">
      <c r="A398" t="n">
        <v>397</v>
      </c>
      <c r="B398" t="n">
        <v>28.9</v>
      </c>
      <c r="C398" t="n">
        <v>24.6</v>
      </c>
      <c r="D398" t="n">
        <v>22.9</v>
      </c>
      <c r="E398">
        <f>1</f>
        <v>1</v>
      </c>
      <c r="F398">
        <f>IF(OR(F_Custom1_Q="(None)",F_Custom1_Q="",ISBLANK(F_Custom1_Q),F_Custom1_V="(All)",F_Custom1_V="",ISBLANK(F_Custom1_V)),1,IFERROR(IF(ISNUMBER(SEARCH("|"&amp;INDEX(INDIRECT(F_Custom1_resolved_column),397)&amp;"|",F_Custom1_wrapped)),1,0),0))</f>
        <v>1</v>
      </c>
      <c r="G398">
        <f>IF(OR(F_Custom2_Q="(None)",F_Custom2_Q="",ISBLANK(F_Custom2_Q),F_Custom2_V="(All)",F_Custom2_V="",ISBLANK(F_Custom2_V)),1,IFERROR(IF(ISNUMBER(SEARCH("|"&amp;INDEX(INDIRECT(F_Custom2_resolved_column),397)&amp;"|",F_Custom2_wrapped)),1,0),0))</f>
        <v>1</v>
      </c>
      <c r="H398">
        <f>F398*G398*1</f>
        <v>1</v>
      </c>
      <c r="I398">
        <f>1</f>
        <v>1</v>
      </c>
      <c r="J3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397)&amp;"|",All_Questions_Q20_F_wrapped)),1,0),0))</f>
        <v>1</v>
      </c>
    </row>
    <row r="399">
      <c r="A399" t="n">
        <v>398</v>
      </c>
      <c r="B399" t="n">
        <v>28.9</v>
      </c>
      <c r="C399" t="n">
        <v>24.6</v>
      </c>
      <c r="D399" t="n">
        <v>22.9</v>
      </c>
      <c r="E399">
        <f>1</f>
        <v>1</v>
      </c>
      <c r="F399">
        <f>IF(OR(F_Custom1_Q="(None)",F_Custom1_Q="",ISBLANK(F_Custom1_Q),F_Custom1_V="(All)",F_Custom1_V="",ISBLANK(F_Custom1_V)),1,IFERROR(IF(ISNUMBER(SEARCH("|"&amp;INDEX(INDIRECT(F_Custom1_resolved_column),398)&amp;"|",F_Custom1_wrapped)),1,0),0))</f>
        <v>1</v>
      </c>
      <c r="G399">
        <f>IF(OR(F_Custom2_Q="(None)",F_Custom2_Q="",ISBLANK(F_Custom2_Q),F_Custom2_V="(All)",F_Custom2_V="",ISBLANK(F_Custom2_V)),1,IFERROR(IF(ISNUMBER(SEARCH("|"&amp;INDEX(INDIRECT(F_Custom2_resolved_column),398)&amp;"|",F_Custom2_wrapped)),1,0),0))</f>
        <v>1</v>
      </c>
      <c r="H399">
        <f>F399*G399*1</f>
        <v>1</v>
      </c>
      <c r="I399">
        <f>1</f>
        <v>1</v>
      </c>
      <c r="J3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398)&amp;"|",All_Questions_Q20_F_wrapped)),1,0),0))</f>
        <v>1</v>
      </c>
    </row>
    <row r="400">
      <c r="A400" t="n">
        <v>399</v>
      </c>
      <c r="B400" t="n">
        <v>28.9</v>
      </c>
      <c r="C400" t="n">
        <v>24.6</v>
      </c>
      <c r="D400" t="n">
        <v>22.9</v>
      </c>
      <c r="E400">
        <f>1</f>
        <v>1</v>
      </c>
      <c r="F400">
        <f>IF(OR(F_Custom1_Q="(None)",F_Custom1_Q="",ISBLANK(F_Custom1_Q),F_Custom1_V="(All)",F_Custom1_V="",ISBLANK(F_Custom1_V)),1,IFERROR(IF(ISNUMBER(SEARCH("|"&amp;INDEX(INDIRECT(F_Custom1_resolved_column),399)&amp;"|",F_Custom1_wrapped)),1,0),0))</f>
        <v>1</v>
      </c>
      <c r="G400">
        <f>IF(OR(F_Custom2_Q="(None)",F_Custom2_Q="",ISBLANK(F_Custom2_Q),F_Custom2_V="(All)",F_Custom2_V="",ISBLANK(F_Custom2_V)),1,IFERROR(IF(ISNUMBER(SEARCH("|"&amp;INDEX(INDIRECT(F_Custom2_resolved_column),399)&amp;"|",F_Custom2_wrapped)),1,0),0))</f>
        <v>1</v>
      </c>
      <c r="H400">
        <f>F400*G400*1</f>
        <v>1</v>
      </c>
      <c r="I400">
        <f>1</f>
        <v>1</v>
      </c>
      <c r="J4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399)&amp;"|",All_Questions_Q20_F_wrapped)),1,0),0))</f>
        <v>1</v>
      </c>
    </row>
    <row r="401">
      <c r="A401" t="n">
        <v>400</v>
      </c>
      <c r="B401" t="n">
        <v>28.9</v>
      </c>
      <c r="C401" t="n">
        <v>24.6</v>
      </c>
      <c r="D401" t="n">
        <v>22.9</v>
      </c>
      <c r="E401">
        <f>1</f>
        <v>1</v>
      </c>
      <c r="F401">
        <f>IF(OR(F_Custom1_Q="(None)",F_Custom1_Q="",ISBLANK(F_Custom1_Q),F_Custom1_V="(All)",F_Custom1_V="",ISBLANK(F_Custom1_V)),1,IFERROR(IF(ISNUMBER(SEARCH("|"&amp;INDEX(INDIRECT(F_Custom1_resolved_column),400)&amp;"|",F_Custom1_wrapped)),1,0),0))</f>
        <v>1</v>
      </c>
      <c r="G401">
        <f>IF(OR(F_Custom2_Q="(None)",F_Custom2_Q="",ISBLANK(F_Custom2_Q),F_Custom2_V="(All)",F_Custom2_V="",ISBLANK(F_Custom2_V)),1,IFERROR(IF(ISNUMBER(SEARCH("|"&amp;INDEX(INDIRECT(F_Custom2_resolved_column),400)&amp;"|",F_Custom2_wrapped)),1,0),0))</f>
        <v>1</v>
      </c>
      <c r="H401">
        <f>F401*G401*1</f>
        <v>1</v>
      </c>
      <c r="I401">
        <f>1</f>
        <v>1</v>
      </c>
      <c r="J4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400)&amp;"|",All_Questions_Q20_F_wrapped)),1,0),0))</f>
        <v>1</v>
      </c>
    </row>
    <row r="402">
      <c r="A402" t="n">
        <v>401</v>
      </c>
      <c r="B402" t="n">
        <v>28.9</v>
      </c>
      <c r="C402" t="n">
        <v>24.6</v>
      </c>
      <c r="D402" t="n">
        <v>22.9</v>
      </c>
      <c r="E402">
        <f>1</f>
        <v>1</v>
      </c>
      <c r="F402">
        <f>IF(OR(F_Custom1_Q="(None)",F_Custom1_Q="",ISBLANK(F_Custom1_Q),F_Custom1_V="(All)",F_Custom1_V="",ISBLANK(F_Custom1_V)),1,IFERROR(IF(ISNUMBER(SEARCH("|"&amp;INDEX(INDIRECT(F_Custom1_resolved_column),401)&amp;"|",F_Custom1_wrapped)),1,0),0))</f>
        <v>1</v>
      </c>
      <c r="G402">
        <f>IF(OR(F_Custom2_Q="(None)",F_Custom2_Q="",ISBLANK(F_Custom2_Q),F_Custom2_V="(All)",F_Custom2_V="",ISBLANK(F_Custom2_V)),1,IFERROR(IF(ISNUMBER(SEARCH("|"&amp;INDEX(INDIRECT(F_Custom2_resolved_column),401)&amp;"|",F_Custom2_wrapped)),1,0),0))</f>
        <v>1</v>
      </c>
      <c r="H402">
        <f>F402*G402*1</f>
        <v>1</v>
      </c>
      <c r="I402">
        <f>1</f>
        <v>1</v>
      </c>
      <c r="J4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401)&amp;"|",All_Questions_Q20_F_wrapped)),1,0),0))</f>
        <v>1</v>
      </c>
    </row>
    <row r="403">
      <c r="A403" t="n">
        <v>402</v>
      </c>
      <c r="B403" t="n">
        <v>28.9</v>
      </c>
      <c r="C403" t="n">
        <v>24.6</v>
      </c>
      <c r="D403" t="n">
        <v>22.9</v>
      </c>
      <c r="E403">
        <f>1</f>
        <v>1</v>
      </c>
      <c r="F403">
        <f>IF(OR(F_Custom1_Q="(None)",F_Custom1_Q="",ISBLANK(F_Custom1_Q),F_Custom1_V="(All)",F_Custom1_V="",ISBLANK(F_Custom1_V)),1,IFERROR(IF(ISNUMBER(SEARCH("|"&amp;INDEX(INDIRECT(F_Custom1_resolved_column),402)&amp;"|",F_Custom1_wrapped)),1,0),0))</f>
        <v>1</v>
      </c>
      <c r="G403">
        <f>IF(OR(F_Custom2_Q="(None)",F_Custom2_Q="",ISBLANK(F_Custom2_Q),F_Custom2_V="(All)",F_Custom2_V="",ISBLANK(F_Custom2_V)),1,IFERROR(IF(ISNUMBER(SEARCH("|"&amp;INDEX(INDIRECT(F_Custom2_resolved_column),402)&amp;"|",F_Custom2_wrapped)),1,0),0))</f>
        <v>1</v>
      </c>
      <c r="H403">
        <f>F403*G403*1</f>
        <v>1</v>
      </c>
      <c r="I403">
        <f>1</f>
        <v>1</v>
      </c>
      <c r="J4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402)&amp;"|",All_Questions_Q20_F_wrapped)),1,0),0))</f>
        <v>1</v>
      </c>
    </row>
    <row r="404">
      <c r="A404" t="n">
        <v>403</v>
      </c>
      <c r="B404" t="n">
        <v>28.9</v>
      </c>
      <c r="C404" t="n">
        <v>24.6</v>
      </c>
      <c r="D404" t="n">
        <v>22.9</v>
      </c>
      <c r="E404">
        <f>1</f>
        <v>1</v>
      </c>
      <c r="F404">
        <f>IF(OR(F_Custom1_Q="(None)",F_Custom1_Q="",ISBLANK(F_Custom1_Q),F_Custom1_V="(All)",F_Custom1_V="",ISBLANK(F_Custom1_V)),1,IFERROR(IF(ISNUMBER(SEARCH("|"&amp;INDEX(INDIRECT(F_Custom1_resolved_column),403)&amp;"|",F_Custom1_wrapped)),1,0),0))</f>
        <v>1</v>
      </c>
      <c r="G404">
        <f>IF(OR(F_Custom2_Q="(None)",F_Custom2_Q="",ISBLANK(F_Custom2_Q),F_Custom2_V="(All)",F_Custom2_V="",ISBLANK(F_Custom2_V)),1,IFERROR(IF(ISNUMBER(SEARCH("|"&amp;INDEX(INDIRECT(F_Custom2_resolved_column),403)&amp;"|",F_Custom2_wrapped)),1,0),0))</f>
        <v>1</v>
      </c>
      <c r="H404">
        <f>F404*G404*1</f>
        <v>1</v>
      </c>
      <c r="I404">
        <f>1</f>
        <v>1</v>
      </c>
      <c r="J4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403)&amp;"|",All_Questions_Q20_F_wrapped)),1,0),0))</f>
        <v>1</v>
      </c>
    </row>
    <row r="405">
      <c r="A405" t="n">
        <v>404</v>
      </c>
      <c r="B405" t="n">
        <v>28.9</v>
      </c>
      <c r="C405" t="n">
        <v>24.6</v>
      </c>
      <c r="D405" t="n">
        <v>22.9</v>
      </c>
      <c r="E405">
        <f>1</f>
        <v>1</v>
      </c>
      <c r="F405">
        <f>IF(OR(F_Custom1_Q="(None)",F_Custom1_Q="",ISBLANK(F_Custom1_Q),F_Custom1_V="(All)",F_Custom1_V="",ISBLANK(F_Custom1_V)),1,IFERROR(IF(ISNUMBER(SEARCH("|"&amp;INDEX(INDIRECT(F_Custom1_resolved_column),404)&amp;"|",F_Custom1_wrapped)),1,0),0))</f>
        <v>1</v>
      </c>
      <c r="G405">
        <f>IF(OR(F_Custom2_Q="(None)",F_Custom2_Q="",ISBLANK(F_Custom2_Q),F_Custom2_V="(All)",F_Custom2_V="",ISBLANK(F_Custom2_V)),1,IFERROR(IF(ISNUMBER(SEARCH("|"&amp;INDEX(INDIRECT(F_Custom2_resolved_column),404)&amp;"|",F_Custom2_wrapped)),1,0),0))</f>
        <v>1</v>
      </c>
      <c r="H405">
        <f>F405*G405*1</f>
        <v>1</v>
      </c>
      <c r="I405">
        <f>1</f>
        <v>1</v>
      </c>
      <c r="J4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404)&amp;"|",All_Questions_Q20_F_wrapped)),1,0),0))</f>
        <v>1</v>
      </c>
    </row>
    <row r="406">
      <c r="A406" t="n">
        <v>405</v>
      </c>
      <c r="B406" t="n">
        <v>28.9</v>
      </c>
      <c r="C406" t="n">
        <v>24.6</v>
      </c>
      <c r="D406" t="n">
        <v>22.9</v>
      </c>
      <c r="E406">
        <f>1</f>
        <v>1</v>
      </c>
      <c r="F406">
        <f>IF(OR(F_Custom1_Q="(None)",F_Custom1_Q="",ISBLANK(F_Custom1_Q),F_Custom1_V="(All)",F_Custom1_V="",ISBLANK(F_Custom1_V)),1,IFERROR(IF(ISNUMBER(SEARCH("|"&amp;INDEX(INDIRECT(F_Custom1_resolved_column),405)&amp;"|",F_Custom1_wrapped)),1,0),0))</f>
        <v>1</v>
      </c>
      <c r="G406">
        <f>IF(OR(F_Custom2_Q="(None)",F_Custom2_Q="",ISBLANK(F_Custom2_Q),F_Custom2_V="(All)",F_Custom2_V="",ISBLANK(F_Custom2_V)),1,IFERROR(IF(ISNUMBER(SEARCH("|"&amp;INDEX(INDIRECT(F_Custom2_resolved_column),405)&amp;"|",F_Custom2_wrapped)),1,0),0))</f>
        <v>1</v>
      </c>
      <c r="H406">
        <f>F406*G406*1</f>
        <v>1</v>
      </c>
      <c r="I406">
        <f>1</f>
        <v>1</v>
      </c>
      <c r="J4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405)&amp;"|",All_Questions_Q20_F_wrapped)),1,0),0))</f>
        <v>1</v>
      </c>
    </row>
    <row r="407">
      <c r="A407" t="n">
        <v>406</v>
      </c>
      <c r="B407" t="n">
        <v>28.9</v>
      </c>
      <c r="C407" t="n">
        <v>24.6</v>
      </c>
      <c r="D407" t="n">
        <v>22.9</v>
      </c>
      <c r="E407">
        <f>1</f>
        <v>1</v>
      </c>
      <c r="F407">
        <f>IF(OR(F_Custom1_Q="(None)",F_Custom1_Q="",ISBLANK(F_Custom1_Q),F_Custom1_V="(All)",F_Custom1_V="",ISBLANK(F_Custom1_V)),1,IFERROR(IF(ISNUMBER(SEARCH("|"&amp;INDEX(INDIRECT(F_Custom1_resolved_column),406)&amp;"|",F_Custom1_wrapped)),1,0),0))</f>
        <v>1</v>
      </c>
      <c r="G407">
        <f>IF(OR(F_Custom2_Q="(None)",F_Custom2_Q="",ISBLANK(F_Custom2_Q),F_Custom2_V="(All)",F_Custom2_V="",ISBLANK(F_Custom2_V)),1,IFERROR(IF(ISNUMBER(SEARCH("|"&amp;INDEX(INDIRECT(F_Custom2_resolved_column),406)&amp;"|",F_Custom2_wrapped)),1,0),0))</f>
        <v>1</v>
      </c>
      <c r="H407">
        <f>F407*G407*1</f>
        <v>1</v>
      </c>
      <c r="I407">
        <f>1</f>
        <v>1</v>
      </c>
      <c r="J4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406)&amp;"|",All_Questions_Q20_F_wrapped)),1,0),0))</f>
        <v>1</v>
      </c>
    </row>
    <row r="408">
      <c r="A408" t="n">
        <v>407</v>
      </c>
      <c r="B408" t="n">
        <v>28.9</v>
      </c>
      <c r="C408" t="n">
        <v>24.6</v>
      </c>
      <c r="D408" t="n">
        <v>22.9</v>
      </c>
      <c r="E408">
        <f>1</f>
        <v>1</v>
      </c>
      <c r="F408">
        <f>IF(OR(F_Custom1_Q="(None)",F_Custom1_Q="",ISBLANK(F_Custom1_Q),F_Custom1_V="(All)",F_Custom1_V="",ISBLANK(F_Custom1_V)),1,IFERROR(IF(ISNUMBER(SEARCH("|"&amp;INDEX(INDIRECT(F_Custom1_resolved_column),407)&amp;"|",F_Custom1_wrapped)),1,0),0))</f>
        <v>1</v>
      </c>
      <c r="G408">
        <f>IF(OR(F_Custom2_Q="(None)",F_Custom2_Q="",ISBLANK(F_Custom2_Q),F_Custom2_V="(All)",F_Custom2_V="",ISBLANK(F_Custom2_V)),1,IFERROR(IF(ISNUMBER(SEARCH("|"&amp;INDEX(INDIRECT(F_Custom2_resolved_column),407)&amp;"|",F_Custom2_wrapped)),1,0),0))</f>
        <v>1</v>
      </c>
      <c r="H408">
        <f>F408*G408*1</f>
        <v>1</v>
      </c>
      <c r="I408">
        <f>1</f>
        <v>1</v>
      </c>
      <c r="J4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407)&amp;"|",All_Questions_Q20_F_wrapped)),1,0),0))</f>
        <v>1</v>
      </c>
    </row>
    <row r="409">
      <c r="A409" t="n">
        <v>408</v>
      </c>
      <c r="B409" t="n">
        <v>28.9</v>
      </c>
      <c r="C409" t="n">
        <v>24.6</v>
      </c>
      <c r="D409" t="n">
        <v>22.9</v>
      </c>
      <c r="E409">
        <f>1</f>
        <v>1</v>
      </c>
      <c r="F409">
        <f>IF(OR(F_Custom1_Q="(None)",F_Custom1_Q="",ISBLANK(F_Custom1_Q),F_Custom1_V="(All)",F_Custom1_V="",ISBLANK(F_Custom1_V)),1,IFERROR(IF(ISNUMBER(SEARCH("|"&amp;INDEX(INDIRECT(F_Custom1_resolved_column),408)&amp;"|",F_Custom1_wrapped)),1,0),0))</f>
        <v>1</v>
      </c>
      <c r="G409">
        <f>IF(OR(F_Custom2_Q="(None)",F_Custom2_Q="",ISBLANK(F_Custom2_Q),F_Custom2_V="(All)",F_Custom2_V="",ISBLANK(F_Custom2_V)),1,IFERROR(IF(ISNUMBER(SEARCH("|"&amp;INDEX(INDIRECT(F_Custom2_resolved_column),408)&amp;"|",F_Custom2_wrapped)),1,0),0))</f>
        <v>1</v>
      </c>
      <c r="H409">
        <f>F409*G409*1</f>
        <v>1</v>
      </c>
      <c r="I409">
        <f>1</f>
        <v>1</v>
      </c>
      <c r="J4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408)&amp;"|",All_Questions_Q20_F_wrapped)),1,0),0))</f>
        <v>1</v>
      </c>
    </row>
    <row r="410">
      <c r="A410" t="n">
        <v>409</v>
      </c>
      <c r="B410" t="n">
        <v>28.9</v>
      </c>
      <c r="C410" t="n">
        <v>24.6</v>
      </c>
      <c r="D410" t="n">
        <v>22.9</v>
      </c>
      <c r="E410">
        <f>1</f>
        <v>1</v>
      </c>
      <c r="F410">
        <f>IF(OR(F_Custom1_Q="(None)",F_Custom1_Q="",ISBLANK(F_Custom1_Q),F_Custom1_V="(All)",F_Custom1_V="",ISBLANK(F_Custom1_V)),1,IFERROR(IF(ISNUMBER(SEARCH("|"&amp;INDEX(INDIRECT(F_Custom1_resolved_column),409)&amp;"|",F_Custom1_wrapped)),1,0),0))</f>
        <v>1</v>
      </c>
      <c r="G410">
        <f>IF(OR(F_Custom2_Q="(None)",F_Custom2_Q="",ISBLANK(F_Custom2_Q),F_Custom2_V="(All)",F_Custom2_V="",ISBLANK(F_Custom2_V)),1,IFERROR(IF(ISNUMBER(SEARCH("|"&amp;INDEX(INDIRECT(F_Custom2_resolved_column),409)&amp;"|",F_Custom2_wrapped)),1,0),0))</f>
        <v>1</v>
      </c>
      <c r="H410">
        <f>F410*G410*1</f>
        <v>1</v>
      </c>
      <c r="I410">
        <f>1</f>
        <v>1</v>
      </c>
      <c r="J4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409)&amp;"|",All_Questions_Q20_F_wrapped)),1,0),0))</f>
        <v>1</v>
      </c>
    </row>
    <row r="411">
      <c r="A411" t="n">
        <v>410</v>
      </c>
      <c r="B411" t="n">
        <v>28.9</v>
      </c>
      <c r="C411" t="n">
        <v>24.6</v>
      </c>
      <c r="D411" t="n">
        <v>22.9</v>
      </c>
      <c r="E411">
        <f>1</f>
        <v>1</v>
      </c>
      <c r="F411">
        <f>IF(OR(F_Custom1_Q="(None)",F_Custom1_Q="",ISBLANK(F_Custom1_Q),F_Custom1_V="(All)",F_Custom1_V="",ISBLANK(F_Custom1_V)),1,IFERROR(IF(ISNUMBER(SEARCH("|"&amp;INDEX(INDIRECT(F_Custom1_resolved_column),410)&amp;"|",F_Custom1_wrapped)),1,0),0))</f>
        <v>1</v>
      </c>
      <c r="G411">
        <f>IF(OR(F_Custom2_Q="(None)",F_Custom2_Q="",ISBLANK(F_Custom2_Q),F_Custom2_V="(All)",F_Custom2_V="",ISBLANK(F_Custom2_V)),1,IFERROR(IF(ISNUMBER(SEARCH("|"&amp;INDEX(INDIRECT(F_Custom2_resolved_column),410)&amp;"|",F_Custom2_wrapped)),1,0),0))</f>
        <v>1</v>
      </c>
      <c r="H411">
        <f>F411*G411*1</f>
        <v>1</v>
      </c>
      <c r="I411">
        <f>1</f>
        <v>1</v>
      </c>
      <c r="J4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410)&amp;"|",All_Questions_Q20_F_wrapped)),1,0),0))</f>
        <v>1</v>
      </c>
    </row>
    <row r="412">
      <c r="A412" t="n">
        <v>411</v>
      </c>
      <c r="B412" t="n">
        <v>28.9</v>
      </c>
      <c r="C412" t="n">
        <v>24.6</v>
      </c>
      <c r="D412" t="n">
        <v>22.9</v>
      </c>
      <c r="E412">
        <f>1</f>
        <v>1</v>
      </c>
      <c r="F412">
        <f>IF(OR(F_Custom1_Q="(None)",F_Custom1_Q="",ISBLANK(F_Custom1_Q),F_Custom1_V="(All)",F_Custom1_V="",ISBLANK(F_Custom1_V)),1,IFERROR(IF(ISNUMBER(SEARCH("|"&amp;INDEX(INDIRECT(F_Custom1_resolved_column),411)&amp;"|",F_Custom1_wrapped)),1,0),0))</f>
        <v>1</v>
      </c>
      <c r="G412">
        <f>IF(OR(F_Custom2_Q="(None)",F_Custom2_Q="",ISBLANK(F_Custom2_Q),F_Custom2_V="(All)",F_Custom2_V="",ISBLANK(F_Custom2_V)),1,IFERROR(IF(ISNUMBER(SEARCH("|"&amp;INDEX(INDIRECT(F_Custom2_resolved_column),411)&amp;"|",F_Custom2_wrapped)),1,0),0))</f>
        <v>1</v>
      </c>
      <c r="H412">
        <f>F412*G412*1</f>
        <v>1</v>
      </c>
      <c r="I412">
        <f>1</f>
        <v>1</v>
      </c>
      <c r="J4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411)&amp;"|",All_Questions_Q20_F_wrapped)),1,0),0))</f>
        <v>1</v>
      </c>
    </row>
    <row r="413">
      <c r="A413" t="n">
        <v>412</v>
      </c>
      <c r="B413" t="n">
        <v>28.9</v>
      </c>
      <c r="C413" t="n">
        <v>24.6</v>
      </c>
      <c r="D413" t="n">
        <v>22.9</v>
      </c>
      <c r="E413">
        <f>1</f>
        <v>1</v>
      </c>
      <c r="F413">
        <f>IF(OR(F_Custom1_Q="(None)",F_Custom1_Q="",ISBLANK(F_Custom1_Q),F_Custom1_V="(All)",F_Custom1_V="",ISBLANK(F_Custom1_V)),1,IFERROR(IF(ISNUMBER(SEARCH("|"&amp;INDEX(INDIRECT(F_Custom1_resolved_column),412)&amp;"|",F_Custom1_wrapped)),1,0),0))</f>
        <v>1</v>
      </c>
      <c r="G413">
        <f>IF(OR(F_Custom2_Q="(None)",F_Custom2_Q="",ISBLANK(F_Custom2_Q),F_Custom2_V="(All)",F_Custom2_V="",ISBLANK(F_Custom2_V)),1,IFERROR(IF(ISNUMBER(SEARCH("|"&amp;INDEX(INDIRECT(F_Custom2_resolved_column),412)&amp;"|",F_Custom2_wrapped)),1,0),0))</f>
        <v>1</v>
      </c>
      <c r="H413">
        <f>F413*G413*1</f>
        <v>1</v>
      </c>
      <c r="I413">
        <f>1</f>
        <v>1</v>
      </c>
      <c r="J4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412)&amp;"|",All_Questions_Q20_F_wrapped)),1,0),0))</f>
        <v>1</v>
      </c>
    </row>
    <row r="414">
      <c r="A414" t="n">
        <v>413</v>
      </c>
      <c r="B414" t="n">
        <v>28.9</v>
      </c>
      <c r="C414" t="n">
        <v>24.6</v>
      </c>
      <c r="D414" t="n">
        <v>22.9</v>
      </c>
      <c r="E414">
        <f>1</f>
        <v>1</v>
      </c>
      <c r="F414">
        <f>IF(OR(F_Custom1_Q="(None)",F_Custom1_Q="",ISBLANK(F_Custom1_Q),F_Custom1_V="(All)",F_Custom1_V="",ISBLANK(F_Custom1_V)),1,IFERROR(IF(ISNUMBER(SEARCH("|"&amp;INDEX(INDIRECT(F_Custom1_resolved_column),413)&amp;"|",F_Custom1_wrapped)),1,0),0))</f>
        <v>1</v>
      </c>
      <c r="G414">
        <f>IF(OR(F_Custom2_Q="(None)",F_Custom2_Q="",ISBLANK(F_Custom2_Q),F_Custom2_V="(All)",F_Custom2_V="",ISBLANK(F_Custom2_V)),1,IFERROR(IF(ISNUMBER(SEARCH("|"&amp;INDEX(INDIRECT(F_Custom2_resolved_column),413)&amp;"|",F_Custom2_wrapped)),1,0),0))</f>
        <v>1</v>
      </c>
      <c r="H414">
        <f>F414*G414*1</f>
        <v>1</v>
      </c>
      <c r="I414">
        <f>1</f>
        <v>1</v>
      </c>
      <c r="J4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413)&amp;"|",All_Questions_Q20_F_wrapped)),1,0),0))</f>
        <v>1</v>
      </c>
    </row>
    <row r="415">
      <c r="A415" t="n">
        <v>414</v>
      </c>
      <c r="B415" t="n">
        <v>28.9</v>
      </c>
      <c r="C415" t="n">
        <v>24.6</v>
      </c>
      <c r="D415" t="n">
        <v>22.9</v>
      </c>
      <c r="E415">
        <f>1</f>
        <v>1</v>
      </c>
      <c r="F415">
        <f>IF(OR(F_Custom1_Q="(None)",F_Custom1_Q="",ISBLANK(F_Custom1_Q),F_Custom1_V="(All)",F_Custom1_V="",ISBLANK(F_Custom1_V)),1,IFERROR(IF(ISNUMBER(SEARCH("|"&amp;INDEX(INDIRECT(F_Custom1_resolved_column),414)&amp;"|",F_Custom1_wrapped)),1,0),0))</f>
        <v>1</v>
      </c>
      <c r="G415">
        <f>IF(OR(F_Custom2_Q="(None)",F_Custom2_Q="",ISBLANK(F_Custom2_Q),F_Custom2_V="(All)",F_Custom2_V="",ISBLANK(F_Custom2_V)),1,IFERROR(IF(ISNUMBER(SEARCH("|"&amp;INDEX(INDIRECT(F_Custom2_resolved_column),414)&amp;"|",F_Custom2_wrapped)),1,0),0))</f>
        <v>1</v>
      </c>
      <c r="H415">
        <f>F415*G415*1</f>
        <v>1</v>
      </c>
      <c r="I415">
        <f>1</f>
        <v>1</v>
      </c>
      <c r="J4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414)&amp;"|",All_Questions_Q20_F_wrapped)),1,0),0))</f>
        <v>1</v>
      </c>
    </row>
    <row r="416">
      <c r="A416" t="n">
        <v>415</v>
      </c>
      <c r="B416" t="n">
        <v>28.9</v>
      </c>
      <c r="C416" t="n">
        <v>24.6</v>
      </c>
      <c r="D416" t="n">
        <v>22.9</v>
      </c>
      <c r="E416">
        <f>1</f>
        <v>1</v>
      </c>
      <c r="F416">
        <f>IF(OR(F_Custom1_Q="(None)",F_Custom1_Q="",ISBLANK(F_Custom1_Q),F_Custom1_V="(All)",F_Custom1_V="",ISBLANK(F_Custom1_V)),1,IFERROR(IF(ISNUMBER(SEARCH("|"&amp;INDEX(INDIRECT(F_Custom1_resolved_column),415)&amp;"|",F_Custom1_wrapped)),1,0),0))</f>
        <v>1</v>
      </c>
      <c r="G416">
        <f>IF(OR(F_Custom2_Q="(None)",F_Custom2_Q="",ISBLANK(F_Custom2_Q),F_Custom2_V="(All)",F_Custom2_V="",ISBLANK(F_Custom2_V)),1,IFERROR(IF(ISNUMBER(SEARCH("|"&amp;INDEX(INDIRECT(F_Custom2_resolved_column),415)&amp;"|",F_Custom2_wrapped)),1,0),0))</f>
        <v>1</v>
      </c>
      <c r="H416">
        <f>F416*G416*1</f>
        <v>1</v>
      </c>
      <c r="I416">
        <f>1</f>
        <v>1</v>
      </c>
      <c r="J4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415)&amp;"|",All_Questions_Q20_F_wrapped)),1,0),0))</f>
        <v>1</v>
      </c>
    </row>
    <row r="417">
      <c r="A417" t="n">
        <v>416</v>
      </c>
      <c r="B417" t="n">
        <v>28.9</v>
      </c>
      <c r="C417" t="n">
        <v>24.6</v>
      </c>
      <c r="D417" t="n">
        <v>22.9</v>
      </c>
      <c r="E417">
        <f>1</f>
        <v>1</v>
      </c>
      <c r="F417">
        <f>IF(OR(F_Custom1_Q="(None)",F_Custom1_Q="",ISBLANK(F_Custom1_Q),F_Custom1_V="(All)",F_Custom1_V="",ISBLANK(F_Custom1_V)),1,IFERROR(IF(ISNUMBER(SEARCH("|"&amp;INDEX(INDIRECT(F_Custom1_resolved_column),416)&amp;"|",F_Custom1_wrapped)),1,0),0))</f>
        <v>1</v>
      </c>
      <c r="G417">
        <f>IF(OR(F_Custom2_Q="(None)",F_Custom2_Q="",ISBLANK(F_Custom2_Q),F_Custom2_V="(All)",F_Custom2_V="",ISBLANK(F_Custom2_V)),1,IFERROR(IF(ISNUMBER(SEARCH("|"&amp;INDEX(INDIRECT(F_Custom2_resolved_column),416)&amp;"|",F_Custom2_wrapped)),1,0),0))</f>
        <v>1</v>
      </c>
      <c r="H417">
        <f>F417*G417*1</f>
        <v>1</v>
      </c>
      <c r="I417">
        <f>1</f>
        <v>1</v>
      </c>
      <c r="J4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416)&amp;"|",All_Questions_Q20_F_wrapped)),1,0),0))</f>
        <v>1</v>
      </c>
    </row>
    <row r="418">
      <c r="A418" t="n">
        <v>417</v>
      </c>
      <c r="B418" t="n">
        <v>28.9</v>
      </c>
      <c r="C418" t="n">
        <v>24.6</v>
      </c>
      <c r="D418" t="n">
        <v>22.9</v>
      </c>
      <c r="E418">
        <f>1</f>
        <v>1</v>
      </c>
      <c r="F418">
        <f>IF(OR(F_Custom1_Q="(None)",F_Custom1_Q="",ISBLANK(F_Custom1_Q),F_Custom1_V="(All)",F_Custom1_V="",ISBLANK(F_Custom1_V)),1,IFERROR(IF(ISNUMBER(SEARCH("|"&amp;INDEX(INDIRECT(F_Custom1_resolved_column),417)&amp;"|",F_Custom1_wrapped)),1,0),0))</f>
        <v>1</v>
      </c>
      <c r="G418">
        <f>IF(OR(F_Custom2_Q="(None)",F_Custom2_Q="",ISBLANK(F_Custom2_Q),F_Custom2_V="(All)",F_Custom2_V="",ISBLANK(F_Custom2_V)),1,IFERROR(IF(ISNUMBER(SEARCH("|"&amp;INDEX(INDIRECT(F_Custom2_resolved_column),417)&amp;"|",F_Custom2_wrapped)),1,0),0))</f>
        <v>1</v>
      </c>
      <c r="H418">
        <f>F418*G418*1</f>
        <v>1</v>
      </c>
      <c r="I418">
        <f>1</f>
        <v>1</v>
      </c>
      <c r="J4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417)&amp;"|",All_Questions_Q20_F_wrapped)),1,0),0))</f>
        <v>1</v>
      </c>
    </row>
    <row r="419">
      <c r="A419" t="n">
        <v>418</v>
      </c>
      <c r="B419" t="n">
        <v>28.9</v>
      </c>
      <c r="C419" t="n">
        <v>24.6</v>
      </c>
      <c r="D419" t="n">
        <v>22.9</v>
      </c>
      <c r="E419">
        <f>1</f>
        <v>1</v>
      </c>
      <c r="F419">
        <f>IF(OR(F_Custom1_Q="(None)",F_Custom1_Q="",ISBLANK(F_Custom1_Q),F_Custom1_V="(All)",F_Custom1_V="",ISBLANK(F_Custom1_V)),1,IFERROR(IF(ISNUMBER(SEARCH("|"&amp;INDEX(INDIRECT(F_Custom1_resolved_column),418)&amp;"|",F_Custom1_wrapped)),1,0),0))</f>
        <v>1</v>
      </c>
      <c r="G419">
        <f>IF(OR(F_Custom2_Q="(None)",F_Custom2_Q="",ISBLANK(F_Custom2_Q),F_Custom2_V="(All)",F_Custom2_V="",ISBLANK(F_Custom2_V)),1,IFERROR(IF(ISNUMBER(SEARCH("|"&amp;INDEX(INDIRECT(F_Custom2_resolved_column),418)&amp;"|",F_Custom2_wrapped)),1,0),0))</f>
        <v>1</v>
      </c>
      <c r="H419">
        <f>F419*G419*1</f>
        <v>1</v>
      </c>
      <c r="I419">
        <f>1</f>
        <v>1</v>
      </c>
      <c r="J4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418)&amp;"|",All_Questions_Q20_F_wrapped)),1,0),0))</f>
        <v>1</v>
      </c>
    </row>
    <row r="420">
      <c r="A420" t="n">
        <v>419</v>
      </c>
      <c r="B420" t="n">
        <v>28.9</v>
      </c>
      <c r="C420" t="n">
        <v>24.6</v>
      </c>
      <c r="D420" t="n">
        <v>22.9</v>
      </c>
      <c r="E420">
        <f>1</f>
        <v>1</v>
      </c>
      <c r="F420">
        <f>IF(OR(F_Custom1_Q="(None)",F_Custom1_Q="",ISBLANK(F_Custom1_Q),F_Custom1_V="(All)",F_Custom1_V="",ISBLANK(F_Custom1_V)),1,IFERROR(IF(ISNUMBER(SEARCH("|"&amp;INDEX(INDIRECT(F_Custom1_resolved_column),419)&amp;"|",F_Custom1_wrapped)),1,0),0))</f>
        <v>1</v>
      </c>
      <c r="G420">
        <f>IF(OR(F_Custom2_Q="(None)",F_Custom2_Q="",ISBLANK(F_Custom2_Q),F_Custom2_V="(All)",F_Custom2_V="",ISBLANK(F_Custom2_V)),1,IFERROR(IF(ISNUMBER(SEARCH("|"&amp;INDEX(INDIRECT(F_Custom2_resolved_column),419)&amp;"|",F_Custom2_wrapped)),1,0),0))</f>
        <v>1</v>
      </c>
      <c r="H420">
        <f>F420*G420*1</f>
        <v>1</v>
      </c>
      <c r="I420">
        <f>1</f>
        <v>1</v>
      </c>
      <c r="J4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419)&amp;"|",All_Questions_Q20_F_wrapped)),1,0),0))</f>
        <v>1</v>
      </c>
    </row>
    <row r="421">
      <c r="A421" t="n">
        <v>420</v>
      </c>
      <c r="B421" t="n">
        <v>28.9</v>
      </c>
      <c r="C421" t="n">
        <v>24.6</v>
      </c>
      <c r="D421" t="n">
        <v>22.9</v>
      </c>
      <c r="E421">
        <f>1</f>
        <v>1</v>
      </c>
      <c r="F421">
        <f>IF(OR(F_Custom1_Q="(None)",F_Custom1_Q="",ISBLANK(F_Custom1_Q),F_Custom1_V="(All)",F_Custom1_V="",ISBLANK(F_Custom1_V)),1,IFERROR(IF(ISNUMBER(SEARCH("|"&amp;INDEX(INDIRECT(F_Custom1_resolved_column),420)&amp;"|",F_Custom1_wrapped)),1,0),0))</f>
        <v>1</v>
      </c>
      <c r="G421">
        <f>IF(OR(F_Custom2_Q="(None)",F_Custom2_Q="",ISBLANK(F_Custom2_Q),F_Custom2_V="(All)",F_Custom2_V="",ISBLANK(F_Custom2_V)),1,IFERROR(IF(ISNUMBER(SEARCH("|"&amp;INDEX(INDIRECT(F_Custom2_resolved_column),420)&amp;"|",F_Custom2_wrapped)),1,0),0))</f>
        <v>1</v>
      </c>
      <c r="H421">
        <f>F421*G421*1</f>
        <v>1</v>
      </c>
      <c r="I421">
        <f>1</f>
        <v>1</v>
      </c>
      <c r="J4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420)&amp;"|",All_Questions_Q20_F_wrapped)),1,0),0))</f>
        <v>1</v>
      </c>
    </row>
    <row r="422">
      <c r="A422" t="n">
        <v>421</v>
      </c>
      <c r="B422" t="n">
        <v>28.9</v>
      </c>
      <c r="C422" t="n">
        <v>24.6</v>
      </c>
      <c r="D422" t="n">
        <v>22.9</v>
      </c>
      <c r="E422">
        <f>1</f>
        <v>1</v>
      </c>
      <c r="F422">
        <f>IF(OR(F_Custom1_Q="(None)",F_Custom1_Q="",ISBLANK(F_Custom1_Q),F_Custom1_V="(All)",F_Custom1_V="",ISBLANK(F_Custom1_V)),1,IFERROR(IF(ISNUMBER(SEARCH("|"&amp;INDEX(INDIRECT(F_Custom1_resolved_column),421)&amp;"|",F_Custom1_wrapped)),1,0),0))</f>
        <v>1</v>
      </c>
      <c r="G422">
        <f>IF(OR(F_Custom2_Q="(None)",F_Custom2_Q="",ISBLANK(F_Custom2_Q),F_Custom2_V="(All)",F_Custom2_V="",ISBLANK(F_Custom2_V)),1,IFERROR(IF(ISNUMBER(SEARCH("|"&amp;INDEX(INDIRECT(F_Custom2_resolved_column),421)&amp;"|",F_Custom2_wrapped)),1,0),0))</f>
        <v>1</v>
      </c>
      <c r="H422">
        <f>F422*G422*1</f>
        <v>1</v>
      </c>
      <c r="I422">
        <f>1</f>
        <v>1</v>
      </c>
      <c r="J4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421)&amp;"|",All_Questions_Q20_F_wrapped)),1,0),0))</f>
        <v>1</v>
      </c>
    </row>
    <row r="423">
      <c r="A423" t="n">
        <v>422</v>
      </c>
      <c r="B423" t="n">
        <v>28.9</v>
      </c>
      <c r="C423" t="n">
        <v>24.6</v>
      </c>
      <c r="D423" t="n">
        <v>22.9</v>
      </c>
      <c r="E423">
        <f>1</f>
        <v>1</v>
      </c>
      <c r="F423">
        <f>IF(OR(F_Custom1_Q="(None)",F_Custom1_Q="",ISBLANK(F_Custom1_Q),F_Custom1_V="(All)",F_Custom1_V="",ISBLANK(F_Custom1_V)),1,IFERROR(IF(ISNUMBER(SEARCH("|"&amp;INDEX(INDIRECT(F_Custom1_resolved_column),422)&amp;"|",F_Custom1_wrapped)),1,0),0))</f>
        <v>1</v>
      </c>
      <c r="G423">
        <f>IF(OR(F_Custom2_Q="(None)",F_Custom2_Q="",ISBLANK(F_Custom2_Q),F_Custom2_V="(All)",F_Custom2_V="",ISBLANK(F_Custom2_V)),1,IFERROR(IF(ISNUMBER(SEARCH("|"&amp;INDEX(INDIRECT(F_Custom2_resolved_column),422)&amp;"|",F_Custom2_wrapped)),1,0),0))</f>
        <v>1</v>
      </c>
      <c r="H423">
        <f>F423*G423*1</f>
        <v>1</v>
      </c>
      <c r="I423">
        <f>1</f>
        <v>1</v>
      </c>
      <c r="J4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422)&amp;"|",All_Questions_Q20_F_wrapped)),1,0),0))</f>
        <v>1</v>
      </c>
    </row>
    <row r="424">
      <c r="A424" t="n">
        <v>423</v>
      </c>
      <c r="B424" t="n">
        <v>28.9</v>
      </c>
      <c r="C424" t="n">
        <v>24.6</v>
      </c>
      <c r="D424" t="n">
        <v>22.9</v>
      </c>
      <c r="E424">
        <f>1</f>
        <v>1</v>
      </c>
      <c r="F424">
        <f>IF(OR(F_Custom1_Q="(None)",F_Custom1_Q="",ISBLANK(F_Custom1_Q),F_Custom1_V="(All)",F_Custom1_V="",ISBLANK(F_Custom1_V)),1,IFERROR(IF(ISNUMBER(SEARCH("|"&amp;INDEX(INDIRECT(F_Custom1_resolved_column),423)&amp;"|",F_Custom1_wrapped)),1,0),0))</f>
        <v>1</v>
      </c>
      <c r="G424">
        <f>IF(OR(F_Custom2_Q="(None)",F_Custom2_Q="",ISBLANK(F_Custom2_Q),F_Custom2_V="(All)",F_Custom2_V="",ISBLANK(F_Custom2_V)),1,IFERROR(IF(ISNUMBER(SEARCH("|"&amp;INDEX(INDIRECT(F_Custom2_resolved_column),423)&amp;"|",F_Custom2_wrapped)),1,0),0))</f>
        <v>1</v>
      </c>
      <c r="H424">
        <f>F424*G424*1</f>
        <v>1</v>
      </c>
      <c r="I424">
        <f>1</f>
        <v>1</v>
      </c>
      <c r="J4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423)&amp;"|",All_Questions_Q20_F_wrapped)),1,0),0))</f>
        <v>1</v>
      </c>
    </row>
    <row r="425">
      <c r="A425" t="n">
        <v>424</v>
      </c>
      <c r="B425" t="n">
        <v>28.9</v>
      </c>
      <c r="C425" t="n">
        <v>24.6</v>
      </c>
      <c r="D425" t="n">
        <v>22.9</v>
      </c>
      <c r="E425">
        <f>1</f>
        <v>1</v>
      </c>
      <c r="F425">
        <f>IF(OR(F_Custom1_Q="(None)",F_Custom1_Q="",ISBLANK(F_Custom1_Q),F_Custom1_V="(All)",F_Custom1_V="",ISBLANK(F_Custom1_V)),1,IFERROR(IF(ISNUMBER(SEARCH("|"&amp;INDEX(INDIRECT(F_Custom1_resolved_column),424)&amp;"|",F_Custom1_wrapped)),1,0),0))</f>
        <v>1</v>
      </c>
      <c r="G425">
        <f>IF(OR(F_Custom2_Q="(None)",F_Custom2_Q="",ISBLANK(F_Custom2_Q),F_Custom2_V="(All)",F_Custom2_V="",ISBLANK(F_Custom2_V)),1,IFERROR(IF(ISNUMBER(SEARCH("|"&amp;INDEX(INDIRECT(F_Custom2_resolved_column),424)&amp;"|",F_Custom2_wrapped)),1,0),0))</f>
        <v>1</v>
      </c>
      <c r="H425">
        <f>F425*G425*1</f>
        <v>1</v>
      </c>
      <c r="I425">
        <f>1</f>
        <v>1</v>
      </c>
      <c r="J4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424)&amp;"|",All_Questions_Q20_F_wrapped)),1,0),0))</f>
        <v>1</v>
      </c>
    </row>
    <row r="426">
      <c r="A426" t="n">
        <v>425</v>
      </c>
      <c r="B426" t="n">
        <v>28.9</v>
      </c>
      <c r="C426" t="n">
        <v>24.6</v>
      </c>
      <c r="D426" t="n">
        <v>22.9</v>
      </c>
      <c r="E426">
        <f>1</f>
        <v>1</v>
      </c>
      <c r="F426">
        <f>IF(OR(F_Custom1_Q="(None)",F_Custom1_Q="",ISBLANK(F_Custom1_Q),F_Custom1_V="(All)",F_Custom1_V="",ISBLANK(F_Custom1_V)),1,IFERROR(IF(ISNUMBER(SEARCH("|"&amp;INDEX(INDIRECT(F_Custom1_resolved_column),425)&amp;"|",F_Custom1_wrapped)),1,0),0))</f>
        <v>1</v>
      </c>
      <c r="G426">
        <f>IF(OR(F_Custom2_Q="(None)",F_Custom2_Q="",ISBLANK(F_Custom2_Q),F_Custom2_V="(All)",F_Custom2_V="",ISBLANK(F_Custom2_V)),1,IFERROR(IF(ISNUMBER(SEARCH("|"&amp;INDEX(INDIRECT(F_Custom2_resolved_column),425)&amp;"|",F_Custom2_wrapped)),1,0),0))</f>
        <v>1</v>
      </c>
      <c r="H426">
        <f>F426*G426*1</f>
        <v>1</v>
      </c>
      <c r="I426">
        <f>1</f>
        <v>1</v>
      </c>
      <c r="J4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425)&amp;"|",All_Questions_Q20_F_wrapped)),1,0),0))</f>
        <v>1</v>
      </c>
    </row>
    <row r="427">
      <c r="A427" t="n">
        <v>426</v>
      </c>
      <c r="B427" t="n">
        <v>28.9</v>
      </c>
      <c r="C427" t="n">
        <v>24.6</v>
      </c>
      <c r="D427" t="n">
        <v>22.9</v>
      </c>
      <c r="E427">
        <f>1</f>
        <v>1</v>
      </c>
      <c r="F427">
        <f>IF(OR(F_Custom1_Q="(None)",F_Custom1_Q="",ISBLANK(F_Custom1_Q),F_Custom1_V="(All)",F_Custom1_V="",ISBLANK(F_Custom1_V)),1,IFERROR(IF(ISNUMBER(SEARCH("|"&amp;INDEX(INDIRECT(F_Custom1_resolved_column),426)&amp;"|",F_Custom1_wrapped)),1,0),0))</f>
        <v>1</v>
      </c>
      <c r="G427">
        <f>IF(OR(F_Custom2_Q="(None)",F_Custom2_Q="",ISBLANK(F_Custom2_Q),F_Custom2_V="(All)",F_Custom2_V="",ISBLANK(F_Custom2_V)),1,IFERROR(IF(ISNUMBER(SEARCH("|"&amp;INDEX(INDIRECT(F_Custom2_resolved_column),426)&amp;"|",F_Custom2_wrapped)),1,0),0))</f>
        <v>1</v>
      </c>
      <c r="H427">
        <f>F427*G427*1</f>
        <v>1</v>
      </c>
      <c r="I427">
        <f>1</f>
        <v>1</v>
      </c>
      <c r="J4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426)&amp;"|",All_Questions_Q20_F_wrapped)),1,0),0))</f>
        <v>1</v>
      </c>
    </row>
    <row r="428">
      <c r="A428" t="n">
        <v>427</v>
      </c>
      <c r="B428" t="n">
        <v>28.9</v>
      </c>
      <c r="C428" t="n">
        <v>24.6</v>
      </c>
      <c r="D428" t="n">
        <v>22.9</v>
      </c>
      <c r="E428">
        <f>1</f>
        <v>1</v>
      </c>
      <c r="F428">
        <f>IF(OR(F_Custom1_Q="(None)",F_Custom1_Q="",ISBLANK(F_Custom1_Q),F_Custom1_V="(All)",F_Custom1_V="",ISBLANK(F_Custom1_V)),1,IFERROR(IF(ISNUMBER(SEARCH("|"&amp;INDEX(INDIRECT(F_Custom1_resolved_column),427)&amp;"|",F_Custom1_wrapped)),1,0),0))</f>
        <v>1</v>
      </c>
      <c r="G428">
        <f>IF(OR(F_Custom2_Q="(None)",F_Custom2_Q="",ISBLANK(F_Custom2_Q),F_Custom2_V="(All)",F_Custom2_V="",ISBLANK(F_Custom2_V)),1,IFERROR(IF(ISNUMBER(SEARCH("|"&amp;INDEX(INDIRECT(F_Custom2_resolved_column),427)&amp;"|",F_Custom2_wrapped)),1,0),0))</f>
        <v>1</v>
      </c>
      <c r="H428">
        <f>F428*G428*1</f>
        <v>1</v>
      </c>
      <c r="I428">
        <f>1</f>
        <v>1</v>
      </c>
      <c r="J4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427)&amp;"|",All_Questions_Q20_F_wrapped)),1,0),0))</f>
        <v>1</v>
      </c>
    </row>
    <row r="429">
      <c r="A429" t="n">
        <v>428</v>
      </c>
      <c r="B429" t="n">
        <v>28.9</v>
      </c>
      <c r="C429" t="n">
        <v>24.6</v>
      </c>
      <c r="D429" t="n">
        <v>22.9</v>
      </c>
      <c r="E429">
        <f>1</f>
        <v>1</v>
      </c>
      <c r="F429">
        <f>IF(OR(F_Custom1_Q="(None)",F_Custom1_Q="",ISBLANK(F_Custom1_Q),F_Custom1_V="(All)",F_Custom1_V="",ISBLANK(F_Custom1_V)),1,IFERROR(IF(ISNUMBER(SEARCH("|"&amp;INDEX(INDIRECT(F_Custom1_resolved_column),428)&amp;"|",F_Custom1_wrapped)),1,0),0))</f>
        <v>1</v>
      </c>
      <c r="G429">
        <f>IF(OR(F_Custom2_Q="(None)",F_Custom2_Q="",ISBLANK(F_Custom2_Q),F_Custom2_V="(All)",F_Custom2_V="",ISBLANK(F_Custom2_V)),1,IFERROR(IF(ISNUMBER(SEARCH("|"&amp;INDEX(INDIRECT(F_Custom2_resolved_column),428)&amp;"|",F_Custom2_wrapped)),1,0),0))</f>
        <v>1</v>
      </c>
      <c r="H429">
        <f>F429*G429*1</f>
        <v>1</v>
      </c>
      <c r="I429">
        <f>1</f>
        <v>1</v>
      </c>
      <c r="J4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428)&amp;"|",All_Questions_Q20_F_wrapped)),1,0),0))</f>
        <v>1</v>
      </c>
    </row>
    <row r="430">
      <c r="A430" t="n">
        <v>429</v>
      </c>
      <c r="B430" t="n">
        <v>28.9</v>
      </c>
      <c r="C430" t="n">
        <v>24.6</v>
      </c>
      <c r="D430" t="n">
        <v>22.9</v>
      </c>
      <c r="E430">
        <f>1</f>
        <v>1</v>
      </c>
      <c r="F430">
        <f>IF(OR(F_Custom1_Q="(None)",F_Custom1_Q="",ISBLANK(F_Custom1_Q),F_Custom1_V="(All)",F_Custom1_V="",ISBLANK(F_Custom1_V)),1,IFERROR(IF(ISNUMBER(SEARCH("|"&amp;INDEX(INDIRECT(F_Custom1_resolved_column),429)&amp;"|",F_Custom1_wrapped)),1,0),0))</f>
        <v>1</v>
      </c>
      <c r="G430">
        <f>IF(OR(F_Custom2_Q="(None)",F_Custom2_Q="",ISBLANK(F_Custom2_Q),F_Custom2_V="(All)",F_Custom2_V="",ISBLANK(F_Custom2_V)),1,IFERROR(IF(ISNUMBER(SEARCH("|"&amp;INDEX(INDIRECT(F_Custom2_resolved_column),429)&amp;"|",F_Custom2_wrapped)),1,0),0))</f>
        <v>1</v>
      </c>
      <c r="H430">
        <f>F430*G430*1</f>
        <v>1</v>
      </c>
      <c r="I430">
        <f>1</f>
        <v>1</v>
      </c>
      <c r="J4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429)&amp;"|",All_Questions_Q20_F_wrapped)),1,0),0))</f>
        <v>1</v>
      </c>
    </row>
    <row r="431">
      <c r="A431" t="n">
        <v>430</v>
      </c>
      <c r="B431" t="n">
        <v>28.9</v>
      </c>
      <c r="C431" t="n">
        <v>24.6</v>
      </c>
      <c r="D431" t="n">
        <v>22.9</v>
      </c>
      <c r="E431">
        <f>1</f>
        <v>1</v>
      </c>
      <c r="F431">
        <f>IF(OR(F_Custom1_Q="(None)",F_Custom1_Q="",ISBLANK(F_Custom1_Q),F_Custom1_V="(All)",F_Custom1_V="",ISBLANK(F_Custom1_V)),1,IFERROR(IF(ISNUMBER(SEARCH("|"&amp;INDEX(INDIRECT(F_Custom1_resolved_column),430)&amp;"|",F_Custom1_wrapped)),1,0),0))</f>
        <v>1</v>
      </c>
      <c r="G431">
        <f>IF(OR(F_Custom2_Q="(None)",F_Custom2_Q="",ISBLANK(F_Custom2_Q),F_Custom2_V="(All)",F_Custom2_V="",ISBLANK(F_Custom2_V)),1,IFERROR(IF(ISNUMBER(SEARCH("|"&amp;INDEX(INDIRECT(F_Custom2_resolved_column),430)&amp;"|",F_Custom2_wrapped)),1,0),0))</f>
        <v>1</v>
      </c>
      <c r="H431">
        <f>F431*G431*1</f>
        <v>1</v>
      </c>
      <c r="I431">
        <f>1</f>
        <v>1</v>
      </c>
      <c r="J4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430)&amp;"|",All_Questions_Q20_F_wrapped)),1,0),0))</f>
        <v>1</v>
      </c>
    </row>
    <row r="432">
      <c r="A432" t="n">
        <v>431</v>
      </c>
      <c r="B432" t="n">
        <v>28.9</v>
      </c>
      <c r="C432" t="n">
        <v>24.6</v>
      </c>
      <c r="D432" t="n">
        <v>22.9</v>
      </c>
      <c r="E432">
        <f>1</f>
        <v>1</v>
      </c>
      <c r="F432">
        <f>IF(OR(F_Custom1_Q="(None)",F_Custom1_Q="",ISBLANK(F_Custom1_Q),F_Custom1_V="(All)",F_Custom1_V="",ISBLANK(F_Custom1_V)),1,IFERROR(IF(ISNUMBER(SEARCH("|"&amp;INDEX(INDIRECT(F_Custom1_resolved_column),431)&amp;"|",F_Custom1_wrapped)),1,0),0))</f>
        <v>1</v>
      </c>
      <c r="G432">
        <f>IF(OR(F_Custom2_Q="(None)",F_Custom2_Q="",ISBLANK(F_Custom2_Q),F_Custom2_V="(All)",F_Custom2_V="",ISBLANK(F_Custom2_V)),1,IFERROR(IF(ISNUMBER(SEARCH("|"&amp;INDEX(INDIRECT(F_Custom2_resolved_column),431)&amp;"|",F_Custom2_wrapped)),1,0),0))</f>
        <v>1</v>
      </c>
      <c r="H432">
        <f>F432*G432*1</f>
        <v>1</v>
      </c>
      <c r="I432">
        <f>1</f>
        <v>1</v>
      </c>
      <c r="J4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431)&amp;"|",All_Questions_Q20_F_wrapped)),1,0),0))</f>
        <v>1</v>
      </c>
    </row>
    <row r="433">
      <c r="A433" t="n">
        <v>432</v>
      </c>
      <c r="B433" t="n">
        <v>28.9</v>
      </c>
      <c r="C433" t="n">
        <v>24.6</v>
      </c>
      <c r="D433" t="n">
        <v>22.9</v>
      </c>
      <c r="E433">
        <f>1</f>
        <v>1</v>
      </c>
      <c r="F433">
        <f>IF(OR(F_Custom1_Q="(None)",F_Custom1_Q="",ISBLANK(F_Custom1_Q),F_Custom1_V="(All)",F_Custom1_V="",ISBLANK(F_Custom1_V)),1,IFERROR(IF(ISNUMBER(SEARCH("|"&amp;INDEX(INDIRECT(F_Custom1_resolved_column),432)&amp;"|",F_Custom1_wrapped)),1,0),0))</f>
        <v>1</v>
      </c>
      <c r="G433">
        <f>IF(OR(F_Custom2_Q="(None)",F_Custom2_Q="",ISBLANK(F_Custom2_Q),F_Custom2_V="(All)",F_Custom2_V="",ISBLANK(F_Custom2_V)),1,IFERROR(IF(ISNUMBER(SEARCH("|"&amp;INDEX(INDIRECT(F_Custom2_resolved_column),432)&amp;"|",F_Custom2_wrapped)),1,0),0))</f>
        <v>1</v>
      </c>
      <c r="H433">
        <f>F433*G433*1</f>
        <v>1</v>
      </c>
      <c r="I433">
        <f>1</f>
        <v>1</v>
      </c>
      <c r="J4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432)&amp;"|",All_Questions_Q20_F_wrapped)),1,0),0))</f>
        <v>1</v>
      </c>
    </row>
    <row r="434">
      <c r="A434" t="n">
        <v>433</v>
      </c>
      <c r="B434" t="n">
        <v>28.9</v>
      </c>
      <c r="C434" t="n">
        <v>24.6</v>
      </c>
      <c r="D434" t="n">
        <v>22.9</v>
      </c>
      <c r="E434">
        <f>1</f>
        <v>1</v>
      </c>
      <c r="F434">
        <f>IF(OR(F_Custom1_Q="(None)",F_Custom1_Q="",ISBLANK(F_Custom1_Q),F_Custom1_V="(All)",F_Custom1_V="",ISBLANK(F_Custom1_V)),1,IFERROR(IF(ISNUMBER(SEARCH("|"&amp;INDEX(INDIRECT(F_Custom1_resolved_column),433)&amp;"|",F_Custom1_wrapped)),1,0),0))</f>
        <v>1</v>
      </c>
      <c r="G434">
        <f>IF(OR(F_Custom2_Q="(None)",F_Custom2_Q="",ISBLANK(F_Custom2_Q),F_Custom2_V="(All)",F_Custom2_V="",ISBLANK(F_Custom2_V)),1,IFERROR(IF(ISNUMBER(SEARCH("|"&amp;INDEX(INDIRECT(F_Custom2_resolved_column),433)&amp;"|",F_Custom2_wrapped)),1,0),0))</f>
        <v>1</v>
      </c>
      <c r="H434">
        <f>F434*G434*1</f>
        <v>1</v>
      </c>
      <c r="I434">
        <f>1</f>
        <v>1</v>
      </c>
      <c r="J4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433)&amp;"|",All_Questions_Q20_F_wrapped)),1,0),0))</f>
        <v>1</v>
      </c>
    </row>
    <row r="435">
      <c r="A435" t="n">
        <v>434</v>
      </c>
      <c r="B435" t="n">
        <v>28.9</v>
      </c>
      <c r="C435" t="n">
        <v>24.6</v>
      </c>
      <c r="D435" t="n">
        <v>22.9</v>
      </c>
      <c r="E435">
        <f>1</f>
        <v>1</v>
      </c>
      <c r="F435">
        <f>IF(OR(F_Custom1_Q="(None)",F_Custom1_Q="",ISBLANK(F_Custom1_Q),F_Custom1_V="(All)",F_Custom1_V="",ISBLANK(F_Custom1_V)),1,IFERROR(IF(ISNUMBER(SEARCH("|"&amp;INDEX(INDIRECT(F_Custom1_resolved_column),434)&amp;"|",F_Custom1_wrapped)),1,0),0))</f>
        <v>1</v>
      </c>
      <c r="G435">
        <f>IF(OR(F_Custom2_Q="(None)",F_Custom2_Q="",ISBLANK(F_Custom2_Q),F_Custom2_V="(All)",F_Custom2_V="",ISBLANK(F_Custom2_V)),1,IFERROR(IF(ISNUMBER(SEARCH("|"&amp;INDEX(INDIRECT(F_Custom2_resolved_column),434)&amp;"|",F_Custom2_wrapped)),1,0),0))</f>
        <v>1</v>
      </c>
      <c r="H435">
        <f>F435*G435*1</f>
        <v>1</v>
      </c>
      <c r="I435">
        <f>1</f>
        <v>1</v>
      </c>
      <c r="J4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434)&amp;"|",All_Questions_Q20_F_wrapped)),1,0),0))</f>
        <v>1</v>
      </c>
    </row>
    <row r="436">
      <c r="A436" t="n">
        <v>435</v>
      </c>
      <c r="B436" t="n">
        <v>28.9</v>
      </c>
      <c r="C436" t="n">
        <v>24.6</v>
      </c>
      <c r="D436" t="n">
        <v>22.9</v>
      </c>
      <c r="E436">
        <f>1</f>
        <v>1</v>
      </c>
      <c r="F436">
        <f>IF(OR(F_Custom1_Q="(None)",F_Custom1_Q="",ISBLANK(F_Custom1_Q),F_Custom1_V="(All)",F_Custom1_V="",ISBLANK(F_Custom1_V)),1,IFERROR(IF(ISNUMBER(SEARCH("|"&amp;INDEX(INDIRECT(F_Custom1_resolved_column),435)&amp;"|",F_Custom1_wrapped)),1,0),0))</f>
        <v>1</v>
      </c>
      <c r="G436">
        <f>IF(OR(F_Custom2_Q="(None)",F_Custom2_Q="",ISBLANK(F_Custom2_Q),F_Custom2_V="(All)",F_Custom2_V="",ISBLANK(F_Custom2_V)),1,IFERROR(IF(ISNUMBER(SEARCH("|"&amp;INDEX(INDIRECT(F_Custom2_resolved_column),435)&amp;"|",F_Custom2_wrapped)),1,0),0))</f>
        <v>1</v>
      </c>
      <c r="H436">
        <f>F436*G436*1</f>
        <v>1</v>
      </c>
      <c r="I436">
        <f>1</f>
        <v>1</v>
      </c>
      <c r="J4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435)&amp;"|",All_Questions_Q20_F_wrapped)),1,0),0))</f>
        <v>1</v>
      </c>
    </row>
    <row r="437">
      <c r="A437" t="n">
        <v>436</v>
      </c>
      <c r="B437" t="n">
        <v>28.9</v>
      </c>
      <c r="C437" t="n">
        <v>24.6</v>
      </c>
      <c r="D437" t="n">
        <v>22.9</v>
      </c>
      <c r="E437">
        <f>1</f>
        <v>1</v>
      </c>
      <c r="F437">
        <f>IF(OR(F_Custom1_Q="(None)",F_Custom1_Q="",ISBLANK(F_Custom1_Q),F_Custom1_V="(All)",F_Custom1_V="",ISBLANK(F_Custom1_V)),1,IFERROR(IF(ISNUMBER(SEARCH("|"&amp;INDEX(INDIRECT(F_Custom1_resolved_column),436)&amp;"|",F_Custom1_wrapped)),1,0),0))</f>
        <v>1</v>
      </c>
      <c r="G437">
        <f>IF(OR(F_Custom2_Q="(None)",F_Custom2_Q="",ISBLANK(F_Custom2_Q),F_Custom2_V="(All)",F_Custom2_V="",ISBLANK(F_Custom2_V)),1,IFERROR(IF(ISNUMBER(SEARCH("|"&amp;INDEX(INDIRECT(F_Custom2_resolved_column),436)&amp;"|",F_Custom2_wrapped)),1,0),0))</f>
        <v>1</v>
      </c>
      <c r="H437">
        <f>F437*G437*1</f>
        <v>1</v>
      </c>
      <c r="I437">
        <f>1</f>
        <v>1</v>
      </c>
      <c r="J4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436)&amp;"|",All_Questions_Q20_F_wrapped)),1,0),0))</f>
        <v>1</v>
      </c>
    </row>
    <row r="438">
      <c r="A438" t="n">
        <v>437</v>
      </c>
      <c r="B438" t="n">
        <v>28.9</v>
      </c>
      <c r="C438" t="n">
        <v>24.6</v>
      </c>
      <c r="D438" t="n">
        <v>22.9</v>
      </c>
      <c r="E438">
        <f>1</f>
        <v>1</v>
      </c>
      <c r="F438">
        <f>IF(OR(F_Custom1_Q="(None)",F_Custom1_Q="",ISBLANK(F_Custom1_Q),F_Custom1_V="(All)",F_Custom1_V="",ISBLANK(F_Custom1_V)),1,IFERROR(IF(ISNUMBER(SEARCH("|"&amp;INDEX(INDIRECT(F_Custom1_resolved_column),437)&amp;"|",F_Custom1_wrapped)),1,0),0))</f>
        <v>1</v>
      </c>
      <c r="G438">
        <f>IF(OR(F_Custom2_Q="(None)",F_Custom2_Q="",ISBLANK(F_Custom2_Q),F_Custom2_V="(All)",F_Custom2_V="",ISBLANK(F_Custom2_V)),1,IFERROR(IF(ISNUMBER(SEARCH("|"&amp;INDEX(INDIRECT(F_Custom2_resolved_column),437)&amp;"|",F_Custom2_wrapped)),1,0),0))</f>
        <v>1</v>
      </c>
      <c r="H438">
        <f>F438*G438*1</f>
        <v>1</v>
      </c>
      <c r="I438">
        <f>1</f>
        <v>1</v>
      </c>
      <c r="J4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437)&amp;"|",All_Questions_Q20_F_wrapped)),1,0),0))</f>
        <v>1</v>
      </c>
    </row>
    <row r="439">
      <c r="A439" t="n">
        <v>438</v>
      </c>
      <c r="B439" t="n">
        <v>28.9</v>
      </c>
      <c r="C439" t="n">
        <v>24.6</v>
      </c>
      <c r="D439" t="n">
        <v>22.9</v>
      </c>
      <c r="E439">
        <f>1</f>
        <v>1</v>
      </c>
      <c r="F439">
        <f>IF(OR(F_Custom1_Q="(None)",F_Custom1_Q="",ISBLANK(F_Custom1_Q),F_Custom1_V="(All)",F_Custom1_V="",ISBLANK(F_Custom1_V)),1,IFERROR(IF(ISNUMBER(SEARCH("|"&amp;INDEX(INDIRECT(F_Custom1_resolved_column),438)&amp;"|",F_Custom1_wrapped)),1,0),0))</f>
        <v>1</v>
      </c>
      <c r="G439">
        <f>IF(OR(F_Custom2_Q="(None)",F_Custom2_Q="",ISBLANK(F_Custom2_Q),F_Custom2_V="(All)",F_Custom2_V="",ISBLANK(F_Custom2_V)),1,IFERROR(IF(ISNUMBER(SEARCH("|"&amp;INDEX(INDIRECT(F_Custom2_resolved_column),438)&amp;"|",F_Custom2_wrapped)),1,0),0))</f>
        <v>1</v>
      </c>
      <c r="H439">
        <f>F439*G439*1</f>
        <v>1</v>
      </c>
      <c r="I439">
        <f>1</f>
        <v>1</v>
      </c>
      <c r="J4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438)&amp;"|",All_Questions_Q20_F_wrapped)),1,0),0))</f>
        <v>1</v>
      </c>
    </row>
    <row r="440">
      <c r="A440" t="n">
        <v>439</v>
      </c>
      <c r="B440" t="n">
        <v>28.9</v>
      </c>
      <c r="C440" t="n">
        <v>24.6</v>
      </c>
      <c r="D440" t="n">
        <v>22.9</v>
      </c>
      <c r="E440">
        <f>1</f>
        <v>1</v>
      </c>
      <c r="F440">
        <f>IF(OR(F_Custom1_Q="(None)",F_Custom1_Q="",ISBLANK(F_Custom1_Q),F_Custom1_V="(All)",F_Custom1_V="",ISBLANK(F_Custom1_V)),1,IFERROR(IF(ISNUMBER(SEARCH("|"&amp;INDEX(INDIRECT(F_Custom1_resolved_column),439)&amp;"|",F_Custom1_wrapped)),1,0),0))</f>
        <v>1</v>
      </c>
      <c r="G440">
        <f>IF(OR(F_Custom2_Q="(None)",F_Custom2_Q="",ISBLANK(F_Custom2_Q),F_Custom2_V="(All)",F_Custom2_V="",ISBLANK(F_Custom2_V)),1,IFERROR(IF(ISNUMBER(SEARCH("|"&amp;INDEX(INDIRECT(F_Custom2_resolved_column),439)&amp;"|",F_Custom2_wrapped)),1,0),0))</f>
        <v>1</v>
      </c>
      <c r="H440">
        <f>F440*G440*1</f>
        <v>1</v>
      </c>
      <c r="I440">
        <f>1</f>
        <v>1</v>
      </c>
      <c r="J4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439)&amp;"|",All_Questions_Q20_F_wrapped)),1,0),0))</f>
        <v>1</v>
      </c>
    </row>
    <row r="441">
      <c r="A441" t="n">
        <v>440</v>
      </c>
      <c r="B441" t="n">
        <v>28.9</v>
      </c>
      <c r="C441" t="n">
        <v>24.6</v>
      </c>
      <c r="D441" t="n">
        <v>22.9</v>
      </c>
      <c r="E441">
        <f>1</f>
        <v>1</v>
      </c>
      <c r="F441">
        <f>IF(OR(F_Custom1_Q="(None)",F_Custom1_Q="",ISBLANK(F_Custom1_Q),F_Custom1_V="(All)",F_Custom1_V="",ISBLANK(F_Custom1_V)),1,IFERROR(IF(ISNUMBER(SEARCH("|"&amp;INDEX(INDIRECT(F_Custom1_resolved_column),440)&amp;"|",F_Custom1_wrapped)),1,0),0))</f>
        <v>1</v>
      </c>
      <c r="G441">
        <f>IF(OR(F_Custom2_Q="(None)",F_Custom2_Q="",ISBLANK(F_Custom2_Q),F_Custom2_V="(All)",F_Custom2_V="",ISBLANK(F_Custom2_V)),1,IFERROR(IF(ISNUMBER(SEARCH("|"&amp;INDEX(INDIRECT(F_Custom2_resolved_column),440)&amp;"|",F_Custom2_wrapped)),1,0),0))</f>
        <v>1</v>
      </c>
      <c r="H441">
        <f>F441*G441*1</f>
        <v>1</v>
      </c>
      <c r="I441">
        <f>1</f>
        <v>1</v>
      </c>
      <c r="J4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440)&amp;"|",All_Questions_Q20_F_wrapped)),1,0),0))</f>
        <v>1</v>
      </c>
    </row>
    <row r="442">
      <c r="A442" t="n">
        <v>441</v>
      </c>
      <c r="B442" t="n">
        <v>28.9</v>
      </c>
      <c r="C442" t="n">
        <v>24.6</v>
      </c>
      <c r="D442" t="n">
        <v>22.9</v>
      </c>
      <c r="E442">
        <f>1</f>
        <v>1</v>
      </c>
      <c r="F442">
        <f>IF(OR(F_Custom1_Q="(None)",F_Custom1_Q="",ISBLANK(F_Custom1_Q),F_Custom1_V="(All)",F_Custom1_V="",ISBLANK(F_Custom1_V)),1,IFERROR(IF(ISNUMBER(SEARCH("|"&amp;INDEX(INDIRECT(F_Custom1_resolved_column),441)&amp;"|",F_Custom1_wrapped)),1,0),0))</f>
        <v>1</v>
      </c>
      <c r="G442">
        <f>IF(OR(F_Custom2_Q="(None)",F_Custom2_Q="",ISBLANK(F_Custom2_Q),F_Custom2_V="(All)",F_Custom2_V="",ISBLANK(F_Custom2_V)),1,IFERROR(IF(ISNUMBER(SEARCH("|"&amp;INDEX(INDIRECT(F_Custom2_resolved_column),441)&amp;"|",F_Custom2_wrapped)),1,0),0))</f>
        <v>1</v>
      </c>
      <c r="H442">
        <f>F442*G442*1</f>
        <v>1</v>
      </c>
      <c r="I442">
        <f>1</f>
        <v>1</v>
      </c>
      <c r="J4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441)&amp;"|",All_Questions_Q20_F_wrapped)),1,0),0))</f>
        <v>1</v>
      </c>
    </row>
    <row r="443">
      <c r="A443" t="n">
        <v>442</v>
      </c>
      <c r="B443" t="n">
        <v>28.9</v>
      </c>
      <c r="C443" t="n">
        <v>24.6</v>
      </c>
      <c r="D443" t="n">
        <v>22.9</v>
      </c>
      <c r="E443">
        <f>1</f>
        <v>1</v>
      </c>
      <c r="F443">
        <f>IF(OR(F_Custom1_Q="(None)",F_Custom1_Q="",ISBLANK(F_Custom1_Q),F_Custom1_V="(All)",F_Custom1_V="",ISBLANK(F_Custom1_V)),1,IFERROR(IF(ISNUMBER(SEARCH("|"&amp;INDEX(INDIRECT(F_Custom1_resolved_column),442)&amp;"|",F_Custom1_wrapped)),1,0),0))</f>
        <v>1</v>
      </c>
      <c r="G443">
        <f>IF(OR(F_Custom2_Q="(None)",F_Custom2_Q="",ISBLANK(F_Custom2_Q),F_Custom2_V="(All)",F_Custom2_V="",ISBLANK(F_Custom2_V)),1,IFERROR(IF(ISNUMBER(SEARCH("|"&amp;INDEX(INDIRECT(F_Custom2_resolved_column),442)&amp;"|",F_Custom2_wrapped)),1,0),0))</f>
        <v>1</v>
      </c>
      <c r="H443">
        <f>F443*G443*1</f>
        <v>1</v>
      </c>
      <c r="I443">
        <f>1</f>
        <v>1</v>
      </c>
      <c r="J4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442)&amp;"|",All_Questions_Q20_F_wrapped)),1,0),0))</f>
        <v>1</v>
      </c>
    </row>
    <row r="444">
      <c r="A444" t="n">
        <v>443</v>
      </c>
      <c r="B444" t="n">
        <v>28.9</v>
      </c>
      <c r="C444" t="n">
        <v>24.6</v>
      </c>
      <c r="D444" t="n">
        <v>22.9</v>
      </c>
      <c r="E444">
        <f>1</f>
        <v>1</v>
      </c>
      <c r="F444">
        <f>IF(OR(F_Custom1_Q="(None)",F_Custom1_Q="",ISBLANK(F_Custom1_Q),F_Custom1_V="(All)",F_Custom1_V="",ISBLANK(F_Custom1_V)),1,IFERROR(IF(ISNUMBER(SEARCH("|"&amp;INDEX(INDIRECT(F_Custom1_resolved_column),443)&amp;"|",F_Custom1_wrapped)),1,0),0))</f>
        <v>1</v>
      </c>
      <c r="G444">
        <f>IF(OR(F_Custom2_Q="(None)",F_Custom2_Q="",ISBLANK(F_Custom2_Q),F_Custom2_V="(All)",F_Custom2_V="",ISBLANK(F_Custom2_V)),1,IFERROR(IF(ISNUMBER(SEARCH("|"&amp;INDEX(INDIRECT(F_Custom2_resolved_column),443)&amp;"|",F_Custom2_wrapped)),1,0),0))</f>
        <v>1</v>
      </c>
      <c r="H444">
        <f>F444*G444*1</f>
        <v>1</v>
      </c>
      <c r="I444">
        <f>1</f>
        <v>1</v>
      </c>
      <c r="J4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443)&amp;"|",All_Questions_Q20_F_wrapped)),1,0),0))</f>
        <v>1</v>
      </c>
    </row>
    <row r="445">
      <c r="A445" t="n">
        <v>444</v>
      </c>
      <c r="B445" t="n">
        <v>28.9</v>
      </c>
      <c r="C445" t="n">
        <v>24.6</v>
      </c>
      <c r="D445" t="n">
        <v>22.9</v>
      </c>
      <c r="E445">
        <f>1</f>
        <v>1</v>
      </c>
      <c r="F445">
        <f>IF(OR(F_Custom1_Q="(None)",F_Custom1_Q="",ISBLANK(F_Custom1_Q),F_Custom1_V="(All)",F_Custom1_V="",ISBLANK(F_Custom1_V)),1,IFERROR(IF(ISNUMBER(SEARCH("|"&amp;INDEX(INDIRECT(F_Custom1_resolved_column),444)&amp;"|",F_Custom1_wrapped)),1,0),0))</f>
        <v>1</v>
      </c>
      <c r="G445">
        <f>IF(OR(F_Custom2_Q="(None)",F_Custom2_Q="",ISBLANK(F_Custom2_Q),F_Custom2_V="(All)",F_Custom2_V="",ISBLANK(F_Custom2_V)),1,IFERROR(IF(ISNUMBER(SEARCH("|"&amp;INDEX(INDIRECT(F_Custom2_resolved_column),444)&amp;"|",F_Custom2_wrapped)),1,0),0))</f>
        <v>1</v>
      </c>
      <c r="H445">
        <f>F445*G445*1</f>
        <v>1</v>
      </c>
      <c r="I445">
        <f>1</f>
        <v>1</v>
      </c>
      <c r="J4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444)&amp;"|",All_Questions_Q20_F_wrapped)),1,0),0))</f>
        <v>1</v>
      </c>
    </row>
    <row r="446">
      <c r="A446" t="n">
        <v>445</v>
      </c>
      <c r="B446" t="n">
        <v>28.9</v>
      </c>
      <c r="C446" t="n">
        <v>24.6</v>
      </c>
      <c r="D446" t="n">
        <v>22.9</v>
      </c>
      <c r="E446">
        <f>1</f>
        <v>1</v>
      </c>
      <c r="F446">
        <f>IF(OR(F_Custom1_Q="(None)",F_Custom1_Q="",ISBLANK(F_Custom1_Q),F_Custom1_V="(All)",F_Custom1_V="",ISBLANK(F_Custom1_V)),1,IFERROR(IF(ISNUMBER(SEARCH("|"&amp;INDEX(INDIRECT(F_Custom1_resolved_column),445)&amp;"|",F_Custom1_wrapped)),1,0),0))</f>
        <v>1</v>
      </c>
      <c r="G446">
        <f>IF(OR(F_Custom2_Q="(None)",F_Custom2_Q="",ISBLANK(F_Custom2_Q),F_Custom2_V="(All)",F_Custom2_V="",ISBLANK(F_Custom2_V)),1,IFERROR(IF(ISNUMBER(SEARCH("|"&amp;INDEX(INDIRECT(F_Custom2_resolved_column),445)&amp;"|",F_Custom2_wrapped)),1,0),0))</f>
        <v>1</v>
      </c>
      <c r="H446">
        <f>F446*G446*1</f>
        <v>1</v>
      </c>
      <c r="I446">
        <f>1</f>
        <v>1</v>
      </c>
      <c r="J4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445)&amp;"|",All_Questions_Q20_F_wrapped)),1,0),0))</f>
        <v>1</v>
      </c>
    </row>
    <row r="447">
      <c r="A447" t="n">
        <v>446</v>
      </c>
      <c r="B447" t="n">
        <v>28.9</v>
      </c>
      <c r="C447" t="n">
        <v>24.6</v>
      </c>
      <c r="D447" t="n">
        <v>22.9</v>
      </c>
      <c r="E447">
        <f>1</f>
        <v>1</v>
      </c>
      <c r="F447">
        <f>IF(OR(F_Custom1_Q="(None)",F_Custom1_Q="",ISBLANK(F_Custom1_Q),F_Custom1_V="(All)",F_Custom1_V="",ISBLANK(F_Custom1_V)),1,IFERROR(IF(ISNUMBER(SEARCH("|"&amp;INDEX(INDIRECT(F_Custom1_resolved_column),446)&amp;"|",F_Custom1_wrapped)),1,0),0))</f>
        <v>1</v>
      </c>
      <c r="G447">
        <f>IF(OR(F_Custom2_Q="(None)",F_Custom2_Q="",ISBLANK(F_Custom2_Q),F_Custom2_V="(All)",F_Custom2_V="",ISBLANK(F_Custom2_V)),1,IFERROR(IF(ISNUMBER(SEARCH("|"&amp;INDEX(INDIRECT(F_Custom2_resolved_column),446)&amp;"|",F_Custom2_wrapped)),1,0),0))</f>
        <v>1</v>
      </c>
      <c r="H447">
        <f>F447*G447*1</f>
        <v>1</v>
      </c>
      <c r="I447">
        <f>1</f>
        <v>1</v>
      </c>
      <c r="J4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446)&amp;"|",All_Questions_Q20_F_wrapped)),1,0),0))</f>
        <v>1</v>
      </c>
    </row>
    <row r="448">
      <c r="A448" t="n">
        <v>447</v>
      </c>
      <c r="B448" t="n">
        <v>28.9</v>
      </c>
      <c r="C448" t="n">
        <v>24.6</v>
      </c>
      <c r="D448" t="n">
        <v>22.9</v>
      </c>
      <c r="E448">
        <f>1</f>
        <v>1</v>
      </c>
      <c r="F448">
        <f>IF(OR(F_Custom1_Q="(None)",F_Custom1_Q="",ISBLANK(F_Custom1_Q),F_Custom1_V="(All)",F_Custom1_V="",ISBLANK(F_Custom1_V)),1,IFERROR(IF(ISNUMBER(SEARCH("|"&amp;INDEX(INDIRECT(F_Custom1_resolved_column),447)&amp;"|",F_Custom1_wrapped)),1,0),0))</f>
        <v>1</v>
      </c>
      <c r="G448">
        <f>IF(OR(F_Custom2_Q="(None)",F_Custom2_Q="",ISBLANK(F_Custom2_Q),F_Custom2_V="(All)",F_Custom2_V="",ISBLANK(F_Custom2_V)),1,IFERROR(IF(ISNUMBER(SEARCH("|"&amp;INDEX(INDIRECT(F_Custom2_resolved_column),447)&amp;"|",F_Custom2_wrapped)),1,0),0))</f>
        <v>1</v>
      </c>
      <c r="H448">
        <f>F448*G448*1</f>
        <v>1</v>
      </c>
      <c r="I448">
        <f>1</f>
        <v>1</v>
      </c>
      <c r="J4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447)&amp;"|",All_Questions_Q20_F_wrapped)),1,0),0))</f>
        <v>1</v>
      </c>
    </row>
    <row r="449">
      <c r="A449" t="n">
        <v>448</v>
      </c>
      <c r="B449" t="n">
        <v>28.9</v>
      </c>
      <c r="C449" t="n">
        <v>24.6</v>
      </c>
      <c r="D449" t="n">
        <v>22.9</v>
      </c>
      <c r="E449">
        <f>1</f>
        <v>1</v>
      </c>
      <c r="F449">
        <f>IF(OR(F_Custom1_Q="(None)",F_Custom1_Q="",ISBLANK(F_Custom1_Q),F_Custom1_V="(All)",F_Custom1_V="",ISBLANK(F_Custom1_V)),1,IFERROR(IF(ISNUMBER(SEARCH("|"&amp;INDEX(INDIRECT(F_Custom1_resolved_column),448)&amp;"|",F_Custom1_wrapped)),1,0),0))</f>
        <v>1</v>
      </c>
      <c r="G449">
        <f>IF(OR(F_Custom2_Q="(None)",F_Custom2_Q="",ISBLANK(F_Custom2_Q),F_Custom2_V="(All)",F_Custom2_V="",ISBLANK(F_Custom2_V)),1,IFERROR(IF(ISNUMBER(SEARCH("|"&amp;INDEX(INDIRECT(F_Custom2_resolved_column),448)&amp;"|",F_Custom2_wrapped)),1,0),0))</f>
        <v>1</v>
      </c>
      <c r="H449">
        <f>F449*G449*1</f>
        <v>1</v>
      </c>
      <c r="I449">
        <f>1</f>
        <v>1</v>
      </c>
      <c r="J4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448)&amp;"|",All_Questions_Q20_F_wrapped)),1,0),0))</f>
        <v>1</v>
      </c>
    </row>
    <row r="450">
      <c r="A450" t="n">
        <v>449</v>
      </c>
      <c r="B450" t="n">
        <v>28.9</v>
      </c>
      <c r="C450" t="n">
        <v>24.6</v>
      </c>
      <c r="D450" t="n">
        <v>22.9</v>
      </c>
      <c r="E450">
        <f>1</f>
        <v>1</v>
      </c>
      <c r="F450">
        <f>IF(OR(F_Custom1_Q="(None)",F_Custom1_Q="",ISBLANK(F_Custom1_Q),F_Custom1_V="(All)",F_Custom1_V="",ISBLANK(F_Custom1_V)),1,IFERROR(IF(ISNUMBER(SEARCH("|"&amp;INDEX(INDIRECT(F_Custom1_resolved_column),449)&amp;"|",F_Custom1_wrapped)),1,0),0))</f>
        <v>1</v>
      </c>
      <c r="G450">
        <f>IF(OR(F_Custom2_Q="(None)",F_Custom2_Q="",ISBLANK(F_Custom2_Q),F_Custom2_V="(All)",F_Custom2_V="",ISBLANK(F_Custom2_V)),1,IFERROR(IF(ISNUMBER(SEARCH("|"&amp;INDEX(INDIRECT(F_Custom2_resolved_column),449)&amp;"|",F_Custom2_wrapped)),1,0),0))</f>
        <v>1</v>
      </c>
      <c r="H450">
        <f>F450*G450*1</f>
        <v>1</v>
      </c>
      <c r="I450">
        <f>1</f>
        <v>1</v>
      </c>
      <c r="J4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449)&amp;"|",All_Questions_Q20_F_wrapped)),1,0),0))</f>
        <v>1</v>
      </c>
    </row>
    <row r="451">
      <c r="A451" t="n">
        <v>450</v>
      </c>
      <c r="B451" t="n">
        <v>28.9</v>
      </c>
      <c r="C451" t="n">
        <v>24.6</v>
      </c>
      <c r="D451" t="n">
        <v>22.9</v>
      </c>
      <c r="E451">
        <f>1</f>
        <v>1</v>
      </c>
      <c r="F451">
        <f>IF(OR(F_Custom1_Q="(None)",F_Custom1_Q="",ISBLANK(F_Custom1_Q),F_Custom1_V="(All)",F_Custom1_V="",ISBLANK(F_Custom1_V)),1,IFERROR(IF(ISNUMBER(SEARCH("|"&amp;INDEX(INDIRECT(F_Custom1_resolved_column),450)&amp;"|",F_Custom1_wrapped)),1,0),0))</f>
        <v>1</v>
      </c>
      <c r="G451">
        <f>IF(OR(F_Custom2_Q="(None)",F_Custom2_Q="",ISBLANK(F_Custom2_Q),F_Custom2_V="(All)",F_Custom2_V="",ISBLANK(F_Custom2_V)),1,IFERROR(IF(ISNUMBER(SEARCH("|"&amp;INDEX(INDIRECT(F_Custom2_resolved_column),450)&amp;"|",F_Custom2_wrapped)),1,0),0))</f>
        <v>1</v>
      </c>
      <c r="H451">
        <f>F451*G451*1</f>
        <v>1</v>
      </c>
      <c r="I451">
        <f>1</f>
        <v>1</v>
      </c>
      <c r="J4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450)&amp;"|",All_Questions_Q20_F_wrapped)),1,0),0))</f>
        <v>1</v>
      </c>
    </row>
    <row r="452">
      <c r="A452" t="n">
        <v>451</v>
      </c>
      <c r="B452" t="n">
        <v>28.9</v>
      </c>
      <c r="C452" t="n">
        <v>24.6</v>
      </c>
      <c r="D452" t="n">
        <v>22.9</v>
      </c>
      <c r="E452">
        <f>1</f>
        <v>1</v>
      </c>
      <c r="F452">
        <f>IF(OR(F_Custom1_Q="(None)",F_Custom1_Q="",ISBLANK(F_Custom1_Q),F_Custom1_V="(All)",F_Custom1_V="",ISBLANK(F_Custom1_V)),1,IFERROR(IF(ISNUMBER(SEARCH("|"&amp;INDEX(INDIRECT(F_Custom1_resolved_column),451)&amp;"|",F_Custom1_wrapped)),1,0),0))</f>
        <v>1</v>
      </c>
      <c r="G452">
        <f>IF(OR(F_Custom2_Q="(None)",F_Custom2_Q="",ISBLANK(F_Custom2_Q),F_Custom2_V="(All)",F_Custom2_V="",ISBLANK(F_Custom2_V)),1,IFERROR(IF(ISNUMBER(SEARCH("|"&amp;INDEX(INDIRECT(F_Custom2_resolved_column),451)&amp;"|",F_Custom2_wrapped)),1,0),0))</f>
        <v>1</v>
      </c>
      <c r="H452">
        <f>F452*G452*1</f>
        <v>1</v>
      </c>
      <c r="I452">
        <f>1</f>
        <v>1</v>
      </c>
      <c r="J4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451)&amp;"|",All_Questions_Q20_F_wrapped)),1,0),0))</f>
        <v>1</v>
      </c>
    </row>
    <row r="453">
      <c r="A453" t="n">
        <v>452</v>
      </c>
      <c r="B453" t="n">
        <v>28.9</v>
      </c>
      <c r="C453" t="n">
        <v>24.6</v>
      </c>
      <c r="D453" t="n">
        <v>22.9</v>
      </c>
      <c r="E453">
        <f>1</f>
        <v>1</v>
      </c>
      <c r="F453">
        <f>IF(OR(F_Custom1_Q="(None)",F_Custom1_Q="",ISBLANK(F_Custom1_Q),F_Custom1_V="(All)",F_Custom1_V="",ISBLANK(F_Custom1_V)),1,IFERROR(IF(ISNUMBER(SEARCH("|"&amp;INDEX(INDIRECT(F_Custom1_resolved_column),452)&amp;"|",F_Custom1_wrapped)),1,0),0))</f>
        <v>1</v>
      </c>
      <c r="G453">
        <f>IF(OR(F_Custom2_Q="(None)",F_Custom2_Q="",ISBLANK(F_Custom2_Q),F_Custom2_V="(All)",F_Custom2_V="",ISBLANK(F_Custom2_V)),1,IFERROR(IF(ISNUMBER(SEARCH("|"&amp;INDEX(INDIRECT(F_Custom2_resolved_column),452)&amp;"|",F_Custom2_wrapped)),1,0),0))</f>
        <v>1</v>
      </c>
      <c r="H453">
        <f>F453*G453*1</f>
        <v>1</v>
      </c>
      <c r="I453">
        <f>1</f>
        <v>1</v>
      </c>
      <c r="J4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452)&amp;"|",All_Questions_Q20_F_wrapped)),1,0),0))</f>
        <v>1</v>
      </c>
    </row>
    <row r="454">
      <c r="A454" t="n">
        <v>453</v>
      </c>
      <c r="B454" t="n">
        <v>28.9</v>
      </c>
      <c r="C454" t="n">
        <v>24.6</v>
      </c>
      <c r="D454" t="n">
        <v>22.9</v>
      </c>
      <c r="E454">
        <f>1</f>
        <v>1</v>
      </c>
      <c r="F454">
        <f>IF(OR(F_Custom1_Q="(None)",F_Custom1_Q="",ISBLANK(F_Custom1_Q),F_Custom1_V="(All)",F_Custom1_V="",ISBLANK(F_Custom1_V)),1,IFERROR(IF(ISNUMBER(SEARCH("|"&amp;INDEX(INDIRECT(F_Custom1_resolved_column),453)&amp;"|",F_Custom1_wrapped)),1,0),0))</f>
        <v>1</v>
      </c>
      <c r="G454">
        <f>IF(OR(F_Custom2_Q="(None)",F_Custom2_Q="",ISBLANK(F_Custom2_Q),F_Custom2_V="(All)",F_Custom2_V="",ISBLANK(F_Custom2_V)),1,IFERROR(IF(ISNUMBER(SEARCH("|"&amp;INDEX(INDIRECT(F_Custom2_resolved_column),453)&amp;"|",F_Custom2_wrapped)),1,0),0))</f>
        <v>1</v>
      </c>
      <c r="H454">
        <f>F454*G454*1</f>
        <v>1</v>
      </c>
      <c r="I454">
        <f>1</f>
        <v>1</v>
      </c>
      <c r="J4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453)&amp;"|",All_Questions_Q20_F_wrapped)),1,0),0))</f>
        <v>1</v>
      </c>
    </row>
    <row r="455">
      <c r="A455" t="n">
        <v>454</v>
      </c>
      <c r="B455" t="n">
        <v>28.9</v>
      </c>
      <c r="C455" t="n">
        <v>24.6</v>
      </c>
      <c r="D455" t="n">
        <v>22.9</v>
      </c>
      <c r="E455">
        <f>1</f>
        <v>1</v>
      </c>
      <c r="F455">
        <f>IF(OR(F_Custom1_Q="(None)",F_Custom1_Q="",ISBLANK(F_Custom1_Q),F_Custom1_V="(All)",F_Custom1_V="",ISBLANK(F_Custom1_V)),1,IFERROR(IF(ISNUMBER(SEARCH("|"&amp;INDEX(INDIRECT(F_Custom1_resolved_column),454)&amp;"|",F_Custom1_wrapped)),1,0),0))</f>
        <v>1</v>
      </c>
      <c r="G455">
        <f>IF(OR(F_Custom2_Q="(None)",F_Custom2_Q="",ISBLANK(F_Custom2_Q),F_Custom2_V="(All)",F_Custom2_V="",ISBLANK(F_Custom2_V)),1,IFERROR(IF(ISNUMBER(SEARCH("|"&amp;INDEX(INDIRECT(F_Custom2_resolved_column),454)&amp;"|",F_Custom2_wrapped)),1,0),0))</f>
        <v>1</v>
      </c>
      <c r="H455">
        <f>F455*G455*1</f>
        <v>1</v>
      </c>
      <c r="I455">
        <f>1</f>
        <v>1</v>
      </c>
      <c r="J4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454)&amp;"|",All_Questions_Q20_F_wrapped)),1,0),0))</f>
        <v>1</v>
      </c>
    </row>
    <row r="456">
      <c r="A456" t="n">
        <v>455</v>
      </c>
      <c r="B456" t="n">
        <v>28.9</v>
      </c>
      <c r="C456" t="n">
        <v>24.6</v>
      </c>
      <c r="D456" t="n">
        <v>22.9</v>
      </c>
      <c r="E456">
        <f>1</f>
        <v>1</v>
      </c>
      <c r="F456">
        <f>IF(OR(F_Custom1_Q="(None)",F_Custom1_Q="",ISBLANK(F_Custom1_Q),F_Custom1_V="(All)",F_Custom1_V="",ISBLANK(F_Custom1_V)),1,IFERROR(IF(ISNUMBER(SEARCH("|"&amp;INDEX(INDIRECT(F_Custom1_resolved_column),455)&amp;"|",F_Custom1_wrapped)),1,0),0))</f>
        <v>1</v>
      </c>
      <c r="G456">
        <f>IF(OR(F_Custom2_Q="(None)",F_Custom2_Q="",ISBLANK(F_Custom2_Q),F_Custom2_V="(All)",F_Custom2_V="",ISBLANK(F_Custom2_V)),1,IFERROR(IF(ISNUMBER(SEARCH("|"&amp;INDEX(INDIRECT(F_Custom2_resolved_column),455)&amp;"|",F_Custom2_wrapped)),1,0),0))</f>
        <v>1</v>
      </c>
      <c r="H456">
        <f>F456*G456*1</f>
        <v>1</v>
      </c>
      <c r="I456">
        <f>1</f>
        <v>1</v>
      </c>
      <c r="J4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455)&amp;"|",All_Questions_Q20_F_wrapped)),1,0),0))</f>
        <v>1</v>
      </c>
    </row>
    <row r="457">
      <c r="A457" t="n">
        <v>456</v>
      </c>
      <c r="B457" t="n">
        <v>28.9</v>
      </c>
      <c r="C457" t="n">
        <v>24.6</v>
      </c>
      <c r="D457" t="n">
        <v>22.9</v>
      </c>
      <c r="E457">
        <f>1</f>
        <v>1</v>
      </c>
      <c r="F457">
        <f>IF(OR(F_Custom1_Q="(None)",F_Custom1_Q="",ISBLANK(F_Custom1_Q),F_Custom1_V="(All)",F_Custom1_V="",ISBLANK(F_Custom1_V)),1,IFERROR(IF(ISNUMBER(SEARCH("|"&amp;INDEX(INDIRECT(F_Custom1_resolved_column),456)&amp;"|",F_Custom1_wrapped)),1,0),0))</f>
        <v>1</v>
      </c>
      <c r="G457">
        <f>IF(OR(F_Custom2_Q="(None)",F_Custom2_Q="",ISBLANK(F_Custom2_Q),F_Custom2_V="(All)",F_Custom2_V="",ISBLANK(F_Custom2_V)),1,IFERROR(IF(ISNUMBER(SEARCH("|"&amp;INDEX(INDIRECT(F_Custom2_resolved_column),456)&amp;"|",F_Custom2_wrapped)),1,0),0))</f>
        <v>1</v>
      </c>
      <c r="H457">
        <f>F457*G457*1</f>
        <v>1</v>
      </c>
      <c r="I457">
        <f>1</f>
        <v>1</v>
      </c>
      <c r="J4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456)&amp;"|",All_Questions_Q20_F_wrapped)),1,0),0))</f>
        <v>1</v>
      </c>
    </row>
    <row r="458">
      <c r="A458" t="n">
        <v>457</v>
      </c>
      <c r="B458" t="n">
        <v>28.9</v>
      </c>
      <c r="C458" t="n">
        <v>24.6</v>
      </c>
      <c r="D458" t="n">
        <v>22.9</v>
      </c>
      <c r="E458">
        <f>1</f>
        <v>1</v>
      </c>
      <c r="F458">
        <f>IF(OR(F_Custom1_Q="(None)",F_Custom1_Q="",ISBLANK(F_Custom1_Q),F_Custom1_V="(All)",F_Custom1_V="",ISBLANK(F_Custom1_V)),1,IFERROR(IF(ISNUMBER(SEARCH("|"&amp;INDEX(INDIRECT(F_Custom1_resolved_column),457)&amp;"|",F_Custom1_wrapped)),1,0),0))</f>
        <v>1</v>
      </c>
      <c r="G458">
        <f>IF(OR(F_Custom2_Q="(None)",F_Custom2_Q="",ISBLANK(F_Custom2_Q),F_Custom2_V="(All)",F_Custom2_V="",ISBLANK(F_Custom2_V)),1,IFERROR(IF(ISNUMBER(SEARCH("|"&amp;INDEX(INDIRECT(F_Custom2_resolved_column),457)&amp;"|",F_Custom2_wrapped)),1,0),0))</f>
        <v>1</v>
      </c>
      <c r="H458">
        <f>F458*G458*1</f>
        <v>1</v>
      </c>
      <c r="I458">
        <f>1</f>
        <v>1</v>
      </c>
      <c r="J4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457)&amp;"|",All_Questions_Q20_F_wrapped)),1,0),0))</f>
        <v>1</v>
      </c>
    </row>
    <row r="459">
      <c r="A459" t="n">
        <v>458</v>
      </c>
      <c r="B459" t="n">
        <v>28.9</v>
      </c>
      <c r="C459" t="n">
        <v>24.6</v>
      </c>
      <c r="D459" t="n">
        <v>22.9</v>
      </c>
      <c r="E459">
        <f>1</f>
        <v>1</v>
      </c>
      <c r="F459">
        <f>IF(OR(F_Custom1_Q="(None)",F_Custom1_Q="",ISBLANK(F_Custom1_Q),F_Custom1_V="(All)",F_Custom1_V="",ISBLANK(F_Custom1_V)),1,IFERROR(IF(ISNUMBER(SEARCH("|"&amp;INDEX(INDIRECT(F_Custom1_resolved_column),458)&amp;"|",F_Custom1_wrapped)),1,0),0))</f>
        <v>1</v>
      </c>
      <c r="G459">
        <f>IF(OR(F_Custom2_Q="(None)",F_Custom2_Q="",ISBLANK(F_Custom2_Q),F_Custom2_V="(All)",F_Custom2_V="",ISBLANK(F_Custom2_V)),1,IFERROR(IF(ISNUMBER(SEARCH("|"&amp;INDEX(INDIRECT(F_Custom2_resolved_column),458)&amp;"|",F_Custom2_wrapped)),1,0),0))</f>
        <v>1</v>
      </c>
      <c r="H459">
        <f>F459*G459*1</f>
        <v>1</v>
      </c>
      <c r="I459">
        <f>1</f>
        <v>1</v>
      </c>
      <c r="J4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458)&amp;"|",All_Questions_Q20_F_wrapped)),1,0),0))</f>
        <v>1</v>
      </c>
    </row>
    <row r="460">
      <c r="A460" t="n">
        <v>459</v>
      </c>
      <c r="B460" t="n">
        <v>28.9</v>
      </c>
      <c r="C460" t="n">
        <v>24.6</v>
      </c>
      <c r="D460" t="n">
        <v>22.9</v>
      </c>
      <c r="E460">
        <f>1</f>
        <v>1</v>
      </c>
      <c r="F460">
        <f>IF(OR(F_Custom1_Q="(None)",F_Custom1_Q="",ISBLANK(F_Custom1_Q),F_Custom1_V="(All)",F_Custom1_V="",ISBLANK(F_Custom1_V)),1,IFERROR(IF(ISNUMBER(SEARCH("|"&amp;INDEX(INDIRECT(F_Custom1_resolved_column),459)&amp;"|",F_Custom1_wrapped)),1,0),0))</f>
        <v>1</v>
      </c>
      <c r="G460">
        <f>IF(OR(F_Custom2_Q="(None)",F_Custom2_Q="",ISBLANK(F_Custom2_Q),F_Custom2_V="(All)",F_Custom2_V="",ISBLANK(F_Custom2_V)),1,IFERROR(IF(ISNUMBER(SEARCH("|"&amp;INDEX(INDIRECT(F_Custom2_resolved_column),459)&amp;"|",F_Custom2_wrapped)),1,0),0))</f>
        <v>1</v>
      </c>
      <c r="H460">
        <f>F460*G460*1</f>
        <v>1</v>
      </c>
      <c r="I460">
        <f>1</f>
        <v>1</v>
      </c>
      <c r="J4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459)&amp;"|",All_Questions_Q20_F_wrapped)),1,0),0))</f>
        <v>1</v>
      </c>
    </row>
    <row r="461">
      <c r="A461" t="n">
        <v>460</v>
      </c>
      <c r="B461" t="n">
        <v>28.9</v>
      </c>
      <c r="C461" t="n">
        <v>24.6</v>
      </c>
      <c r="D461" t="n">
        <v>22.9</v>
      </c>
      <c r="E461">
        <f>1</f>
        <v>1</v>
      </c>
      <c r="F461">
        <f>IF(OR(F_Custom1_Q="(None)",F_Custom1_Q="",ISBLANK(F_Custom1_Q),F_Custom1_V="(All)",F_Custom1_V="",ISBLANK(F_Custom1_V)),1,IFERROR(IF(ISNUMBER(SEARCH("|"&amp;INDEX(INDIRECT(F_Custom1_resolved_column),460)&amp;"|",F_Custom1_wrapped)),1,0),0))</f>
        <v>1</v>
      </c>
      <c r="G461">
        <f>IF(OR(F_Custom2_Q="(None)",F_Custom2_Q="",ISBLANK(F_Custom2_Q),F_Custom2_V="(All)",F_Custom2_V="",ISBLANK(F_Custom2_V)),1,IFERROR(IF(ISNUMBER(SEARCH("|"&amp;INDEX(INDIRECT(F_Custom2_resolved_column),460)&amp;"|",F_Custom2_wrapped)),1,0),0))</f>
        <v>1</v>
      </c>
      <c r="H461">
        <f>F461*G461*1</f>
        <v>1</v>
      </c>
      <c r="I461">
        <f>1</f>
        <v>1</v>
      </c>
      <c r="J4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460)&amp;"|",All_Questions_Q20_F_wrapped)),1,0),0))</f>
        <v>1</v>
      </c>
    </row>
    <row r="462">
      <c r="A462" t="n">
        <v>461</v>
      </c>
      <c r="B462" t="n">
        <v>28.9</v>
      </c>
      <c r="C462" t="n">
        <v>24.6</v>
      </c>
      <c r="D462" t="n">
        <v>22.9</v>
      </c>
      <c r="E462">
        <f>1</f>
        <v>1</v>
      </c>
      <c r="F462">
        <f>IF(OR(F_Custom1_Q="(None)",F_Custom1_Q="",ISBLANK(F_Custom1_Q),F_Custom1_V="(All)",F_Custom1_V="",ISBLANK(F_Custom1_V)),1,IFERROR(IF(ISNUMBER(SEARCH("|"&amp;INDEX(INDIRECT(F_Custom1_resolved_column),461)&amp;"|",F_Custom1_wrapped)),1,0),0))</f>
        <v>1</v>
      </c>
      <c r="G462">
        <f>IF(OR(F_Custom2_Q="(None)",F_Custom2_Q="",ISBLANK(F_Custom2_Q),F_Custom2_V="(All)",F_Custom2_V="",ISBLANK(F_Custom2_V)),1,IFERROR(IF(ISNUMBER(SEARCH("|"&amp;INDEX(INDIRECT(F_Custom2_resolved_column),461)&amp;"|",F_Custom2_wrapped)),1,0),0))</f>
        <v>1</v>
      </c>
      <c r="H462">
        <f>F462*G462*1</f>
        <v>1</v>
      </c>
      <c r="I462">
        <f>1</f>
        <v>1</v>
      </c>
      <c r="J4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461)&amp;"|",All_Questions_Q20_F_wrapped)),1,0),0))</f>
        <v>1</v>
      </c>
    </row>
    <row r="463">
      <c r="A463" t="n">
        <v>462</v>
      </c>
      <c r="B463" t="n">
        <v>28.9</v>
      </c>
      <c r="C463" t="n">
        <v>24.6</v>
      </c>
      <c r="D463" t="n">
        <v>22.9</v>
      </c>
      <c r="E463">
        <f>1</f>
        <v>1</v>
      </c>
      <c r="F463">
        <f>IF(OR(F_Custom1_Q="(None)",F_Custom1_Q="",ISBLANK(F_Custom1_Q),F_Custom1_V="(All)",F_Custom1_V="",ISBLANK(F_Custom1_V)),1,IFERROR(IF(ISNUMBER(SEARCH("|"&amp;INDEX(INDIRECT(F_Custom1_resolved_column),462)&amp;"|",F_Custom1_wrapped)),1,0),0))</f>
        <v>1</v>
      </c>
      <c r="G463">
        <f>IF(OR(F_Custom2_Q="(None)",F_Custom2_Q="",ISBLANK(F_Custom2_Q),F_Custom2_V="(All)",F_Custom2_V="",ISBLANK(F_Custom2_V)),1,IFERROR(IF(ISNUMBER(SEARCH("|"&amp;INDEX(INDIRECT(F_Custom2_resolved_column),462)&amp;"|",F_Custom2_wrapped)),1,0),0))</f>
        <v>1</v>
      </c>
      <c r="H463">
        <f>F463*G463*1</f>
        <v>1</v>
      </c>
      <c r="I463">
        <f>1</f>
        <v>1</v>
      </c>
      <c r="J4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462)&amp;"|",All_Questions_Q20_F_wrapped)),1,0),0))</f>
        <v>1</v>
      </c>
    </row>
    <row r="464">
      <c r="A464" t="n">
        <v>463</v>
      </c>
      <c r="B464" t="n">
        <v>28.9</v>
      </c>
      <c r="C464" t="n">
        <v>24.6</v>
      </c>
      <c r="D464" t="n">
        <v>22.9</v>
      </c>
      <c r="E464">
        <f>1</f>
        <v>1</v>
      </c>
      <c r="F464">
        <f>IF(OR(F_Custom1_Q="(None)",F_Custom1_Q="",ISBLANK(F_Custom1_Q),F_Custom1_V="(All)",F_Custom1_V="",ISBLANK(F_Custom1_V)),1,IFERROR(IF(ISNUMBER(SEARCH("|"&amp;INDEX(INDIRECT(F_Custom1_resolved_column),463)&amp;"|",F_Custom1_wrapped)),1,0),0))</f>
        <v>1</v>
      </c>
      <c r="G464">
        <f>IF(OR(F_Custom2_Q="(None)",F_Custom2_Q="",ISBLANK(F_Custom2_Q),F_Custom2_V="(All)",F_Custom2_V="",ISBLANK(F_Custom2_V)),1,IFERROR(IF(ISNUMBER(SEARCH("|"&amp;INDEX(INDIRECT(F_Custom2_resolved_column),463)&amp;"|",F_Custom2_wrapped)),1,0),0))</f>
        <v>1</v>
      </c>
      <c r="H464">
        <f>F464*G464*1</f>
        <v>1</v>
      </c>
      <c r="I464">
        <f>1</f>
        <v>1</v>
      </c>
      <c r="J4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463)&amp;"|",All_Questions_Q20_F_wrapped)),1,0),0))</f>
        <v>1</v>
      </c>
    </row>
    <row r="465">
      <c r="A465" t="n">
        <v>464</v>
      </c>
      <c r="B465" t="n">
        <v>28.9</v>
      </c>
      <c r="C465" t="n">
        <v>24.6</v>
      </c>
      <c r="D465" t="n">
        <v>22.9</v>
      </c>
      <c r="E465">
        <f>1</f>
        <v>1</v>
      </c>
      <c r="F465">
        <f>IF(OR(F_Custom1_Q="(None)",F_Custom1_Q="",ISBLANK(F_Custom1_Q),F_Custom1_V="(All)",F_Custom1_V="",ISBLANK(F_Custom1_V)),1,IFERROR(IF(ISNUMBER(SEARCH("|"&amp;INDEX(INDIRECT(F_Custom1_resolved_column),464)&amp;"|",F_Custom1_wrapped)),1,0),0))</f>
        <v>1</v>
      </c>
      <c r="G465">
        <f>IF(OR(F_Custom2_Q="(None)",F_Custom2_Q="",ISBLANK(F_Custom2_Q),F_Custom2_V="(All)",F_Custom2_V="",ISBLANK(F_Custom2_V)),1,IFERROR(IF(ISNUMBER(SEARCH("|"&amp;INDEX(INDIRECT(F_Custom2_resolved_column),464)&amp;"|",F_Custom2_wrapped)),1,0),0))</f>
        <v>1</v>
      </c>
      <c r="H465">
        <f>F465*G465*1</f>
        <v>1</v>
      </c>
      <c r="I465">
        <f>1</f>
        <v>1</v>
      </c>
      <c r="J4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464)&amp;"|",All_Questions_Q20_F_wrapped)),1,0),0))</f>
        <v>1</v>
      </c>
    </row>
    <row r="466">
      <c r="A466" t="n">
        <v>465</v>
      </c>
      <c r="B466" t="n">
        <v>28.9</v>
      </c>
      <c r="C466" t="n">
        <v>24.6</v>
      </c>
      <c r="D466" t="n">
        <v>22.9</v>
      </c>
      <c r="E466">
        <f>1</f>
        <v>1</v>
      </c>
      <c r="F466">
        <f>IF(OR(F_Custom1_Q="(None)",F_Custom1_Q="",ISBLANK(F_Custom1_Q),F_Custom1_V="(All)",F_Custom1_V="",ISBLANK(F_Custom1_V)),1,IFERROR(IF(ISNUMBER(SEARCH("|"&amp;INDEX(INDIRECT(F_Custom1_resolved_column),465)&amp;"|",F_Custom1_wrapped)),1,0),0))</f>
        <v>1</v>
      </c>
      <c r="G466">
        <f>IF(OR(F_Custom2_Q="(None)",F_Custom2_Q="",ISBLANK(F_Custom2_Q),F_Custom2_V="(All)",F_Custom2_V="",ISBLANK(F_Custom2_V)),1,IFERROR(IF(ISNUMBER(SEARCH("|"&amp;INDEX(INDIRECT(F_Custom2_resolved_column),465)&amp;"|",F_Custom2_wrapped)),1,0),0))</f>
        <v>1</v>
      </c>
      <c r="H466">
        <f>F466*G466*1</f>
        <v>1</v>
      </c>
      <c r="I466">
        <f>1</f>
        <v>1</v>
      </c>
      <c r="J4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465)&amp;"|",All_Questions_Q20_F_wrapped)),1,0),0))</f>
        <v>1</v>
      </c>
    </row>
    <row r="467">
      <c r="A467" t="n">
        <v>466</v>
      </c>
      <c r="B467" t="n">
        <v>28.9</v>
      </c>
      <c r="C467" t="n">
        <v>24.6</v>
      </c>
      <c r="D467" t="n">
        <v>22.9</v>
      </c>
      <c r="E467">
        <f>1</f>
        <v>1</v>
      </c>
      <c r="F467">
        <f>IF(OR(F_Custom1_Q="(None)",F_Custom1_Q="",ISBLANK(F_Custom1_Q),F_Custom1_V="(All)",F_Custom1_V="",ISBLANK(F_Custom1_V)),1,IFERROR(IF(ISNUMBER(SEARCH("|"&amp;INDEX(INDIRECT(F_Custom1_resolved_column),466)&amp;"|",F_Custom1_wrapped)),1,0),0))</f>
        <v>1</v>
      </c>
      <c r="G467">
        <f>IF(OR(F_Custom2_Q="(None)",F_Custom2_Q="",ISBLANK(F_Custom2_Q),F_Custom2_V="(All)",F_Custom2_V="",ISBLANK(F_Custom2_V)),1,IFERROR(IF(ISNUMBER(SEARCH("|"&amp;INDEX(INDIRECT(F_Custom2_resolved_column),466)&amp;"|",F_Custom2_wrapped)),1,0),0))</f>
        <v>1</v>
      </c>
      <c r="H467">
        <f>F467*G467*1</f>
        <v>1</v>
      </c>
      <c r="I467">
        <f>1</f>
        <v>1</v>
      </c>
      <c r="J4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466)&amp;"|",All_Questions_Q20_F_wrapped)),1,0),0))</f>
        <v>1</v>
      </c>
    </row>
    <row r="468">
      <c r="A468" t="n">
        <v>467</v>
      </c>
      <c r="B468" t="n">
        <v>28.9</v>
      </c>
      <c r="C468" t="n">
        <v>24.6</v>
      </c>
      <c r="D468" t="n">
        <v>22.9</v>
      </c>
      <c r="E468">
        <f>1</f>
        <v>1</v>
      </c>
      <c r="F468">
        <f>IF(OR(F_Custom1_Q="(None)",F_Custom1_Q="",ISBLANK(F_Custom1_Q),F_Custom1_V="(All)",F_Custom1_V="",ISBLANK(F_Custom1_V)),1,IFERROR(IF(ISNUMBER(SEARCH("|"&amp;INDEX(INDIRECT(F_Custom1_resolved_column),467)&amp;"|",F_Custom1_wrapped)),1,0),0))</f>
        <v>1</v>
      </c>
      <c r="G468">
        <f>IF(OR(F_Custom2_Q="(None)",F_Custom2_Q="",ISBLANK(F_Custom2_Q),F_Custom2_V="(All)",F_Custom2_V="",ISBLANK(F_Custom2_V)),1,IFERROR(IF(ISNUMBER(SEARCH("|"&amp;INDEX(INDIRECT(F_Custom2_resolved_column),467)&amp;"|",F_Custom2_wrapped)),1,0),0))</f>
        <v>1</v>
      </c>
      <c r="H468">
        <f>F468*G468*1</f>
        <v>1</v>
      </c>
      <c r="I468">
        <f>1</f>
        <v>1</v>
      </c>
      <c r="J4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467)&amp;"|",All_Questions_Q20_F_wrapped)),1,0),0))</f>
        <v>1</v>
      </c>
    </row>
    <row r="469">
      <c r="A469" t="n">
        <v>468</v>
      </c>
      <c r="B469" t="n">
        <v>28.9</v>
      </c>
      <c r="C469" t="n">
        <v>24.6</v>
      </c>
      <c r="D469" t="n">
        <v>22.9</v>
      </c>
      <c r="E469">
        <f>1</f>
        <v>1</v>
      </c>
      <c r="F469">
        <f>IF(OR(F_Custom1_Q="(None)",F_Custom1_Q="",ISBLANK(F_Custom1_Q),F_Custom1_V="(All)",F_Custom1_V="",ISBLANK(F_Custom1_V)),1,IFERROR(IF(ISNUMBER(SEARCH("|"&amp;INDEX(INDIRECT(F_Custom1_resolved_column),468)&amp;"|",F_Custom1_wrapped)),1,0),0))</f>
        <v>1</v>
      </c>
      <c r="G469">
        <f>IF(OR(F_Custom2_Q="(None)",F_Custom2_Q="",ISBLANK(F_Custom2_Q),F_Custom2_V="(All)",F_Custom2_V="",ISBLANK(F_Custom2_V)),1,IFERROR(IF(ISNUMBER(SEARCH("|"&amp;INDEX(INDIRECT(F_Custom2_resolved_column),468)&amp;"|",F_Custom2_wrapped)),1,0),0))</f>
        <v>1</v>
      </c>
      <c r="H469">
        <f>F469*G469*1</f>
        <v>1</v>
      </c>
      <c r="I469">
        <f>1</f>
        <v>1</v>
      </c>
      <c r="J4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468)&amp;"|",All_Questions_Q20_F_wrapped)),1,0),0))</f>
        <v>1</v>
      </c>
    </row>
    <row r="470">
      <c r="A470" t="n">
        <v>469</v>
      </c>
      <c r="B470" t="n">
        <v>28.9</v>
      </c>
      <c r="C470" t="n">
        <v>24.6</v>
      </c>
      <c r="D470" t="n">
        <v>22.9</v>
      </c>
      <c r="E470">
        <f>1</f>
        <v>1</v>
      </c>
      <c r="F470">
        <f>IF(OR(F_Custom1_Q="(None)",F_Custom1_Q="",ISBLANK(F_Custom1_Q),F_Custom1_V="(All)",F_Custom1_V="",ISBLANK(F_Custom1_V)),1,IFERROR(IF(ISNUMBER(SEARCH("|"&amp;INDEX(INDIRECT(F_Custom1_resolved_column),469)&amp;"|",F_Custom1_wrapped)),1,0),0))</f>
        <v>1</v>
      </c>
      <c r="G470">
        <f>IF(OR(F_Custom2_Q="(None)",F_Custom2_Q="",ISBLANK(F_Custom2_Q),F_Custom2_V="(All)",F_Custom2_V="",ISBLANK(F_Custom2_V)),1,IFERROR(IF(ISNUMBER(SEARCH("|"&amp;INDEX(INDIRECT(F_Custom2_resolved_column),469)&amp;"|",F_Custom2_wrapped)),1,0),0))</f>
        <v>1</v>
      </c>
      <c r="H470">
        <f>F470*G470*1</f>
        <v>1</v>
      </c>
      <c r="I470">
        <f>1</f>
        <v>1</v>
      </c>
      <c r="J4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469)&amp;"|",All_Questions_Q20_F_wrapped)),1,0),0))</f>
        <v>1</v>
      </c>
    </row>
    <row r="471">
      <c r="A471" t="n">
        <v>470</v>
      </c>
      <c r="B471" t="n">
        <v>28.9</v>
      </c>
      <c r="C471" t="n">
        <v>24.6</v>
      </c>
      <c r="D471" t="n">
        <v>22.9</v>
      </c>
      <c r="E471">
        <f>1</f>
        <v>1</v>
      </c>
      <c r="F471">
        <f>IF(OR(F_Custom1_Q="(None)",F_Custom1_Q="",ISBLANK(F_Custom1_Q),F_Custom1_V="(All)",F_Custom1_V="",ISBLANK(F_Custom1_V)),1,IFERROR(IF(ISNUMBER(SEARCH("|"&amp;INDEX(INDIRECT(F_Custom1_resolved_column),470)&amp;"|",F_Custom1_wrapped)),1,0),0))</f>
        <v>1</v>
      </c>
      <c r="G471">
        <f>IF(OR(F_Custom2_Q="(None)",F_Custom2_Q="",ISBLANK(F_Custom2_Q),F_Custom2_V="(All)",F_Custom2_V="",ISBLANK(F_Custom2_V)),1,IFERROR(IF(ISNUMBER(SEARCH("|"&amp;INDEX(INDIRECT(F_Custom2_resolved_column),470)&amp;"|",F_Custom2_wrapped)),1,0),0))</f>
        <v>1</v>
      </c>
      <c r="H471">
        <f>F471*G471*1</f>
        <v>1</v>
      </c>
      <c r="I471">
        <f>1</f>
        <v>1</v>
      </c>
      <c r="J4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470)&amp;"|",All_Questions_Q20_F_wrapped)),1,0),0))</f>
        <v>1</v>
      </c>
    </row>
    <row r="472">
      <c r="A472" t="n">
        <v>471</v>
      </c>
      <c r="B472" t="n">
        <v>28.9</v>
      </c>
      <c r="C472" t="n">
        <v>24.6</v>
      </c>
      <c r="D472" t="n">
        <v>22.9</v>
      </c>
      <c r="E472">
        <f>1</f>
        <v>1</v>
      </c>
      <c r="F472">
        <f>IF(OR(F_Custom1_Q="(None)",F_Custom1_Q="",ISBLANK(F_Custom1_Q),F_Custom1_V="(All)",F_Custom1_V="",ISBLANK(F_Custom1_V)),1,IFERROR(IF(ISNUMBER(SEARCH("|"&amp;INDEX(INDIRECT(F_Custom1_resolved_column),471)&amp;"|",F_Custom1_wrapped)),1,0),0))</f>
        <v>1</v>
      </c>
      <c r="G472">
        <f>IF(OR(F_Custom2_Q="(None)",F_Custom2_Q="",ISBLANK(F_Custom2_Q),F_Custom2_V="(All)",F_Custom2_V="",ISBLANK(F_Custom2_V)),1,IFERROR(IF(ISNUMBER(SEARCH("|"&amp;INDEX(INDIRECT(F_Custom2_resolved_column),471)&amp;"|",F_Custom2_wrapped)),1,0),0))</f>
        <v>1</v>
      </c>
      <c r="H472">
        <f>F472*G472*1</f>
        <v>1</v>
      </c>
      <c r="I472">
        <f>1</f>
        <v>1</v>
      </c>
      <c r="J4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471)&amp;"|",All_Questions_Q20_F_wrapped)),1,0),0))</f>
        <v>1</v>
      </c>
    </row>
    <row r="473">
      <c r="A473" t="n">
        <v>472</v>
      </c>
      <c r="B473" t="n">
        <v>28.9</v>
      </c>
      <c r="C473" t="n">
        <v>24.6</v>
      </c>
      <c r="D473" t="n">
        <v>22.9</v>
      </c>
      <c r="E473">
        <f>1</f>
        <v>1</v>
      </c>
      <c r="F473">
        <f>IF(OR(F_Custom1_Q="(None)",F_Custom1_Q="",ISBLANK(F_Custom1_Q),F_Custom1_V="(All)",F_Custom1_V="",ISBLANK(F_Custom1_V)),1,IFERROR(IF(ISNUMBER(SEARCH("|"&amp;INDEX(INDIRECT(F_Custom1_resolved_column),472)&amp;"|",F_Custom1_wrapped)),1,0),0))</f>
        <v>1</v>
      </c>
      <c r="G473">
        <f>IF(OR(F_Custom2_Q="(None)",F_Custom2_Q="",ISBLANK(F_Custom2_Q),F_Custom2_V="(All)",F_Custom2_V="",ISBLANK(F_Custom2_V)),1,IFERROR(IF(ISNUMBER(SEARCH("|"&amp;INDEX(INDIRECT(F_Custom2_resolved_column),472)&amp;"|",F_Custom2_wrapped)),1,0),0))</f>
        <v>1</v>
      </c>
      <c r="H473">
        <f>F473*G473*1</f>
        <v>1</v>
      </c>
      <c r="I473">
        <f>1</f>
        <v>1</v>
      </c>
      <c r="J4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472)&amp;"|",All_Questions_Q20_F_wrapped)),1,0),0))</f>
        <v>1</v>
      </c>
    </row>
    <row r="474">
      <c r="A474" t="n">
        <v>473</v>
      </c>
      <c r="B474" t="n">
        <v>28.9</v>
      </c>
      <c r="C474" t="n">
        <v>24.6</v>
      </c>
      <c r="D474" t="n">
        <v>22.9</v>
      </c>
      <c r="E474">
        <f>1</f>
        <v>1</v>
      </c>
      <c r="F474">
        <f>IF(OR(F_Custom1_Q="(None)",F_Custom1_Q="",ISBLANK(F_Custom1_Q),F_Custom1_V="(All)",F_Custom1_V="",ISBLANK(F_Custom1_V)),1,IFERROR(IF(ISNUMBER(SEARCH("|"&amp;INDEX(INDIRECT(F_Custom1_resolved_column),473)&amp;"|",F_Custom1_wrapped)),1,0),0))</f>
        <v>1</v>
      </c>
      <c r="G474">
        <f>IF(OR(F_Custom2_Q="(None)",F_Custom2_Q="",ISBLANK(F_Custom2_Q),F_Custom2_V="(All)",F_Custom2_V="",ISBLANK(F_Custom2_V)),1,IFERROR(IF(ISNUMBER(SEARCH("|"&amp;INDEX(INDIRECT(F_Custom2_resolved_column),473)&amp;"|",F_Custom2_wrapped)),1,0),0))</f>
        <v>1</v>
      </c>
      <c r="H474">
        <f>F474*G474*1</f>
        <v>1</v>
      </c>
      <c r="I474">
        <f>1</f>
        <v>1</v>
      </c>
      <c r="J4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473)&amp;"|",All_Questions_Q20_F_wrapped)),1,0),0))</f>
        <v>1</v>
      </c>
    </row>
    <row r="475">
      <c r="A475" t="n">
        <v>474</v>
      </c>
      <c r="B475" t="n">
        <v>28.9</v>
      </c>
      <c r="C475" t="n">
        <v>24.6</v>
      </c>
      <c r="D475" t="n">
        <v>22.9</v>
      </c>
      <c r="E475">
        <f>1</f>
        <v>1</v>
      </c>
      <c r="F475">
        <f>IF(OR(F_Custom1_Q="(None)",F_Custom1_Q="",ISBLANK(F_Custom1_Q),F_Custom1_V="(All)",F_Custom1_V="",ISBLANK(F_Custom1_V)),1,IFERROR(IF(ISNUMBER(SEARCH("|"&amp;INDEX(INDIRECT(F_Custom1_resolved_column),474)&amp;"|",F_Custom1_wrapped)),1,0),0))</f>
        <v>1</v>
      </c>
      <c r="G475">
        <f>IF(OR(F_Custom2_Q="(None)",F_Custom2_Q="",ISBLANK(F_Custom2_Q),F_Custom2_V="(All)",F_Custom2_V="",ISBLANK(F_Custom2_V)),1,IFERROR(IF(ISNUMBER(SEARCH("|"&amp;INDEX(INDIRECT(F_Custom2_resolved_column),474)&amp;"|",F_Custom2_wrapped)),1,0),0))</f>
        <v>1</v>
      </c>
      <c r="H475">
        <f>F475*G475*1</f>
        <v>1</v>
      </c>
      <c r="I475">
        <f>1</f>
        <v>1</v>
      </c>
      <c r="J4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474)&amp;"|",All_Questions_Q20_F_wrapped)),1,0),0))</f>
        <v>1</v>
      </c>
    </row>
    <row r="476">
      <c r="A476" t="n">
        <v>475</v>
      </c>
      <c r="B476" t="n">
        <v>28.9</v>
      </c>
      <c r="C476" t="n">
        <v>24.6</v>
      </c>
      <c r="D476" t="n">
        <v>22.9</v>
      </c>
      <c r="E476">
        <f>1</f>
        <v>1</v>
      </c>
      <c r="F476">
        <f>IF(OR(F_Custom1_Q="(None)",F_Custom1_Q="",ISBLANK(F_Custom1_Q),F_Custom1_V="(All)",F_Custom1_V="",ISBLANK(F_Custom1_V)),1,IFERROR(IF(ISNUMBER(SEARCH("|"&amp;INDEX(INDIRECT(F_Custom1_resolved_column),475)&amp;"|",F_Custom1_wrapped)),1,0),0))</f>
        <v>1</v>
      </c>
      <c r="G476">
        <f>IF(OR(F_Custom2_Q="(None)",F_Custom2_Q="",ISBLANK(F_Custom2_Q),F_Custom2_V="(All)",F_Custom2_V="",ISBLANK(F_Custom2_V)),1,IFERROR(IF(ISNUMBER(SEARCH("|"&amp;INDEX(INDIRECT(F_Custom2_resolved_column),475)&amp;"|",F_Custom2_wrapped)),1,0),0))</f>
        <v>1</v>
      </c>
      <c r="H476">
        <f>F476*G476*1</f>
        <v>1</v>
      </c>
      <c r="I476">
        <f>1</f>
        <v>1</v>
      </c>
      <c r="J4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475)&amp;"|",All_Questions_Q20_F_wrapped)),1,0),0))</f>
        <v>1</v>
      </c>
    </row>
    <row r="477">
      <c r="A477" t="n">
        <v>476</v>
      </c>
      <c r="B477" t="n">
        <v>28.9</v>
      </c>
      <c r="C477" t="n">
        <v>24.6</v>
      </c>
      <c r="D477" t="n">
        <v>22.9</v>
      </c>
      <c r="E477">
        <f>1</f>
        <v>1</v>
      </c>
      <c r="F477">
        <f>IF(OR(F_Custom1_Q="(None)",F_Custom1_Q="",ISBLANK(F_Custom1_Q),F_Custom1_V="(All)",F_Custom1_V="",ISBLANK(F_Custom1_V)),1,IFERROR(IF(ISNUMBER(SEARCH("|"&amp;INDEX(INDIRECT(F_Custom1_resolved_column),476)&amp;"|",F_Custom1_wrapped)),1,0),0))</f>
        <v>1</v>
      </c>
      <c r="G477">
        <f>IF(OR(F_Custom2_Q="(None)",F_Custom2_Q="",ISBLANK(F_Custom2_Q),F_Custom2_V="(All)",F_Custom2_V="",ISBLANK(F_Custom2_V)),1,IFERROR(IF(ISNUMBER(SEARCH("|"&amp;INDEX(INDIRECT(F_Custom2_resolved_column),476)&amp;"|",F_Custom2_wrapped)),1,0),0))</f>
        <v>1</v>
      </c>
      <c r="H477">
        <f>F477*G477*1</f>
        <v>1</v>
      </c>
      <c r="I477">
        <f>1</f>
        <v>1</v>
      </c>
      <c r="J4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476)&amp;"|",All_Questions_Q20_F_wrapped)),1,0),0))</f>
        <v>1</v>
      </c>
    </row>
    <row r="478">
      <c r="A478" t="n">
        <v>477</v>
      </c>
      <c r="B478" t="n">
        <v>28.9</v>
      </c>
      <c r="C478" t="n">
        <v>24.6</v>
      </c>
      <c r="D478" t="n">
        <v>22.9</v>
      </c>
      <c r="E478">
        <f>1</f>
        <v>1</v>
      </c>
      <c r="F478">
        <f>IF(OR(F_Custom1_Q="(None)",F_Custom1_Q="",ISBLANK(F_Custom1_Q),F_Custom1_V="(All)",F_Custom1_V="",ISBLANK(F_Custom1_V)),1,IFERROR(IF(ISNUMBER(SEARCH("|"&amp;INDEX(INDIRECT(F_Custom1_resolved_column),477)&amp;"|",F_Custom1_wrapped)),1,0),0))</f>
        <v>1</v>
      </c>
      <c r="G478">
        <f>IF(OR(F_Custom2_Q="(None)",F_Custom2_Q="",ISBLANK(F_Custom2_Q),F_Custom2_V="(All)",F_Custom2_V="",ISBLANK(F_Custom2_V)),1,IFERROR(IF(ISNUMBER(SEARCH("|"&amp;INDEX(INDIRECT(F_Custom2_resolved_column),477)&amp;"|",F_Custom2_wrapped)),1,0),0))</f>
        <v>1</v>
      </c>
      <c r="H478">
        <f>F478*G478*1</f>
        <v>1</v>
      </c>
      <c r="I478">
        <f>1</f>
        <v>1</v>
      </c>
      <c r="J4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477)&amp;"|",All_Questions_Q20_F_wrapped)),1,0),0))</f>
        <v>1</v>
      </c>
    </row>
    <row r="479">
      <c r="A479" t="n">
        <v>478</v>
      </c>
      <c r="B479" t="n">
        <v>28.9</v>
      </c>
      <c r="C479" t="n">
        <v>24.6</v>
      </c>
      <c r="D479" t="n">
        <v>22.9</v>
      </c>
      <c r="E479">
        <f>1</f>
        <v>1</v>
      </c>
      <c r="F479">
        <f>IF(OR(F_Custom1_Q="(None)",F_Custom1_Q="",ISBLANK(F_Custom1_Q),F_Custom1_V="(All)",F_Custom1_V="",ISBLANK(F_Custom1_V)),1,IFERROR(IF(ISNUMBER(SEARCH("|"&amp;INDEX(INDIRECT(F_Custom1_resolved_column),478)&amp;"|",F_Custom1_wrapped)),1,0),0))</f>
        <v>1</v>
      </c>
      <c r="G479">
        <f>IF(OR(F_Custom2_Q="(None)",F_Custom2_Q="",ISBLANK(F_Custom2_Q),F_Custom2_V="(All)",F_Custom2_V="",ISBLANK(F_Custom2_V)),1,IFERROR(IF(ISNUMBER(SEARCH("|"&amp;INDEX(INDIRECT(F_Custom2_resolved_column),478)&amp;"|",F_Custom2_wrapped)),1,0),0))</f>
        <v>1</v>
      </c>
      <c r="H479">
        <f>F479*G479*1</f>
        <v>1</v>
      </c>
      <c r="I479">
        <f>1</f>
        <v>1</v>
      </c>
      <c r="J4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478)&amp;"|",All_Questions_Q20_F_wrapped)),1,0),0))</f>
        <v>1</v>
      </c>
    </row>
    <row r="480">
      <c r="A480" t="n">
        <v>479</v>
      </c>
      <c r="B480" t="n">
        <v>28.9</v>
      </c>
      <c r="C480" t="n">
        <v>24.6</v>
      </c>
      <c r="D480" t="n">
        <v>22.9</v>
      </c>
      <c r="E480">
        <f>1</f>
        <v>1</v>
      </c>
      <c r="F480">
        <f>IF(OR(F_Custom1_Q="(None)",F_Custom1_Q="",ISBLANK(F_Custom1_Q),F_Custom1_V="(All)",F_Custom1_V="",ISBLANK(F_Custom1_V)),1,IFERROR(IF(ISNUMBER(SEARCH("|"&amp;INDEX(INDIRECT(F_Custom1_resolved_column),479)&amp;"|",F_Custom1_wrapped)),1,0),0))</f>
        <v>1</v>
      </c>
      <c r="G480">
        <f>IF(OR(F_Custom2_Q="(None)",F_Custom2_Q="",ISBLANK(F_Custom2_Q),F_Custom2_V="(All)",F_Custom2_V="",ISBLANK(F_Custom2_V)),1,IFERROR(IF(ISNUMBER(SEARCH("|"&amp;INDEX(INDIRECT(F_Custom2_resolved_column),479)&amp;"|",F_Custom2_wrapped)),1,0),0))</f>
        <v>1</v>
      </c>
      <c r="H480">
        <f>F480*G480*1</f>
        <v>1</v>
      </c>
      <c r="I480">
        <f>1</f>
        <v>1</v>
      </c>
      <c r="J4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479)&amp;"|",All_Questions_Q20_F_wrapped)),1,0),0))</f>
        <v>1</v>
      </c>
    </row>
    <row r="481">
      <c r="A481" t="n">
        <v>480</v>
      </c>
      <c r="B481" t="n">
        <v>28.9</v>
      </c>
      <c r="C481" t="n">
        <v>24.6</v>
      </c>
      <c r="D481" t="n">
        <v>22.9</v>
      </c>
      <c r="E481">
        <f>1</f>
        <v>1</v>
      </c>
      <c r="F481">
        <f>IF(OR(F_Custom1_Q="(None)",F_Custom1_Q="",ISBLANK(F_Custom1_Q),F_Custom1_V="(All)",F_Custom1_V="",ISBLANK(F_Custom1_V)),1,IFERROR(IF(ISNUMBER(SEARCH("|"&amp;INDEX(INDIRECT(F_Custom1_resolved_column),480)&amp;"|",F_Custom1_wrapped)),1,0),0))</f>
        <v>1</v>
      </c>
      <c r="G481">
        <f>IF(OR(F_Custom2_Q="(None)",F_Custom2_Q="",ISBLANK(F_Custom2_Q),F_Custom2_V="(All)",F_Custom2_V="",ISBLANK(F_Custom2_V)),1,IFERROR(IF(ISNUMBER(SEARCH("|"&amp;INDEX(INDIRECT(F_Custom2_resolved_column),480)&amp;"|",F_Custom2_wrapped)),1,0),0))</f>
        <v>1</v>
      </c>
      <c r="H481">
        <f>F481*G481*1</f>
        <v>1</v>
      </c>
      <c r="I481">
        <f>1</f>
        <v>1</v>
      </c>
      <c r="J4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480)&amp;"|",All_Questions_Q20_F_wrapped)),1,0),0))</f>
        <v>1</v>
      </c>
    </row>
    <row r="482">
      <c r="A482" t="n">
        <v>481</v>
      </c>
      <c r="B482" t="n">
        <v>28.9</v>
      </c>
      <c r="C482" t="n">
        <v>24.6</v>
      </c>
      <c r="D482" t="n">
        <v>22.9</v>
      </c>
      <c r="E482">
        <f>1</f>
        <v>1</v>
      </c>
      <c r="F482">
        <f>IF(OR(F_Custom1_Q="(None)",F_Custom1_Q="",ISBLANK(F_Custom1_Q),F_Custom1_V="(All)",F_Custom1_V="",ISBLANK(F_Custom1_V)),1,IFERROR(IF(ISNUMBER(SEARCH("|"&amp;INDEX(INDIRECT(F_Custom1_resolved_column),481)&amp;"|",F_Custom1_wrapped)),1,0),0))</f>
        <v>1</v>
      </c>
      <c r="G482">
        <f>IF(OR(F_Custom2_Q="(None)",F_Custom2_Q="",ISBLANK(F_Custom2_Q),F_Custom2_V="(All)",F_Custom2_V="",ISBLANK(F_Custom2_V)),1,IFERROR(IF(ISNUMBER(SEARCH("|"&amp;INDEX(INDIRECT(F_Custom2_resolved_column),481)&amp;"|",F_Custom2_wrapped)),1,0),0))</f>
        <v>1</v>
      </c>
      <c r="H482">
        <f>F482*G482*1</f>
        <v>1</v>
      </c>
      <c r="I482">
        <f>1</f>
        <v>1</v>
      </c>
      <c r="J4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481)&amp;"|",All_Questions_Q20_F_wrapped)),1,0),0))</f>
        <v>1</v>
      </c>
    </row>
    <row r="483">
      <c r="A483" t="n">
        <v>482</v>
      </c>
      <c r="B483" t="n">
        <v>28.9</v>
      </c>
      <c r="C483" t="n">
        <v>24.6</v>
      </c>
      <c r="D483" t="n">
        <v>22.9</v>
      </c>
      <c r="E483">
        <f>1</f>
        <v>1</v>
      </c>
      <c r="F483">
        <f>IF(OR(F_Custom1_Q="(None)",F_Custom1_Q="",ISBLANK(F_Custom1_Q),F_Custom1_V="(All)",F_Custom1_V="",ISBLANK(F_Custom1_V)),1,IFERROR(IF(ISNUMBER(SEARCH("|"&amp;INDEX(INDIRECT(F_Custom1_resolved_column),482)&amp;"|",F_Custom1_wrapped)),1,0),0))</f>
        <v>1</v>
      </c>
      <c r="G483">
        <f>IF(OR(F_Custom2_Q="(None)",F_Custom2_Q="",ISBLANK(F_Custom2_Q),F_Custom2_V="(All)",F_Custom2_V="",ISBLANK(F_Custom2_V)),1,IFERROR(IF(ISNUMBER(SEARCH("|"&amp;INDEX(INDIRECT(F_Custom2_resolved_column),482)&amp;"|",F_Custom2_wrapped)),1,0),0))</f>
        <v>1</v>
      </c>
      <c r="H483">
        <f>F483*G483*1</f>
        <v>1</v>
      </c>
      <c r="I483">
        <f>1</f>
        <v>1</v>
      </c>
      <c r="J4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482)&amp;"|",All_Questions_Q20_F_wrapped)),1,0),0))</f>
        <v>1</v>
      </c>
    </row>
    <row r="484">
      <c r="A484" t="n">
        <v>483</v>
      </c>
      <c r="B484" t="n">
        <v>28.9</v>
      </c>
      <c r="C484" t="n">
        <v>24.6</v>
      </c>
      <c r="D484" t="n">
        <v>22.9</v>
      </c>
      <c r="E484">
        <f>1</f>
        <v>1</v>
      </c>
      <c r="F484">
        <f>IF(OR(F_Custom1_Q="(None)",F_Custom1_Q="",ISBLANK(F_Custom1_Q),F_Custom1_V="(All)",F_Custom1_V="",ISBLANK(F_Custom1_V)),1,IFERROR(IF(ISNUMBER(SEARCH("|"&amp;INDEX(INDIRECT(F_Custom1_resolved_column),483)&amp;"|",F_Custom1_wrapped)),1,0),0))</f>
        <v>1</v>
      </c>
      <c r="G484">
        <f>IF(OR(F_Custom2_Q="(None)",F_Custom2_Q="",ISBLANK(F_Custom2_Q),F_Custom2_V="(All)",F_Custom2_V="",ISBLANK(F_Custom2_V)),1,IFERROR(IF(ISNUMBER(SEARCH("|"&amp;INDEX(INDIRECT(F_Custom2_resolved_column),483)&amp;"|",F_Custom2_wrapped)),1,0),0))</f>
        <v>1</v>
      </c>
      <c r="H484">
        <f>F484*G484*1</f>
        <v>1</v>
      </c>
      <c r="I484">
        <f>1</f>
        <v>1</v>
      </c>
      <c r="J4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483)&amp;"|",All_Questions_Q20_F_wrapped)),1,0),0))</f>
        <v>1</v>
      </c>
    </row>
    <row r="485">
      <c r="A485" t="n">
        <v>484</v>
      </c>
      <c r="B485" t="n">
        <v>28.9</v>
      </c>
      <c r="C485" t="n">
        <v>24.6</v>
      </c>
      <c r="D485" t="n">
        <v>22.9</v>
      </c>
      <c r="E485">
        <f>1</f>
        <v>1</v>
      </c>
      <c r="F485">
        <f>IF(OR(F_Custom1_Q="(None)",F_Custom1_Q="",ISBLANK(F_Custom1_Q),F_Custom1_V="(All)",F_Custom1_V="",ISBLANK(F_Custom1_V)),1,IFERROR(IF(ISNUMBER(SEARCH("|"&amp;INDEX(INDIRECT(F_Custom1_resolved_column),484)&amp;"|",F_Custom1_wrapped)),1,0),0))</f>
        <v>1</v>
      </c>
      <c r="G485">
        <f>IF(OR(F_Custom2_Q="(None)",F_Custom2_Q="",ISBLANK(F_Custom2_Q),F_Custom2_V="(All)",F_Custom2_V="",ISBLANK(F_Custom2_V)),1,IFERROR(IF(ISNUMBER(SEARCH("|"&amp;INDEX(INDIRECT(F_Custom2_resolved_column),484)&amp;"|",F_Custom2_wrapped)),1,0),0))</f>
        <v>1</v>
      </c>
      <c r="H485">
        <f>F485*G485*1</f>
        <v>1</v>
      </c>
      <c r="I485">
        <f>1</f>
        <v>1</v>
      </c>
      <c r="J4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484)&amp;"|",All_Questions_Q20_F_wrapped)),1,0),0))</f>
        <v>1</v>
      </c>
    </row>
    <row r="486">
      <c r="A486" t="n">
        <v>485</v>
      </c>
      <c r="B486" t="n">
        <v>28.9</v>
      </c>
      <c r="C486" t="n">
        <v>24.6</v>
      </c>
      <c r="D486" t="n">
        <v>22.9</v>
      </c>
      <c r="E486">
        <f>1</f>
        <v>1</v>
      </c>
      <c r="F486">
        <f>IF(OR(F_Custom1_Q="(None)",F_Custom1_Q="",ISBLANK(F_Custom1_Q),F_Custom1_V="(All)",F_Custom1_V="",ISBLANK(F_Custom1_V)),1,IFERROR(IF(ISNUMBER(SEARCH("|"&amp;INDEX(INDIRECT(F_Custom1_resolved_column),485)&amp;"|",F_Custom1_wrapped)),1,0),0))</f>
        <v>1</v>
      </c>
      <c r="G486">
        <f>IF(OR(F_Custom2_Q="(None)",F_Custom2_Q="",ISBLANK(F_Custom2_Q),F_Custom2_V="(All)",F_Custom2_V="",ISBLANK(F_Custom2_V)),1,IFERROR(IF(ISNUMBER(SEARCH("|"&amp;INDEX(INDIRECT(F_Custom2_resolved_column),485)&amp;"|",F_Custom2_wrapped)),1,0),0))</f>
        <v>1</v>
      </c>
      <c r="H486">
        <f>F486*G486*1</f>
        <v>1</v>
      </c>
      <c r="I486">
        <f>1</f>
        <v>1</v>
      </c>
      <c r="J4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485)&amp;"|",All_Questions_Q20_F_wrapped)),1,0),0))</f>
        <v>1</v>
      </c>
    </row>
    <row r="487">
      <c r="A487" t="n">
        <v>486</v>
      </c>
      <c r="B487" t="n">
        <v>28.9</v>
      </c>
      <c r="C487" t="n">
        <v>24.6</v>
      </c>
      <c r="D487" t="n">
        <v>22.9</v>
      </c>
      <c r="E487">
        <f>1</f>
        <v>1</v>
      </c>
      <c r="F487">
        <f>IF(OR(F_Custom1_Q="(None)",F_Custom1_Q="",ISBLANK(F_Custom1_Q),F_Custom1_V="(All)",F_Custom1_V="",ISBLANK(F_Custom1_V)),1,IFERROR(IF(ISNUMBER(SEARCH("|"&amp;INDEX(INDIRECT(F_Custom1_resolved_column),486)&amp;"|",F_Custom1_wrapped)),1,0),0))</f>
        <v>1</v>
      </c>
      <c r="G487">
        <f>IF(OR(F_Custom2_Q="(None)",F_Custom2_Q="",ISBLANK(F_Custom2_Q),F_Custom2_V="(All)",F_Custom2_V="",ISBLANK(F_Custom2_V)),1,IFERROR(IF(ISNUMBER(SEARCH("|"&amp;INDEX(INDIRECT(F_Custom2_resolved_column),486)&amp;"|",F_Custom2_wrapped)),1,0),0))</f>
        <v>1</v>
      </c>
      <c r="H487">
        <f>F487*G487*1</f>
        <v>1</v>
      </c>
      <c r="I487">
        <f>1</f>
        <v>1</v>
      </c>
      <c r="J4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486)&amp;"|",All_Questions_Q20_F_wrapped)),1,0),0))</f>
        <v>1</v>
      </c>
    </row>
    <row r="488">
      <c r="A488" t="n">
        <v>487</v>
      </c>
      <c r="B488" t="n">
        <v>28.9</v>
      </c>
      <c r="C488" t="n">
        <v>24.6</v>
      </c>
      <c r="D488" t="n">
        <v>22.9</v>
      </c>
      <c r="E488">
        <f>1</f>
        <v>1</v>
      </c>
      <c r="F488">
        <f>IF(OR(F_Custom1_Q="(None)",F_Custom1_Q="",ISBLANK(F_Custom1_Q),F_Custom1_V="(All)",F_Custom1_V="",ISBLANK(F_Custom1_V)),1,IFERROR(IF(ISNUMBER(SEARCH("|"&amp;INDEX(INDIRECT(F_Custom1_resolved_column),487)&amp;"|",F_Custom1_wrapped)),1,0),0))</f>
        <v>1</v>
      </c>
      <c r="G488">
        <f>IF(OR(F_Custom2_Q="(None)",F_Custom2_Q="",ISBLANK(F_Custom2_Q),F_Custom2_V="(All)",F_Custom2_V="",ISBLANK(F_Custom2_V)),1,IFERROR(IF(ISNUMBER(SEARCH("|"&amp;INDEX(INDIRECT(F_Custom2_resolved_column),487)&amp;"|",F_Custom2_wrapped)),1,0),0))</f>
        <v>1</v>
      </c>
      <c r="H488">
        <f>F488*G488*1</f>
        <v>1</v>
      </c>
      <c r="I488">
        <f>1</f>
        <v>1</v>
      </c>
      <c r="J4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487)&amp;"|",All_Questions_Q20_F_wrapped)),1,0),0))</f>
        <v>1</v>
      </c>
    </row>
    <row r="489">
      <c r="A489" t="n">
        <v>488</v>
      </c>
      <c r="B489" t="n">
        <v>28.9</v>
      </c>
      <c r="C489" t="n">
        <v>24.6</v>
      </c>
      <c r="D489" t="n">
        <v>22.9</v>
      </c>
      <c r="E489">
        <f>1</f>
        <v>1</v>
      </c>
      <c r="F489">
        <f>IF(OR(F_Custom1_Q="(None)",F_Custom1_Q="",ISBLANK(F_Custom1_Q),F_Custom1_V="(All)",F_Custom1_V="",ISBLANK(F_Custom1_V)),1,IFERROR(IF(ISNUMBER(SEARCH("|"&amp;INDEX(INDIRECT(F_Custom1_resolved_column),488)&amp;"|",F_Custom1_wrapped)),1,0),0))</f>
        <v>1</v>
      </c>
      <c r="G489">
        <f>IF(OR(F_Custom2_Q="(None)",F_Custom2_Q="",ISBLANK(F_Custom2_Q),F_Custom2_V="(All)",F_Custom2_V="",ISBLANK(F_Custom2_V)),1,IFERROR(IF(ISNUMBER(SEARCH("|"&amp;INDEX(INDIRECT(F_Custom2_resolved_column),488)&amp;"|",F_Custom2_wrapped)),1,0),0))</f>
        <v>1</v>
      </c>
      <c r="H489">
        <f>F489*G489*1</f>
        <v>1</v>
      </c>
      <c r="I489">
        <f>1</f>
        <v>1</v>
      </c>
      <c r="J4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488)&amp;"|",All_Questions_Q20_F_wrapped)),1,0),0))</f>
        <v>1</v>
      </c>
    </row>
    <row r="490">
      <c r="A490" t="n">
        <v>489</v>
      </c>
      <c r="B490" t="n">
        <v>28.9</v>
      </c>
      <c r="C490" t="n">
        <v>24.6</v>
      </c>
      <c r="D490" t="n">
        <v>22.9</v>
      </c>
      <c r="E490">
        <f>1</f>
        <v>1</v>
      </c>
      <c r="F490">
        <f>IF(OR(F_Custom1_Q="(None)",F_Custom1_Q="",ISBLANK(F_Custom1_Q),F_Custom1_V="(All)",F_Custom1_V="",ISBLANK(F_Custom1_V)),1,IFERROR(IF(ISNUMBER(SEARCH("|"&amp;INDEX(INDIRECT(F_Custom1_resolved_column),489)&amp;"|",F_Custom1_wrapped)),1,0),0))</f>
        <v>1</v>
      </c>
      <c r="G490">
        <f>IF(OR(F_Custom2_Q="(None)",F_Custom2_Q="",ISBLANK(F_Custom2_Q),F_Custom2_V="(All)",F_Custom2_V="",ISBLANK(F_Custom2_V)),1,IFERROR(IF(ISNUMBER(SEARCH("|"&amp;INDEX(INDIRECT(F_Custom2_resolved_column),489)&amp;"|",F_Custom2_wrapped)),1,0),0))</f>
        <v>1</v>
      </c>
      <c r="H490">
        <f>F490*G490*1</f>
        <v>1</v>
      </c>
      <c r="I490">
        <f>1</f>
        <v>1</v>
      </c>
      <c r="J4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489)&amp;"|",All_Questions_Q20_F_wrapped)),1,0),0))</f>
        <v>1</v>
      </c>
    </row>
    <row r="491">
      <c r="A491" t="n">
        <v>490</v>
      </c>
      <c r="B491" t="n">
        <v>28.9</v>
      </c>
      <c r="C491" t="n">
        <v>24.6</v>
      </c>
      <c r="D491" t="n">
        <v>22.9</v>
      </c>
      <c r="E491">
        <f>1</f>
        <v>1</v>
      </c>
      <c r="F491">
        <f>IF(OR(F_Custom1_Q="(None)",F_Custom1_Q="",ISBLANK(F_Custom1_Q),F_Custom1_V="(All)",F_Custom1_V="",ISBLANK(F_Custom1_V)),1,IFERROR(IF(ISNUMBER(SEARCH("|"&amp;INDEX(INDIRECT(F_Custom1_resolved_column),490)&amp;"|",F_Custom1_wrapped)),1,0),0))</f>
        <v>1</v>
      </c>
      <c r="G491">
        <f>IF(OR(F_Custom2_Q="(None)",F_Custom2_Q="",ISBLANK(F_Custom2_Q),F_Custom2_V="(All)",F_Custom2_V="",ISBLANK(F_Custom2_V)),1,IFERROR(IF(ISNUMBER(SEARCH("|"&amp;INDEX(INDIRECT(F_Custom2_resolved_column),490)&amp;"|",F_Custom2_wrapped)),1,0),0))</f>
        <v>1</v>
      </c>
      <c r="H491">
        <f>F491*G491*1</f>
        <v>1</v>
      </c>
      <c r="I491">
        <f>1</f>
        <v>1</v>
      </c>
      <c r="J4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490)&amp;"|",All_Questions_Q20_F_wrapped)),1,0),0))</f>
        <v>1</v>
      </c>
    </row>
    <row r="492">
      <c r="A492" t="n">
        <v>491</v>
      </c>
      <c r="B492" t="n">
        <v>28.9</v>
      </c>
      <c r="C492" t="n">
        <v>24.6</v>
      </c>
      <c r="D492" t="n">
        <v>22.9</v>
      </c>
      <c r="E492">
        <f>1</f>
        <v>1</v>
      </c>
      <c r="F492">
        <f>IF(OR(F_Custom1_Q="(None)",F_Custom1_Q="",ISBLANK(F_Custom1_Q),F_Custom1_V="(All)",F_Custom1_V="",ISBLANK(F_Custom1_V)),1,IFERROR(IF(ISNUMBER(SEARCH("|"&amp;INDEX(INDIRECT(F_Custom1_resolved_column),491)&amp;"|",F_Custom1_wrapped)),1,0),0))</f>
        <v>1</v>
      </c>
      <c r="G492">
        <f>IF(OR(F_Custom2_Q="(None)",F_Custom2_Q="",ISBLANK(F_Custom2_Q),F_Custom2_V="(All)",F_Custom2_V="",ISBLANK(F_Custom2_V)),1,IFERROR(IF(ISNUMBER(SEARCH("|"&amp;INDEX(INDIRECT(F_Custom2_resolved_column),491)&amp;"|",F_Custom2_wrapped)),1,0),0))</f>
        <v>1</v>
      </c>
      <c r="H492">
        <f>F492*G492*1</f>
        <v>1</v>
      </c>
      <c r="I492">
        <f>1</f>
        <v>1</v>
      </c>
      <c r="J4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491)&amp;"|",All_Questions_Q20_F_wrapped)),1,0),0))</f>
        <v>1</v>
      </c>
    </row>
    <row r="493">
      <c r="A493" t="n">
        <v>492</v>
      </c>
      <c r="B493" t="n">
        <v>28.9</v>
      </c>
      <c r="C493" t="n">
        <v>24.6</v>
      </c>
      <c r="D493" t="n">
        <v>22.9</v>
      </c>
      <c r="E493">
        <f>1</f>
        <v>1</v>
      </c>
      <c r="F493">
        <f>IF(OR(F_Custom1_Q="(None)",F_Custom1_Q="",ISBLANK(F_Custom1_Q),F_Custom1_V="(All)",F_Custom1_V="",ISBLANK(F_Custom1_V)),1,IFERROR(IF(ISNUMBER(SEARCH("|"&amp;INDEX(INDIRECT(F_Custom1_resolved_column),492)&amp;"|",F_Custom1_wrapped)),1,0),0))</f>
        <v>1</v>
      </c>
      <c r="G493">
        <f>IF(OR(F_Custom2_Q="(None)",F_Custom2_Q="",ISBLANK(F_Custom2_Q),F_Custom2_V="(All)",F_Custom2_V="",ISBLANK(F_Custom2_V)),1,IFERROR(IF(ISNUMBER(SEARCH("|"&amp;INDEX(INDIRECT(F_Custom2_resolved_column),492)&amp;"|",F_Custom2_wrapped)),1,0),0))</f>
        <v>1</v>
      </c>
      <c r="H493">
        <f>F493*G493*1</f>
        <v>1</v>
      </c>
      <c r="I493">
        <f>1</f>
        <v>1</v>
      </c>
      <c r="J4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492)&amp;"|",All_Questions_Q20_F_wrapped)),1,0),0))</f>
        <v>1</v>
      </c>
    </row>
    <row r="494">
      <c r="A494" t="n">
        <v>493</v>
      </c>
      <c r="B494" t="n">
        <v>28.9</v>
      </c>
      <c r="C494" t="n">
        <v>24.6</v>
      </c>
      <c r="D494" t="n">
        <v>22.9</v>
      </c>
      <c r="E494">
        <f>1</f>
        <v>1</v>
      </c>
      <c r="F494">
        <f>IF(OR(F_Custom1_Q="(None)",F_Custom1_Q="",ISBLANK(F_Custom1_Q),F_Custom1_V="(All)",F_Custom1_V="",ISBLANK(F_Custom1_V)),1,IFERROR(IF(ISNUMBER(SEARCH("|"&amp;INDEX(INDIRECT(F_Custom1_resolved_column),493)&amp;"|",F_Custom1_wrapped)),1,0),0))</f>
        <v>1</v>
      </c>
      <c r="G494">
        <f>IF(OR(F_Custom2_Q="(None)",F_Custom2_Q="",ISBLANK(F_Custom2_Q),F_Custom2_V="(All)",F_Custom2_V="",ISBLANK(F_Custom2_V)),1,IFERROR(IF(ISNUMBER(SEARCH("|"&amp;INDEX(INDIRECT(F_Custom2_resolved_column),493)&amp;"|",F_Custom2_wrapped)),1,0),0))</f>
        <v>1</v>
      </c>
      <c r="H494">
        <f>F494*G494*1</f>
        <v>1</v>
      </c>
      <c r="I494">
        <f>1</f>
        <v>1</v>
      </c>
      <c r="J4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493)&amp;"|",All_Questions_Q20_F_wrapped)),1,0),0))</f>
        <v>1</v>
      </c>
    </row>
    <row r="495">
      <c r="A495" t="n">
        <v>494</v>
      </c>
      <c r="B495" t="n">
        <v>28.9</v>
      </c>
      <c r="C495" t="n">
        <v>24.6</v>
      </c>
      <c r="D495" t="n">
        <v>22.9</v>
      </c>
      <c r="E495">
        <f>1</f>
        <v>1</v>
      </c>
      <c r="F495">
        <f>IF(OR(F_Custom1_Q="(None)",F_Custom1_Q="",ISBLANK(F_Custom1_Q),F_Custom1_V="(All)",F_Custom1_V="",ISBLANK(F_Custom1_V)),1,IFERROR(IF(ISNUMBER(SEARCH("|"&amp;INDEX(INDIRECT(F_Custom1_resolved_column),494)&amp;"|",F_Custom1_wrapped)),1,0),0))</f>
        <v>1</v>
      </c>
      <c r="G495">
        <f>IF(OR(F_Custom2_Q="(None)",F_Custom2_Q="",ISBLANK(F_Custom2_Q),F_Custom2_V="(All)",F_Custom2_V="",ISBLANK(F_Custom2_V)),1,IFERROR(IF(ISNUMBER(SEARCH("|"&amp;INDEX(INDIRECT(F_Custom2_resolved_column),494)&amp;"|",F_Custom2_wrapped)),1,0),0))</f>
        <v>1</v>
      </c>
      <c r="H495">
        <f>F495*G495*1</f>
        <v>1</v>
      </c>
      <c r="I495">
        <f>1</f>
        <v>1</v>
      </c>
      <c r="J4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494)&amp;"|",All_Questions_Q20_F_wrapped)),1,0),0))</f>
        <v>1</v>
      </c>
    </row>
    <row r="496">
      <c r="A496" t="n">
        <v>495</v>
      </c>
      <c r="B496" t="n">
        <v>28.9</v>
      </c>
      <c r="C496" t="n">
        <v>24.6</v>
      </c>
      <c r="D496" t="n">
        <v>22.9</v>
      </c>
      <c r="E496">
        <f>1</f>
        <v>1</v>
      </c>
      <c r="F496">
        <f>IF(OR(F_Custom1_Q="(None)",F_Custom1_Q="",ISBLANK(F_Custom1_Q),F_Custom1_V="(All)",F_Custom1_V="",ISBLANK(F_Custom1_V)),1,IFERROR(IF(ISNUMBER(SEARCH("|"&amp;INDEX(INDIRECT(F_Custom1_resolved_column),495)&amp;"|",F_Custom1_wrapped)),1,0),0))</f>
        <v>1</v>
      </c>
      <c r="G496">
        <f>IF(OR(F_Custom2_Q="(None)",F_Custom2_Q="",ISBLANK(F_Custom2_Q),F_Custom2_V="(All)",F_Custom2_V="",ISBLANK(F_Custom2_V)),1,IFERROR(IF(ISNUMBER(SEARCH("|"&amp;INDEX(INDIRECT(F_Custom2_resolved_column),495)&amp;"|",F_Custom2_wrapped)),1,0),0))</f>
        <v>1</v>
      </c>
      <c r="H496">
        <f>F496*G496*1</f>
        <v>1</v>
      </c>
      <c r="I496">
        <f>1</f>
        <v>1</v>
      </c>
      <c r="J4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495)&amp;"|",All_Questions_Q20_F_wrapped)),1,0),0))</f>
        <v>1</v>
      </c>
    </row>
    <row r="497">
      <c r="A497" t="n">
        <v>496</v>
      </c>
      <c r="B497" t="n">
        <v>28.9</v>
      </c>
      <c r="C497" t="n">
        <v>24.6</v>
      </c>
      <c r="D497" t="n">
        <v>22.9</v>
      </c>
      <c r="E497">
        <f>1</f>
        <v>1</v>
      </c>
      <c r="F497">
        <f>IF(OR(F_Custom1_Q="(None)",F_Custom1_Q="",ISBLANK(F_Custom1_Q),F_Custom1_V="(All)",F_Custom1_V="",ISBLANK(F_Custom1_V)),1,IFERROR(IF(ISNUMBER(SEARCH("|"&amp;INDEX(INDIRECT(F_Custom1_resolved_column),496)&amp;"|",F_Custom1_wrapped)),1,0),0))</f>
        <v>1</v>
      </c>
      <c r="G497">
        <f>IF(OR(F_Custom2_Q="(None)",F_Custom2_Q="",ISBLANK(F_Custom2_Q),F_Custom2_V="(All)",F_Custom2_V="",ISBLANK(F_Custom2_V)),1,IFERROR(IF(ISNUMBER(SEARCH("|"&amp;INDEX(INDIRECT(F_Custom2_resolved_column),496)&amp;"|",F_Custom2_wrapped)),1,0),0))</f>
        <v>1</v>
      </c>
      <c r="H497">
        <f>F497*G497*1</f>
        <v>1</v>
      </c>
      <c r="I497">
        <f>1</f>
        <v>1</v>
      </c>
      <c r="J4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496)&amp;"|",All_Questions_Q20_F_wrapped)),1,0),0))</f>
        <v>1</v>
      </c>
    </row>
    <row r="498">
      <c r="A498" t="n">
        <v>497</v>
      </c>
      <c r="B498" t="n">
        <v>28.9</v>
      </c>
      <c r="C498" t="n">
        <v>24.6</v>
      </c>
      <c r="D498" t="n">
        <v>22.9</v>
      </c>
      <c r="E498">
        <f>1</f>
        <v>1</v>
      </c>
      <c r="F498">
        <f>IF(OR(F_Custom1_Q="(None)",F_Custom1_Q="",ISBLANK(F_Custom1_Q),F_Custom1_V="(All)",F_Custom1_V="",ISBLANK(F_Custom1_V)),1,IFERROR(IF(ISNUMBER(SEARCH("|"&amp;INDEX(INDIRECT(F_Custom1_resolved_column),497)&amp;"|",F_Custom1_wrapped)),1,0),0))</f>
        <v>1</v>
      </c>
      <c r="G498">
        <f>IF(OR(F_Custom2_Q="(None)",F_Custom2_Q="",ISBLANK(F_Custom2_Q),F_Custom2_V="(All)",F_Custom2_V="",ISBLANK(F_Custom2_V)),1,IFERROR(IF(ISNUMBER(SEARCH("|"&amp;INDEX(INDIRECT(F_Custom2_resolved_column),497)&amp;"|",F_Custom2_wrapped)),1,0),0))</f>
        <v>1</v>
      </c>
      <c r="H498">
        <f>F498*G498*1</f>
        <v>1</v>
      </c>
      <c r="I498">
        <f>1</f>
        <v>1</v>
      </c>
      <c r="J4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497)&amp;"|",All_Questions_Q20_F_wrapped)),1,0),0))</f>
        <v>1</v>
      </c>
    </row>
    <row r="499">
      <c r="A499" t="n">
        <v>498</v>
      </c>
      <c r="B499" t="n">
        <v>28.9</v>
      </c>
      <c r="C499" t="n">
        <v>24.6</v>
      </c>
      <c r="D499" t="n">
        <v>22.9</v>
      </c>
      <c r="E499">
        <f>1</f>
        <v>1</v>
      </c>
      <c r="F499">
        <f>IF(OR(F_Custom1_Q="(None)",F_Custom1_Q="",ISBLANK(F_Custom1_Q),F_Custom1_V="(All)",F_Custom1_V="",ISBLANK(F_Custom1_V)),1,IFERROR(IF(ISNUMBER(SEARCH("|"&amp;INDEX(INDIRECT(F_Custom1_resolved_column),498)&amp;"|",F_Custom1_wrapped)),1,0),0))</f>
        <v>1</v>
      </c>
      <c r="G499">
        <f>IF(OR(F_Custom2_Q="(None)",F_Custom2_Q="",ISBLANK(F_Custom2_Q),F_Custom2_V="(All)",F_Custom2_V="",ISBLANK(F_Custom2_V)),1,IFERROR(IF(ISNUMBER(SEARCH("|"&amp;INDEX(INDIRECT(F_Custom2_resolved_column),498)&amp;"|",F_Custom2_wrapped)),1,0),0))</f>
        <v>1</v>
      </c>
      <c r="H499">
        <f>F499*G499*1</f>
        <v>1</v>
      </c>
      <c r="I499">
        <f>1</f>
        <v>1</v>
      </c>
      <c r="J4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498)&amp;"|",All_Questions_Q20_F_wrapped)),1,0),0))</f>
        <v>1</v>
      </c>
    </row>
    <row r="500">
      <c r="A500" t="n">
        <v>499</v>
      </c>
      <c r="B500" t="n">
        <v>28.9</v>
      </c>
      <c r="C500" t="n">
        <v>24.6</v>
      </c>
      <c r="D500" t="n">
        <v>22.9</v>
      </c>
      <c r="E500">
        <f>1</f>
        <v>1</v>
      </c>
      <c r="F500">
        <f>IF(OR(F_Custom1_Q="(None)",F_Custom1_Q="",ISBLANK(F_Custom1_Q),F_Custom1_V="(All)",F_Custom1_V="",ISBLANK(F_Custom1_V)),1,IFERROR(IF(ISNUMBER(SEARCH("|"&amp;INDEX(INDIRECT(F_Custom1_resolved_column),499)&amp;"|",F_Custom1_wrapped)),1,0),0))</f>
        <v>1</v>
      </c>
      <c r="G500">
        <f>IF(OR(F_Custom2_Q="(None)",F_Custom2_Q="",ISBLANK(F_Custom2_Q),F_Custom2_V="(All)",F_Custom2_V="",ISBLANK(F_Custom2_V)),1,IFERROR(IF(ISNUMBER(SEARCH("|"&amp;INDEX(INDIRECT(F_Custom2_resolved_column),499)&amp;"|",F_Custom2_wrapped)),1,0),0))</f>
        <v>1</v>
      </c>
      <c r="H500">
        <f>F500*G500*1</f>
        <v>1</v>
      </c>
      <c r="I500">
        <f>1</f>
        <v>1</v>
      </c>
      <c r="J5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499)&amp;"|",All_Questions_Q20_F_wrapped)),1,0),0))</f>
        <v>1</v>
      </c>
    </row>
    <row r="501">
      <c r="A501" t="n">
        <v>500</v>
      </c>
      <c r="B501" t="n">
        <v>28.9</v>
      </c>
      <c r="C501" t="n">
        <v>24.6</v>
      </c>
      <c r="D501" t="n">
        <v>22.9</v>
      </c>
      <c r="E501">
        <f>1</f>
        <v>1</v>
      </c>
      <c r="F501">
        <f>IF(OR(F_Custom1_Q="(None)",F_Custom1_Q="",ISBLANK(F_Custom1_Q),F_Custom1_V="(All)",F_Custom1_V="",ISBLANK(F_Custom1_V)),1,IFERROR(IF(ISNUMBER(SEARCH("|"&amp;INDEX(INDIRECT(F_Custom1_resolved_column),500)&amp;"|",F_Custom1_wrapped)),1,0),0))</f>
        <v>1</v>
      </c>
      <c r="G501">
        <f>IF(OR(F_Custom2_Q="(None)",F_Custom2_Q="",ISBLANK(F_Custom2_Q),F_Custom2_V="(All)",F_Custom2_V="",ISBLANK(F_Custom2_V)),1,IFERROR(IF(ISNUMBER(SEARCH("|"&amp;INDEX(INDIRECT(F_Custom2_resolved_column),500)&amp;"|",F_Custom2_wrapped)),1,0),0))</f>
        <v>1</v>
      </c>
      <c r="H501">
        <f>F501*G501*1</f>
        <v>1</v>
      </c>
      <c r="I501">
        <f>1</f>
        <v>1</v>
      </c>
      <c r="J5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500)&amp;"|",All_Questions_Q20_F_wrapped)),1,0),0))</f>
        <v>1</v>
      </c>
    </row>
    <row r="502">
      <c r="A502" t="n">
        <v>501</v>
      </c>
      <c r="B502" t="n">
        <v>28.9</v>
      </c>
      <c r="C502" t="n">
        <v>24.6</v>
      </c>
      <c r="D502" t="n">
        <v>22.9</v>
      </c>
      <c r="E502">
        <f>1</f>
        <v>1</v>
      </c>
      <c r="F502">
        <f>IF(OR(F_Custom1_Q="(None)",F_Custom1_Q="",ISBLANK(F_Custom1_Q),F_Custom1_V="(All)",F_Custom1_V="",ISBLANK(F_Custom1_V)),1,IFERROR(IF(ISNUMBER(SEARCH("|"&amp;INDEX(INDIRECT(F_Custom1_resolved_column),501)&amp;"|",F_Custom1_wrapped)),1,0),0))</f>
        <v>1</v>
      </c>
      <c r="G502">
        <f>IF(OR(F_Custom2_Q="(None)",F_Custom2_Q="",ISBLANK(F_Custom2_Q),F_Custom2_V="(All)",F_Custom2_V="",ISBLANK(F_Custom2_V)),1,IFERROR(IF(ISNUMBER(SEARCH("|"&amp;INDEX(INDIRECT(F_Custom2_resolved_column),501)&amp;"|",F_Custom2_wrapped)),1,0),0))</f>
        <v>1</v>
      </c>
      <c r="H502">
        <f>F502*G502*1</f>
        <v>1</v>
      </c>
      <c r="I502">
        <f>1</f>
        <v>1</v>
      </c>
      <c r="J5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501)&amp;"|",All_Questions_Q20_F_wrapped)),1,0),0))</f>
        <v>1</v>
      </c>
    </row>
    <row r="503">
      <c r="A503" t="n">
        <v>502</v>
      </c>
      <c r="B503" t="n">
        <v>28.9</v>
      </c>
      <c r="C503" t="n">
        <v>24.6</v>
      </c>
      <c r="D503" t="n">
        <v>22.9</v>
      </c>
      <c r="E503">
        <f>1</f>
        <v>1</v>
      </c>
      <c r="F503">
        <f>IF(OR(F_Custom1_Q="(None)",F_Custom1_Q="",ISBLANK(F_Custom1_Q),F_Custom1_V="(All)",F_Custom1_V="",ISBLANK(F_Custom1_V)),1,IFERROR(IF(ISNUMBER(SEARCH("|"&amp;INDEX(INDIRECT(F_Custom1_resolved_column),502)&amp;"|",F_Custom1_wrapped)),1,0),0))</f>
        <v>1</v>
      </c>
      <c r="G503">
        <f>IF(OR(F_Custom2_Q="(None)",F_Custom2_Q="",ISBLANK(F_Custom2_Q),F_Custom2_V="(All)",F_Custom2_V="",ISBLANK(F_Custom2_V)),1,IFERROR(IF(ISNUMBER(SEARCH("|"&amp;INDEX(INDIRECT(F_Custom2_resolved_column),502)&amp;"|",F_Custom2_wrapped)),1,0),0))</f>
        <v>1</v>
      </c>
      <c r="H503">
        <f>F503*G503*1</f>
        <v>1</v>
      </c>
      <c r="I503">
        <f>1</f>
        <v>1</v>
      </c>
      <c r="J5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502)&amp;"|",All_Questions_Q20_F_wrapped)),1,0),0))</f>
        <v>1</v>
      </c>
    </row>
    <row r="504">
      <c r="A504" t="n">
        <v>503</v>
      </c>
      <c r="B504" t="n">
        <v>28.9</v>
      </c>
      <c r="C504" t="n">
        <v>24.6</v>
      </c>
      <c r="D504" t="n">
        <v>22.9</v>
      </c>
      <c r="E504">
        <f>1</f>
        <v>1</v>
      </c>
      <c r="F504">
        <f>IF(OR(F_Custom1_Q="(None)",F_Custom1_Q="",ISBLANK(F_Custom1_Q),F_Custom1_V="(All)",F_Custom1_V="",ISBLANK(F_Custom1_V)),1,IFERROR(IF(ISNUMBER(SEARCH("|"&amp;INDEX(INDIRECT(F_Custom1_resolved_column),503)&amp;"|",F_Custom1_wrapped)),1,0),0))</f>
        <v>1</v>
      </c>
      <c r="G504">
        <f>IF(OR(F_Custom2_Q="(None)",F_Custom2_Q="",ISBLANK(F_Custom2_Q),F_Custom2_V="(All)",F_Custom2_V="",ISBLANK(F_Custom2_V)),1,IFERROR(IF(ISNUMBER(SEARCH("|"&amp;INDEX(INDIRECT(F_Custom2_resolved_column),503)&amp;"|",F_Custom2_wrapped)),1,0),0))</f>
        <v>1</v>
      </c>
      <c r="H504">
        <f>F504*G504*1</f>
        <v>1</v>
      </c>
      <c r="I504">
        <f>1</f>
        <v>1</v>
      </c>
      <c r="J5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503)&amp;"|",All_Questions_Q20_F_wrapped)),1,0),0))</f>
        <v>1</v>
      </c>
    </row>
    <row r="505">
      <c r="A505" t="n">
        <v>504</v>
      </c>
      <c r="B505" t="n">
        <v>28.9</v>
      </c>
      <c r="C505" t="n">
        <v>24.6</v>
      </c>
      <c r="D505" t="n">
        <v>22.9</v>
      </c>
      <c r="E505">
        <f>1</f>
        <v>1</v>
      </c>
      <c r="F505">
        <f>IF(OR(F_Custom1_Q="(None)",F_Custom1_Q="",ISBLANK(F_Custom1_Q),F_Custom1_V="(All)",F_Custom1_V="",ISBLANK(F_Custom1_V)),1,IFERROR(IF(ISNUMBER(SEARCH("|"&amp;INDEX(INDIRECT(F_Custom1_resolved_column),504)&amp;"|",F_Custom1_wrapped)),1,0),0))</f>
        <v>1</v>
      </c>
      <c r="G505">
        <f>IF(OR(F_Custom2_Q="(None)",F_Custom2_Q="",ISBLANK(F_Custom2_Q),F_Custom2_V="(All)",F_Custom2_V="",ISBLANK(F_Custom2_V)),1,IFERROR(IF(ISNUMBER(SEARCH("|"&amp;INDEX(INDIRECT(F_Custom2_resolved_column),504)&amp;"|",F_Custom2_wrapped)),1,0),0))</f>
        <v>1</v>
      </c>
      <c r="H505">
        <f>F505*G505*1</f>
        <v>1</v>
      </c>
      <c r="I505">
        <f>1</f>
        <v>1</v>
      </c>
      <c r="J5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504)&amp;"|",All_Questions_Q20_F_wrapped)),1,0),0))</f>
        <v>1</v>
      </c>
    </row>
    <row r="506">
      <c r="A506" t="n">
        <v>505</v>
      </c>
      <c r="B506" t="n">
        <v>28.9</v>
      </c>
      <c r="C506" t="n">
        <v>24.6</v>
      </c>
      <c r="D506" t="n">
        <v>22.9</v>
      </c>
      <c r="E506">
        <f>1</f>
        <v>1</v>
      </c>
      <c r="F506">
        <f>IF(OR(F_Custom1_Q="(None)",F_Custom1_Q="",ISBLANK(F_Custom1_Q),F_Custom1_V="(All)",F_Custom1_V="",ISBLANK(F_Custom1_V)),1,IFERROR(IF(ISNUMBER(SEARCH("|"&amp;INDEX(INDIRECT(F_Custom1_resolved_column),505)&amp;"|",F_Custom1_wrapped)),1,0),0))</f>
        <v>1</v>
      </c>
      <c r="G506">
        <f>IF(OR(F_Custom2_Q="(None)",F_Custom2_Q="",ISBLANK(F_Custom2_Q),F_Custom2_V="(All)",F_Custom2_V="",ISBLANK(F_Custom2_V)),1,IFERROR(IF(ISNUMBER(SEARCH("|"&amp;INDEX(INDIRECT(F_Custom2_resolved_column),505)&amp;"|",F_Custom2_wrapped)),1,0),0))</f>
        <v>1</v>
      </c>
      <c r="H506">
        <f>F506*G506*1</f>
        <v>1</v>
      </c>
      <c r="I506">
        <f>1</f>
        <v>1</v>
      </c>
      <c r="J5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505)&amp;"|",All_Questions_Q20_F_wrapped)),1,0),0))</f>
        <v>1</v>
      </c>
    </row>
    <row r="507">
      <c r="A507" t="n">
        <v>506</v>
      </c>
      <c r="B507" t="n">
        <v>28.9</v>
      </c>
      <c r="C507" t="n">
        <v>24.6</v>
      </c>
      <c r="D507" t="n">
        <v>22.9</v>
      </c>
      <c r="E507">
        <f>1</f>
        <v>1</v>
      </c>
      <c r="F507">
        <f>IF(OR(F_Custom1_Q="(None)",F_Custom1_Q="",ISBLANK(F_Custom1_Q),F_Custom1_V="(All)",F_Custom1_V="",ISBLANK(F_Custom1_V)),1,IFERROR(IF(ISNUMBER(SEARCH("|"&amp;INDEX(INDIRECT(F_Custom1_resolved_column),506)&amp;"|",F_Custom1_wrapped)),1,0),0))</f>
        <v>1</v>
      </c>
      <c r="G507">
        <f>IF(OR(F_Custom2_Q="(None)",F_Custom2_Q="",ISBLANK(F_Custom2_Q),F_Custom2_V="(All)",F_Custom2_V="",ISBLANK(F_Custom2_V)),1,IFERROR(IF(ISNUMBER(SEARCH("|"&amp;INDEX(INDIRECT(F_Custom2_resolved_column),506)&amp;"|",F_Custom2_wrapped)),1,0),0))</f>
        <v>1</v>
      </c>
      <c r="H507">
        <f>F507*G507*1</f>
        <v>1</v>
      </c>
      <c r="I507">
        <f>1</f>
        <v>1</v>
      </c>
      <c r="J5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506)&amp;"|",All_Questions_Q20_F_wrapped)),1,0),0))</f>
        <v>1</v>
      </c>
    </row>
    <row r="508">
      <c r="A508" t="n">
        <v>507</v>
      </c>
      <c r="B508" t="n">
        <v>28.9</v>
      </c>
      <c r="C508" t="n">
        <v>24.6</v>
      </c>
      <c r="D508" t="n">
        <v>22.9</v>
      </c>
      <c r="E508">
        <f>1</f>
        <v>1</v>
      </c>
      <c r="F508">
        <f>IF(OR(F_Custom1_Q="(None)",F_Custom1_Q="",ISBLANK(F_Custom1_Q),F_Custom1_V="(All)",F_Custom1_V="",ISBLANK(F_Custom1_V)),1,IFERROR(IF(ISNUMBER(SEARCH("|"&amp;INDEX(INDIRECT(F_Custom1_resolved_column),507)&amp;"|",F_Custom1_wrapped)),1,0),0))</f>
        <v>1</v>
      </c>
      <c r="G508">
        <f>IF(OR(F_Custom2_Q="(None)",F_Custom2_Q="",ISBLANK(F_Custom2_Q),F_Custom2_V="(All)",F_Custom2_V="",ISBLANK(F_Custom2_V)),1,IFERROR(IF(ISNUMBER(SEARCH("|"&amp;INDEX(INDIRECT(F_Custom2_resolved_column),507)&amp;"|",F_Custom2_wrapped)),1,0),0))</f>
        <v>1</v>
      </c>
      <c r="H508">
        <f>F508*G508*1</f>
        <v>1</v>
      </c>
      <c r="I508">
        <f>1</f>
        <v>1</v>
      </c>
      <c r="J5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507)&amp;"|",All_Questions_Q20_F_wrapped)),1,0),0))</f>
        <v>1</v>
      </c>
    </row>
    <row r="509">
      <c r="A509" t="n">
        <v>508</v>
      </c>
      <c r="B509" t="n">
        <v>28.9</v>
      </c>
      <c r="C509" t="n">
        <v>24.6</v>
      </c>
      <c r="D509" t="n">
        <v>22.9</v>
      </c>
      <c r="E509">
        <f>1</f>
        <v>1</v>
      </c>
      <c r="F509">
        <f>IF(OR(F_Custom1_Q="(None)",F_Custom1_Q="",ISBLANK(F_Custom1_Q),F_Custom1_V="(All)",F_Custom1_V="",ISBLANK(F_Custom1_V)),1,IFERROR(IF(ISNUMBER(SEARCH("|"&amp;INDEX(INDIRECT(F_Custom1_resolved_column),508)&amp;"|",F_Custom1_wrapped)),1,0),0))</f>
        <v>1</v>
      </c>
      <c r="G509">
        <f>IF(OR(F_Custom2_Q="(None)",F_Custom2_Q="",ISBLANK(F_Custom2_Q),F_Custom2_V="(All)",F_Custom2_V="",ISBLANK(F_Custom2_V)),1,IFERROR(IF(ISNUMBER(SEARCH("|"&amp;INDEX(INDIRECT(F_Custom2_resolved_column),508)&amp;"|",F_Custom2_wrapped)),1,0),0))</f>
        <v>1</v>
      </c>
      <c r="H509">
        <f>F509*G509*1</f>
        <v>1</v>
      </c>
      <c r="I509">
        <f>1</f>
        <v>1</v>
      </c>
      <c r="J5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508)&amp;"|",All_Questions_Q20_F_wrapped)),1,0),0))</f>
        <v>1</v>
      </c>
    </row>
    <row r="510">
      <c r="A510" t="n">
        <v>509</v>
      </c>
      <c r="B510" t="n">
        <v>28.9</v>
      </c>
      <c r="C510" t="n">
        <v>24.6</v>
      </c>
      <c r="D510" t="n">
        <v>22.9</v>
      </c>
      <c r="E510">
        <f>1</f>
        <v>1</v>
      </c>
      <c r="F510">
        <f>IF(OR(F_Custom1_Q="(None)",F_Custom1_Q="",ISBLANK(F_Custom1_Q),F_Custom1_V="(All)",F_Custom1_V="",ISBLANK(F_Custom1_V)),1,IFERROR(IF(ISNUMBER(SEARCH("|"&amp;INDEX(INDIRECT(F_Custom1_resolved_column),509)&amp;"|",F_Custom1_wrapped)),1,0),0))</f>
        <v>1</v>
      </c>
      <c r="G510">
        <f>IF(OR(F_Custom2_Q="(None)",F_Custom2_Q="",ISBLANK(F_Custom2_Q),F_Custom2_V="(All)",F_Custom2_V="",ISBLANK(F_Custom2_V)),1,IFERROR(IF(ISNUMBER(SEARCH("|"&amp;INDEX(INDIRECT(F_Custom2_resolved_column),509)&amp;"|",F_Custom2_wrapped)),1,0),0))</f>
        <v>1</v>
      </c>
      <c r="H510">
        <f>F510*G510*1</f>
        <v>1</v>
      </c>
      <c r="I510">
        <f>1</f>
        <v>1</v>
      </c>
      <c r="J5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509)&amp;"|",All_Questions_Q20_F_wrapped)),1,0),0))</f>
        <v>1</v>
      </c>
    </row>
    <row r="511">
      <c r="A511" t="n">
        <v>510</v>
      </c>
      <c r="B511" t="n">
        <v>28.9</v>
      </c>
      <c r="C511" t="n">
        <v>24.6</v>
      </c>
      <c r="D511" t="n">
        <v>22.9</v>
      </c>
      <c r="E511">
        <f>1</f>
        <v>1</v>
      </c>
      <c r="F511">
        <f>IF(OR(F_Custom1_Q="(None)",F_Custom1_Q="",ISBLANK(F_Custom1_Q),F_Custom1_V="(All)",F_Custom1_V="",ISBLANK(F_Custom1_V)),1,IFERROR(IF(ISNUMBER(SEARCH("|"&amp;INDEX(INDIRECT(F_Custom1_resolved_column),510)&amp;"|",F_Custom1_wrapped)),1,0),0))</f>
        <v>1</v>
      </c>
      <c r="G511">
        <f>IF(OR(F_Custom2_Q="(None)",F_Custom2_Q="",ISBLANK(F_Custom2_Q),F_Custom2_V="(All)",F_Custom2_V="",ISBLANK(F_Custom2_V)),1,IFERROR(IF(ISNUMBER(SEARCH("|"&amp;INDEX(INDIRECT(F_Custom2_resolved_column),510)&amp;"|",F_Custom2_wrapped)),1,0),0))</f>
        <v>1</v>
      </c>
      <c r="H511">
        <f>F511*G511*1</f>
        <v>1</v>
      </c>
      <c r="I511">
        <f>1</f>
        <v>1</v>
      </c>
      <c r="J5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510)&amp;"|",All_Questions_Q20_F_wrapped)),1,0),0))</f>
        <v>1</v>
      </c>
    </row>
    <row r="512">
      <c r="A512" t="n">
        <v>511</v>
      </c>
      <c r="B512" t="n">
        <v>28.9</v>
      </c>
      <c r="C512" t="n">
        <v>24.6</v>
      </c>
      <c r="D512" t="n">
        <v>22.9</v>
      </c>
      <c r="E512">
        <f>1</f>
        <v>1</v>
      </c>
      <c r="F512">
        <f>IF(OR(F_Custom1_Q="(None)",F_Custom1_Q="",ISBLANK(F_Custom1_Q),F_Custom1_V="(All)",F_Custom1_V="",ISBLANK(F_Custom1_V)),1,IFERROR(IF(ISNUMBER(SEARCH("|"&amp;INDEX(INDIRECT(F_Custom1_resolved_column),511)&amp;"|",F_Custom1_wrapped)),1,0),0))</f>
        <v>1</v>
      </c>
      <c r="G512">
        <f>IF(OR(F_Custom2_Q="(None)",F_Custom2_Q="",ISBLANK(F_Custom2_Q),F_Custom2_V="(All)",F_Custom2_V="",ISBLANK(F_Custom2_V)),1,IFERROR(IF(ISNUMBER(SEARCH("|"&amp;INDEX(INDIRECT(F_Custom2_resolved_column),511)&amp;"|",F_Custom2_wrapped)),1,0),0))</f>
        <v>1</v>
      </c>
      <c r="H512">
        <f>F512*G512*1</f>
        <v>1</v>
      </c>
      <c r="I512">
        <f>1</f>
        <v>1</v>
      </c>
      <c r="J5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511)&amp;"|",All_Questions_Q20_F_wrapped)),1,0),0))</f>
        <v>1</v>
      </c>
    </row>
    <row r="513">
      <c r="A513" t="n">
        <v>512</v>
      </c>
      <c r="B513" t="n">
        <v>28.9</v>
      </c>
      <c r="C513" t="n">
        <v>24.6</v>
      </c>
      <c r="D513" t="n">
        <v>22.9</v>
      </c>
      <c r="E513">
        <f>1</f>
        <v>1</v>
      </c>
      <c r="F513">
        <f>IF(OR(F_Custom1_Q="(None)",F_Custom1_Q="",ISBLANK(F_Custom1_Q),F_Custom1_V="(All)",F_Custom1_V="",ISBLANK(F_Custom1_V)),1,IFERROR(IF(ISNUMBER(SEARCH("|"&amp;INDEX(INDIRECT(F_Custom1_resolved_column),512)&amp;"|",F_Custom1_wrapped)),1,0),0))</f>
        <v>1</v>
      </c>
      <c r="G513">
        <f>IF(OR(F_Custom2_Q="(None)",F_Custom2_Q="",ISBLANK(F_Custom2_Q),F_Custom2_V="(All)",F_Custom2_V="",ISBLANK(F_Custom2_V)),1,IFERROR(IF(ISNUMBER(SEARCH("|"&amp;INDEX(INDIRECT(F_Custom2_resolved_column),512)&amp;"|",F_Custom2_wrapped)),1,0),0))</f>
        <v>1</v>
      </c>
      <c r="H513">
        <f>F513*G513*1</f>
        <v>1</v>
      </c>
      <c r="I513">
        <f>1</f>
        <v>1</v>
      </c>
      <c r="J5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512)&amp;"|",All_Questions_Q20_F_wrapped)),1,0),0))</f>
        <v>1</v>
      </c>
    </row>
    <row r="514">
      <c r="A514" t="n">
        <v>513</v>
      </c>
      <c r="B514" t="n">
        <v>28.9</v>
      </c>
      <c r="C514" t="n">
        <v>24.6</v>
      </c>
      <c r="D514" t="n">
        <v>22.9</v>
      </c>
      <c r="E514">
        <f>1</f>
        <v>1</v>
      </c>
      <c r="F514">
        <f>IF(OR(F_Custom1_Q="(None)",F_Custom1_Q="",ISBLANK(F_Custom1_Q),F_Custom1_V="(All)",F_Custom1_V="",ISBLANK(F_Custom1_V)),1,IFERROR(IF(ISNUMBER(SEARCH("|"&amp;INDEX(INDIRECT(F_Custom1_resolved_column),513)&amp;"|",F_Custom1_wrapped)),1,0),0))</f>
        <v>1</v>
      </c>
      <c r="G514">
        <f>IF(OR(F_Custom2_Q="(None)",F_Custom2_Q="",ISBLANK(F_Custom2_Q),F_Custom2_V="(All)",F_Custom2_V="",ISBLANK(F_Custom2_V)),1,IFERROR(IF(ISNUMBER(SEARCH("|"&amp;INDEX(INDIRECT(F_Custom2_resolved_column),513)&amp;"|",F_Custom2_wrapped)),1,0),0))</f>
        <v>1</v>
      </c>
      <c r="H514">
        <f>F514*G514*1</f>
        <v>1</v>
      </c>
      <c r="I514">
        <f>1</f>
        <v>1</v>
      </c>
      <c r="J5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513)&amp;"|",All_Questions_Q20_F_wrapped)),1,0),0))</f>
        <v>1</v>
      </c>
    </row>
    <row r="515">
      <c r="A515" t="n">
        <v>514</v>
      </c>
      <c r="B515" t="n">
        <v>28.9</v>
      </c>
      <c r="C515" t="n">
        <v>24.6</v>
      </c>
      <c r="D515" t="n">
        <v>22.9</v>
      </c>
      <c r="E515">
        <f>1</f>
        <v>1</v>
      </c>
      <c r="F515">
        <f>IF(OR(F_Custom1_Q="(None)",F_Custom1_Q="",ISBLANK(F_Custom1_Q),F_Custom1_V="(All)",F_Custom1_V="",ISBLANK(F_Custom1_V)),1,IFERROR(IF(ISNUMBER(SEARCH("|"&amp;INDEX(INDIRECT(F_Custom1_resolved_column),514)&amp;"|",F_Custom1_wrapped)),1,0),0))</f>
        <v>1</v>
      </c>
      <c r="G515">
        <f>IF(OR(F_Custom2_Q="(None)",F_Custom2_Q="",ISBLANK(F_Custom2_Q),F_Custom2_V="(All)",F_Custom2_V="",ISBLANK(F_Custom2_V)),1,IFERROR(IF(ISNUMBER(SEARCH("|"&amp;INDEX(INDIRECT(F_Custom2_resolved_column),514)&amp;"|",F_Custom2_wrapped)),1,0),0))</f>
        <v>1</v>
      </c>
      <c r="H515">
        <f>F515*G515*1</f>
        <v>1</v>
      </c>
      <c r="I515">
        <f>1</f>
        <v>1</v>
      </c>
      <c r="J5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514)&amp;"|",All_Questions_Q20_F_wrapped)),1,0),0))</f>
        <v>1</v>
      </c>
    </row>
    <row r="516">
      <c r="A516" t="n">
        <v>515</v>
      </c>
      <c r="B516" t="n">
        <v>28.9</v>
      </c>
      <c r="C516" t="n">
        <v>24.6</v>
      </c>
      <c r="D516" t="n">
        <v>22.9</v>
      </c>
      <c r="E516">
        <f>1</f>
        <v>1</v>
      </c>
      <c r="F516">
        <f>IF(OR(F_Custom1_Q="(None)",F_Custom1_Q="",ISBLANK(F_Custom1_Q),F_Custom1_V="(All)",F_Custom1_V="",ISBLANK(F_Custom1_V)),1,IFERROR(IF(ISNUMBER(SEARCH("|"&amp;INDEX(INDIRECT(F_Custom1_resolved_column),515)&amp;"|",F_Custom1_wrapped)),1,0),0))</f>
        <v>1</v>
      </c>
      <c r="G516">
        <f>IF(OR(F_Custom2_Q="(None)",F_Custom2_Q="",ISBLANK(F_Custom2_Q),F_Custom2_V="(All)",F_Custom2_V="",ISBLANK(F_Custom2_V)),1,IFERROR(IF(ISNUMBER(SEARCH("|"&amp;INDEX(INDIRECT(F_Custom2_resolved_column),515)&amp;"|",F_Custom2_wrapped)),1,0),0))</f>
        <v>1</v>
      </c>
      <c r="H516">
        <f>F516*G516*1</f>
        <v>1</v>
      </c>
      <c r="I516">
        <f>1</f>
        <v>1</v>
      </c>
      <c r="J5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515)&amp;"|",All_Questions_Q20_F_wrapped)),1,0),0))</f>
        <v>1</v>
      </c>
    </row>
    <row r="517">
      <c r="A517" t="n">
        <v>516</v>
      </c>
      <c r="B517" t="n">
        <v>28.9</v>
      </c>
      <c r="C517" t="n">
        <v>24.6</v>
      </c>
      <c r="D517" t="n">
        <v>22.9</v>
      </c>
      <c r="E517">
        <f>1</f>
        <v>1</v>
      </c>
      <c r="F517">
        <f>IF(OR(F_Custom1_Q="(None)",F_Custom1_Q="",ISBLANK(F_Custom1_Q),F_Custom1_V="(All)",F_Custom1_V="",ISBLANK(F_Custom1_V)),1,IFERROR(IF(ISNUMBER(SEARCH("|"&amp;INDEX(INDIRECT(F_Custom1_resolved_column),516)&amp;"|",F_Custom1_wrapped)),1,0),0))</f>
        <v>1</v>
      </c>
      <c r="G517">
        <f>IF(OR(F_Custom2_Q="(None)",F_Custom2_Q="",ISBLANK(F_Custom2_Q),F_Custom2_V="(All)",F_Custom2_V="",ISBLANK(F_Custom2_V)),1,IFERROR(IF(ISNUMBER(SEARCH("|"&amp;INDEX(INDIRECT(F_Custom2_resolved_column),516)&amp;"|",F_Custom2_wrapped)),1,0),0))</f>
        <v>1</v>
      </c>
      <c r="H517">
        <f>F517*G517*1</f>
        <v>1</v>
      </c>
      <c r="I517">
        <f>1</f>
        <v>1</v>
      </c>
      <c r="J5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516)&amp;"|",All_Questions_Q20_F_wrapped)),1,0),0))</f>
        <v>1</v>
      </c>
    </row>
    <row r="518">
      <c r="A518" t="n">
        <v>517</v>
      </c>
      <c r="B518" t="n">
        <v>28.9</v>
      </c>
      <c r="C518" t="n">
        <v>24.6</v>
      </c>
      <c r="D518" t="n">
        <v>22.9</v>
      </c>
      <c r="E518">
        <f>1</f>
        <v>1</v>
      </c>
      <c r="F518">
        <f>IF(OR(F_Custom1_Q="(None)",F_Custom1_Q="",ISBLANK(F_Custom1_Q),F_Custom1_V="(All)",F_Custom1_V="",ISBLANK(F_Custom1_V)),1,IFERROR(IF(ISNUMBER(SEARCH("|"&amp;INDEX(INDIRECT(F_Custom1_resolved_column),517)&amp;"|",F_Custom1_wrapped)),1,0),0))</f>
        <v>1</v>
      </c>
      <c r="G518">
        <f>IF(OR(F_Custom2_Q="(None)",F_Custom2_Q="",ISBLANK(F_Custom2_Q),F_Custom2_V="(All)",F_Custom2_V="",ISBLANK(F_Custom2_V)),1,IFERROR(IF(ISNUMBER(SEARCH("|"&amp;INDEX(INDIRECT(F_Custom2_resolved_column),517)&amp;"|",F_Custom2_wrapped)),1,0),0))</f>
        <v>1</v>
      </c>
      <c r="H518">
        <f>F518*G518*1</f>
        <v>1</v>
      </c>
      <c r="I518">
        <f>1</f>
        <v>1</v>
      </c>
      <c r="J5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517)&amp;"|",All_Questions_Q20_F_wrapped)),1,0),0))</f>
        <v>1</v>
      </c>
    </row>
    <row r="519">
      <c r="A519" t="n">
        <v>518</v>
      </c>
      <c r="B519" t="n">
        <v>28.9</v>
      </c>
      <c r="C519" t="n">
        <v>24.6</v>
      </c>
      <c r="D519" t="n">
        <v>22.9</v>
      </c>
      <c r="E519">
        <f>1</f>
        <v>1</v>
      </c>
      <c r="F519">
        <f>IF(OR(F_Custom1_Q="(None)",F_Custom1_Q="",ISBLANK(F_Custom1_Q),F_Custom1_V="(All)",F_Custom1_V="",ISBLANK(F_Custom1_V)),1,IFERROR(IF(ISNUMBER(SEARCH("|"&amp;INDEX(INDIRECT(F_Custom1_resolved_column),518)&amp;"|",F_Custom1_wrapped)),1,0),0))</f>
        <v>1</v>
      </c>
      <c r="G519">
        <f>IF(OR(F_Custom2_Q="(None)",F_Custom2_Q="",ISBLANK(F_Custom2_Q),F_Custom2_V="(All)",F_Custom2_V="",ISBLANK(F_Custom2_V)),1,IFERROR(IF(ISNUMBER(SEARCH("|"&amp;INDEX(INDIRECT(F_Custom2_resolved_column),518)&amp;"|",F_Custom2_wrapped)),1,0),0))</f>
        <v>1</v>
      </c>
      <c r="H519">
        <f>F519*G519*1</f>
        <v>1</v>
      </c>
      <c r="I519">
        <f>1</f>
        <v>1</v>
      </c>
      <c r="J5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518)&amp;"|",All_Questions_Q20_F_wrapped)),1,0),0))</f>
        <v>1</v>
      </c>
    </row>
    <row r="520">
      <c r="A520" t="n">
        <v>519</v>
      </c>
      <c r="B520" t="n">
        <v>28.9</v>
      </c>
      <c r="C520" t="n">
        <v>24.6</v>
      </c>
      <c r="D520" t="n">
        <v>22.9</v>
      </c>
      <c r="E520">
        <f>1</f>
        <v>1</v>
      </c>
      <c r="F520">
        <f>IF(OR(F_Custom1_Q="(None)",F_Custom1_Q="",ISBLANK(F_Custom1_Q),F_Custom1_V="(All)",F_Custom1_V="",ISBLANK(F_Custom1_V)),1,IFERROR(IF(ISNUMBER(SEARCH("|"&amp;INDEX(INDIRECT(F_Custom1_resolved_column),519)&amp;"|",F_Custom1_wrapped)),1,0),0))</f>
        <v>1</v>
      </c>
      <c r="G520">
        <f>IF(OR(F_Custom2_Q="(None)",F_Custom2_Q="",ISBLANK(F_Custom2_Q),F_Custom2_V="(All)",F_Custom2_V="",ISBLANK(F_Custom2_V)),1,IFERROR(IF(ISNUMBER(SEARCH("|"&amp;INDEX(INDIRECT(F_Custom2_resolved_column),519)&amp;"|",F_Custom2_wrapped)),1,0),0))</f>
        <v>1</v>
      </c>
      <c r="H520">
        <f>F520*G520*1</f>
        <v>1</v>
      </c>
      <c r="I520">
        <f>1</f>
        <v>1</v>
      </c>
      <c r="J5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519)&amp;"|",All_Questions_Q20_F_wrapped)),1,0),0))</f>
        <v>1</v>
      </c>
    </row>
    <row r="521">
      <c r="A521" t="n">
        <v>520</v>
      </c>
      <c r="B521" t="n">
        <v>28.9</v>
      </c>
      <c r="C521" t="n">
        <v>24.6</v>
      </c>
      <c r="D521" t="n">
        <v>22.9</v>
      </c>
      <c r="E521">
        <f>1</f>
        <v>1</v>
      </c>
      <c r="F521">
        <f>IF(OR(F_Custom1_Q="(None)",F_Custom1_Q="",ISBLANK(F_Custom1_Q),F_Custom1_V="(All)",F_Custom1_V="",ISBLANK(F_Custom1_V)),1,IFERROR(IF(ISNUMBER(SEARCH("|"&amp;INDEX(INDIRECT(F_Custom1_resolved_column),520)&amp;"|",F_Custom1_wrapped)),1,0),0))</f>
        <v>1</v>
      </c>
      <c r="G521">
        <f>IF(OR(F_Custom2_Q="(None)",F_Custom2_Q="",ISBLANK(F_Custom2_Q),F_Custom2_V="(All)",F_Custom2_V="",ISBLANK(F_Custom2_V)),1,IFERROR(IF(ISNUMBER(SEARCH("|"&amp;INDEX(INDIRECT(F_Custom2_resolved_column),520)&amp;"|",F_Custom2_wrapped)),1,0),0))</f>
        <v>1</v>
      </c>
      <c r="H521">
        <f>F521*G521*1</f>
        <v>1</v>
      </c>
      <c r="I521">
        <f>1</f>
        <v>1</v>
      </c>
      <c r="J5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520)&amp;"|",All_Questions_Q20_F_wrapped)),1,0),0))</f>
        <v>1</v>
      </c>
    </row>
    <row r="522">
      <c r="A522" t="n">
        <v>521</v>
      </c>
      <c r="B522" t="n">
        <v>28.9</v>
      </c>
      <c r="C522" t="n">
        <v>24.6</v>
      </c>
      <c r="D522" t="n">
        <v>22.9</v>
      </c>
      <c r="E522">
        <f>1</f>
        <v>1</v>
      </c>
      <c r="F522">
        <f>IF(OR(F_Custom1_Q="(None)",F_Custom1_Q="",ISBLANK(F_Custom1_Q),F_Custom1_V="(All)",F_Custom1_V="",ISBLANK(F_Custom1_V)),1,IFERROR(IF(ISNUMBER(SEARCH("|"&amp;INDEX(INDIRECT(F_Custom1_resolved_column),521)&amp;"|",F_Custom1_wrapped)),1,0),0))</f>
        <v>1</v>
      </c>
      <c r="G522">
        <f>IF(OR(F_Custom2_Q="(None)",F_Custom2_Q="",ISBLANK(F_Custom2_Q),F_Custom2_V="(All)",F_Custom2_V="",ISBLANK(F_Custom2_V)),1,IFERROR(IF(ISNUMBER(SEARCH("|"&amp;INDEX(INDIRECT(F_Custom2_resolved_column),521)&amp;"|",F_Custom2_wrapped)),1,0),0))</f>
        <v>1</v>
      </c>
      <c r="H522">
        <f>F522*G522*1</f>
        <v>1</v>
      </c>
      <c r="I522">
        <f>1</f>
        <v>1</v>
      </c>
      <c r="J5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521)&amp;"|",All_Questions_Q20_F_wrapped)),1,0),0))</f>
        <v>1</v>
      </c>
    </row>
    <row r="523">
      <c r="A523" t="n">
        <v>522</v>
      </c>
      <c r="B523" t="n">
        <v>28.9</v>
      </c>
      <c r="C523" t="n">
        <v>24.6</v>
      </c>
      <c r="D523" t="n">
        <v>22.9</v>
      </c>
      <c r="E523">
        <f>1</f>
        <v>1</v>
      </c>
      <c r="F523">
        <f>IF(OR(F_Custom1_Q="(None)",F_Custom1_Q="",ISBLANK(F_Custom1_Q),F_Custom1_V="(All)",F_Custom1_V="",ISBLANK(F_Custom1_V)),1,IFERROR(IF(ISNUMBER(SEARCH("|"&amp;INDEX(INDIRECT(F_Custom1_resolved_column),522)&amp;"|",F_Custom1_wrapped)),1,0),0))</f>
        <v>1</v>
      </c>
      <c r="G523">
        <f>IF(OR(F_Custom2_Q="(None)",F_Custom2_Q="",ISBLANK(F_Custom2_Q),F_Custom2_V="(All)",F_Custom2_V="",ISBLANK(F_Custom2_V)),1,IFERROR(IF(ISNUMBER(SEARCH("|"&amp;INDEX(INDIRECT(F_Custom2_resolved_column),522)&amp;"|",F_Custom2_wrapped)),1,0),0))</f>
        <v>1</v>
      </c>
      <c r="H523">
        <f>F523*G523*1</f>
        <v>1</v>
      </c>
      <c r="I523">
        <f>1</f>
        <v>1</v>
      </c>
      <c r="J5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522)&amp;"|",All_Questions_Q20_F_wrapped)),1,0),0))</f>
        <v>1</v>
      </c>
    </row>
    <row r="524">
      <c r="A524" t="n">
        <v>523</v>
      </c>
      <c r="B524" t="n">
        <v>28.9</v>
      </c>
      <c r="C524" t="n">
        <v>24.6</v>
      </c>
      <c r="D524" t="n">
        <v>22.9</v>
      </c>
      <c r="E524">
        <f>1</f>
        <v>1</v>
      </c>
      <c r="F524">
        <f>IF(OR(F_Custom1_Q="(None)",F_Custom1_Q="",ISBLANK(F_Custom1_Q),F_Custom1_V="(All)",F_Custom1_V="",ISBLANK(F_Custom1_V)),1,IFERROR(IF(ISNUMBER(SEARCH("|"&amp;INDEX(INDIRECT(F_Custom1_resolved_column),523)&amp;"|",F_Custom1_wrapped)),1,0),0))</f>
        <v>1</v>
      </c>
      <c r="G524">
        <f>IF(OR(F_Custom2_Q="(None)",F_Custom2_Q="",ISBLANK(F_Custom2_Q),F_Custom2_V="(All)",F_Custom2_V="",ISBLANK(F_Custom2_V)),1,IFERROR(IF(ISNUMBER(SEARCH("|"&amp;INDEX(INDIRECT(F_Custom2_resolved_column),523)&amp;"|",F_Custom2_wrapped)),1,0),0))</f>
        <v>1</v>
      </c>
      <c r="H524">
        <f>F524*G524*1</f>
        <v>1</v>
      </c>
      <c r="I524">
        <f>1</f>
        <v>1</v>
      </c>
      <c r="J5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523)&amp;"|",All_Questions_Q20_F_wrapped)),1,0),0))</f>
        <v>1</v>
      </c>
    </row>
    <row r="525">
      <c r="A525" t="n">
        <v>524</v>
      </c>
      <c r="B525" t="n">
        <v>28.9</v>
      </c>
      <c r="C525" t="n">
        <v>24.6</v>
      </c>
      <c r="D525" t="n">
        <v>22.9</v>
      </c>
      <c r="E525">
        <f>1</f>
        <v>1</v>
      </c>
      <c r="F525">
        <f>IF(OR(F_Custom1_Q="(None)",F_Custom1_Q="",ISBLANK(F_Custom1_Q),F_Custom1_V="(All)",F_Custom1_V="",ISBLANK(F_Custom1_V)),1,IFERROR(IF(ISNUMBER(SEARCH("|"&amp;INDEX(INDIRECT(F_Custom1_resolved_column),524)&amp;"|",F_Custom1_wrapped)),1,0),0))</f>
        <v>1</v>
      </c>
      <c r="G525">
        <f>IF(OR(F_Custom2_Q="(None)",F_Custom2_Q="",ISBLANK(F_Custom2_Q),F_Custom2_V="(All)",F_Custom2_V="",ISBLANK(F_Custom2_V)),1,IFERROR(IF(ISNUMBER(SEARCH("|"&amp;INDEX(INDIRECT(F_Custom2_resolved_column),524)&amp;"|",F_Custom2_wrapped)),1,0),0))</f>
        <v>1</v>
      </c>
      <c r="H525">
        <f>F525*G525*1</f>
        <v>1</v>
      </c>
      <c r="I525">
        <f>1</f>
        <v>1</v>
      </c>
      <c r="J5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524)&amp;"|",All_Questions_Q20_F_wrapped)),1,0),0))</f>
        <v>1</v>
      </c>
    </row>
    <row r="526">
      <c r="A526" t="n">
        <v>525</v>
      </c>
      <c r="B526" t="n">
        <v>28.9</v>
      </c>
      <c r="C526" t="n">
        <v>24.6</v>
      </c>
      <c r="D526" t="n">
        <v>22.9</v>
      </c>
      <c r="E526">
        <f>1</f>
        <v>1</v>
      </c>
      <c r="F526">
        <f>IF(OR(F_Custom1_Q="(None)",F_Custom1_Q="",ISBLANK(F_Custom1_Q),F_Custom1_V="(All)",F_Custom1_V="",ISBLANK(F_Custom1_V)),1,IFERROR(IF(ISNUMBER(SEARCH("|"&amp;INDEX(INDIRECT(F_Custom1_resolved_column),525)&amp;"|",F_Custom1_wrapped)),1,0),0))</f>
        <v>1</v>
      </c>
      <c r="G526">
        <f>IF(OR(F_Custom2_Q="(None)",F_Custom2_Q="",ISBLANK(F_Custom2_Q),F_Custom2_V="(All)",F_Custom2_V="",ISBLANK(F_Custom2_V)),1,IFERROR(IF(ISNUMBER(SEARCH("|"&amp;INDEX(INDIRECT(F_Custom2_resolved_column),525)&amp;"|",F_Custom2_wrapped)),1,0),0))</f>
        <v>1</v>
      </c>
      <c r="H526">
        <f>F526*G526*1</f>
        <v>1</v>
      </c>
      <c r="I526">
        <f>1</f>
        <v>1</v>
      </c>
      <c r="J5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525)&amp;"|",All_Questions_Q20_F_wrapped)),1,0),0))</f>
        <v>1</v>
      </c>
    </row>
    <row r="527">
      <c r="A527" t="n">
        <v>526</v>
      </c>
      <c r="B527" t="n">
        <v>28.9</v>
      </c>
      <c r="C527" t="n">
        <v>24.6</v>
      </c>
      <c r="D527" t="n">
        <v>22.9</v>
      </c>
      <c r="E527">
        <f>1</f>
        <v>1</v>
      </c>
      <c r="F527">
        <f>IF(OR(F_Custom1_Q="(None)",F_Custom1_Q="",ISBLANK(F_Custom1_Q),F_Custom1_V="(All)",F_Custom1_V="",ISBLANK(F_Custom1_V)),1,IFERROR(IF(ISNUMBER(SEARCH("|"&amp;INDEX(INDIRECT(F_Custom1_resolved_column),526)&amp;"|",F_Custom1_wrapped)),1,0),0))</f>
        <v>1</v>
      </c>
      <c r="G527">
        <f>IF(OR(F_Custom2_Q="(None)",F_Custom2_Q="",ISBLANK(F_Custom2_Q),F_Custom2_V="(All)",F_Custom2_V="",ISBLANK(F_Custom2_V)),1,IFERROR(IF(ISNUMBER(SEARCH("|"&amp;INDEX(INDIRECT(F_Custom2_resolved_column),526)&amp;"|",F_Custom2_wrapped)),1,0),0))</f>
        <v>1</v>
      </c>
      <c r="H527">
        <f>F527*G527*1</f>
        <v>1</v>
      </c>
      <c r="I527">
        <f>1</f>
        <v>1</v>
      </c>
      <c r="J5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526)&amp;"|",All_Questions_Q20_F_wrapped)),1,0),0))</f>
        <v>1</v>
      </c>
    </row>
    <row r="528">
      <c r="A528" t="n">
        <v>527</v>
      </c>
      <c r="B528" t="n">
        <v>28.9</v>
      </c>
      <c r="C528" t="n">
        <v>24.6</v>
      </c>
      <c r="D528" t="n">
        <v>22.9</v>
      </c>
      <c r="E528">
        <f>1</f>
        <v>1</v>
      </c>
      <c r="F528">
        <f>IF(OR(F_Custom1_Q="(None)",F_Custom1_Q="",ISBLANK(F_Custom1_Q),F_Custom1_V="(All)",F_Custom1_V="",ISBLANK(F_Custom1_V)),1,IFERROR(IF(ISNUMBER(SEARCH("|"&amp;INDEX(INDIRECT(F_Custom1_resolved_column),527)&amp;"|",F_Custom1_wrapped)),1,0),0))</f>
        <v>1</v>
      </c>
      <c r="G528">
        <f>IF(OR(F_Custom2_Q="(None)",F_Custom2_Q="",ISBLANK(F_Custom2_Q),F_Custom2_V="(All)",F_Custom2_V="",ISBLANK(F_Custom2_V)),1,IFERROR(IF(ISNUMBER(SEARCH("|"&amp;INDEX(INDIRECT(F_Custom2_resolved_column),527)&amp;"|",F_Custom2_wrapped)),1,0),0))</f>
        <v>1</v>
      </c>
      <c r="H528">
        <f>F528*G528*1</f>
        <v>1</v>
      </c>
      <c r="I528">
        <f>1</f>
        <v>1</v>
      </c>
      <c r="J5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527)&amp;"|",All_Questions_Q20_F_wrapped)),1,0),0))</f>
        <v>1</v>
      </c>
    </row>
    <row r="529">
      <c r="A529" t="n">
        <v>528</v>
      </c>
      <c r="B529" t="n">
        <v>28.9</v>
      </c>
      <c r="C529" t="n">
        <v>24.6</v>
      </c>
      <c r="D529" t="n">
        <v>22.9</v>
      </c>
      <c r="E529">
        <f>1</f>
        <v>1</v>
      </c>
      <c r="F529">
        <f>IF(OR(F_Custom1_Q="(None)",F_Custom1_Q="",ISBLANK(F_Custom1_Q),F_Custom1_V="(All)",F_Custom1_V="",ISBLANK(F_Custom1_V)),1,IFERROR(IF(ISNUMBER(SEARCH("|"&amp;INDEX(INDIRECT(F_Custom1_resolved_column),528)&amp;"|",F_Custom1_wrapped)),1,0),0))</f>
        <v>1</v>
      </c>
      <c r="G529">
        <f>IF(OR(F_Custom2_Q="(None)",F_Custom2_Q="",ISBLANK(F_Custom2_Q),F_Custom2_V="(All)",F_Custom2_V="",ISBLANK(F_Custom2_V)),1,IFERROR(IF(ISNUMBER(SEARCH("|"&amp;INDEX(INDIRECT(F_Custom2_resolved_column),528)&amp;"|",F_Custom2_wrapped)),1,0),0))</f>
        <v>1</v>
      </c>
      <c r="H529">
        <f>F529*G529*1</f>
        <v>1</v>
      </c>
      <c r="I529">
        <f>1</f>
        <v>1</v>
      </c>
      <c r="J5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528)&amp;"|",All_Questions_Q20_F_wrapped)),1,0),0))</f>
        <v>1</v>
      </c>
    </row>
    <row r="530">
      <c r="A530" t="n">
        <v>529</v>
      </c>
      <c r="B530" t="n">
        <v>28.9</v>
      </c>
      <c r="C530" t="n">
        <v>24.6</v>
      </c>
      <c r="D530" t="n">
        <v>22.9</v>
      </c>
      <c r="E530">
        <f>1</f>
        <v>1</v>
      </c>
      <c r="F530">
        <f>IF(OR(F_Custom1_Q="(None)",F_Custom1_Q="",ISBLANK(F_Custom1_Q),F_Custom1_V="(All)",F_Custom1_V="",ISBLANK(F_Custom1_V)),1,IFERROR(IF(ISNUMBER(SEARCH("|"&amp;INDEX(INDIRECT(F_Custom1_resolved_column),529)&amp;"|",F_Custom1_wrapped)),1,0),0))</f>
        <v>1</v>
      </c>
      <c r="G530">
        <f>IF(OR(F_Custom2_Q="(None)",F_Custom2_Q="",ISBLANK(F_Custom2_Q),F_Custom2_V="(All)",F_Custom2_V="",ISBLANK(F_Custom2_V)),1,IFERROR(IF(ISNUMBER(SEARCH("|"&amp;INDEX(INDIRECT(F_Custom2_resolved_column),529)&amp;"|",F_Custom2_wrapped)),1,0),0))</f>
        <v>1</v>
      </c>
      <c r="H530">
        <f>F530*G530*1</f>
        <v>1</v>
      </c>
      <c r="I530">
        <f>1</f>
        <v>1</v>
      </c>
      <c r="J5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529)&amp;"|",All_Questions_Q20_F_wrapped)),1,0),0))</f>
        <v>1</v>
      </c>
    </row>
    <row r="531">
      <c r="A531" t="n">
        <v>530</v>
      </c>
      <c r="B531" t="n">
        <v>28.9</v>
      </c>
      <c r="C531" t="n">
        <v>24.6</v>
      </c>
      <c r="D531" t="n">
        <v>22.9</v>
      </c>
      <c r="E531">
        <f>1</f>
        <v>1</v>
      </c>
      <c r="F531">
        <f>IF(OR(F_Custom1_Q="(None)",F_Custom1_Q="",ISBLANK(F_Custom1_Q),F_Custom1_V="(All)",F_Custom1_V="",ISBLANK(F_Custom1_V)),1,IFERROR(IF(ISNUMBER(SEARCH("|"&amp;INDEX(INDIRECT(F_Custom1_resolved_column),530)&amp;"|",F_Custom1_wrapped)),1,0),0))</f>
        <v>1</v>
      </c>
      <c r="G531">
        <f>IF(OR(F_Custom2_Q="(None)",F_Custom2_Q="",ISBLANK(F_Custom2_Q),F_Custom2_V="(All)",F_Custom2_V="",ISBLANK(F_Custom2_V)),1,IFERROR(IF(ISNUMBER(SEARCH("|"&amp;INDEX(INDIRECT(F_Custom2_resolved_column),530)&amp;"|",F_Custom2_wrapped)),1,0),0))</f>
        <v>1</v>
      </c>
      <c r="H531">
        <f>F531*G531*1</f>
        <v>1</v>
      </c>
      <c r="I531">
        <f>1</f>
        <v>1</v>
      </c>
      <c r="J5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530)&amp;"|",All_Questions_Q20_F_wrapped)),1,0),0))</f>
        <v>1</v>
      </c>
    </row>
    <row r="532">
      <c r="A532" t="n">
        <v>531</v>
      </c>
      <c r="B532" t="n">
        <v>28.9</v>
      </c>
      <c r="C532" t="n">
        <v>24.6</v>
      </c>
      <c r="D532" t="n">
        <v>22.9</v>
      </c>
      <c r="E532">
        <f>1</f>
        <v>1</v>
      </c>
      <c r="F532">
        <f>IF(OR(F_Custom1_Q="(None)",F_Custom1_Q="",ISBLANK(F_Custom1_Q),F_Custom1_V="(All)",F_Custom1_V="",ISBLANK(F_Custom1_V)),1,IFERROR(IF(ISNUMBER(SEARCH("|"&amp;INDEX(INDIRECT(F_Custom1_resolved_column),531)&amp;"|",F_Custom1_wrapped)),1,0),0))</f>
        <v>1</v>
      </c>
      <c r="G532">
        <f>IF(OR(F_Custom2_Q="(None)",F_Custom2_Q="",ISBLANK(F_Custom2_Q),F_Custom2_V="(All)",F_Custom2_V="",ISBLANK(F_Custom2_V)),1,IFERROR(IF(ISNUMBER(SEARCH("|"&amp;INDEX(INDIRECT(F_Custom2_resolved_column),531)&amp;"|",F_Custom2_wrapped)),1,0),0))</f>
        <v>1</v>
      </c>
      <c r="H532">
        <f>F532*G532*1</f>
        <v>1</v>
      </c>
      <c r="I532">
        <f>1</f>
        <v>1</v>
      </c>
      <c r="J5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531)&amp;"|",All_Questions_Q20_F_wrapped)),1,0),0))</f>
        <v>1</v>
      </c>
    </row>
    <row r="533">
      <c r="A533" t="n">
        <v>532</v>
      </c>
      <c r="B533" t="n">
        <v>28.9</v>
      </c>
      <c r="C533" t="n">
        <v>24.6</v>
      </c>
      <c r="D533" t="n">
        <v>22.9</v>
      </c>
      <c r="E533">
        <f>1</f>
        <v>1</v>
      </c>
      <c r="F533">
        <f>IF(OR(F_Custom1_Q="(None)",F_Custom1_Q="",ISBLANK(F_Custom1_Q),F_Custom1_V="(All)",F_Custom1_V="",ISBLANK(F_Custom1_V)),1,IFERROR(IF(ISNUMBER(SEARCH("|"&amp;INDEX(INDIRECT(F_Custom1_resolved_column),532)&amp;"|",F_Custom1_wrapped)),1,0),0))</f>
        <v>1</v>
      </c>
      <c r="G533">
        <f>IF(OR(F_Custom2_Q="(None)",F_Custom2_Q="",ISBLANK(F_Custom2_Q),F_Custom2_V="(All)",F_Custom2_V="",ISBLANK(F_Custom2_V)),1,IFERROR(IF(ISNUMBER(SEARCH("|"&amp;INDEX(INDIRECT(F_Custom2_resolved_column),532)&amp;"|",F_Custom2_wrapped)),1,0),0))</f>
        <v>1</v>
      </c>
      <c r="H533">
        <f>F533*G533*1</f>
        <v>1</v>
      </c>
      <c r="I533">
        <f>1</f>
        <v>1</v>
      </c>
      <c r="J5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532)&amp;"|",All_Questions_Q20_F_wrapped)),1,0),0))</f>
        <v>1</v>
      </c>
    </row>
    <row r="534">
      <c r="A534" t="n">
        <v>533</v>
      </c>
      <c r="B534" t="n">
        <v>28.9</v>
      </c>
      <c r="C534" t="n">
        <v>24.6</v>
      </c>
      <c r="D534" t="n">
        <v>22.9</v>
      </c>
      <c r="E534">
        <f>1</f>
        <v>1</v>
      </c>
      <c r="F534">
        <f>IF(OR(F_Custom1_Q="(None)",F_Custom1_Q="",ISBLANK(F_Custom1_Q),F_Custom1_V="(All)",F_Custom1_V="",ISBLANK(F_Custom1_V)),1,IFERROR(IF(ISNUMBER(SEARCH("|"&amp;INDEX(INDIRECT(F_Custom1_resolved_column),533)&amp;"|",F_Custom1_wrapped)),1,0),0))</f>
        <v>1</v>
      </c>
      <c r="G534">
        <f>IF(OR(F_Custom2_Q="(None)",F_Custom2_Q="",ISBLANK(F_Custom2_Q),F_Custom2_V="(All)",F_Custom2_V="",ISBLANK(F_Custom2_V)),1,IFERROR(IF(ISNUMBER(SEARCH("|"&amp;INDEX(INDIRECT(F_Custom2_resolved_column),533)&amp;"|",F_Custom2_wrapped)),1,0),0))</f>
        <v>1</v>
      </c>
      <c r="H534">
        <f>F534*G534*1</f>
        <v>1</v>
      </c>
      <c r="I534">
        <f>1</f>
        <v>1</v>
      </c>
      <c r="J5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533)&amp;"|",All_Questions_Q20_F_wrapped)),1,0),0))</f>
        <v>1</v>
      </c>
    </row>
    <row r="535">
      <c r="A535" t="n">
        <v>534</v>
      </c>
      <c r="B535" t="n">
        <v>28.9</v>
      </c>
      <c r="C535" t="n">
        <v>24.6</v>
      </c>
      <c r="D535" t="n">
        <v>22.9</v>
      </c>
      <c r="E535">
        <f>1</f>
        <v>1</v>
      </c>
      <c r="F535">
        <f>IF(OR(F_Custom1_Q="(None)",F_Custom1_Q="",ISBLANK(F_Custom1_Q),F_Custom1_V="(All)",F_Custom1_V="",ISBLANK(F_Custom1_V)),1,IFERROR(IF(ISNUMBER(SEARCH("|"&amp;INDEX(INDIRECT(F_Custom1_resolved_column),534)&amp;"|",F_Custom1_wrapped)),1,0),0))</f>
        <v>1</v>
      </c>
      <c r="G535">
        <f>IF(OR(F_Custom2_Q="(None)",F_Custom2_Q="",ISBLANK(F_Custom2_Q),F_Custom2_V="(All)",F_Custom2_V="",ISBLANK(F_Custom2_V)),1,IFERROR(IF(ISNUMBER(SEARCH("|"&amp;INDEX(INDIRECT(F_Custom2_resolved_column),534)&amp;"|",F_Custom2_wrapped)),1,0),0))</f>
        <v>1</v>
      </c>
      <c r="H535">
        <f>F535*G535*1</f>
        <v>1</v>
      </c>
      <c r="I535">
        <f>1</f>
        <v>1</v>
      </c>
      <c r="J5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534)&amp;"|",All_Questions_Q20_F_wrapped)),1,0),0))</f>
        <v>1</v>
      </c>
    </row>
    <row r="536">
      <c r="A536" t="n">
        <v>535</v>
      </c>
      <c r="B536" t="n">
        <v>28.9</v>
      </c>
      <c r="C536" t="n">
        <v>24.6</v>
      </c>
      <c r="D536" t="n">
        <v>22.9</v>
      </c>
      <c r="E536">
        <f>1</f>
        <v>1</v>
      </c>
      <c r="F536">
        <f>IF(OR(F_Custom1_Q="(None)",F_Custom1_Q="",ISBLANK(F_Custom1_Q),F_Custom1_V="(All)",F_Custom1_V="",ISBLANK(F_Custom1_V)),1,IFERROR(IF(ISNUMBER(SEARCH("|"&amp;INDEX(INDIRECT(F_Custom1_resolved_column),535)&amp;"|",F_Custom1_wrapped)),1,0),0))</f>
        <v>1</v>
      </c>
      <c r="G536">
        <f>IF(OR(F_Custom2_Q="(None)",F_Custom2_Q="",ISBLANK(F_Custom2_Q),F_Custom2_V="(All)",F_Custom2_V="",ISBLANK(F_Custom2_V)),1,IFERROR(IF(ISNUMBER(SEARCH("|"&amp;INDEX(INDIRECT(F_Custom2_resolved_column),535)&amp;"|",F_Custom2_wrapped)),1,0),0))</f>
        <v>1</v>
      </c>
      <c r="H536">
        <f>F536*G536*1</f>
        <v>1</v>
      </c>
      <c r="I536">
        <f>1</f>
        <v>1</v>
      </c>
      <c r="J5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535)&amp;"|",All_Questions_Q20_F_wrapped)),1,0),0))</f>
        <v>1</v>
      </c>
    </row>
    <row r="537">
      <c r="A537" t="n">
        <v>536</v>
      </c>
      <c r="B537" t="n">
        <v>28.9</v>
      </c>
      <c r="C537" t="n">
        <v>24.6</v>
      </c>
      <c r="D537" t="n">
        <v>22.9</v>
      </c>
      <c r="E537">
        <f>1</f>
        <v>1</v>
      </c>
      <c r="F537">
        <f>IF(OR(F_Custom1_Q="(None)",F_Custom1_Q="",ISBLANK(F_Custom1_Q),F_Custom1_V="(All)",F_Custom1_V="",ISBLANK(F_Custom1_V)),1,IFERROR(IF(ISNUMBER(SEARCH("|"&amp;INDEX(INDIRECT(F_Custom1_resolved_column),536)&amp;"|",F_Custom1_wrapped)),1,0),0))</f>
        <v>1</v>
      </c>
      <c r="G537">
        <f>IF(OR(F_Custom2_Q="(None)",F_Custom2_Q="",ISBLANK(F_Custom2_Q),F_Custom2_V="(All)",F_Custom2_V="",ISBLANK(F_Custom2_V)),1,IFERROR(IF(ISNUMBER(SEARCH("|"&amp;INDEX(INDIRECT(F_Custom2_resolved_column),536)&amp;"|",F_Custom2_wrapped)),1,0),0))</f>
        <v>1</v>
      </c>
      <c r="H537">
        <f>F537*G537*1</f>
        <v>1</v>
      </c>
      <c r="I537">
        <f>1</f>
        <v>1</v>
      </c>
      <c r="J5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536)&amp;"|",All_Questions_Q20_F_wrapped)),1,0),0))</f>
        <v>1</v>
      </c>
    </row>
    <row r="538">
      <c r="A538" t="n">
        <v>537</v>
      </c>
      <c r="B538" t="n">
        <v>28.9</v>
      </c>
      <c r="C538" t="n">
        <v>24.6</v>
      </c>
      <c r="D538" t="n">
        <v>22.9</v>
      </c>
      <c r="E538">
        <f>1</f>
        <v>1</v>
      </c>
      <c r="F538">
        <f>IF(OR(F_Custom1_Q="(None)",F_Custom1_Q="",ISBLANK(F_Custom1_Q),F_Custom1_V="(All)",F_Custom1_V="",ISBLANK(F_Custom1_V)),1,IFERROR(IF(ISNUMBER(SEARCH("|"&amp;INDEX(INDIRECT(F_Custom1_resolved_column),537)&amp;"|",F_Custom1_wrapped)),1,0),0))</f>
        <v>1</v>
      </c>
      <c r="G538">
        <f>IF(OR(F_Custom2_Q="(None)",F_Custom2_Q="",ISBLANK(F_Custom2_Q),F_Custom2_V="(All)",F_Custom2_V="",ISBLANK(F_Custom2_V)),1,IFERROR(IF(ISNUMBER(SEARCH("|"&amp;INDEX(INDIRECT(F_Custom2_resolved_column),537)&amp;"|",F_Custom2_wrapped)),1,0),0))</f>
        <v>1</v>
      </c>
      <c r="H538">
        <f>F538*G538*1</f>
        <v>1</v>
      </c>
      <c r="I538">
        <f>1</f>
        <v>1</v>
      </c>
      <c r="J5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537)&amp;"|",All_Questions_Q20_F_wrapped)),1,0),0))</f>
        <v>1</v>
      </c>
    </row>
    <row r="539">
      <c r="A539" t="n">
        <v>538</v>
      </c>
      <c r="B539" t="n">
        <v>28.9</v>
      </c>
      <c r="C539" t="n">
        <v>24.6</v>
      </c>
      <c r="D539" t="n">
        <v>22.9</v>
      </c>
      <c r="E539">
        <f>1</f>
        <v>1</v>
      </c>
      <c r="F539">
        <f>IF(OR(F_Custom1_Q="(None)",F_Custom1_Q="",ISBLANK(F_Custom1_Q),F_Custom1_V="(All)",F_Custom1_V="",ISBLANK(F_Custom1_V)),1,IFERROR(IF(ISNUMBER(SEARCH("|"&amp;INDEX(INDIRECT(F_Custom1_resolved_column),538)&amp;"|",F_Custom1_wrapped)),1,0),0))</f>
        <v>1</v>
      </c>
      <c r="G539">
        <f>IF(OR(F_Custom2_Q="(None)",F_Custom2_Q="",ISBLANK(F_Custom2_Q),F_Custom2_V="(All)",F_Custom2_V="",ISBLANK(F_Custom2_V)),1,IFERROR(IF(ISNUMBER(SEARCH("|"&amp;INDEX(INDIRECT(F_Custom2_resolved_column),538)&amp;"|",F_Custom2_wrapped)),1,0),0))</f>
        <v>1</v>
      </c>
      <c r="H539">
        <f>F539*G539*1</f>
        <v>1</v>
      </c>
      <c r="I539">
        <f>1</f>
        <v>1</v>
      </c>
      <c r="J5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538)&amp;"|",All_Questions_Q20_F_wrapped)),1,0),0))</f>
        <v>1</v>
      </c>
    </row>
    <row r="540">
      <c r="A540" t="n">
        <v>539</v>
      </c>
      <c r="B540" t="n">
        <v>28.9</v>
      </c>
      <c r="C540" t="n">
        <v>24.6</v>
      </c>
      <c r="D540" t="n">
        <v>22.9</v>
      </c>
      <c r="E540">
        <f>1</f>
        <v>1</v>
      </c>
      <c r="F540">
        <f>IF(OR(F_Custom1_Q="(None)",F_Custom1_Q="",ISBLANK(F_Custom1_Q),F_Custom1_V="(All)",F_Custom1_V="",ISBLANK(F_Custom1_V)),1,IFERROR(IF(ISNUMBER(SEARCH("|"&amp;INDEX(INDIRECT(F_Custom1_resolved_column),539)&amp;"|",F_Custom1_wrapped)),1,0),0))</f>
        <v>1</v>
      </c>
      <c r="G540">
        <f>IF(OR(F_Custom2_Q="(None)",F_Custom2_Q="",ISBLANK(F_Custom2_Q),F_Custom2_V="(All)",F_Custom2_V="",ISBLANK(F_Custom2_V)),1,IFERROR(IF(ISNUMBER(SEARCH("|"&amp;INDEX(INDIRECT(F_Custom2_resolved_column),539)&amp;"|",F_Custom2_wrapped)),1,0),0))</f>
        <v>1</v>
      </c>
      <c r="H540">
        <f>F540*G540*1</f>
        <v>1</v>
      </c>
      <c r="I540">
        <f>1</f>
        <v>1</v>
      </c>
      <c r="J5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539)&amp;"|",All_Questions_Q20_F_wrapped)),1,0),0))</f>
        <v>1</v>
      </c>
    </row>
    <row r="541">
      <c r="A541" t="n">
        <v>540</v>
      </c>
      <c r="B541" t="n">
        <v>28.9</v>
      </c>
      <c r="C541" t="n">
        <v>24.6</v>
      </c>
      <c r="D541" t="n">
        <v>22.9</v>
      </c>
      <c r="E541">
        <f>1</f>
        <v>1</v>
      </c>
      <c r="F541">
        <f>IF(OR(F_Custom1_Q="(None)",F_Custom1_Q="",ISBLANK(F_Custom1_Q),F_Custom1_V="(All)",F_Custom1_V="",ISBLANK(F_Custom1_V)),1,IFERROR(IF(ISNUMBER(SEARCH("|"&amp;INDEX(INDIRECT(F_Custom1_resolved_column),540)&amp;"|",F_Custom1_wrapped)),1,0),0))</f>
        <v>1</v>
      </c>
      <c r="G541">
        <f>IF(OR(F_Custom2_Q="(None)",F_Custom2_Q="",ISBLANK(F_Custom2_Q),F_Custom2_V="(All)",F_Custom2_V="",ISBLANK(F_Custom2_V)),1,IFERROR(IF(ISNUMBER(SEARCH("|"&amp;INDEX(INDIRECT(F_Custom2_resolved_column),540)&amp;"|",F_Custom2_wrapped)),1,0),0))</f>
        <v>1</v>
      </c>
      <c r="H541">
        <f>F541*G541*1</f>
        <v>1</v>
      </c>
      <c r="I541">
        <f>1</f>
        <v>1</v>
      </c>
      <c r="J5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540)&amp;"|",All_Questions_Q20_F_wrapped)),1,0),0))</f>
        <v>1</v>
      </c>
    </row>
    <row r="542">
      <c r="A542" t="n">
        <v>541</v>
      </c>
      <c r="B542" t="n">
        <v>28.9</v>
      </c>
      <c r="C542" t="n">
        <v>24.6</v>
      </c>
      <c r="D542" t="n">
        <v>22.9</v>
      </c>
      <c r="E542">
        <f>1</f>
        <v>1</v>
      </c>
      <c r="F542">
        <f>IF(OR(F_Custom1_Q="(None)",F_Custom1_Q="",ISBLANK(F_Custom1_Q),F_Custom1_V="(All)",F_Custom1_V="",ISBLANK(F_Custom1_V)),1,IFERROR(IF(ISNUMBER(SEARCH("|"&amp;INDEX(INDIRECT(F_Custom1_resolved_column),541)&amp;"|",F_Custom1_wrapped)),1,0),0))</f>
        <v>1</v>
      </c>
      <c r="G542">
        <f>IF(OR(F_Custom2_Q="(None)",F_Custom2_Q="",ISBLANK(F_Custom2_Q),F_Custom2_V="(All)",F_Custom2_V="",ISBLANK(F_Custom2_V)),1,IFERROR(IF(ISNUMBER(SEARCH("|"&amp;INDEX(INDIRECT(F_Custom2_resolved_column),541)&amp;"|",F_Custom2_wrapped)),1,0),0))</f>
        <v>1</v>
      </c>
      <c r="H542">
        <f>F542*G542*1</f>
        <v>1</v>
      </c>
      <c r="I542">
        <f>1</f>
        <v>1</v>
      </c>
      <c r="J5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541)&amp;"|",All_Questions_Q20_F_wrapped)),1,0),0))</f>
        <v>1</v>
      </c>
    </row>
    <row r="543">
      <c r="A543" t="n">
        <v>542</v>
      </c>
      <c r="B543" t="n">
        <v>28.9</v>
      </c>
      <c r="C543" t="n">
        <v>24.6</v>
      </c>
      <c r="D543" t="n">
        <v>22.9</v>
      </c>
      <c r="E543">
        <f>1</f>
        <v>1</v>
      </c>
      <c r="F543">
        <f>IF(OR(F_Custom1_Q="(None)",F_Custom1_Q="",ISBLANK(F_Custom1_Q),F_Custom1_V="(All)",F_Custom1_V="",ISBLANK(F_Custom1_V)),1,IFERROR(IF(ISNUMBER(SEARCH("|"&amp;INDEX(INDIRECT(F_Custom1_resolved_column),542)&amp;"|",F_Custom1_wrapped)),1,0),0))</f>
        <v>1</v>
      </c>
      <c r="G543">
        <f>IF(OR(F_Custom2_Q="(None)",F_Custom2_Q="",ISBLANK(F_Custom2_Q),F_Custom2_V="(All)",F_Custom2_V="",ISBLANK(F_Custom2_V)),1,IFERROR(IF(ISNUMBER(SEARCH("|"&amp;INDEX(INDIRECT(F_Custom2_resolved_column),542)&amp;"|",F_Custom2_wrapped)),1,0),0))</f>
        <v>1</v>
      </c>
      <c r="H543">
        <f>F543*G543*1</f>
        <v>1</v>
      </c>
      <c r="I543">
        <f>1</f>
        <v>1</v>
      </c>
      <c r="J5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542)&amp;"|",All_Questions_Q20_F_wrapped)),1,0),0))</f>
        <v>1</v>
      </c>
    </row>
    <row r="544">
      <c r="A544" t="n">
        <v>543</v>
      </c>
      <c r="B544" t="n">
        <v>28.9</v>
      </c>
      <c r="C544" t="n">
        <v>24.6</v>
      </c>
      <c r="D544" t="n">
        <v>22.9</v>
      </c>
      <c r="E544">
        <f>1</f>
        <v>1</v>
      </c>
      <c r="F544">
        <f>IF(OR(F_Custom1_Q="(None)",F_Custom1_Q="",ISBLANK(F_Custom1_Q),F_Custom1_V="(All)",F_Custom1_V="",ISBLANK(F_Custom1_V)),1,IFERROR(IF(ISNUMBER(SEARCH("|"&amp;INDEX(INDIRECT(F_Custom1_resolved_column),543)&amp;"|",F_Custom1_wrapped)),1,0),0))</f>
        <v>1</v>
      </c>
      <c r="G544">
        <f>IF(OR(F_Custom2_Q="(None)",F_Custom2_Q="",ISBLANK(F_Custom2_Q),F_Custom2_V="(All)",F_Custom2_V="",ISBLANK(F_Custom2_V)),1,IFERROR(IF(ISNUMBER(SEARCH("|"&amp;INDEX(INDIRECT(F_Custom2_resolved_column),543)&amp;"|",F_Custom2_wrapped)),1,0),0))</f>
        <v>1</v>
      </c>
      <c r="H544">
        <f>F544*G544*1</f>
        <v>1</v>
      </c>
      <c r="I544">
        <f>1</f>
        <v>1</v>
      </c>
      <c r="J5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543)&amp;"|",All_Questions_Q20_F_wrapped)),1,0),0))</f>
        <v>1</v>
      </c>
    </row>
    <row r="545">
      <c r="A545" t="n">
        <v>544</v>
      </c>
      <c r="B545" t="n">
        <v>28.9</v>
      </c>
      <c r="C545" t="n">
        <v>24.6</v>
      </c>
      <c r="D545" t="n">
        <v>22.9</v>
      </c>
      <c r="E545">
        <f>1</f>
        <v>1</v>
      </c>
      <c r="F545">
        <f>IF(OR(F_Custom1_Q="(None)",F_Custom1_Q="",ISBLANK(F_Custom1_Q),F_Custom1_V="(All)",F_Custom1_V="",ISBLANK(F_Custom1_V)),1,IFERROR(IF(ISNUMBER(SEARCH("|"&amp;INDEX(INDIRECT(F_Custom1_resolved_column),544)&amp;"|",F_Custom1_wrapped)),1,0),0))</f>
        <v>1</v>
      </c>
      <c r="G545">
        <f>IF(OR(F_Custom2_Q="(None)",F_Custom2_Q="",ISBLANK(F_Custom2_Q),F_Custom2_V="(All)",F_Custom2_V="",ISBLANK(F_Custom2_V)),1,IFERROR(IF(ISNUMBER(SEARCH("|"&amp;INDEX(INDIRECT(F_Custom2_resolved_column),544)&amp;"|",F_Custom2_wrapped)),1,0),0))</f>
        <v>1</v>
      </c>
      <c r="H545">
        <f>F545*G545*1</f>
        <v>1</v>
      </c>
      <c r="I545">
        <f>1</f>
        <v>1</v>
      </c>
      <c r="J5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544)&amp;"|",All_Questions_Q20_F_wrapped)),1,0),0))</f>
        <v>1</v>
      </c>
    </row>
    <row r="546">
      <c r="A546" t="n">
        <v>545</v>
      </c>
      <c r="B546" t="n">
        <v>28.9</v>
      </c>
      <c r="C546" t="n">
        <v>24.6</v>
      </c>
      <c r="D546" t="n">
        <v>22.9</v>
      </c>
      <c r="E546">
        <f>1</f>
        <v>1</v>
      </c>
      <c r="F546">
        <f>IF(OR(F_Custom1_Q="(None)",F_Custom1_Q="",ISBLANK(F_Custom1_Q),F_Custom1_V="(All)",F_Custom1_V="",ISBLANK(F_Custom1_V)),1,IFERROR(IF(ISNUMBER(SEARCH("|"&amp;INDEX(INDIRECT(F_Custom1_resolved_column),545)&amp;"|",F_Custom1_wrapped)),1,0),0))</f>
        <v>1</v>
      </c>
      <c r="G546">
        <f>IF(OR(F_Custom2_Q="(None)",F_Custom2_Q="",ISBLANK(F_Custom2_Q),F_Custom2_V="(All)",F_Custom2_V="",ISBLANK(F_Custom2_V)),1,IFERROR(IF(ISNUMBER(SEARCH("|"&amp;INDEX(INDIRECT(F_Custom2_resolved_column),545)&amp;"|",F_Custom2_wrapped)),1,0),0))</f>
        <v>1</v>
      </c>
      <c r="H546">
        <f>F546*G546*1</f>
        <v>1</v>
      </c>
      <c r="I546">
        <f>1</f>
        <v>1</v>
      </c>
      <c r="J5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545)&amp;"|",All_Questions_Q20_F_wrapped)),1,0),0))</f>
        <v>1</v>
      </c>
    </row>
    <row r="547">
      <c r="A547" t="n">
        <v>546</v>
      </c>
      <c r="B547" t="n">
        <v>28.9</v>
      </c>
      <c r="C547" t="n">
        <v>24.6</v>
      </c>
      <c r="D547" t="n">
        <v>22.9</v>
      </c>
      <c r="E547">
        <f>1</f>
        <v>1</v>
      </c>
      <c r="F547">
        <f>IF(OR(F_Custom1_Q="(None)",F_Custom1_Q="",ISBLANK(F_Custom1_Q),F_Custom1_V="(All)",F_Custom1_V="",ISBLANK(F_Custom1_V)),1,IFERROR(IF(ISNUMBER(SEARCH("|"&amp;INDEX(INDIRECT(F_Custom1_resolved_column),546)&amp;"|",F_Custom1_wrapped)),1,0),0))</f>
        <v>1</v>
      </c>
      <c r="G547">
        <f>IF(OR(F_Custom2_Q="(None)",F_Custom2_Q="",ISBLANK(F_Custom2_Q),F_Custom2_V="(All)",F_Custom2_V="",ISBLANK(F_Custom2_V)),1,IFERROR(IF(ISNUMBER(SEARCH("|"&amp;INDEX(INDIRECT(F_Custom2_resolved_column),546)&amp;"|",F_Custom2_wrapped)),1,0),0))</f>
        <v>1</v>
      </c>
      <c r="H547">
        <f>F547*G547*1</f>
        <v>1</v>
      </c>
      <c r="I547">
        <f>1</f>
        <v>1</v>
      </c>
      <c r="J5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546)&amp;"|",All_Questions_Q20_F_wrapped)),1,0),0))</f>
        <v>1</v>
      </c>
    </row>
    <row r="548">
      <c r="A548" t="n">
        <v>547</v>
      </c>
      <c r="B548" t="n">
        <v>28.9</v>
      </c>
      <c r="C548" t="n">
        <v>24.6</v>
      </c>
      <c r="D548" t="n">
        <v>22.9</v>
      </c>
      <c r="E548">
        <f>1</f>
        <v>1</v>
      </c>
      <c r="F548">
        <f>IF(OR(F_Custom1_Q="(None)",F_Custom1_Q="",ISBLANK(F_Custom1_Q),F_Custom1_V="(All)",F_Custom1_V="",ISBLANK(F_Custom1_V)),1,IFERROR(IF(ISNUMBER(SEARCH("|"&amp;INDEX(INDIRECT(F_Custom1_resolved_column),547)&amp;"|",F_Custom1_wrapped)),1,0),0))</f>
        <v>1</v>
      </c>
      <c r="G548">
        <f>IF(OR(F_Custom2_Q="(None)",F_Custom2_Q="",ISBLANK(F_Custom2_Q),F_Custom2_V="(All)",F_Custom2_V="",ISBLANK(F_Custom2_V)),1,IFERROR(IF(ISNUMBER(SEARCH("|"&amp;INDEX(INDIRECT(F_Custom2_resolved_column),547)&amp;"|",F_Custom2_wrapped)),1,0),0))</f>
        <v>1</v>
      </c>
      <c r="H548">
        <f>F548*G548*1</f>
        <v>1</v>
      </c>
      <c r="I548">
        <f>1</f>
        <v>1</v>
      </c>
      <c r="J5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547)&amp;"|",All_Questions_Q20_F_wrapped)),1,0),0))</f>
        <v>1</v>
      </c>
    </row>
    <row r="549">
      <c r="A549" t="n">
        <v>548</v>
      </c>
      <c r="B549" t="n">
        <v>28.9</v>
      </c>
      <c r="C549" t="n">
        <v>24.6</v>
      </c>
      <c r="D549" t="n">
        <v>22.9</v>
      </c>
      <c r="E549">
        <f>1</f>
        <v>1</v>
      </c>
      <c r="F549">
        <f>IF(OR(F_Custom1_Q="(None)",F_Custom1_Q="",ISBLANK(F_Custom1_Q),F_Custom1_V="(All)",F_Custom1_V="",ISBLANK(F_Custom1_V)),1,IFERROR(IF(ISNUMBER(SEARCH("|"&amp;INDEX(INDIRECT(F_Custom1_resolved_column),548)&amp;"|",F_Custom1_wrapped)),1,0),0))</f>
        <v>1</v>
      </c>
      <c r="G549">
        <f>IF(OR(F_Custom2_Q="(None)",F_Custom2_Q="",ISBLANK(F_Custom2_Q),F_Custom2_V="(All)",F_Custom2_V="",ISBLANK(F_Custom2_V)),1,IFERROR(IF(ISNUMBER(SEARCH("|"&amp;INDEX(INDIRECT(F_Custom2_resolved_column),548)&amp;"|",F_Custom2_wrapped)),1,0),0))</f>
        <v>1</v>
      </c>
      <c r="H549">
        <f>F549*G549*1</f>
        <v>1</v>
      </c>
      <c r="I549">
        <f>1</f>
        <v>1</v>
      </c>
      <c r="J5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548)&amp;"|",All_Questions_Q20_F_wrapped)),1,0),0))</f>
        <v>1</v>
      </c>
    </row>
    <row r="550">
      <c r="A550" t="n">
        <v>549</v>
      </c>
      <c r="B550" t="n">
        <v>28.9</v>
      </c>
      <c r="C550" t="n">
        <v>24.6</v>
      </c>
      <c r="D550" t="n">
        <v>22.9</v>
      </c>
      <c r="E550">
        <f>1</f>
        <v>1</v>
      </c>
      <c r="F550">
        <f>IF(OR(F_Custom1_Q="(None)",F_Custom1_Q="",ISBLANK(F_Custom1_Q),F_Custom1_V="(All)",F_Custom1_V="",ISBLANK(F_Custom1_V)),1,IFERROR(IF(ISNUMBER(SEARCH("|"&amp;INDEX(INDIRECT(F_Custom1_resolved_column),549)&amp;"|",F_Custom1_wrapped)),1,0),0))</f>
        <v>1</v>
      </c>
      <c r="G550">
        <f>IF(OR(F_Custom2_Q="(None)",F_Custom2_Q="",ISBLANK(F_Custom2_Q),F_Custom2_V="(All)",F_Custom2_V="",ISBLANK(F_Custom2_V)),1,IFERROR(IF(ISNUMBER(SEARCH("|"&amp;INDEX(INDIRECT(F_Custom2_resolved_column),549)&amp;"|",F_Custom2_wrapped)),1,0),0))</f>
        <v>1</v>
      </c>
      <c r="H550">
        <f>F550*G550*1</f>
        <v>1</v>
      </c>
      <c r="I550">
        <f>1</f>
        <v>1</v>
      </c>
      <c r="J5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549)&amp;"|",All_Questions_Q20_F_wrapped)),1,0),0))</f>
        <v>1</v>
      </c>
    </row>
    <row r="551">
      <c r="A551" t="n">
        <v>550</v>
      </c>
      <c r="B551" t="n">
        <v>28.9</v>
      </c>
      <c r="C551" t="n">
        <v>24.6</v>
      </c>
      <c r="D551" t="n">
        <v>22.9</v>
      </c>
      <c r="E551">
        <f>1</f>
        <v>1</v>
      </c>
      <c r="F551">
        <f>IF(OR(F_Custom1_Q="(None)",F_Custom1_Q="",ISBLANK(F_Custom1_Q),F_Custom1_V="(All)",F_Custom1_V="",ISBLANK(F_Custom1_V)),1,IFERROR(IF(ISNUMBER(SEARCH("|"&amp;INDEX(INDIRECT(F_Custom1_resolved_column),550)&amp;"|",F_Custom1_wrapped)),1,0),0))</f>
        <v>1</v>
      </c>
      <c r="G551">
        <f>IF(OR(F_Custom2_Q="(None)",F_Custom2_Q="",ISBLANK(F_Custom2_Q),F_Custom2_V="(All)",F_Custom2_V="",ISBLANK(F_Custom2_V)),1,IFERROR(IF(ISNUMBER(SEARCH("|"&amp;INDEX(INDIRECT(F_Custom2_resolved_column),550)&amp;"|",F_Custom2_wrapped)),1,0),0))</f>
        <v>1</v>
      </c>
      <c r="H551">
        <f>F551*G551*1</f>
        <v>1</v>
      </c>
      <c r="I551">
        <f>1</f>
        <v>1</v>
      </c>
      <c r="J5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550)&amp;"|",All_Questions_Q20_F_wrapped)),1,0),0))</f>
        <v>1</v>
      </c>
    </row>
    <row r="552">
      <c r="A552" t="n">
        <v>551</v>
      </c>
      <c r="B552" t="n">
        <v>28.9</v>
      </c>
      <c r="C552" t="n">
        <v>24.6</v>
      </c>
      <c r="D552" t="n">
        <v>22.9</v>
      </c>
      <c r="E552">
        <f>1</f>
        <v>1</v>
      </c>
      <c r="F552">
        <f>IF(OR(F_Custom1_Q="(None)",F_Custom1_Q="",ISBLANK(F_Custom1_Q),F_Custom1_V="(All)",F_Custom1_V="",ISBLANK(F_Custom1_V)),1,IFERROR(IF(ISNUMBER(SEARCH("|"&amp;INDEX(INDIRECT(F_Custom1_resolved_column),551)&amp;"|",F_Custom1_wrapped)),1,0),0))</f>
        <v>1</v>
      </c>
      <c r="G552">
        <f>IF(OR(F_Custom2_Q="(None)",F_Custom2_Q="",ISBLANK(F_Custom2_Q),F_Custom2_V="(All)",F_Custom2_V="",ISBLANK(F_Custom2_V)),1,IFERROR(IF(ISNUMBER(SEARCH("|"&amp;INDEX(INDIRECT(F_Custom2_resolved_column),551)&amp;"|",F_Custom2_wrapped)),1,0),0))</f>
        <v>1</v>
      </c>
      <c r="H552">
        <f>F552*G552*1</f>
        <v>1</v>
      </c>
      <c r="I552">
        <f>1</f>
        <v>1</v>
      </c>
      <c r="J5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551)&amp;"|",All_Questions_Q20_F_wrapped)),1,0),0))</f>
        <v>1</v>
      </c>
    </row>
    <row r="553">
      <c r="A553" t="n">
        <v>552</v>
      </c>
      <c r="B553" t="n">
        <v>28.9</v>
      </c>
      <c r="C553" t="n">
        <v>24.6</v>
      </c>
      <c r="D553" t="n">
        <v>22.9</v>
      </c>
      <c r="E553">
        <f>1</f>
        <v>1</v>
      </c>
      <c r="F553">
        <f>IF(OR(F_Custom1_Q="(None)",F_Custom1_Q="",ISBLANK(F_Custom1_Q),F_Custom1_V="(All)",F_Custom1_V="",ISBLANK(F_Custom1_V)),1,IFERROR(IF(ISNUMBER(SEARCH("|"&amp;INDEX(INDIRECT(F_Custom1_resolved_column),552)&amp;"|",F_Custom1_wrapped)),1,0),0))</f>
        <v>1</v>
      </c>
      <c r="G553">
        <f>IF(OR(F_Custom2_Q="(None)",F_Custom2_Q="",ISBLANK(F_Custom2_Q),F_Custom2_V="(All)",F_Custom2_V="",ISBLANK(F_Custom2_V)),1,IFERROR(IF(ISNUMBER(SEARCH("|"&amp;INDEX(INDIRECT(F_Custom2_resolved_column),552)&amp;"|",F_Custom2_wrapped)),1,0),0))</f>
        <v>1</v>
      </c>
      <c r="H553">
        <f>F553*G553*1</f>
        <v>1</v>
      </c>
      <c r="I553">
        <f>1</f>
        <v>1</v>
      </c>
      <c r="J5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552)&amp;"|",All_Questions_Q20_F_wrapped)),1,0),0))</f>
        <v>1</v>
      </c>
    </row>
    <row r="554">
      <c r="A554" t="n">
        <v>553</v>
      </c>
      <c r="B554" t="n">
        <v>28.9</v>
      </c>
      <c r="C554" t="n">
        <v>24.6</v>
      </c>
      <c r="D554" t="n">
        <v>22.9</v>
      </c>
      <c r="E554">
        <f>1</f>
        <v>1</v>
      </c>
      <c r="F554">
        <f>IF(OR(F_Custom1_Q="(None)",F_Custom1_Q="",ISBLANK(F_Custom1_Q),F_Custom1_V="(All)",F_Custom1_V="",ISBLANK(F_Custom1_V)),1,IFERROR(IF(ISNUMBER(SEARCH("|"&amp;INDEX(INDIRECT(F_Custom1_resolved_column),553)&amp;"|",F_Custom1_wrapped)),1,0),0))</f>
        <v>1</v>
      </c>
      <c r="G554">
        <f>IF(OR(F_Custom2_Q="(None)",F_Custom2_Q="",ISBLANK(F_Custom2_Q),F_Custom2_V="(All)",F_Custom2_V="",ISBLANK(F_Custom2_V)),1,IFERROR(IF(ISNUMBER(SEARCH("|"&amp;INDEX(INDIRECT(F_Custom2_resolved_column),553)&amp;"|",F_Custom2_wrapped)),1,0),0))</f>
        <v>1</v>
      </c>
      <c r="H554">
        <f>F554*G554*1</f>
        <v>1</v>
      </c>
      <c r="I554">
        <f>1</f>
        <v>1</v>
      </c>
      <c r="J5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553)&amp;"|",All_Questions_Q20_F_wrapped)),1,0),0))</f>
        <v>1</v>
      </c>
    </row>
    <row r="555">
      <c r="A555" t="n">
        <v>554</v>
      </c>
      <c r="B555" t="n">
        <v>28.9</v>
      </c>
      <c r="C555" t="n">
        <v>24.6</v>
      </c>
      <c r="D555" t="n">
        <v>22.9</v>
      </c>
      <c r="E555">
        <f>1</f>
        <v>1</v>
      </c>
      <c r="F555">
        <f>IF(OR(F_Custom1_Q="(None)",F_Custom1_Q="",ISBLANK(F_Custom1_Q),F_Custom1_V="(All)",F_Custom1_V="",ISBLANK(F_Custom1_V)),1,IFERROR(IF(ISNUMBER(SEARCH("|"&amp;INDEX(INDIRECT(F_Custom1_resolved_column),554)&amp;"|",F_Custom1_wrapped)),1,0),0))</f>
        <v>1</v>
      </c>
      <c r="G555">
        <f>IF(OR(F_Custom2_Q="(None)",F_Custom2_Q="",ISBLANK(F_Custom2_Q),F_Custom2_V="(All)",F_Custom2_V="",ISBLANK(F_Custom2_V)),1,IFERROR(IF(ISNUMBER(SEARCH("|"&amp;INDEX(INDIRECT(F_Custom2_resolved_column),554)&amp;"|",F_Custom2_wrapped)),1,0),0))</f>
        <v>1</v>
      </c>
      <c r="H555">
        <f>F555*G555*1</f>
        <v>1</v>
      </c>
      <c r="I555">
        <f>1</f>
        <v>1</v>
      </c>
      <c r="J5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554)&amp;"|",All_Questions_Q20_F_wrapped)),1,0),0))</f>
        <v>1</v>
      </c>
    </row>
    <row r="556">
      <c r="A556" t="n">
        <v>555</v>
      </c>
      <c r="B556" t="n">
        <v>28.9</v>
      </c>
      <c r="C556" t="n">
        <v>24.6</v>
      </c>
      <c r="D556" t="n">
        <v>22.9</v>
      </c>
      <c r="E556">
        <f>1</f>
        <v>1</v>
      </c>
      <c r="F556">
        <f>IF(OR(F_Custom1_Q="(None)",F_Custom1_Q="",ISBLANK(F_Custom1_Q),F_Custom1_V="(All)",F_Custom1_V="",ISBLANK(F_Custom1_V)),1,IFERROR(IF(ISNUMBER(SEARCH("|"&amp;INDEX(INDIRECT(F_Custom1_resolved_column),555)&amp;"|",F_Custom1_wrapped)),1,0),0))</f>
        <v>1</v>
      </c>
      <c r="G556">
        <f>IF(OR(F_Custom2_Q="(None)",F_Custom2_Q="",ISBLANK(F_Custom2_Q),F_Custom2_V="(All)",F_Custom2_V="",ISBLANK(F_Custom2_V)),1,IFERROR(IF(ISNUMBER(SEARCH("|"&amp;INDEX(INDIRECT(F_Custom2_resolved_column),555)&amp;"|",F_Custom2_wrapped)),1,0),0))</f>
        <v>1</v>
      </c>
      <c r="H556">
        <f>F556*G556*1</f>
        <v>1</v>
      </c>
      <c r="I556">
        <f>1</f>
        <v>1</v>
      </c>
      <c r="J5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555)&amp;"|",All_Questions_Q20_F_wrapped)),1,0),0))</f>
        <v>1</v>
      </c>
    </row>
    <row r="557">
      <c r="A557" t="n">
        <v>556</v>
      </c>
      <c r="B557" t="n">
        <v>28.9</v>
      </c>
      <c r="C557" t="n">
        <v>24.6</v>
      </c>
      <c r="D557" t="n">
        <v>22.9</v>
      </c>
      <c r="E557">
        <f>1</f>
        <v>1</v>
      </c>
      <c r="F557">
        <f>IF(OR(F_Custom1_Q="(None)",F_Custom1_Q="",ISBLANK(F_Custom1_Q),F_Custom1_V="(All)",F_Custom1_V="",ISBLANK(F_Custom1_V)),1,IFERROR(IF(ISNUMBER(SEARCH("|"&amp;INDEX(INDIRECT(F_Custom1_resolved_column),556)&amp;"|",F_Custom1_wrapped)),1,0),0))</f>
        <v>1</v>
      </c>
      <c r="G557">
        <f>IF(OR(F_Custom2_Q="(None)",F_Custom2_Q="",ISBLANK(F_Custom2_Q),F_Custom2_V="(All)",F_Custom2_V="",ISBLANK(F_Custom2_V)),1,IFERROR(IF(ISNUMBER(SEARCH("|"&amp;INDEX(INDIRECT(F_Custom2_resolved_column),556)&amp;"|",F_Custom2_wrapped)),1,0),0))</f>
        <v>1</v>
      </c>
      <c r="H557">
        <f>F557*G557*1</f>
        <v>1</v>
      </c>
      <c r="I557">
        <f>1</f>
        <v>1</v>
      </c>
      <c r="J5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556)&amp;"|",All_Questions_Q20_F_wrapped)),1,0),0))</f>
        <v>1</v>
      </c>
    </row>
    <row r="558">
      <c r="A558" t="n">
        <v>557</v>
      </c>
      <c r="B558" t="n">
        <v>28.9</v>
      </c>
      <c r="C558" t="n">
        <v>24.6</v>
      </c>
      <c r="D558" t="n">
        <v>22.9</v>
      </c>
      <c r="E558">
        <f>1</f>
        <v>1</v>
      </c>
      <c r="F558">
        <f>IF(OR(F_Custom1_Q="(None)",F_Custom1_Q="",ISBLANK(F_Custom1_Q),F_Custom1_V="(All)",F_Custom1_V="",ISBLANK(F_Custom1_V)),1,IFERROR(IF(ISNUMBER(SEARCH("|"&amp;INDEX(INDIRECT(F_Custom1_resolved_column),557)&amp;"|",F_Custom1_wrapped)),1,0),0))</f>
        <v>1</v>
      </c>
      <c r="G558">
        <f>IF(OR(F_Custom2_Q="(None)",F_Custom2_Q="",ISBLANK(F_Custom2_Q),F_Custom2_V="(All)",F_Custom2_V="",ISBLANK(F_Custom2_V)),1,IFERROR(IF(ISNUMBER(SEARCH("|"&amp;INDEX(INDIRECT(F_Custom2_resolved_column),557)&amp;"|",F_Custom2_wrapped)),1,0),0))</f>
        <v>1</v>
      </c>
      <c r="H558">
        <f>F558*G558*1</f>
        <v>1</v>
      </c>
      <c r="I558">
        <f>1</f>
        <v>1</v>
      </c>
      <c r="J5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557)&amp;"|",All_Questions_Q20_F_wrapped)),1,0),0))</f>
        <v>1</v>
      </c>
    </row>
    <row r="559">
      <c r="A559" t="n">
        <v>558</v>
      </c>
      <c r="B559" t="n">
        <v>28.9</v>
      </c>
      <c r="C559" t="n">
        <v>24.6</v>
      </c>
      <c r="D559" t="n">
        <v>22.9</v>
      </c>
      <c r="E559">
        <f>1</f>
        <v>1</v>
      </c>
      <c r="F559">
        <f>IF(OR(F_Custom1_Q="(None)",F_Custom1_Q="",ISBLANK(F_Custom1_Q),F_Custom1_V="(All)",F_Custom1_V="",ISBLANK(F_Custom1_V)),1,IFERROR(IF(ISNUMBER(SEARCH("|"&amp;INDEX(INDIRECT(F_Custom1_resolved_column),558)&amp;"|",F_Custom1_wrapped)),1,0),0))</f>
        <v>1</v>
      </c>
      <c r="G559">
        <f>IF(OR(F_Custom2_Q="(None)",F_Custom2_Q="",ISBLANK(F_Custom2_Q),F_Custom2_V="(All)",F_Custom2_V="",ISBLANK(F_Custom2_V)),1,IFERROR(IF(ISNUMBER(SEARCH("|"&amp;INDEX(INDIRECT(F_Custom2_resolved_column),558)&amp;"|",F_Custom2_wrapped)),1,0),0))</f>
        <v>1</v>
      </c>
      <c r="H559">
        <f>F559*G559*1</f>
        <v>1</v>
      </c>
      <c r="I559">
        <f>1</f>
        <v>1</v>
      </c>
      <c r="J5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558)&amp;"|",All_Questions_Q20_F_wrapped)),1,0),0))</f>
        <v>1</v>
      </c>
    </row>
    <row r="560">
      <c r="A560" t="n">
        <v>559</v>
      </c>
      <c r="B560" t="n">
        <v>28.9</v>
      </c>
      <c r="C560" t="n">
        <v>24.6</v>
      </c>
      <c r="D560" t="n">
        <v>22.9</v>
      </c>
      <c r="E560">
        <f>1</f>
        <v>1</v>
      </c>
      <c r="F560">
        <f>IF(OR(F_Custom1_Q="(None)",F_Custom1_Q="",ISBLANK(F_Custom1_Q),F_Custom1_V="(All)",F_Custom1_V="",ISBLANK(F_Custom1_V)),1,IFERROR(IF(ISNUMBER(SEARCH("|"&amp;INDEX(INDIRECT(F_Custom1_resolved_column),559)&amp;"|",F_Custom1_wrapped)),1,0),0))</f>
        <v>1</v>
      </c>
      <c r="G560">
        <f>IF(OR(F_Custom2_Q="(None)",F_Custom2_Q="",ISBLANK(F_Custom2_Q),F_Custom2_V="(All)",F_Custom2_V="",ISBLANK(F_Custom2_V)),1,IFERROR(IF(ISNUMBER(SEARCH("|"&amp;INDEX(INDIRECT(F_Custom2_resolved_column),559)&amp;"|",F_Custom2_wrapped)),1,0),0))</f>
        <v>1</v>
      </c>
      <c r="H560">
        <f>F560*G560*1</f>
        <v>1</v>
      </c>
      <c r="I560">
        <f>1</f>
        <v>1</v>
      </c>
      <c r="J5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559)&amp;"|",All_Questions_Q20_F_wrapped)),1,0),0))</f>
        <v>1</v>
      </c>
    </row>
    <row r="561">
      <c r="A561" t="n">
        <v>560</v>
      </c>
      <c r="B561" t="n">
        <v>28.9</v>
      </c>
      <c r="C561" t="n">
        <v>24.6</v>
      </c>
      <c r="D561" t="n">
        <v>22.9</v>
      </c>
      <c r="E561">
        <f>1</f>
        <v>1</v>
      </c>
      <c r="F561">
        <f>IF(OR(F_Custom1_Q="(None)",F_Custom1_Q="",ISBLANK(F_Custom1_Q),F_Custom1_V="(All)",F_Custom1_V="",ISBLANK(F_Custom1_V)),1,IFERROR(IF(ISNUMBER(SEARCH("|"&amp;INDEX(INDIRECT(F_Custom1_resolved_column),560)&amp;"|",F_Custom1_wrapped)),1,0),0))</f>
        <v>1</v>
      </c>
      <c r="G561">
        <f>IF(OR(F_Custom2_Q="(None)",F_Custom2_Q="",ISBLANK(F_Custom2_Q),F_Custom2_V="(All)",F_Custom2_V="",ISBLANK(F_Custom2_V)),1,IFERROR(IF(ISNUMBER(SEARCH("|"&amp;INDEX(INDIRECT(F_Custom2_resolved_column),560)&amp;"|",F_Custom2_wrapped)),1,0),0))</f>
        <v>1</v>
      </c>
      <c r="H561">
        <f>F561*G561*1</f>
        <v>1</v>
      </c>
      <c r="I561">
        <f>1</f>
        <v>1</v>
      </c>
      <c r="J5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560)&amp;"|",All_Questions_Q20_F_wrapped)),1,0),0))</f>
        <v>1</v>
      </c>
    </row>
    <row r="562">
      <c r="A562" t="n">
        <v>561</v>
      </c>
      <c r="B562" t="n">
        <v>28.9</v>
      </c>
      <c r="C562" t="n">
        <v>24.6</v>
      </c>
      <c r="D562" t="n">
        <v>22.9</v>
      </c>
      <c r="E562">
        <f>1</f>
        <v>1</v>
      </c>
      <c r="F562">
        <f>IF(OR(F_Custom1_Q="(None)",F_Custom1_Q="",ISBLANK(F_Custom1_Q),F_Custom1_V="(All)",F_Custom1_V="",ISBLANK(F_Custom1_V)),1,IFERROR(IF(ISNUMBER(SEARCH("|"&amp;INDEX(INDIRECT(F_Custom1_resolved_column),561)&amp;"|",F_Custom1_wrapped)),1,0),0))</f>
        <v>1</v>
      </c>
      <c r="G562">
        <f>IF(OR(F_Custom2_Q="(None)",F_Custom2_Q="",ISBLANK(F_Custom2_Q),F_Custom2_V="(All)",F_Custom2_V="",ISBLANK(F_Custom2_V)),1,IFERROR(IF(ISNUMBER(SEARCH("|"&amp;INDEX(INDIRECT(F_Custom2_resolved_column),561)&amp;"|",F_Custom2_wrapped)),1,0),0))</f>
        <v>1</v>
      </c>
      <c r="H562">
        <f>F562*G562*1</f>
        <v>1</v>
      </c>
      <c r="I562">
        <f>1</f>
        <v>1</v>
      </c>
      <c r="J5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561)&amp;"|",All_Questions_Q20_F_wrapped)),1,0),0))</f>
        <v>1</v>
      </c>
    </row>
    <row r="563">
      <c r="A563" t="n">
        <v>562</v>
      </c>
      <c r="B563" t="n">
        <v>28.9</v>
      </c>
      <c r="C563" t="n">
        <v>24.6</v>
      </c>
      <c r="D563" t="n">
        <v>22.9</v>
      </c>
      <c r="E563">
        <f>1</f>
        <v>1</v>
      </c>
      <c r="F563">
        <f>IF(OR(F_Custom1_Q="(None)",F_Custom1_Q="",ISBLANK(F_Custom1_Q),F_Custom1_V="(All)",F_Custom1_V="",ISBLANK(F_Custom1_V)),1,IFERROR(IF(ISNUMBER(SEARCH("|"&amp;INDEX(INDIRECT(F_Custom1_resolved_column),562)&amp;"|",F_Custom1_wrapped)),1,0),0))</f>
        <v>1</v>
      </c>
      <c r="G563">
        <f>IF(OR(F_Custom2_Q="(None)",F_Custom2_Q="",ISBLANK(F_Custom2_Q),F_Custom2_V="(All)",F_Custom2_V="",ISBLANK(F_Custom2_V)),1,IFERROR(IF(ISNUMBER(SEARCH("|"&amp;INDEX(INDIRECT(F_Custom2_resolved_column),562)&amp;"|",F_Custom2_wrapped)),1,0),0))</f>
        <v>1</v>
      </c>
      <c r="H563">
        <f>F563*G563*1</f>
        <v>1</v>
      </c>
      <c r="I563">
        <f>1</f>
        <v>1</v>
      </c>
      <c r="J5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562)&amp;"|",All_Questions_Q20_F_wrapped)),1,0),0))</f>
        <v>1</v>
      </c>
    </row>
    <row r="564">
      <c r="A564" t="n">
        <v>563</v>
      </c>
      <c r="B564" t="n">
        <v>28.9</v>
      </c>
      <c r="C564" t="n">
        <v>24.6</v>
      </c>
      <c r="D564" t="n">
        <v>22.9</v>
      </c>
      <c r="E564">
        <f>1</f>
        <v>1</v>
      </c>
      <c r="F564">
        <f>IF(OR(F_Custom1_Q="(None)",F_Custom1_Q="",ISBLANK(F_Custom1_Q),F_Custom1_V="(All)",F_Custom1_V="",ISBLANK(F_Custom1_V)),1,IFERROR(IF(ISNUMBER(SEARCH("|"&amp;INDEX(INDIRECT(F_Custom1_resolved_column),563)&amp;"|",F_Custom1_wrapped)),1,0),0))</f>
        <v>1</v>
      </c>
      <c r="G564">
        <f>IF(OR(F_Custom2_Q="(None)",F_Custom2_Q="",ISBLANK(F_Custom2_Q),F_Custom2_V="(All)",F_Custom2_V="",ISBLANK(F_Custom2_V)),1,IFERROR(IF(ISNUMBER(SEARCH("|"&amp;INDEX(INDIRECT(F_Custom2_resolved_column),563)&amp;"|",F_Custom2_wrapped)),1,0),0))</f>
        <v>1</v>
      </c>
      <c r="H564">
        <f>F564*G564*1</f>
        <v>1</v>
      </c>
      <c r="I564">
        <f>1</f>
        <v>1</v>
      </c>
      <c r="J5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563)&amp;"|",All_Questions_Q20_F_wrapped)),1,0),0))</f>
        <v>1</v>
      </c>
    </row>
    <row r="565">
      <c r="A565" t="n">
        <v>564</v>
      </c>
      <c r="B565" t="n">
        <v>28.9</v>
      </c>
      <c r="C565" t="n">
        <v>24.6</v>
      </c>
      <c r="D565" t="n">
        <v>22.9</v>
      </c>
      <c r="E565">
        <f>1</f>
        <v>1</v>
      </c>
      <c r="F565">
        <f>IF(OR(F_Custom1_Q="(None)",F_Custom1_Q="",ISBLANK(F_Custom1_Q),F_Custom1_V="(All)",F_Custom1_V="",ISBLANK(F_Custom1_V)),1,IFERROR(IF(ISNUMBER(SEARCH("|"&amp;INDEX(INDIRECT(F_Custom1_resolved_column),564)&amp;"|",F_Custom1_wrapped)),1,0),0))</f>
        <v>1</v>
      </c>
      <c r="G565">
        <f>IF(OR(F_Custom2_Q="(None)",F_Custom2_Q="",ISBLANK(F_Custom2_Q),F_Custom2_V="(All)",F_Custom2_V="",ISBLANK(F_Custom2_V)),1,IFERROR(IF(ISNUMBER(SEARCH("|"&amp;INDEX(INDIRECT(F_Custom2_resolved_column),564)&amp;"|",F_Custom2_wrapped)),1,0),0))</f>
        <v>1</v>
      </c>
      <c r="H565">
        <f>F565*G565*1</f>
        <v>1</v>
      </c>
      <c r="I565">
        <f>1</f>
        <v>1</v>
      </c>
      <c r="J5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564)&amp;"|",All_Questions_Q20_F_wrapped)),1,0),0))</f>
        <v>1</v>
      </c>
    </row>
    <row r="566">
      <c r="A566" t="n">
        <v>565</v>
      </c>
      <c r="B566" t="n">
        <v>28.9</v>
      </c>
      <c r="C566" t="n">
        <v>24.6</v>
      </c>
      <c r="D566" t="n">
        <v>22.9</v>
      </c>
      <c r="E566">
        <f>1</f>
        <v>1</v>
      </c>
      <c r="F566">
        <f>IF(OR(F_Custom1_Q="(None)",F_Custom1_Q="",ISBLANK(F_Custom1_Q),F_Custom1_V="(All)",F_Custom1_V="",ISBLANK(F_Custom1_V)),1,IFERROR(IF(ISNUMBER(SEARCH("|"&amp;INDEX(INDIRECT(F_Custom1_resolved_column),565)&amp;"|",F_Custom1_wrapped)),1,0),0))</f>
        <v>1</v>
      </c>
      <c r="G566">
        <f>IF(OR(F_Custom2_Q="(None)",F_Custom2_Q="",ISBLANK(F_Custom2_Q),F_Custom2_V="(All)",F_Custom2_V="",ISBLANK(F_Custom2_V)),1,IFERROR(IF(ISNUMBER(SEARCH("|"&amp;INDEX(INDIRECT(F_Custom2_resolved_column),565)&amp;"|",F_Custom2_wrapped)),1,0),0))</f>
        <v>1</v>
      </c>
      <c r="H566">
        <f>F566*G566*1</f>
        <v>1</v>
      </c>
      <c r="I566">
        <f>1</f>
        <v>1</v>
      </c>
      <c r="J5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565)&amp;"|",All_Questions_Q20_F_wrapped)),1,0),0))</f>
        <v>1</v>
      </c>
    </row>
    <row r="567">
      <c r="A567" t="n">
        <v>566</v>
      </c>
      <c r="B567" t="n">
        <v>28.9</v>
      </c>
      <c r="C567" t="n">
        <v>24.6</v>
      </c>
      <c r="D567" t="n">
        <v>22.9</v>
      </c>
      <c r="E567">
        <f>1</f>
        <v>1</v>
      </c>
      <c r="F567">
        <f>IF(OR(F_Custom1_Q="(None)",F_Custom1_Q="",ISBLANK(F_Custom1_Q),F_Custom1_V="(All)",F_Custom1_V="",ISBLANK(F_Custom1_V)),1,IFERROR(IF(ISNUMBER(SEARCH("|"&amp;INDEX(INDIRECT(F_Custom1_resolved_column),566)&amp;"|",F_Custom1_wrapped)),1,0),0))</f>
        <v>1</v>
      </c>
      <c r="G567">
        <f>IF(OR(F_Custom2_Q="(None)",F_Custom2_Q="",ISBLANK(F_Custom2_Q),F_Custom2_V="(All)",F_Custom2_V="",ISBLANK(F_Custom2_V)),1,IFERROR(IF(ISNUMBER(SEARCH("|"&amp;INDEX(INDIRECT(F_Custom2_resolved_column),566)&amp;"|",F_Custom2_wrapped)),1,0),0))</f>
        <v>1</v>
      </c>
      <c r="H567">
        <f>F567*G567*1</f>
        <v>1</v>
      </c>
      <c r="I567">
        <f>1</f>
        <v>1</v>
      </c>
      <c r="J5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566)&amp;"|",All_Questions_Q20_F_wrapped)),1,0),0))</f>
        <v>1</v>
      </c>
    </row>
    <row r="568">
      <c r="A568" t="n">
        <v>567</v>
      </c>
      <c r="B568" t="n">
        <v>28.9</v>
      </c>
      <c r="C568" t="n">
        <v>24.6</v>
      </c>
      <c r="D568" t="n">
        <v>22.9</v>
      </c>
      <c r="E568">
        <f>1</f>
        <v>1</v>
      </c>
      <c r="F568">
        <f>IF(OR(F_Custom1_Q="(None)",F_Custom1_Q="",ISBLANK(F_Custom1_Q),F_Custom1_V="(All)",F_Custom1_V="",ISBLANK(F_Custom1_V)),1,IFERROR(IF(ISNUMBER(SEARCH("|"&amp;INDEX(INDIRECT(F_Custom1_resolved_column),567)&amp;"|",F_Custom1_wrapped)),1,0),0))</f>
        <v>1</v>
      </c>
      <c r="G568">
        <f>IF(OR(F_Custom2_Q="(None)",F_Custom2_Q="",ISBLANK(F_Custom2_Q),F_Custom2_V="(All)",F_Custom2_V="",ISBLANK(F_Custom2_V)),1,IFERROR(IF(ISNUMBER(SEARCH("|"&amp;INDEX(INDIRECT(F_Custom2_resolved_column),567)&amp;"|",F_Custom2_wrapped)),1,0),0))</f>
        <v>1</v>
      </c>
      <c r="H568">
        <f>F568*G568*1</f>
        <v>1</v>
      </c>
      <c r="I568">
        <f>1</f>
        <v>1</v>
      </c>
      <c r="J5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567)&amp;"|",All_Questions_Q20_F_wrapped)),1,0),0))</f>
        <v>1</v>
      </c>
    </row>
    <row r="569">
      <c r="A569" t="n">
        <v>568</v>
      </c>
      <c r="B569" t="n">
        <v>28.9</v>
      </c>
      <c r="C569" t="n">
        <v>24.6</v>
      </c>
      <c r="D569" t="n">
        <v>22.9</v>
      </c>
      <c r="E569">
        <f>1</f>
        <v>1</v>
      </c>
      <c r="F569">
        <f>IF(OR(F_Custom1_Q="(None)",F_Custom1_Q="",ISBLANK(F_Custom1_Q),F_Custom1_V="(All)",F_Custom1_V="",ISBLANK(F_Custom1_V)),1,IFERROR(IF(ISNUMBER(SEARCH("|"&amp;INDEX(INDIRECT(F_Custom1_resolved_column),568)&amp;"|",F_Custom1_wrapped)),1,0),0))</f>
        <v>1</v>
      </c>
      <c r="G569">
        <f>IF(OR(F_Custom2_Q="(None)",F_Custom2_Q="",ISBLANK(F_Custom2_Q),F_Custom2_V="(All)",F_Custom2_V="",ISBLANK(F_Custom2_V)),1,IFERROR(IF(ISNUMBER(SEARCH("|"&amp;INDEX(INDIRECT(F_Custom2_resolved_column),568)&amp;"|",F_Custom2_wrapped)),1,0),0))</f>
        <v>1</v>
      </c>
      <c r="H569">
        <f>F569*G569*1</f>
        <v>1</v>
      </c>
      <c r="I569">
        <f>1</f>
        <v>1</v>
      </c>
      <c r="J5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568)&amp;"|",All_Questions_Q20_F_wrapped)),1,0),0))</f>
        <v>1</v>
      </c>
    </row>
    <row r="570">
      <c r="A570" t="n">
        <v>569</v>
      </c>
      <c r="B570" t="n">
        <v>28.9</v>
      </c>
      <c r="C570" t="n">
        <v>24.6</v>
      </c>
      <c r="D570" t="n">
        <v>22.9</v>
      </c>
      <c r="E570">
        <f>1</f>
        <v>1</v>
      </c>
      <c r="F570">
        <f>IF(OR(F_Custom1_Q="(None)",F_Custom1_Q="",ISBLANK(F_Custom1_Q),F_Custom1_V="(All)",F_Custom1_V="",ISBLANK(F_Custom1_V)),1,IFERROR(IF(ISNUMBER(SEARCH("|"&amp;INDEX(INDIRECT(F_Custom1_resolved_column),569)&amp;"|",F_Custom1_wrapped)),1,0),0))</f>
        <v>1</v>
      </c>
      <c r="G570">
        <f>IF(OR(F_Custom2_Q="(None)",F_Custom2_Q="",ISBLANK(F_Custom2_Q),F_Custom2_V="(All)",F_Custom2_V="",ISBLANK(F_Custom2_V)),1,IFERROR(IF(ISNUMBER(SEARCH("|"&amp;INDEX(INDIRECT(F_Custom2_resolved_column),569)&amp;"|",F_Custom2_wrapped)),1,0),0))</f>
        <v>1</v>
      </c>
      <c r="H570">
        <f>F570*G570*1</f>
        <v>1</v>
      </c>
      <c r="I570">
        <f>1</f>
        <v>1</v>
      </c>
      <c r="J5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569)&amp;"|",All_Questions_Q20_F_wrapped)),1,0),0))</f>
        <v>1</v>
      </c>
    </row>
    <row r="571">
      <c r="A571" t="n">
        <v>570</v>
      </c>
      <c r="B571" t="n">
        <v>28.9</v>
      </c>
      <c r="C571" t="n">
        <v>24.6</v>
      </c>
      <c r="D571" t="n">
        <v>22.9</v>
      </c>
      <c r="E571">
        <f>1</f>
        <v>1</v>
      </c>
      <c r="F571">
        <f>IF(OR(F_Custom1_Q="(None)",F_Custom1_Q="",ISBLANK(F_Custom1_Q),F_Custom1_V="(All)",F_Custom1_V="",ISBLANK(F_Custom1_V)),1,IFERROR(IF(ISNUMBER(SEARCH("|"&amp;INDEX(INDIRECT(F_Custom1_resolved_column),570)&amp;"|",F_Custom1_wrapped)),1,0),0))</f>
        <v>1</v>
      </c>
      <c r="G571">
        <f>IF(OR(F_Custom2_Q="(None)",F_Custom2_Q="",ISBLANK(F_Custom2_Q),F_Custom2_V="(All)",F_Custom2_V="",ISBLANK(F_Custom2_V)),1,IFERROR(IF(ISNUMBER(SEARCH("|"&amp;INDEX(INDIRECT(F_Custom2_resolved_column),570)&amp;"|",F_Custom2_wrapped)),1,0),0))</f>
        <v>1</v>
      </c>
      <c r="H571">
        <f>F571*G571*1</f>
        <v>1</v>
      </c>
      <c r="I571">
        <f>1</f>
        <v>1</v>
      </c>
      <c r="J5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570)&amp;"|",All_Questions_Q20_F_wrapped)),1,0),0))</f>
        <v>1</v>
      </c>
    </row>
    <row r="572">
      <c r="A572" t="n">
        <v>571</v>
      </c>
      <c r="B572" t="n">
        <v>28.9</v>
      </c>
      <c r="C572" t="n">
        <v>24.6</v>
      </c>
      <c r="D572" t="n">
        <v>22.9</v>
      </c>
      <c r="E572">
        <f>1</f>
        <v>1</v>
      </c>
      <c r="F572">
        <f>IF(OR(F_Custom1_Q="(None)",F_Custom1_Q="",ISBLANK(F_Custom1_Q),F_Custom1_V="(All)",F_Custom1_V="",ISBLANK(F_Custom1_V)),1,IFERROR(IF(ISNUMBER(SEARCH("|"&amp;INDEX(INDIRECT(F_Custom1_resolved_column),571)&amp;"|",F_Custom1_wrapped)),1,0),0))</f>
        <v>1</v>
      </c>
      <c r="G572">
        <f>IF(OR(F_Custom2_Q="(None)",F_Custom2_Q="",ISBLANK(F_Custom2_Q),F_Custom2_V="(All)",F_Custom2_V="",ISBLANK(F_Custom2_V)),1,IFERROR(IF(ISNUMBER(SEARCH("|"&amp;INDEX(INDIRECT(F_Custom2_resolved_column),571)&amp;"|",F_Custom2_wrapped)),1,0),0))</f>
        <v>1</v>
      </c>
      <c r="H572">
        <f>F572*G572*1</f>
        <v>1</v>
      </c>
      <c r="I572">
        <f>1</f>
        <v>1</v>
      </c>
      <c r="J5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571)&amp;"|",All_Questions_Q20_F_wrapped)),1,0),0))</f>
        <v>1</v>
      </c>
    </row>
    <row r="573">
      <c r="A573" t="n">
        <v>572</v>
      </c>
      <c r="B573" t="n">
        <v>28.9</v>
      </c>
      <c r="C573" t="n">
        <v>24.6</v>
      </c>
      <c r="D573" t="n">
        <v>22.9</v>
      </c>
      <c r="E573">
        <f>1</f>
        <v>1</v>
      </c>
      <c r="F573">
        <f>IF(OR(F_Custom1_Q="(None)",F_Custom1_Q="",ISBLANK(F_Custom1_Q),F_Custom1_V="(All)",F_Custom1_V="",ISBLANK(F_Custom1_V)),1,IFERROR(IF(ISNUMBER(SEARCH("|"&amp;INDEX(INDIRECT(F_Custom1_resolved_column),572)&amp;"|",F_Custom1_wrapped)),1,0),0))</f>
        <v>1</v>
      </c>
      <c r="G573">
        <f>IF(OR(F_Custom2_Q="(None)",F_Custom2_Q="",ISBLANK(F_Custom2_Q),F_Custom2_V="(All)",F_Custom2_V="",ISBLANK(F_Custom2_V)),1,IFERROR(IF(ISNUMBER(SEARCH("|"&amp;INDEX(INDIRECT(F_Custom2_resolved_column),572)&amp;"|",F_Custom2_wrapped)),1,0),0))</f>
        <v>1</v>
      </c>
      <c r="H573">
        <f>F573*G573*1</f>
        <v>1</v>
      </c>
      <c r="I573">
        <f>1</f>
        <v>1</v>
      </c>
      <c r="J5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572)&amp;"|",All_Questions_Q20_F_wrapped)),1,0),0))</f>
        <v>1</v>
      </c>
    </row>
    <row r="574">
      <c r="A574" t="n">
        <v>573</v>
      </c>
      <c r="B574" t="n">
        <v>28.9</v>
      </c>
      <c r="C574" t="n">
        <v>24.6</v>
      </c>
      <c r="D574" t="n">
        <v>22.9</v>
      </c>
      <c r="E574">
        <f>1</f>
        <v>1</v>
      </c>
      <c r="F574">
        <f>IF(OR(F_Custom1_Q="(None)",F_Custom1_Q="",ISBLANK(F_Custom1_Q),F_Custom1_V="(All)",F_Custom1_V="",ISBLANK(F_Custom1_V)),1,IFERROR(IF(ISNUMBER(SEARCH("|"&amp;INDEX(INDIRECT(F_Custom1_resolved_column),573)&amp;"|",F_Custom1_wrapped)),1,0),0))</f>
        <v>1</v>
      </c>
      <c r="G574">
        <f>IF(OR(F_Custom2_Q="(None)",F_Custom2_Q="",ISBLANK(F_Custom2_Q),F_Custom2_V="(All)",F_Custom2_V="",ISBLANK(F_Custom2_V)),1,IFERROR(IF(ISNUMBER(SEARCH("|"&amp;INDEX(INDIRECT(F_Custom2_resolved_column),573)&amp;"|",F_Custom2_wrapped)),1,0),0))</f>
        <v>1</v>
      </c>
      <c r="H574">
        <f>F574*G574*1</f>
        <v>1</v>
      </c>
      <c r="I574">
        <f>1</f>
        <v>1</v>
      </c>
      <c r="J5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573)&amp;"|",All_Questions_Q20_F_wrapped)),1,0),0))</f>
        <v>1</v>
      </c>
    </row>
    <row r="575">
      <c r="A575" t="n">
        <v>574</v>
      </c>
      <c r="B575" t="n">
        <v>28.9</v>
      </c>
      <c r="C575" t="n">
        <v>24.6</v>
      </c>
      <c r="D575" t="n">
        <v>22.9</v>
      </c>
      <c r="E575">
        <f>1</f>
        <v>1</v>
      </c>
      <c r="F575">
        <f>IF(OR(F_Custom1_Q="(None)",F_Custom1_Q="",ISBLANK(F_Custom1_Q),F_Custom1_V="(All)",F_Custom1_V="",ISBLANK(F_Custom1_V)),1,IFERROR(IF(ISNUMBER(SEARCH("|"&amp;INDEX(INDIRECT(F_Custom1_resolved_column),574)&amp;"|",F_Custom1_wrapped)),1,0),0))</f>
        <v>1</v>
      </c>
      <c r="G575">
        <f>IF(OR(F_Custom2_Q="(None)",F_Custom2_Q="",ISBLANK(F_Custom2_Q),F_Custom2_V="(All)",F_Custom2_V="",ISBLANK(F_Custom2_V)),1,IFERROR(IF(ISNUMBER(SEARCH("|"&amp;INDEX(INDIRECT(F_Custom2_resolved_column),574)&amp;"|",F_Custom2_wrapped)),1,0),0))</f>
        <v>1</v>
      </c>
      <c r="H575">
        <f>F575*G575*1</f>
        <v>1</v>
      </c>
      <c r="I575">
        <f>1</f>
        <v>1</v>
      </c>
      <c r="J5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574)&amp;"|",All_Questions_Q20_F_wrapped)),1,0),0))</f>
        <v>1</v>
      </c>
    </row>
    <row r="576">
      <c r="A576" t="n">
        <v>575</v>
      </c>
      <c r="B576" t="n">
        <v>28.9</v>
      </c>
      <c r="C576" t="n">
        <v>24.6</v>
      </c>
      <c r="D576" t="n">
        <v>22.9</v>
      </c>
      <c r="E576">
        <f>1</f>
        <v>1</v>
      </c>
      <c r="F576">
        <f>IF(OR(F_Custom1_Q="(None)",F_Custom1_Q="",ISBLANK(F_Custom1_Q),F_Custom1_V="(All)",F_Custom1_V="",ISBLANK(F_Custom1_V)),1,IFERROR(IF(ISNUMBER(SEARCH("|"&amp;INDEX(INDIRECT(F_Custom1_resolved_column),575)&amp;"|",F_Custom1_wrapped)),1,0),0))</f>
        <v>1</v>
      </c>
      <c r="G576">
        <f>IF(OR(F_Custom2_Q="(None)",F_Custom2_Q="",ISBLANK(F_Custom2_Q),F_Custom2_V="(All)",F_Custom2_V="",ISBLANK(F_Custom2_V)),1,IFERROR(IF(ISNUMBER(SEARCH("|"&amp;INDEX(INDIRECT(F_Custom2_resolved_column),575)&amp;"|",F_Custom2_wrapped)),1,0),0))</f>
        <v>1</v>
      </c>
      <c r="H576">
        <f>F576*G576*1</f>
        <v>1</v>
      </c>
      <c r="I576">
        <f>1</f>
        <v>1</v>
      </c>
      <c r="J5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575)&amp;"|",All_Questions_Q20_F_wrapped)),1,0),0))</f>
        <v>1</v>
      </c>
    </row>
    <row r="577">
      <c r="A577" t="n">
        <v>576</v>
      </c>
      <c r="B577" t="n">
        <v>28.9</v>
      </c>
      <c r="C577" t="n">
        <v>24.6</v>
      </c>
      <c r="D577" t="n">
        <v>22.9</v>
      </c>
      <c r="E577">
        <f>1</f>
        <v>1</v>
      </c>
      <c r="F577">
        <f>IF(OR(F_Custom1_Q="(None)",F_Custom1_Q="",ISBLANK(F_Custom1_Q),F_Custom1_V="(All)",F_Custom1_V="",ISBLANK(F_Custom1_V)),1,IFERROR(IF(ISNUMBER(SEARCH("|"&amp;INDEX(INDIRECT(F_Custom1_resolved_column),576)&amp;"|",F_Custom1_wrapped)),1,0),0))</f>
        <v>1</v>
      </c>
      <c r="G577">
        <f>IF(OR(F_Custom2_Q="(None)",F_Custom2_Q="",ISBLANK(F_Custom2_Q),F_Custom2_V="(All)",F_Custom2_V="",ISBLANK(F_Custom2_V)),1,IFERROR(IF(ISNUMBER(SEARCH("|"&amp;INDEX(INDIRECT(F_Custom2_resolved_column),576)&amp;"|",F_Custom2_wrapped)),1,0),0))</f>
        <v>1</v>
      </c>
      <c r="H577">
        <f>F577*G577*1</f>
        <v>1</v>
      </c>
      <c r="I577">
        <f>1</f>
        <v>1</v>
      </c>
      <c r="J5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576)&amp;"|",All_Questions_Q20_F_wrapped)),1,0),0))</f>
        <v>1</v>
      </c>
    </row>
    <row r="578">
      <c r="A578" t="n">
        <v>577</v>
      </c>
      <c r="B578" t="n">
        <v>28.9</v>
      </c>
      <c r="C578" t="n">
        <v>24.6</v>
      </c>
      <c r="D578" t="n">
        <v>22.9</v>
      </c>
      <c r="E578">
        <f>1</f>
        <v>1</v>
      </c>
      <c r="F578">
        <f>IF(OR(F_Custom1_Q="(None)",F_Custom1_Q="",ISBLANK(F_Custom1_Q),F_Custom1_V="(All)",F_Custom1_V="",ISBLANK(F_Custom1_V)),1,IFERROR(IF(ISNUMBER(SEARCH("|"&amp;INDEX(INDIRECT(F_Custom1_resolved_column),577)&amp;"|",F_Custom1_wrapped)),1,0),0))</f>
        <v>1</v>
      </c>
      <c r="G578">
        <f>IF(OR(F_Custom2_Q="(None)",F_Custom2_Q="",ISBLANK(F_Custom2_Q),F_Custom2_V="(All)",F_Custom2_V="",ISBLANK(F_Custom2_V)),1,IFERROR(IF(ISNUMBER(SEARCH("|"&amp;INDEX(INDIRECT(F_Custom2_resolved_column),577)&amp;"|",F_Custom2_wrapped)),1,0),0))</f>
        <v>1</v>
      </c>
      <c r="H578">
        <f>F578*G578*1</f>
        <v>1</v>
      </c>
      <c r="I578">
        <f>1</f>
        <v>1</v>
      </c>
      <c r="J5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577)&amp;"|",All_Questions_Q20_F_wrapped)),1,0),0))</f>
        <v>1</v>
      </c>
    </row>
    <row r="579">
      <c r="A579" t="n">
        <v>578</v>
      </c>
      <c r="B579" t="n">
        <v>28.9</v>
      </c>
      <c r="C579" t="n">
        <v>24.6</v>
      </c>
      <c r="D579" t="n">
        <v>22.9</v>
      </c>
      <c r="E579">
        <f>1</f>
        <v>1</v>
      </c>
      <c r="F579">
        <f>IF(OR(F_Custom1_Q="(None)",F_Custom1_Q="",ISBLANK(F_Custom1_Q),F_Custom1_V="(All)",F_Custom1_V="",ISBLANK(F_Custom1_V)),1,IFERROR(IF(ISNUMBER(SEARCH("|"&amp;INDEX(INDIRECT(F_Custom1_resolved_column),578)&amp;"|",F_Custom1_wrapped)),1,0),0))</f>
        <v>1</v>
      </c>
      <c r="G579">
        <f>IF(OR(F_Custom2_Q="(None)",F_Custom2_Q="",ISBLANK(F_Custom2_Q),F_Custom2_V="(All)",F_Custom2_V="",ISBLANK(F_Custom2_V)),1,IFERROR(IF(ISNUMBER(SEARCH("|"&amp;INDEX(INDIRECT(F_Custom2_resolved_column),578)&amp;"|",F_Custom2_wrapped)),1,0),0))</f>
        <v>1</v>
      </c>
      <c r="H579">
        <f>F579*G579*1</f>
        <v>1</v>
      </c>
      <c r="I579">
        <f>1</f>
        <v>1</v>
      </c>
      <c r="J5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578)&amp;"|",All_Questions_Q20_F_wrapped)),1,0),0))</f>
        <v>1</v>
      </c>
    </row>
    <row r="580">
      <c r="A580" t="n">
        <v>579</v>
      </c>
      <c r="B580" t="n">
        <v>28.9</v>
      </c>
      <c r="C580" t="n">
        <v>24.6</v>
      </c>
      <c r="D580" t="n">
        <v>22.9</v>
      </c>
      <c r="E580">
        <f>1</f>
        <v>1</v>
      </c>
      <c r="F580">
        <f>IF(OR(F_Custom1_Q="(None)",F_Custom1_Q="",ISBLANK(F_Custom1_Q),F_Custom1_V="(All)",F_Custom1_V="",ISBLANK(F_Custom1_V)),1,IFERROR(IF(ISNUMBER(SEARCH("|"&amp;INDEX(INDIRECT(F_Custom1_resolved_column),579)&amp;"|",F_Custom1_wrapped)),1,0),0))</f>
        <v>1</v>
      </c>
      <c r="G580">
        <f>IF(OR(F_Custom2_Q="(None)",F_Custom2_Q="",ISBLANK(F_Custom2_Q),F_Custom2_V="(All)",F_Custom2_V="",ISBLANK(F_Custom2_V)),1,IFERROR(IF(ISNUMBER(SEARCH("|"&amp;INDEX(INDIRECT(F_Custom2_resolved_column),579)&amp;"|",F_Custom2_wrapped)),1,0),0))</f>
        <v>1</v>
      </c>
      <c r="H580">
        <f>F580*G580*1</f>
        <v>1</v>
      </c>
      <c r="I580">
        <f>1</f>
        <v>1</v>
      </c>
      <c r="J5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579)&amp;"|",All_Questions_Q20_F_wrapped)),1,0),0))</f>
        <v>1</v>
      </c>
    </row>
    <row r="581">
      <c r="A581" t="n">
        <v>580</v>
      </c>
      <c r="B581" t="n">
        <v>28.9</v>
      </c>
      <c r="C581" t="n">
        <v>24.6</v>
      </c>
      <c r="D581" t="n">
        <v>22.9</v>
      </c>
      <c r="E581">
        <f>1</f>
        <v>1</v>
      </c>
      <c r="F581">
        <f>IF(OR(F_Custom1_Q="(None)",F_Custom1_Q="",ISBLANK(F_Custom1_Q),F_Custom1_V="(All)",F_Custom1_V="",ISBLANK(F_Custom1_V)),1,IFERROR(IF(ISNUMBER(SEARCH("|"&amp;INDEX(INDIRECT(F_Custom1_resolved_column),580)&amp;"|",F_Custom1_wrapped)),1,0),0))</f>
        <v>1</v>
      </c>
      <c r="G581">
        <f>IF(OR(F_Custom2_Q="(None)",F_Custom2_Q="",ISBLANK(F_Custom2_Q),F_Custom2_V="(All)",F_Custom2_V="",ISBLANK(F_Custom2_V)),1,IFERROR(IF(ISNUMBER(SEARCH("|"&amp;INDEX(INDIRECT(F_Custom2_resolved_column),580)&amp;"|",F_Custom2_wrapped)),1,0),0))</f>
        <v>1</v>
      </c>
      <c r="H581">
        <f>F581*G581*1</f>
        <v>1</v>
      </c>
      <c r="I581">
        <f>1</f>
        <v>1</v>
      </c>
      <c r="J5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580)&amp;"|",All_Questions_Q20_F_wrapped)),1,0),0))</f>
        <v>1</v>
      </c>
    </row>
    <row r="582">
      <c r="A582" t="n">
        <v>581</v>
      </c>
      <c r="B582" t="n">
        <v>28.9</v>
      </c>
      <c r="C582" t="n">
        <v>24.6</v>
      </c>
      <c r="D582" t="n">
        <v>22.9</v>
      </c>
      <c r="E582">
        <f>1</f>
        <v>1</v>
      </c>
      <c r="F582">
        <f>IF(OR(F_Custom1_Q="(None)",F_Custom1_Q="",ISBLANK(F_Custom1_Q),F_Custom1_V="(All)",F_Custom1_V="",ISBLANK(F_Custom1_V)),1,IFERROR(IF(ISNUMBER(SEARCH("|"&amp;INDEX(INDIRECT(F_Custom1_resolved_column),581)&amp;"|",F_Custom1_wrapped)),1,0),0))</f>
        <v>1</v>
      </c>
      <c r="G582">
        <f>IF(OR(F_Custom2_Q="(None)",F_Custom2_Q="",ISBLANK(F_Custom2_Q),F_Custom2_V="(All)",F_Custom2_V="",ISBLANK(F_Custom2_V)),1,IFERROR(IF(ISNUMBER(SEARCH("|"&amp;INDEX(INDIRECT(F_Custom2_resolved_column),581)&amp;"|",F_Custom2_wrapped)),1,0),0))</f>
        <v>1</v>
      </c>
      <c r="H582">
        <f>F582*G582*1</f>
        <v>1</v>
      </c>
      <c r="I582">
        <f>1</f>
        <v>1</v>
      </c>
      <c r="J5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581)&amp;"|",All_Questions_Q20_F_wrapped)),1,0),0))</f>
        <v>1</v>
      </c>
    </row>
    <row r="583">
      <c r="A583" t="n">
        <v>582</v>
      </c>
      <c r="B583" t="n">
        <v>28.9</v>
      </c>
      <c r="C583" t="n">
        <v>24.6</v>
      </c>
      <c r="D583" t="n">
        <v>22.9</v>
      </c>
      <c r="E583">
        <f>1</f>
        <v>1</v>
      </c>
      <c r="F583">
        <f>IF(OR(F_Custom1_Q="(None)",F_Custom1_Q="",ISBLANK(F_Custom1_Q),F_Custom1_V="(All)",F_Custom1_V="",ISBLANK(F_Custom1_V)),1,IFERROR(IF(ISNUMBER(SEARCH("|"&amp;INDEX(INDIRECT(F_Custom1_resolved_column),582)&amp;"|",F_Custom1_wrapped)),1,0),0))</f>
        <v>1</v>
      </c>
      <c r="G583">
        <f>IF(OR(F_Custom2_Q="(None)",F_Custom2_Q="",ISBLANK(F_Custom2_Q),F_Custom2_V="(All)",F_Custom2_V="",ISBLANK(F_Custom2_V)),1,IFERROR(IF(ISNUMBER(SEARCH("|"&amp;INDEX(INDIRECT(F_Custom2_resolved_column),582)&amp;"|",F_Custom2_wrapped)),1,0),0))</f>
        <v>1</v>
      </c>
      <c r="H583">
        <f>F583*G583*1</f>
        <v>1</v>
      </c>
      <c r="I583">
        <f>1</f>
        <v>1</v>
      </c>
      <c r="J5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582)&amp;"|",All_Questions_Q20_F_wrapped)),1,0),0))</f>
        <v>1</v>
      </c>
    </row>
    <row r="584">
      <c r="A584" t="n">
        <v>583</v>
      </c>
      <c r="B584" t="n">
        <v>28.9</v>
      </c>
      <c r="C584" t="n">
        <v>24.6</v>
      </c>
      <c r="D584" t="n">
        <v>22.9</v>
      </c>
      <c r="E584">
        <f>1</f>
        <v>1</v>
      </c>
      <c r="F584">
        <f>IF(OR(F_Custom1_Q="(None)",F_Custom1_Q="",ISBLANK(F_Custom1_Q),F_Custom1_V="(All)",F_Custom1_V="",ISBLANK(F_Custom1_V)),1,IFERROR(IF(ISNUMBER(SEARCH("|"&amp;INDEX(INDIRECT(F_Custom1_resolved_column),583)&amp;"|",F_Custom1_wrapped)),1,0),0))</f>
        <v>1</v>
      </c>
      <c r="G584">
        <f>IF(OR(F_Custom2_Q="(None)",F_Custom2_Q="",ISBLANK(F_Custom2_Q),F_Custom2_V="(All)",F_Custom2_V="",ISBLANK(F_Custom2_V)),1,IFERROR(IF(ISNUMBER(SEARCH("|"&amp;INDEX(INDIRECT(F_Custom2_resolved_column),583)&amp;"|",F_Custom2_wrapped)),1,0),0))</f>
        <v>1</v>
      </c>
      <c r="H584">
        <f>F584*G584*1</f>
        <v>1</v>
      </c>
      <c r="I584">
        <f>1</f>
        <v>1</v>
      </c>
      <c r="J5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583)&amp;"|",All_Questions_Q20_F_wrapped)),1,0),0))</f>
        <v>1</v>
      </c>
    </row>
    <row r="585">
      <c r="A585" t="n">
        <v>584</v>
      </c>
      <c r="B585" t="n">
        <v>28.9</v>
      </c>
      <c r="C585" t="n">
        <v>24.6</v>
      </c>
      <c r="D585" t="n">
        <v>22.9</v>
      </c>
      <c r="E585">
        <f>1</f>
        <v>1</v>
      </c>
      <c r="F585">
        <f>IF(OR(F_Custom1_Q="(None)",F_Custom1_Q="",ISBLANK(F_Custom1_Q),F_Custom1_V="(All)",F_Custom1_V="",ISBLANK(F_Custom1_V)),1,IFERROR(IF(ISNUMBER(SEARCH("|"&amp;INDEX(INDIRECT(F_Custom1_resolved_column),584)&amp;"|",F_Custom1_wrapped)),1,0),0))</f>
        <v>1</v>
      </c>
      <c r="G585">
        <f>IF(OR(F_Custom2_Q="(None)",F_Custom2_Q="",ISBLANK(F_Custom2_Q),F_Custom2_V="(All)",F_Custom2_V="",ISBLANK(F_Custom2_V)),1,IFERROR(IF(ISNUMBER(SEARCH("|"&amp;INDEX(INDIRECT(F_Custom2_resolved_column),584)&amp;"|",F_Custom2_wrapped)),1,0),0))</f>
        <v>1</v>
      </c>
      <c r="H585">
        <f>F585*G585*1</f>
        <v>1</v>
      </c>
      <c r="I585">
        <f>1</f>
        <v>1</v>
      </c>
      <c r="J5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584)&amp;"|",All_Questions_Q20_F_wrapped)),1,0),0))</f>
        <v>1</v>
      </c>
    </row>
    <row r="586">
      <c r="A586" t="n">
        <v>585</v>
      </c>
      <c r="B586" t="n">
        <v>28.9</v>
      </c>
      <c r="C586" t="n">
        <v>24.6</v>
      </c>
      <c r="D586" t="n">
        <v>22.9</v>
      </c>
      <c r="E586">
        <f>1</f>
        <v>1</v>
      </c>
      <c r="F586">
        <f>IF(OR(F_Custom1_Q="(None)",F_Custom1_Q="",ISBLANK(F_Custom1_Q),F_Custom1_V="(All)",F_Custom1_V="",ISBLANK(F_Custom1_V)),1,IFERROR(IF(ISNUMBER(SEARCH("|"&amp;INDEX(INDIRECT(F_Custom1_resolved_column),585)&amp;"|",F_Custom1_wrapped)),1,0),0))</f>
        <v>1</v>
      </c>
      <c r="G586">
        <f>IF(OR(F_Custom2_Q="(None)",F_Custom2_Q="",ISBLANK(F_Custom2_Q),F_Custom2_V="(All)",F_Custom2_V="",ISBLANK(F_Custom2_V)),1,IFERROR(IF(ISNUMBER(SEARCH("|"&amp;INDEX(INDIRECT(F_Custom2_resolved_column),585)&amp;"|",F_Custom2_wrapped)),1,0),0))</f>
        <v>1</v>
      </c>
      <c r="H586">
        <f>F586*G586*1</f>
        <v>1</v>
      </c>
      <c r="I586">
        <f>1</f>
        <v>1</v>
      </c>
      <c r="J5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585)&amp;"|",All_Questions_Q20_F_wrapped)),1,0),0))</f>
        <v>1</v>
      </c>
    </row>
    <row r="587">
      <c r="A587" t="n">
        <v>586</v>
      </c>
      <c r="B587" t="n">
        <v>28.9</v>
      </c>
      <c r="C587" t="n">
        <v>24.6</v>
      </c>
      <c r="D587" t="n">
        <v>22.9</v>
      </c>
      <c r="E587">
        <f>1</f>
        <v>1</v>
      </c>
      <c r="F587">
        <f>IF(OR(F_Custom1_Q="(None)",F_Custom1_Q="",ISBLANK(F_Custom1_Q),F_Custom1_V="(All)",F_Custom1_V="",ISBLANK(F_Custom1_V)),1,IFERROR(IF(ISNUMBER(SEARCH("|"&amp;INDEX(INDIRECT(F_Custom1_resolved_column),586)&amp;"|",F_Custom1_wrapped)),1,0),0))</f>
        <v>1</v>
      </c>
      <c r="G587">
        <f>IF(OR(F_Custom2_Q="(None)",F_Custom2_Q="",ISBLANK(F_Custom2_Q),F_Custom2_V="(All)",F_Custom2_V="",ISBLANK(F_Custom2_V)),1,IFERROR(IF(ISNUMBER(SEARCH("|"&amp;INDEX(INDIRECT(F_Custom2_resolved_column),586)&amp;"|",F_Custom2_wrapped)),1,0),0))</f>
        <v>1</v>
      </c>
      <c r="H587">
        <f>F587*G587*1</f>
        <v>1</v>
      </c>
      <c r="I587">
        <f>1</f>
        <v>1</v>
      </c>
      <c r="J5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586)&amp;"|",All_Questions_Q20_F_wrapped)),1,0),0))</f>
        <v>1</v>
      </c>
    </row>
    <row r="588">
      <c r="A588" t="n">
        <v>587</v>
      </c>
      <c r="B588" t="n">
        <v>28.9</v>
      </c>
      <c r="C588" t="n">
        <v>24.6</v>
      </c>
      <c r="D588" t="n">
        <v>22.9</v>
      </c>
      <c r="E588">
        <f>1</f>
        <v>1</v>
      </c>
      <c r="F588">
        <f>IF(OR(F_Custom1_Q="(None)",F_Custom1_Q="",ISBLANK(F_Custom1_Q),F_Custom1_V="(All)",F_Custom1_V="",ISBLANK(F_Custom1_V)),1,IFERROR(IF(ISNUMBER(SEARCH("|"&amp;INDEX(INDIRECT(F_Custom1_resolved_column),587)&amp;"|",F_Custom1_wrapped)),1,0),0))</f>
        <v>1</v>
      </c>
      <c r="G588">
        <f>IF(OR(F_Custom2_Q="(None)",F_Custom2_Q="",ISBLANK(F_Custom2_Q),F_Custom2_V="(All)",F_Custom2_V="",ISBLANK(F_Custom2_V)),1,IFERROR(IF(ISNUMBER(SEARCH("|"&amp;INDEX(INDIRECT(F_Custom2_resolved_column),587)&amp;"|",F_Custom2_wrapped)),1,0),0))</f>
        <v>1</v>
      </c>
      <c r="H588">
        <f>F588*G588*1</f>
        <v>1</v>
      </c>
      <c r="I588">
        <f>1</f>
        <v>1</v>
      </c>
      <c r="J5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587)&amp;"|",All_Questions_Q20_F_wrapped)),1,0),0))</f>
        <v>1</v>
      </c>
    </row>
    <row r="589">
      <c r="A589" t="n">
        <v>588</v>
      </c>
      <c r="B589" t="n">
        <v>28.9</v>
      </c>
      <c r="C589" t="n">
        <v>24.6</v>
      </c>
      <c r="D589" t="n">
        <v>22.9</v>
      </c>
      <c r="E589">
        <f>1</f>
        <v>1</v>
      </c>
      <c r="F589">
        <f>IF(OR(F_Custom1_Q="(None)",F_Custom1_Q="",ISBLANK(F_Custom1_Q),F_Custom1_V="(All)",F_Custom1_V="",ISBLANK(F_Custom1_V)),1,IFERROR(IF(ISNUMBER(SEARCH("|"&amp;INDEX(INDIRECT(F_Custom1_resolved_column),588)&amp;"|",F_Custom1_wrapped)),1,0),0))</f>
        <v>1</v>
      </c>
      <c r="G589">
        <f>IF(OR(F_Custom2_Q="(None)",F_Custom2_Q="",ISBLANK(F_Custom2_Q),F_Custom2_V="(All)",F_Custom2_V="",ISBLANK(F_Custom2_V)),1,IFERROR(IF(ISNUMBER(SEARCH("|"&amp;INDEX(INDIRECT(F_Custom2_resolved_column),588)&amp;"|",F_Custom2_wrapped)),1,0),0))</f>
        <v>1</v>
      </c>
      <c r="H589">
        <f>F589*G589*1</f>
        <v>1</v>
      </c>
      <c r="I589">
        <f>1</f>
        <v>1</v>
      </c>
      <c r="J5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588)&amp;"|",All_Questions_Q20_F_wrapped)),1,0),0))</f>
        <v>1</v>
      </c>
    </row>
    <row r="590">
      <c r="A590" t="n">
        <v>589</v>
      </c>
      <c r="B590" t="n">
        <v>28.9</v>
      </c>
      <c r="C590" t="n">
        <v>24.6</v>
      </c>
      <c r="D590" t="n">
        <v>22.9</v>
      </c>
      <c r="E590">
        <f>1</f>
        <v>1</v>
      </c>
      <c r="F590">
        <f>IF(OR(F_Custom1_Q="(None)",F_Custom1_Q="",ISBLANK(F_Custom1_Q),F_Custom1_V="(All)",F_Custom1_V="",ISBLANK(F_Custom1_V)),1,IFERROR(IF(ISNUMBER(SEARCH("|"&amp;INDEX(INDIRECT(F_Custom1_resolved_column),589)&amp;"|",F_Custom1_wrapped)),1,0),0))</f>
        <v>1</v>
      </c>
      <c r="G590">
        <f>IF(OR(F_Custom2_Q="(None)",F_Custom2_Q="",ISBLANK(F_Custom2_Q),F_Custom2_V="(All)",F_Custom2_V="",ISBLANK(F_Custom2_V)),1,IFERROR(IF(ISNUMBER(SEARCH("|"&amp;INDEX(INDIRECT(F_Custom2_resolved_column),589)&amp;"|",F_Custom2_wrapped)),1,0),0))</f>
        <v>1</v>
      </c>
      <c r="H590">
        <f>F590*G590*1</f>
        <v>1</v>
      </c>
      <c r="I590">
        <f>1</f>
        <v>1</v>
      </c>
      <c r="J5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589)&amp;"|",All_Questions_Q20_F_wrapped)),1,0),0))</f>
        <v>1</v>
      </c>
    </row>
    <row r="591">
      <c r="A591" t="n">
        <v>590</v>
      </c>
      <c r="B591" t="n">
        <v>28.9</v>
      </c>
      <c r="C591" t="n">
        <v>24.6</v>
      </c>
      <c r="D591" t="n">
        <v>22.9</v>
      </c>
      <c r="E591">
        <f>1</f>
        <v>1</v>
      </c>
      <c r="F591">
        <f>IF(OR(F_Custom1_Q="(None)",F_Custom1_Q="",ISBLANK(F_Custom1_Q),F_Custom1_V="(All)",F_Custom1_V="",ISBLANK(F_Custom1_V)),1,IFERROR(IF(ISNUMBER(SEARCH("|"&amp;INDEX(INDIRECT(F_Custom1_resolved_column),590)&amp;"|",F_Custom1_wrapped)),1,0),0))</f>
        <v>1</v>
      </c>
      <c r="G591">
        <f>IF(OR(F_Custom2_Q="(None)",F_Custom2_Q="",ISBLANK(F_Custom2_Q),F_Custom2_V="(All)",F_Custom2_V="",ISBLANK(F_Custom2_V)),1,IFERROR(IF(ISNUMBER(SEARCH("|"&amp;INDEX(INDIRECT(F_Custom2_resolved_column),590)&amp;"|",F_Custom2_wrapped)),1,0),0))</f>
        <v>1</v>
      </c>
      <c r="H591">
        <f>F591*G591*1</f>
        <v>1</v>
      </c>
      <c r="I591">
        <f>1</f>
        <v>1</v>
      </c>
      <c r="J5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590)&amp;"|",All_Questions_Q20_F_wrapped)),1,0),0))</f>
        <v>1</v>
      </c>
    </row>
    <row r="592">
      <c r="A592" t="n">
        <v>591</v>
      </c>
      <c r="B592" t="n">
        <v>28.9</v>
      </c>
      <c r="C592" t="n">
        <v>24.6</v>
      </c>
      <c r="D592" t="n">
        <v>22.9</v>
      </c>
      <c r="E592">
        <f>1</f>
        <v>1</v>
      </c>
      <c r="F592">
        <f>IF(OR(F_Custom1_Q="(None)",F_Custom1_Q="",ISBLANK(F_Custom1_Q),F_Custom1_V="(All)",F_Custom1_V="",ISBLANK(F_Custom1_V)),1,IFERROR(IF(ISNUMBER(SEARCH("|"&amp;INDEX(INDIRECT(F_Custom1_resolved_column),591)&amp;"|",F_Custom1_wrapped)),1,0),0))</f>
        <v>1</v>
      </c>
      <c r="G592">
        <f>IF(OR(F_Custom2_Q="(None)",F_Custom2_Q="",ISBLANK(F_Custom2_Q),F_Custom2_V="(All)",F_Custom2_V="",ISBLANK(F_Custom2_V)),1,IFERROR(IF(ISNUMBER(SEARCH("|"&amp;INDEX(INDIRECT(F_Custom2_resolved_column),591)&amp;"|",F_Custom2_wrapped)),1,0),0))</f>
        <v>1</v>
      </c>
      <c r="H592">
        <f>F592*G592*1</f>
        <v>1</v>
      </c>
      <c r="I592">
        <f>1</f>
        <v>1</v>
      </c>
      <c r="J5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591)&amp;"|",All_Questions_Q20_F_wrapped)),1,0),0))</f>
        <v>1</v>
      </c>
    </row>
    <row r="593">
      <c r="A593" t="n">
        <v>592</v>
      </c>
      <c r="B593" t="n">
        <v>28.9</v>
      </c>
      <c r="C593" t="n">
        <v>24.6</v>
      </c>
      <c r="D593" t="n">
        <v>22.9</v>
      </c>
      <c r="E593">
        <f>1</f>
        <v>1</v>
      </c>
      <c r="F593">
        <f>IF(OR(F_Custom1_Q="(None)",F_Custom1_Q="",ISBLANK(F_Custom1_Q),F_Custom1_V="(All)",F_Custom1_V="",ISBLANK(F_Custom1_V)),1,IFERROR(IF(ISNUMBER(SEARCH("|"&amp;INDEX(INDIRECT(F_Custom1_resolved_column),592)&amp;"|",F_Custom1_wrapped)),1,0),0))</f>
        <v>1</v>
      </c>
      <c r="G593">
        <f>IF(OR(F_Custom2_Q="(None)",F_Custom2_Q="",ISBLANK(F_Custom2_Q),F_Custom2_V="(All)",F_Custom2_V="",ISBLANK(F_Custom2_V)),1,IFERROR(IF(ISNUMBER(SEARCH("|"&amp;INDEX(INDIRECT(F_Custom2_resolved_column),592)&amp;"|",F_Custom2_wrapped)),1,0),0))</f>
        <v>1</v>
      </c>
      <c r="H593">
        <f>F593*G593*1</f>
        <v>1</v>
      </c>
      <c r="I593">
        <f>1</f>
        <v>1</v>
      </c>
      <c r="J5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592)&amp;"|",All_Questions_Q20_F_wrapped)),1,0),0))</f>
        <v>1</v>
      </c>
    </row>
    <row r="594">
      <c r="A594" t="n">
        <v>593</v>
      </c>
      <c r="B594" t="n">
        <v>28.9</v>
      </c>
      <c r="C594" t="n">
        <v>24.6</v>
      </c>
      <c r="D594" t="n">
        <v>22.9</v>
      </c>
      <c r="E594">
        <f>1</f>
        <v>1</v>
      </c>
      <c r="F594">
        <f>IF(OR(F_Custom1_Q="(None)",F_Custom1_Q="",ISBLANK(F_Custom1_Q),F_Custom1_V="(All)",F_Custom1_V="",ISBLANK(F_Custom1_V)),1,IFERROR(IF(ISNUMBER(SEARCH("|"&amp;INDEX(INDIRECT(F_Custom1_resolved_column),593)&amp;"|",F_Custom1_wrapped)),1,0),0))</f>
        <v>1</v>
      </c>
      <c r="G594">
        <f>IF(OR(F_Custom2_Q="(None)",F_Custom2_Q="",ISBLANK(F_Custom2_Q),F_Custom2_V="(All)",F_Custom2_V="",ISBLANK(F_Custom2_V)),1,IFERROR(IF(ISNUMBER(SEARCH("|"&amp;INDEX(INDIRECT(F_Custom2_resolved_column),593)&amp;"|",F_Custom2_wrapped)),1,0),0))</f>
        <v>1</v>
      </c>
      <c r="H594">
        <f>F594*G594*1</f>
        <v>1</v>
      </c>
      <c r="I594">
        <f>1</f>
        <v>1</v>
      </c>
      <c r="J5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593)&amp;"|",All_Questions_Q20_F_wrapped)),1,0),0))</f>
        <v>1</v>
      </c>
    </row>
    <row r="595">
      <c r="A595" t="n">
        <v>594</v>
      </c>
      <c r="B595" t="n">
        <v>28.9</v>
      </c>
      <c r="C595" t="n">
        <v>24.6</v>
      </c>
      <c r="D595" t="n">
        <v>22.9</v>
      </c>
      <c r="E595">
        <f>1</f>
        <v>1</v>
      </c>
      <c r="F595">
        <f>IF(OR(F_Custom1_Q="(None)",F_Custom1_Q="",ISBLANK(F_Custom1_Q),F_Custom1_V="(All)",F_Custom1_V="",ISBLANK(F_Custom1_V)),1,IFERROR(IF(ISNUMBER(SEARCH("|"&amp;INDEX(INDIRECT(F_Custom1_resolved_column),594)&amp;"|",F_Custom1_wrapped)),1,0),0))</f>
        <v>1</v>
      </c>
      <c r="G595">
        <f>IF(OR(F_Custom2_Q="(None)",F_Custom2_Q="",ISBLANK(F_Custom2_Q),F_Custom2_V="(All)",F_Custom2_V="",ISBLANK(F_Custom2_V)),1,IFERROR(IF(ISNUMBER(SEARCH("|"&amp;INDEX(INDIRECT(F_Custom2_resolved_column),594)&amp;"|",F_Custom2_wrapped)),1,0),0))</f>
        <v>1</v>
      </c>
      <c r="H595">
        <f>F595*G595*1</f>
        <v>1</v>
      </c>
      <c r="I595">
        <f>1</f>
        <v>1</v>
      </c>
      <c r="J5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594)&amp;"|",All_Questions_Q20_F_wrapped)),1,0),0))</f>
        <v>1</v>
      </c>
    </row>
    <row r="596">
      <c r="A596" t="n">
        <v>595</v>
      </c>
      <c r="B596" t="n">
        <v>28.9</v>
      </c>
      <c r="C596" t="n">
        <v>24.6</v>
      </c>
      <c r="D596" t="n">
        <v>22.9</v>
      </c>
      <c r="E596">
        <f>1</f>
        <v>1</v>
      </c>
      <c r="F596">
        <f>IF(OR(F_Custom1_Q="(None)",F_Custom1_Q="",ISBLANK(F_Custom1_Q),F_Custom1_V="(All)",F_Custom1_V="",ISBLANK(F_Custom1_V)),1,IFERROR(IF(ISNUMBER(SEARCH("|"&amp;INDEX(INDIRECT(F_Custom1_resolved_column),595)&amp;"|",F_Custom1_wrapped)),1,0),0))</f>
        <v>1</v>
      </c>
      <c r="G596">
        <f>IF(OR(F_Custom2_Q="(None)",F_Custom2_Q="",ISBLANK(F_Custom2_Q),F_Custom2_V="(All)",F_Custom2_V="",ISBLANK(F_Custom2_V)),1,IFERROR(IF(ISNUMBER(SEARCH("|"&amp;INDEX(INDIRECT(F_Custom2_resolved_column),595)&amp;"|",F_Custom2_wrapped)),1,0),0))</f>
        <v>1</v>
      </c>
      <c r="H596">
        <f>F596*G596*1</f>
        <v>1</v>
      </c>
      <c r="I596">
        <f>1</f>
        <v>1</v>
      </c>
      <c r="J5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595)&amp;"|",All_Questions_Q20_F_wrapped)),1,0),0))</f>
        <v>1</v>
      </c>
    </row>
    <row r="597">
      <c r="A597" t="n">
        <v>596</v>
      </c>
      <c r="B597" t="n">
        <v>28.9</v>
      </c>
      <c r="C597" t="n">
        <v>24.6</v>
      </c>
      <c r="D597" t="n">
        <v>22.9</v>
      </c>
      <c r="E597">
        <f>1</f>
        <v>1</v>
      </c>
      <c r="F597">
        <f>IF(OR(F_Custom1_Q="(None)",F_Custom1_Q="",ISBLANK(F_Custom1_Q),F_Custom1_V="(All)",F_Custom1_V="",ISBLANK(F_Custom1_V)),1,IFERROR(IF(ISNUMBER(SEARCH("|"&amp;INDEX(INDIRECT(F_Custom1_resolved_column),596)&amp;"|",F_Custom1_wrapped)),1,0),0))</f>
        <v>1</v>
      </c>
      <c r="G597">
        <f>IF(OR(F_Custom2_Q="(None)",F_Custom2_Q="",ISBLANK(F_Custom2_Q),F_Custom2_V="(All)",F_Custom2_V="",ISBLANK(F_Custom2_V)),1,IFERROR(IF(ISNUMBER(SEARCH("|"&amp;INDEX(INDIRECT(F_Custom2_resolved_column),596)&amp;"|",F_Custom2_wrapped)),1,0),0))</f>
        <v>1</v>
      </c>
      <c r="H597">
        <f>F597*G597*1</f>
        <v>1</v>
      </c>
      <c r="I597">
        <f>1</f>
        <v>1</v>
      </c>
      <c r="J5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596)&amp;"|",All_Questions_Q20_F_wrapped)),1,0),0))</f>
        <v>1</v>
      </c>
    </row>
    <row r="598">
      <c r="A598" t="n">
        <v>597</v>
      </c>
      <c r="B598" t="n">
        <v>28.9</v>
      </c>
      <c r="C598" t="n">
        <v>24.6</v>
      </c>
      <c r="D598" t="n">
        <v>22.9</v>
      </c>
      <c r="E598">
        <f>1</f>
        <v>1</v>
      </c>
      <c r="F598">
        <f>IF(OR(F_Custom1_Q="(None)",F_Custom1_Q="",ISBLANK(F_Custom1_Q),F_Custom1_V="(All)",F_Custom1_V="",ISBLANK(F_Custom1_V)),1,IFERROR(IF(ISNUMBER(SEARCH("|"&amp;INDEX(INDIRECT(F_Custom1_resolved_column),597)&amp;"|",F_Custom1_wrapped)),1,0),0))</f>
        <v>1</v>
      </c>
      <c r="G598">
        <f>IF(OR(F_Custom2_Q="(None)",F_Custom2_Q="",ISBLANK(F_Custom2_Q),F_Custom2_V="(All)",F_Custom2_V="",ISBLANK(F_Custom2_V)),1,IFERROR(IF(ISNUMBER(SEARCH("|"&amp;INDEX(INDIRECT(F_Custom2_resolved_column),597)&amp;"|",F_Custom2_wrapped)),1,0),0))</f>
        <v>1</v>
      </c>
      <c r="H598">
        <f>F598*G598*1</f>
        <v>1</v>
      </c>
      <c r="I598">
        <f>1</f>
        <v>1</v>
      </c>
      <c r="J5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597)&amp;"|",All_Questions_Q20_F_wrapped)),1,0),0))</f>
        <v>1</v>
      </c>
    </row>
    <row r="599">
      <c r="A599" t="n">
        <v>598</v>
      </c>
      <c r="B599" t="n">
        <v>28.9</v>
      </c>
      <c r="C599" t="n">
        <v>24.6</v>
      </c>
      <c r="D599" t="n">
        <v>22.9</v>
      </c>
      <c r="E599">
        <f>1</f>
        <v>1</v>
      </c>
      <c r="F599">
        <f>IF(OR(F_Custom1_Q="(None)",F_Custom1_Q="",ISBLANK(F_Custom1_Q),F_Custom1_V="(All)",F_Custom1_V="",ISBLANK(F_Custom1_V)),1,IFERROR(IF(ISNUMBER(SEARCH("|"&amp;INDEX(INDIRECT(F_Custom1_resolved_column),598)&amp;"|",F_Custom1_wrapped)),1,0),0))</f>
        <v>1</v>
      </c>
      <c r="G599">
        <f>IF(OR(F_Custom2_Q="(None)",F_Custom2_Q="",ISBLANK(F_Custom2_Q),F_Custom2_V="(All)",F_Custom2_V="",ISBLANK(F_Custom2_V)),1,IFERROR(IF(ISNUMBER(SEARCH("|"&amp;INDEX(INDIRECT(F_Custom2_resolved_column),598)&amp;"|",F_Custom2_wrapped)),1,0),0))</f>
        <v>1</v>
      </c>
      <c r="H599">
        <f>F599*G599*1</f>
        <v>1</v>
      </c>
      <c r="I599">
        <f>1</f>
        <v>1</v>
      </c>
      <c r="J5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598)&amp;"|",All_Questions_Q20_F_wrapped)),1,0),0))</f>
        <v>1</v>
      </c>
    </row>
    <row r="600">
      <c r="A600" t="n">
        <v>599</v>
      </c>
      <c r="B600" t="n">
        <v>28.9</v>
      </c>
      <c r="C600" t="n">
        <v>24.6</v>
      </c>
      <c r="D600" t="n">
        <v>22.9</v>
      </c>
      <c r="E600">
        <f>1</f>
        <v>1</v>
      </c>
      <c r="F600">
        <f>IF(OR(F_Custom1_Q="(None)",F_Custom1_Q="",ISBLANK(F_Custom1_Q),F_Custom1_V="(All)",F_Custom1_V="",ISBLANK(F_Custom1_V)),1,IFERROR(IF(ISNUMBER(SEARCH("|"&amp;INDEX(INDIRECT(F_Custom1_resolved_column),599)&amp;"|",F_Custom1_wrapped)),1,0),0))</f>
        <v>1</v>
      </c>
      <c r="G600">
        <f>IF(OR(F_Custom2_Q="(None)",F_Custom2_Q="",ISBLANK(F_Custom2_Q),F_Custom2_V="(All)",F_Custom2_V="",ISBLANK(F_Custom2_V)),1,IFERROR(IF(ISNUMBER(SEARCH("|"&amp;INDEX(INDIRECT(F_Custom2_resolved_column),599)&amp;"|",F_Custom2_wrapped)),1,0),0))</f>
        <v>1</v>
      </c>
      <c r="H600">
        <f>F600*G600*1</f>
        <v>1</v>
      </c>
      <c r="I600">
        <f>1</f>
        <v>1</v>
      </c>
      <c r="J6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599)&amp;"|",All_Questions_Q20_F_wrapped)),1,0),0))</f>
        <v>1</v>
      </c>
    </row>
    <row r="601">
      <c r="A601" t="n">
        <v>600</v>
      </c>
      <c r="B601" t="n">
        <v>28.9</v>
      </c>
      <c r="C601" t="n">
        <v>24.6</v>
      </c>
      <c r="D601" t="n">
        <v>22.9</v>
      </c>
      <c r="E601">
        <f>1</f>
        <v>1</v>
      </c>
      <c r="F601">
        <f>IF(OR(F_Custom1_Q="(None)",F_Custom1_Q="",ISBLANK(F_Custom1_Q),F_Custom1_V="(All)",F_Custom1_V="",ISBLANK(F_Custom1_V)),1,IFERROR(IF(ISNUMBER(SEARCH("|"&amp;INDEX(INDIRECT(F_Custom1_resolved_column),600)&amp;"|",F_Custom1_wrapped)),1,0),0))</f>
        <v>1</v>
      </c>
      <c r="G601">
        <f>IF(OR(F_Custom2_Q="(None)",F_Custom2_Q="",ISBLANK(F_Custom2_Q),F_Custom2_V="(All)",F_Custom2_V="",ISBLANK(F_Custom2_V)),1,IFERROR(IF(ISNUMBER(SEARCH("|"&amp;INDEX(INDIRECT(F_Custom2_resolved_column),600)&amp;"|",F_Custom2_wrapped)),1,0),0))</f>
        <v>1</v>
      </c>
      <c r="H601">
        <f>F601*G601*1</f>
        <v>1</v>
      </c>
      <c r="I601">
        <f>1</f>
        <v>1</v>
      </c>
      <c r="J6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600)&amp;"|",All_Questions_Q20_F_wrapped)),1,0),0))</f>
        <v>1</v>
      </c>
    </row>
    <row r="602">
      <c r="A602" t="n">
        <v>601</v>
      </c>
      <c r="B602" t="n">
        <v>28.9</v>
      </c>
      <c r="C602" t="n">
        <v>24.6</v>
      </c>
      <c r="D602" t="n">
        <v>22.9</v>
      </c>
      <c r="E602">
        <f>1</f>
        <v>1</v>
      </c>
      <c r="F602">
        <f>IF(OR(F_Custom1_Q="(None)",F_Custom1_Q="",ISBLANK(F_Custom1_Q),F_Custom1_V="(All)",F_Custom1_V="",ISBLANK(F_Custom1_V)),1,IFERROR(IF(ISNUMBER(SEARCH("|"&amp;INDEX(INDIRECT(F_Custom1_resolved_column),601)&amp;"|",F_Custom1_wrapped)),1,0),0))</f>
        <v>1</v>
      </c>
      <c r="G602">
        <f>IF(OR(F_Custom2_Q="(None)",F_Custom2_Q="",ISBLANK(F_Custom2_Q),F_Custom2_V="(All)",F_Custom2_V="",ISBLANK(F_Custom2_V)),1,IFERROR(IF(ISNUMBER(SEARCH("|"&amp;INDEX(INDIRECT(F_Custom2_resolved_column),601)&amp;"|",F_Custom2_wrapped)),1,0),0))</f>
        <v>1</v>
      </c>
      <c r="H602">
        <f>F602*G602*1</f>
        <v>1</v>
      </c>
      <c r="I602">
        <f>1</f>
        <v>1</v>
      </c>
      <c r="J6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601)&amp;"|",All_Questions_Q20_F_wrapped)),1,0),0))</f>
        <v>1</v>
      </c>
    </row>
    <row r="603">
      <c r="A603" t="n">
        <v>602</v>
      </c>
      <c r="B603" t="n">
        <v>28.9</v>
      </c>
      <c r="C603" t="n">
        <v>24.6</v>
      </c>
      <c r="D603" t="n">
        <v>22.9</v>
      </c>
      <c r="E603">
        <f>1</f>
        <v>1</v>
      </c>
      <c r="F603">
        <f>IF(OR(F_Custom1_Q="(None)",F_Custom1_Q="",ISBLANK(F_Custom1_Q),F_Custom1_V="(All)",F_Custom1_V="",ISBLANK(F_Custom1_V)),1,IFERROR(IF(ISNUMBER(SEARCH("|"&amp;INDEX(INDIRECT(F_Custom1_resolved_column),602)&amp;"|",F_Custom1_wrapped)),1,0),0))</f>
        <v>1</v>
      </c>
      <c r="G603">
        <f>IF(OR(F_Custom2_Q="(None)",F_Custom2_Q="",ISBLANK(F_Custom2_Q),F_Custom2_V="(All)",F_Custom2_V="",ISBLANK(F_Custom2_V)),1,IFERROR(IF(ISNUMBER(SEARCH("|"&amp;INDEX(INDIRECT(F_Custom2_resolved_column),602)&amp;"|",F_Custom2_wrapped)),1,0),0))</f>
        <v>1</v>
      </c>
      <c r="H603">
        <f>F603*G603*1</f>
        <v>1</v>
      </c>
      <c r="I603">
        <f>1</f>
        <v>1</v>
      </c>
      <c r="J6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602)&amp;"|",All_Questions_Q20_F_wrapped)),1,0),0))</f>
        <v>1</v>
      </c>
    </row>
    <row r="604">
      <c r="A604" t="n">
        <v>603</v>
      </c>
      <c r="B604" t="n">
        <v>28.9</v>
      </c>
      <c r="C604" t="n">
        <v>24.6</v>
      </c>
      <c r="D604" t="n">
        <v>22.9</v>
      </c>
      <c r="E604">
        <f>1</f>
        <v>1</v>
      </c>
      <c r="F604">
        <f>IF(OR(F_Custom1_Q="(None)",F_Custom1_Q="",ISBLANK(F_Custom1_Q),F_Custom1_V="(All)",F_Custom1_V="",ISBLANK(F_Custom1_V)),1,IFERROR(IF(ISNUMBER(SEARCH("|"&amp;INDEX(INDIRECT(F_Custom1_resolved_column),603)&amp;"|",F_Custom1_wrapped)),1,0),0))</f>
        <v>1</v>
      </c>
      <c r="G604">
        <f>IF(OR(F_Custom2_Q="(None)",F_Custom2_Q="",ISBLANK(F_Custom2_Q),F_Custom2_V="(All)",F_Custom2_V="",ISBLANK(F_Custom2_V)),1,IFERROR(IF(ISNUMBER(SEARCH("|"&amp;INDEX(INDIRECT(F_Custom2_resolved_column),603)&amp;"|",F_Custom2_wrapped)),1,0),0))</f>
        <v>1</v>
      </c>
      <c r="H604">
        <f>F604*G604*1</f>
        <v>1</v>
      </c>
      <c r="I604">
        <f>1</f>
        <v>1</v>
      </c>
      <c r="J6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603)&amp;"|",All_Questions_Q20_F_wrapped)),1,0),0))</f>
        <v>1</v>
      </c>
    </row>
    <row r="605">
      <c r="A605" t="n">
        <v>604</v>
      </c>
      <c r="B605" t="n">
        <v>28.9</v>
      </c>
      <c r="C605" t="n">
        <v>24.6</v>
      </c>
      <c r="D605" t="n">
        <v>22.9</v>
      </c>
      <c r="E605">
        <f>1</f>
        <v>1</v>
      </c>
      <c r="F605">
        <f>IF(OR(F_Custom1_Q="(None)",F_Custom1_Q="",ISBLANK(F_Custom1_Q),F_Custom1_V="(All)",F_Custom1_V="",ISBLANK(F_Custom1_V)),1,IFERROR(IF(ISNUMBER(SEARCH("|"&amp;INDEX(INDIRECT(F_Custom1_resolved_column),604)&amp;"|",F_Custom1_wrapped)),1,0),0))</f>
        <v>1</v>
      </c>
      <c r="G605">
        <f>IF(OR(F_Custom2_Q="(None)",F_Custom2_Q="",ISBLANK(F_Custom2_Q),F_Custom2_V="(All)",F_Custom2_V="",ISBLANK(F_Custom2_V)),1,IFERROR(IF(ISNUMBER(SEARCH("|"&amp;INDEX(INDIRECT(F_Custom2_resolved_column),604)&amp;"|",F_Custom2_wrapped)),1,0),0))</f>
        <v>1</v>
      </c>
      <c r="H605">
        <f>F605*G605*1</f>
        <v>1</v>
      </c>
      <c r="I605">
        <f>1</f>
        <v>1</v>
      </c>
      <c r="J6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604)&amp;"|",All_Questions_Q20_F_wrapped)),1,0),0))</f>
        <v>1</v>
      </c>
    </row>
    <row r="606">
      <c r="A606" t="n">
        <v>605</v>
      </c>
      <c r="B606" t="n">
        <v>28.9</v>
      </c>
      <c r="C606" t="n">
        <v>24.6</v>
      </c>
      <c r="D606" t="n">
        <v>22.9</v>
      </c>
      <c r="E606">
        <f>1</f>
        <v>1</v>
      </c>
      <c r="F606">
        <f>IF(OR(F_Custom1_Q="(None)",F_Custom1_Q="",ISBLANK(F_Custom1_Q),F_Custom1_V="(All)",F_Custom1_V="",ISBLANK(F_Custom1_V)),1,IFERROR(IF(ISNUMBER(SEARCH("|"&amp;INDEX(INDIRECT(F_Custom1_resolved_column),605)&amp;"|",F_Custom1_wrapped)),1,0),0))</f>
        <v>1</v>
      </c>
      <c r="G606">
        <f>IF(OR(F_Custom2_Q="(None)",F_Custom2_Q="",ISBLANK(F_Custom2_Q),F_Custom2_V="(All)",F_Custom2_V="",ISBLANK(F_Custom2_V)),1,IFERROR(IF(ISNUMBER(SEARCH("|"&amp;INDEX(INDIRECT(F_Custom2_resolved_column),605)&amp;"|",F_Custom2_wrapped)),1,0),0))</f>
        <v>1</v>
      </c>
      <c r="H606">
        <f>F606*G606*1</f>
        <v>1</v>
      </c>
      <c r="I606">
        <f>1</f>
        <v>1</v>
      </c>
      <c r="J6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605)&amp;"|",All_Questions_Q20_F_wrapped)),1,0),0))</f>
        <v>1</v>
      </c>
    </row>
    <row r="607">
      <c r="A607" t="n">
        <v>606</v>
      </c>
      <c r="B607" t="n">
        <v>28.9</v>
      </c>
      <c r="C607" t="n">
        <v>24.6</v>
      </c>
      <c r="D607" t="n">
        <v>22.9</v>
      </c>
      <c r="E607">
        <f>1</f>
        <v>1</v>
      </c>
      <c r="F607">
        <f>IF(OR(F_Custom1_Q="(None)",F_Custom1_Q="",ISBLANK(F_Custom1_Q),F_Custom1_V="(All)",F_Custom1_V="",ISBLANK(F_Custom1_V)),1,IFERROR(IF(ISNUMBER(SEARCH("|"&amp;INDEX(INDIRECT(F_Custom1_resolved_column),606)&amp;"|",F_Custom1_wrapped)),1,0),0))</f>
        <v>1</v>
      </c>
      <c r="G607">
        <f>IF(OR(F_Custom2_Q="(None)",F_Custom2_Q="",ISBLANK(F_Custom2_Q),F_Custom2_V="(All)",F_Custom2_V="",ISBLANK(F_Custom2_V)),1,IFERROR(IF(ISNUMBER(SEARCH("|"&amp;INDEX(INDIRECT(F_Custom2_resolved_column),606)&amp;"|",F_Custom2_wrapped)),1,0),0))</f>
        <v>1</v>
      </c>
      <c r="H607">
        <f>F607*G607*1</f>
        <v>1</v>
      </c>
      <c r="I607">
        <f>1</f>
        <v>1</v>
      </c>
      <c r="J6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606)&amp;"|",All_Questions_Q20_F_wrapped)),1,0),0))</f>
        <v>1</v>
      </c>
    </row>
    <row r="608">
      <c r="A608" t="n">
        <v>607</v>
      </c>
      <c r="B608" t="n">
        <v>28.9</v>
      </c>
      <c r="C608" t="n">
        <v>24.6</v>
      </c>
      <c r="D608" t="n">
        <v>22.9</v>
      </c>
      <c r="E608">
        <f>1</f>
        <v>1</v>
      </c>
      <c r="F608">
        <f>IF(OR(F_Custom1_Q="(None)",F_Custom1_Q="",ISBLANK(F_Custom1_Q),F_Custom1_V="(All)",F_Custom1_V="",ISBLANK(F_Custom1_V)),1,IFERROR(IF(ISNUMBER(SEARCH("|"&amp;INDEX(INDIRECT(F_Custom1_resolved_column),607)&amp;"|",F_Custom1_wrapped)),1,0),0))</f>
        <v>1</v>
      </c>
      <c r="G608">
        <f>IF(OR(F_Custom2_Q="(None)",F_Custom2_Q="",ISBLANK(F_Custom2_Q),F_Custom2_V="(All)",F_Custom2_V="",ISBLANK(F_Custom2_V)),1,IFERROR(IF(ISNUMBER(SEARCH("|"&amp;INDEX(INDIRECT(F_Custom2_resolved_column),607)&amp;"|",F_Custom2_wrapped)),1,0),0))</f>
        <v>1</v>
      </c>
      <c r="H608">
        <f>F608*G608*1</f>
        <v>1</v>
      </c>
      <c r="I608">
        <f>1</f>
        <v>1</v>
      </c>
      <c r="J6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607)&amp;"|",All_Questions_Q20_F_wrapped)),1,0),0))</f>
        <v>1</v>
      </c>
    </row>
    <row r="609">
      <c r="A609" t="n">
        <v>608</v>
      </c>
      <c r="B609" t="n">
        <v>28.9</v>
      </c>
      <c r="C609" t="n">
        <v>24.6</v>
      </c>
      <c r="D609" t="n">
        <v>22.9</v>
      </c>
      <c r="E609">
        <f>1</f>
        <v>1</v>
      </c>
      <c r="F609">
        <f>IF(OR(F_Custom1_Q="(None)",F_Custom1_Q="",ISBLANK(F_Custom1_Q),F_Custom1_V="(All)",F_Custom1_V="",ISBLANK(F_Custom1_V)),1,IFERROR(IF(ISNUMBER(SEARCH("|"&amp;INDEX(INDIRECT(F_Custom1_resolved_column),608)&amp;"|",F_Custom1_wrapped)),1,0),0))</f>
        <v>1</v>
      </c>
      <c r="G609">
        <f>IF(OR(F_Custom2_Q="(None)",F_Custom2_Q="",ISBLANK(F_Custom2_Q),F_Custom2_V="(All)",F_Custom2_V="",ISBLANK(F_Custom2_V)),1,IFERROR(IF(ISNUMBER(SEARCH("|"&amp;INDEX(INDIRECT(F_Custom2_resolved_column),608)&amp;"|",F_Custom2_wrapped)),1,0),0))</f>
        <v>1</v>
      </c>
      <c r="H609">
        <f>F609*G609*1</f>
        <v>1</v>
      </c>
      <c r="I609">
        <f>1</f>
        <v>1</v>
      </c>
      <c r="J6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608)&amp;"|",All_Questions_Q20_F_wrapped)),1,0),0))</f>
        <v>1</v>
      </c>
    </row>
    <row r="610">
      <c r="A610" t="n">
        <v>609</v>
      </c>
      <c r="B610" t="n">
        <v>28.9</v>
      </c>
      <c r="C610" t="n">
        <v>24.6</v>
      </c>
      <c r="D610" t="n">
        <v>22.9</v>
      </c>
      <c r="E610">
        <f>1</f>
        <v>1</v>
      </c>
      <c r="F610">
        <f>IF(OR(F_Custom1_Q="(None)",F_Custom1_Q="",ISBLANK(F_Custom1_Q),F_Custom1_V="(All)",F_Custom1_V="",ISBLANK(F_Custom1_V)),1,IFERROR(IF(ISNUMBER(SEARCH("|"&amp;INDEX(INDIRECT(F_Custom1_resolved_column),609)&amp;"|",F_Custom1_wrapped)),1,0),0))</f>
        <v>1</v>
      </c>
      <c r="G610">
        <f>IF(OR(F_Custom2_Q="(None)",F_Custom2_Q="",ISBLANK(F_Custom2_Q),F_Custom2_V="(All)",F_Custom2_V="",ISBLANK(F_Custom2_V)),1,IFERROR(IF(ISNUMBER(SEARCH("|"&amp;INDEX(INDIRECT(F_Custom2_resolved_column),609)&amp;"|",F_Custom2_wrapped)),1,0),0))</f>
        <v>1</v>
      </c>
      <c r="H610">
        <f>F610*G610*1</f>
        <v>1</v>
      </c>
      <c r="I610">
        <f>1</f>
        <v>1</v>
      </c>
      <c r="J6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609)&amp;"|",All_Questions_Q20_F_wrapped)),1,0),0))</f>
        <v>1</v>
      </c>
    </row>
    <row r="611">
      <c r="A611" t="n">
        <v>610</v>
      </c>
      <c r="B611" t="n">
        <v>28.9</v>
      </c>
      <c r="C611" t="n">
        <v>24.6</v>
      </c>
      <c r="D611" t="n">
        <v>22.9</v>
      </c>
      <c r="E611">
        <f>1</f>
        <v>1</v>
      </c>
      <c r="F611">
        <f>IF(OR(F_Custom1_Q="(None)",F_Custom1_Q="",ISBLANK(F_Custom1_Q),F_Custom1_V="(All)",F_Custom1_V="",ISBLANK(F_Custom1_V)),1,IFERROR(IF(ISNUMBER(SEARCH("|"&amp;INDEX(INDIRECT(F_Custom1_resolved_column),610)&amp;"|",F_Custom1_wrapped)),1,0),0))</f>
        <v>1</v>
      </c>
      <c r="G611">
        <f>IF(OR(F_Custom2_Q="(None)",F_Custom2_Q="",ISBLANK(F_Custom2_Q),F_Custom2_V="(All)",F_Custom2_V="",ISBLANK(F_Custom2_V)),1,IFERROR(IF(ISNUMBER(SEARCH("|"&amp;INDEX(INDIRECT(F_Custom2_resolved_column),610)&amp;"|",F_Custom2_wrapped)),1,0),0))</f>
        <v>1</v>
      </c>
      <c r="H611">
        <f>F611*G611*1</f>
        <v>1</v>
      </c>
      <c r="I611">
        <f>1</f>
        <v>1</v>
      </c>
      <c r="J6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610)&amp;"|",All_Questions_Q20_F_wrapped)),1,0),0))</f>
        <v>1</v>
      </c>
    </row>
    <row r="612">
      <c r="A612" t="n">
        <v>611</v>
      </c>
      <c r="B612" t="n">
        <v>28.9</v>
      </c>
      <c r="C612" t="n">
        <v>24.6</v>
      </c>
      <c r="D612" t="n">
        <v>22.9</v>
      </c>
      <c r="E612">
        <f>1</f>
        <v>1</v>
      </c>
      <c r="F612">
        <f>IF(OR(F_Custom1_Q="(None)",F_Custom1_Q="",ISBLANK(F_Custom1_Q),F_Custom1_V="(All)",F_Custom1_V="",ISBLANK(F_Custom1_V)),1,IFERROR(IF(ISNUMBER(SEARCH("|"&amp;INDEX(INDIRECT(F_Custom1_resolved_column),611)&amp;"|",F_Custom1_wrapped)),1,0),0))</f>
        <v>1</v>
      </c>
      <c r="G612">
        <f>IF(OR(F_Custom2_Q="(None)",F_Custom2_Q="",ISBLANK(F_Custom2_Q),F_Custom2_V="(All)",F_Custom2_V="",ISBLANK(F_Custom2_V)),1,IFERROR(IF(ISNUMBER(SEARCH("|"&amp;INDEX(INDIRECT(F_Custom2_resolved_column),611)&amp;"|",F_Custom2_wrapped)),1,0),0))</f>
        <v>1</v>
      </c>
      <c r="H612">
        <f>F612*G612*1</f>
        <v>1</v>
      </c>
      <c r="I612">
        <f>1</f>
        <v>1</v>
      </c>
      <c r="J6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611)&amp;"|",All_Questions_Q20_F_wrapped)),1,0),0))</f>
        <v>1</v>
      </c>
    </row>
    <row r="613">
      <c r="A613" t="n">
        <v>612</v>
      </c>
      <c r="B613" t="n">
        <v>28.9</v>
      </c>
      <c r="C613" t="n">
        <v>24.6</v>
      </c>
      <c r="D613" t="n">
        <v>22.9</v>
      </c>
      <c r="E613">
        <f>1</f>
        <v>1</v>
      </c>
      <c r="F613">
        <f>IF(OR(F_Custom1_Q="(None)",F_Custom1_Q="",ISBLANK(F_Custom1_Q),F_Custom1_V="(All)",F_Custom1_V="",ISBLANK(F_Custom1_V)),1,IFERROR(IF(ISNUMBER(SEARCH("|"&amp;INDEX(INDIRECT(F_Custom1_resolved_column),612)&amp;"|",F_Custom1_wrapped)),1,0),0))</f>
        <v>1</v>
      </c>
      <c r="G613">
        <f>IF(OR(F_Custom2_Q="(None)",F_Custom2_Q="",ISBLANK(F_Custom2_Q),F_Custom2_V="(All)",F_Custom2_V="",ISBLANK(F_Custom2_V)),1,IFERROR(IF(ISNUMBER(SEARCH("|"&amp;INDEX(INDIRECT(F_Custom2_resolved_column),612)&amp;"|",F_Custom2_wrapped)),1,0),0))</f>
        <v>1</v>
      </c>
      <c r="H613">
        <f>F613*G613*1</f>
        <v>1</v>
      </c>
      <c r="I613">
        <f>1</f>
        <v>1</v>
      </c>
      <c r="J6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612)&amp;"|",All_Questions_Q20_F_wrapped)),1,0),0))</f>
        <v>1</v>
      </c>
    </row>
    <row r="614">
      <c r="A614" t="n">
        <v>613</v>
      </c>
      <c r="B614" t="n">
        <v>28.9</v>
      </c>
      <c r="C614" t="n">
        <v>24.6</v>
      </c>
      <c r="D614" t="n">
        <v>22.9</v>
      </c>
      <c r="E614">
        <f>1</f>
        <v>1</v>
      </c>
      <c r="F614">
        <f>IF(OR(F_Custom1_Q="(None)",F_Custom1_Q="",ISBLANK(F_Custom1_Q),F_Custom1_V="(All)",F_Custom1_V="",ISBLANK(F_Custom1_V)),1,IFERROR(IF(ISNUMBER(SEARCH("|"&amp;INDEX(INDIRECT(F_Custom1_resolved_column),613)&amp;"|",F_Custom1_wrapped)),1,0),0))</f>
        <v>1</v>
      </c>
      <c r="G614">
        <f>IF(OR(F_Custom2_Q="(None)",F_Custom2_Q="",ISBLANK(F_Custom2_Q),F_Custom2_V="(All)",F_Custom2_V="",ISBLANK(F_Custom2_V)),1,IFERROR(IF(ISNUMBER(SEARCH("|"&amp;INDEX(INDIRECT(F_Custom2_resolved_column),613)&amp;"|",F_Custom2_wrapped)),1,0),0))</f>
        <v>1</v>
      </c>
      <c r="H614">
        <f>F614*G614*1</f>
        <v>1</v>
      </c>
      <c r="I614">
        <f>1</f>
        <v>1</v>
      </c>
      <c r="J6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613)&amp;"|",All_Questions_Q20_F_wrapped)),1,0),0))</f>
        <v>1</v>
      </c>
    </row>
    <row r="615">
      <c r="A615" t="n">
        <v>614</v>
      </c>
      <c r="B615" t="n">
        <v>28.9</v>
      </c>
      <c r="C615" t="n">
        <v>24.6</v>
      </c>
      <c r="D615" t="n">
        <v>22.9</v>
      </c>
      <c r="E615">
        <f>1</f>
        <v>1</v>
      </c>
      <c r="F615">
        <f>IF(OR(F_Custom1_Q="(None)",F_Custom1_Q="",ISBLANK(F_Custom1_Q),F_Custom1_V="(All)",F_Custom1_V="",ISBLANK(F_Custom1_V)),1,IFERROR(IF(ISNUMBER(SEARCH("|"&amp;INDEX(INDIRECT(F_Custom1_resolved_column),614)&amp;"|",F_Custom1_wrapped)),1,0),0))</f>
        <v>1</v>
      </c>
      <c r="G615">
        <f>IF(OR(F_Custom2_Q="(None)",F_Custom2_Q="",ISBLANK(F_Custom2_Q),F_Custom2_V="(All)",F_Custom2_V="",ISBLANK(F_Custom2_V)),1,IFERROR(IF(ISNUMBER(SEARCH("|"&amp;INDEX(INDIRECT(F_Custom2_resolved_column),614)&amp;"|",F_Custom2_wrapped)),1,0),0))</f>
        <v>1</v>
      </c>
      <c r="H615">
        <f>F615*G615*1</f>
        <v>1</v>
      </c>
      <c r="I615">
        <f>1</f>
        <v>1</v>
      </c>
      <c r="J6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614)&amp;"|",All_Questions_Q20_F_wrapped)),1,0),0))</f>
        <v>1</v>
      </c>
    </row>
    <row r="616">
      <c r="A616" t="n">
        <v>615</v>
      </c>
      <c r="B616" t="n">
        <v>28.9</v>
      </c>
      <c r="C616" t="n">
        <v>24.6</v>
      </c>
      <c r="D616" t="n">
        <v>22.9</v>
      </c>
      <c r="E616">
        <f>1</f>
        <v>1</v>
      </c>
      <c r="F616">
        <f>IF(OR(F_Custom1_Q="(None)",F_Custom1_Q="",ISBLANK(F_Custom1_Q),F_Custom1_V="(All)",F_Custom1_V="",ISBLANK(F_Custom1_V)),1,IFERROR(IF(ISNUMBER(SEARCH("|"&amp;INDEX(INDIRECT(F_Custom1_resolved_column),615)&amp;"|",F_Custom1_wrapped)),1,0),0))</f>
        <v>1</v>
      </c>
      <c r="G616">
        <f>IF(OR(F_Custom2_Q="(None)",F_Custom2_Q="",ISBLANK(F_Custom2_Q),F_Custom2_V="(All)",F_Custom2_V="",ISBLANK(F_Custom2_V)),1,IFERROR(IF(ISNUMBER(SEARCH("|"&amp;INDEX(INDIRECT(F_Custom2_resolved_column),615)&amp;"|",F_Custom2_wrapped)),1,0),0))</f>
        <v>1</v>
      </c>
      <c r="H616">
        <f>F616*G616*1</f>
        <v>1</v>
      </c>
      <c r="I616">
        <f>1</f>
        <v>1</v>
      </c>
      <c r="J6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615)&amp;"|",All_Questions_Q20_F_wrapped)),1,0),0))</f>
        <v>1</v>
      </c>
    </row>
    <row r="617">
      <c r="A617" t="n">
        <v>616</v>
      </c>
      <c r="B617" t="n">
        <v>28.9</v>
      </c>
      <c r="C617" t="n">
        <v>24.6</v>
      </c>
      <c r="D617" t="n">
        <v>22.9</v>
      </c>
      <c r="E617">
        <f>1</f>
        <v>1</v>
      </c>
      <c r="F617">
        <f>IF(OR(F_Custom1_Q="(None)",F_Custom1_Q="",ISBLANK(F_Custom1_Q),F_Custom1_V="(All)",F_Custom1_V="",ISBLANK(F_Custom1_V)),1,IFERROR(IF(ISNUMBER(SEARCH("|"&amp;INDEX(INDIRECT(F_Custom1_resolved_column),616)&amp;"|",F_Custom1_wrapped)),1,0),0))</f>
        <v>1</v>
      </c>
      <c r="G617">
        <f>IF(OR(F_Custom2_Q="(None)",F_Custom2_Q="",ISBLANK(F_Custom2_Q),F_Custom2_V="(All)",F_Custom2_V="",ISBLANK(F_Custom2_V)),1,IFERROR(IF(ISNUMBER(SEARCH("|"&amp;INDEX(INDIRECT(F_Custom2_resolved_column),616)&amp;"|",F_Custom2_wrapped)),1,0),0))</f>
        <v>1</v>
      </c>
      <c r="H617">
        <f>F617*G617*1</f>
        <v>1</v>
      </c>
      <c r="I617">
        <f>1</f>
        <v>1</v>
      </c>
      <c r="J6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616)&amp;"|",All_Questions_Q20_F_wrapped)),1,0),0))</f>
        <v>1</v>
      </c>
    </row>
    <row r="618">
      <c r="A618" t="n">
        <v>617</v>
      </c>
      <c r="B618" t="n">
        <v>28.9</v>
      </c>
      <c r="C618" t="n">
        <v>24.6</v>
      </c>
      <c r="D618" t="n">
        <v>22.9</v>
      </c>
      <c r="E618">
        <f>1</f>
        <v>1</v>
      </c>
      <c r="F618">
        <f>IF(OR(F_Custom1_Q="(None)",F_Custom1_Q="",ISBLANK(F_Custom1_Q),F_Custom1_V="(All)",F_Custom1_V="",ISBLANK(F_Custom1_V)),1,IFERROR(IF(ISNUMBER(SEARCH("|"&amp;INDEX(INDIRECT(F_Custom1_resolved_column),617)&amp;"|",F_Custom1_wrapped)),1,0),0))</f>
        <v>1</v>
      </c>
      <c r="G618">
        <f>IF(OR(F_Custom2_Q="(None)",F_Custom2_Q="",ISBLANK(F_Custom2_Q),F_Custom2_V="(All)",F_Custom2_V="",ISBLANK(F_Custom2_V)),1,IFERROR(IF(ISNUMBER(SEARCH("|"&amp;INDEX(INDIRECT(F_Custom2_resolved_column),617)&amp;"|",F_Custom2_wrapped)),1,0),0))</f>
        <v>1</v>
      </c>
      <c r="H618">
        <f>F618*G618*1</f>
        <v>1</v>
      </c>
      <c r="I618">
        <f>1</f>
        <v>1</v>
      </c>
      <c r="J6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617)&amp;"|",All_Questions_Q20_F_wrapped)),1,0),0))</f>
        <v>1</v>
      </c>
    </row>
    <row r="619">
      <c r="A619" t="n">
        <v>618</v>
      </c>
      <c r="B619" t="n">
        <v>28.9</v>
      </c>
      <c r="C619" t="n">
        <v>24.6</v>
      </c>
      <c r="D619" t="n">
        <v>22.9</v>
      </c>
      <c r="E619">
        <f>1</f>
        <v>1</v>
      </c>
      <c r="F619">
        <f>IF(OR(F_Custom1_Q="(None)",F_Custom1_Q="",ISBLANK(F_Custom1_Q),F_Custom1_V="(All)",F_Custom1_V="",ISBLANK(F_Custom1_V)),1,IFERROR(IF(ISNUMBER(SEARCH("|"&amp;INDEX(INDIRECT(F_Custom1_resolved_column),618)&amp;"|",F_Custom1_wrapped)),1,0),0))</f>
        <v>1</v>
      </c>
      <c r="G619">
        <f>IF(OR(F_Custom2_Q="(None)",F_Custom2_Q="",ISBLANK(F_Custom2_Q),F_Custom2_V="(All)",F_Custom2_V="",ISBLANK(F_Custom2_V)),1,IFERROR(IF(ISNUMBER(SEARCH("|"&amp;INDEX(INDIRECT(F_Custom2_resolved_column),618)&amp;"|",F_Custom2_wrapped)),1,0),0))</f>
        <v>1</v>
      </c>
      <c r="H619">
        <f>F619*G619*1</f>
        <v>1</v>
      </c>
      <c r="I619">
        <f>1</f>
        <v>1</v>
      </c>
      <c r="J6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618)&amp;"|",All_Questions_Q20_F_wrapped)),1,0),0))</f>
        <v>1</v>
      </c>
    </row>
    <row r="620">
      <c r="A620" t="n">
        <v>619</v>
      </c>
      <c r="B620" t="n">
        <v>28.9</v>
      </c>
      <c r="C620" t="n">
        <v>24.6</v>
      </c>
      <c r="D620" t="n">
        <v>22.9</v>
      </c>
      <c r="E620">
        <f>1</f>
        <v>1</v>
      </c>
      <c r="F620">
        <f>IF(OR(F_Custom1_Q="(None)",F_Custom1_Q="",ISBLANK(F_Custom1_Q),F_Custom1_V="(All)",F_Custom1_V="",ISBLANK(F_Custom1_V)),1,IFERROR(IF(ISNUMBER(SEARCH("|"&amp;INDEX(INDIRECT(F_Custom1_resolved_column),619)&amp;"|",F_Custom1_wrapped)),1,0),0))</f>
        <v>1</v>
      </c>
      <c r="G620">
        <f>IF(OR(F_Custom2_Q="(None)",F_Custom2_Q="",ISBLANK(F_Custom2_Q),F_Custom2_V="(All)",F_Custom2_V="",ISBLANK(F_Custom2_V)),1,IFERROR(IF(ISNUMBER(SEARCH("|"&amp;INDEX(INDIRECT(F_Custom2_resolved_column),619)&amp;"|",F_Custom2_wrapped)),1,0),0))</f>
        <v>1</v>
      </c>
      <c r="H620">
        <f>F620*G620*1</f>
        <v>1</v>
      </c>
      <c r="I620">
        <f>1</f>
        <v>1</v>
      </c>
      <c r="J6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619)&amp;"|",All_Questions_Q20_F_wrapped)),1,0),0))</f>
        <v>1</v>
      </c>
    </row>
    <row r="621">
      <c r="A621" t="n">
        <v>620</v>
      </c>
      <c r="B621" t="n">
        <v>28.9</v>
      </c>
      <c r="C621" t="n">
        <v>24.6</v>
      </c>
      <c r="D621" t="n">
        <v>22.9</v>
      </c>
      <c r="E621">
        <f>1</f>
        <v>1</v>
      </c>
      <c r="F621">
        <f>IF(OR(F_Custom1_Q="(None)",F_Custom1_Q="",ISBLANK(F_Custom1_Q),F_Custom1_V="(All)",F_Custom1_V="",ISBLANK(F_Custom1_V)),1,IFERROR(IF(ISNUMBER(SEARCH("|"&amp;INDEX(INDIRECT(F_Custom1_resolved_column),620)&amp;"|",F_Custom1_wrapped)),1,0),0))</f>
        <v>1</v>
      </c>
      <c r="G621">
        <f>IF(OR(F_Custom2_Q="(None)",F_Custom2_Q="",ISBLANK(F_Custom2_Q),F_Custom2_V="(All)",F_Custom2_V="",ISBLANK(F_Custom2_V)),1,IFERROR(IF(ISNUMBER(SEARCH("|"&amp;INDEX(INDIRECT(F_Custom2_resolved_column),620)&amp;"|",F_Custom2_wrapped)),1,0),0))</f>
        <v>1</v>
      </c>
      <c r="H621">
        <f>F621*G621*1</f>
        <v>1</v>
      </c>
      <c r="I621">
        <f>1</f>
        <v>1</v>
      </c>
      <c r="J6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620)&amp;"|",All_Questions_Q20_F_wrapped)),1,0),0))</f>
        <v>1</v>
      </c>
    </row>
    <row r="622">
      <c r="A622" t="n">
        <v>621</v>
      </c>
      <c r="B622" t="n">
        <v>28.9</v>
      </c>
      <c r="C622" t="n">
        <v>24.6</v>
      </c>
      <c r="D622" t="n">
        <v>22.9</v>
      </c>
      <c r="E622">
        <f>1</f>
        <v>1</v>
      </c>
      <c r="F622">
        <f>IF(OR(F_Custom1_Q="(None)",F_Custom1_Q="",ISBLANK(F_Custom1_Q),F_Custom1_V="(All)",F_Custom1_V="",ISBLANK(F_Custom1_V)),1,IFERROR(IF(ISNUMBER(SEARCH("|"&amp;INDEX(INDIRECT(F_Custom1_resolved_column),621)&amp;"|",F_Custom1_wrapped)),1,0),0))</f>
        <v>1</v>
      </c>
      <c r="G622">
        <f>IF(OR(F_Custom2_Q="(None)",F_Custom2_Q="",ISBLANK(F_Custom2_Q),F_Custom2_V="(All)",F_Custom2_V="",ISBLANK(F_Custom2_V)),1,IFERROR(IF(ISNUMBER(SEARCH("|"&amp;INDEX(INDIRECT(F_Custom2_resolved_column),621)&amp;"|",F_Custom2_wrapped)),1,0),0))</f>
        <v>1</v>
      </c>
      <c r="H622">
        <f>F622*G622*1</f>
        <v>1</v>
      </c>
      <c r="I622">
        <f>1</f>
        <v>1</v>
      </c>
      <c r="J6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621)&amp;"|",All_Questions_Q20_F_wrapped)),1,0),0))</f>
        <v>1</v>
      </c>
    </row>
    <row r="623">
      <c r="A623" t="n">
        <v>622</v>
      </c>
      <c r="B623" t="n">
        <v>28.9</v>
      </c>
      <c r="C623" t="n">
        <v>24.6</v>
      </c>
      <c r="D623" t="n">
        <v>22.9</v>
      </c>
      <c r="E623">
        <f>1</f>
        <v>1</v>
      </c>
      <c r="F623">
        <f>IF(OR(F_Custom1_Q="(None)",F_Custom1_Q="",ISBLANK(F_Custom1_Q),F_Custom1_V="(All)",F_Custom1_V="",ISBLANK(F_Custom1_V)),1,IFERROR(IF(ISNUMBER(SEARCH("|"&amp;INDEX(INDIRECT(F_Custom1_resolved_column),622)&amp;"|",F_Custom1_wrapped)),1,0),0))</f>
        <v>1</v>
      </c>
      <c r="G623">
        <f>IF(OR(F_Custom2_Q="(None)",F_Custom2_Q="",ISBLANK(F_Custom2_Q),F_Custom2_V="(All)",F_Custom2_V="",ISBLANK(F_Custom2_V)),1,IFERROR(IF(ISNUMBER(SEARCH("|"&amp;INDEX(INDIRECT(F_Custom2_resolved_column),622)&amp;"|",F_Custom2_wrapped)),1,0),0))</f>
        <v>1</v>
      </c>
      <c r="H623">
        <f>F623*G623*1</f>
        <v>1</v>
      </c>
      <c r="I623">
        <f>1</f>
        <v>1</v>
      </c>
      <c r="J6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622)&amp;"|",All_Questions_Q20_F_wrapped)),1,0),0))</f>
        <v>1</v>
      </c>
    </row>
    <row r="624">
      <c r="A624" t="n">
        <v>623</v>
      </c>
      <c r="B624" t="n">
        <v>28.9</v>
      </c>
      <c r="C624" t="n">
        <v>24.6</v>
      </c>
      <c r="D624" t="n">
        <v>22.9</v>
      </c>
      <c r="E624">
        <f>1</f>
        <v>1</v>
      </c>
      <c r="F624">
        <f>IF(OR(F_Custom1_Q="(None)",F_Custom1_Q="",ISBLANK(F_Custom1_Q),F_Custom1_V="(All)",F_Custom1_V="",ISBLANK(F_Custom1_V)),1,IFERROR(IF(ISNUMBER(SEARCH("|"&amp;INDEX(INDIRECT(F_Custom1_resolved_column),623)&amp;"|",F_Custom1_wrapped)),1,0),0))</f>
        <v>1</v>
      </c>
      <c r="G624">
        <f>IF(OR(F_Custom2_Q="(None)",F_Custom2_Q="",ISBLANK(F_Custom2_Q),F_Custom2_V="(All)",F_Custom2_V="",ISBLANK(F_Custom2_V)),1,IFERROR(IF(ISNUMBER(SEARCH("|"&amp;INDEX(INDIRECT(F_Custom2_resolved_column),623)&amp;"|",F_Custom2_wrapped)),1,0),0))</f>
        <v>1</v>
      </c>
      <c r="H624">
        <f>F624*G624*1</f>
        <v>1</v>
      </c>
      <c r="I624">
        <f>1</f>
        <v>1</v>
      </c>
      <c r="J6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623)&amp;"|",All_Questions_Q20_F_wrapped)),1,0),0))</f>
        <v>1</v>
      </c>
    </row>
    <row r="625">
      <c r="A625" t="n">
        <v>624</v>
      </c>
      <c r="B625" t="n">
        <v>28.9</v>
      </c>
      <c r="C625" t="n">
        <v>24.6</v>
      </c>
      <c r="D625" t="n">
        <v>22.9</v>
      </c>
      <c r="E625">
        <f>1</f>
        <v>1</v>
      </c>
      <c r="F625">
        <f>IF(OR(F_Custom1_Q="(None)",F_Custom1_Q="",ISBLANK(F_Custom1_Q),F_Custom1_V="(All)",F_Custom1_V="",ISBLANK(F_Custom1_V)),1,IFERROR(IF(ISNUMBER(SEARCH("|"&amp;INDEX(INDIRECT(F_Custom1_resolved_column),624)&amp;"|",F_Custom1_wrapped)),1,0),0))</f>
        <v>1</v>
      </c>
      <c r="G625">
        <f>IF(OR(F_Custom2_Q="(None)",F_Custom2_Q="",ISBLANK(F_Custom2_Q),F_Custom2_V="(All)",F_Custom2_V="",ISBLANK(F_Custom2_V)),1,IFERROR(IF(ISNUMBER(SEARCH("|"&amp;INDEX(INDIRECT(F_Custom2_resolved_column),624)&amp;"|",F_Custom2_wrapped)),1,0),0))</f>
        <v>1</v>
      </c>
      <c r="H625">
        <f>F625*G625*1</f>
        <v>1</v>
      </c>
      <c r="I625">
        <f>1</f>
        <v>1</v>
      </c>
      <c r="J6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624)&amp;"|",All_Questions_Q20_F_wrapped)),1,0),0))</f>
        <v>1</v>
      </c>
    </row>
    <row r="626">
      <c r="A626" t="n">
        <v>625</v>
      </c>
      <c r="B626" t="n">
        <v>28.9</v>
      </c>
      <c r="C626" t="n">
        <v>24.6</v>
      </c>
      <c r="D626" t="n">
        <v>22.9</v>
      </c>
      <c r="E626">
        <f>1</f>
        <v>1</v>
      </c>
      <c r="F626">
        <f>IF(OR(F_Custom1_Q="(None)",F_Custom1_Q="",ISBLANK(F_Custom1_Q),F_Custom1_V="(All)",F_Custom1_V="",ISBLANK(F_Custom1_V)),1,IFERROR(IF(ISNUMBER(SEARCH("|"&amp;INDEX(INDIRECT(F_Custom1_resolved_column),625)&amp;"|",F_Custom1_wrapped)),1,0),0))</f>
        <v>1</v>
      </c>
      <c r="G626">
        <f>IF(OR(F_Custom2_Q="(None)",F_Custom2_Q="",ISBLANK(F_Custom2_Q),F_Custom2_V="(All)",F_Custom2_V="",ISBLANK(F_Custom2_V)),1,IFERROR(IF(ISNUMBER(SEARCH("|"&amp;INDEX(INDIRECT(F_Custom2_resolved_column),625)&amp;"|",F_Custom2_wrapped)),1,0),0))</f>
        <v>1</v>
      </c>
      <c r="H626">
        <f>F626*G626*1</f>
        <v>1</v>
      </c>
      <c r="I626">
        <f>1</f>
        <v>1</v>
      </c>
      <c r="J6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625)&amp;"|",All_Questions_Q20_F_wrapped)),1,0),0))</f>
        <v>1</v>
      </c>
    </row>
    <row r="627">
      <c r="A627" t="n">
        <v>626</v>
      </c>
      <c r="B627" t="n">
        <v>28.9</v>
      </c>
      <c r="C627" t="n">
        <v>24.6</v>
      </c>
      <c r="D627" t="n">
        <v>22.9</v>
      </c>
      <c r="E627">
        <f>1</f>
        <v>1</v>
      </c>
      <c r="F627">
        <f>IF(OR(F_Custom1_Q="(None)",F_Custom1_Q="",ISBLANK(F_Custom1_Q),F_Custom1_V="(All)",F_Custom1_V="",ISBLANK(F_Custom1_V)),1,IFERROR(IF(ISNUMBER(SEARCH("|"&amp;INDEX(INDIRECT(F_Custom1_resolved_column),626)&amp;"|",F_Custom1_wrapped)),1,0),0))</f>
        <v>1</v>
      </c>
      <c r="G627">
        <f>IF(OR(F_Custom2_Q="(None)",F_Custom2_Q="",ISBLANK(F_Custom2_Q),F_Custom2_V="(All)",F_Custom2_V="",ISBLANK(F_Custom2_V)),1,IFERROR(IF(ISNUMBER(SEARCH("|"&amp;INDEX(INDIRECT(F_Custom2_resolved_column),626)&amp;"|",F_Custom2_wrapped)),1,0),0))</f>
        <v>1</v>
      </c>
      <c r="H627">
        <f>F627*G627*1</f>
        <v>1</v>
      </c>
      <c r="I627">
        <f>1</f>
        <v>1</v>
      </c>
      <c r="J6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626)&amp;"|",All_Questions_Q20_F_wrapped)),1,0),0))</f>
        <v>1</v>
      </c>
    </row>
    <row r="628">
      <c r="A628" t="n">
        <v>627</v>
      </c>
      <c r="B628" t="n">
        <v>28.9</v>
      </c>
      <c r="C628" t="n">
        <v>24.6</v>
      </c>
      <c r="D628" t="n">
        <v>22.9</v>
      </c>
      <c r="E628">
        <f>1</f>
        <v>1</v>
      </c>
      <c r="F628">
        <f>IF(OR(F_Custom1_Q="(None)",F_Custom1_Q="",ISBLANK(F_Custom1_Q),F_Custom1_V="(All)",F_Custom1_V="",ISBLANK(F_Custom1_V)),1,IFERROR(IF(ISNUMBER(SEARCH("|"&amp;INDEX(INDIRECT(F_Custom1_resolved_column),627)&amp;"|",F_Custom1_wrapped)),1,0),0))</f>
        <v>1</v>
      </c>
      <c r="G628">
        <f>IF(OR(F_Custom2_Q="(None)",F_Custom2_Q="",ISBLANK(F_Custom2_Q),F_Custom2_V="(All)",F_Custom2_V="",ISBLANK(F_Custom2_V)),1,IFERROR(IF(ISNUMBER(SEARCH("|"&amp;INDEX(INDIRECT(F_Custom2_resolved_column),627)&amp;"|",F_Custom2_wrapped)),1,0),0))</f>
        <v>1</v>
      </c>
      <c r="H628">
        <f>F628*G628*1</f>
        <v>1</v>
      </c>
      <c r="I628">
        <f>1</f>
        <v>1</v>
      </c>
      <c r="J6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627)&amp;"|",All_Questions_Q20_F_wrapped)),1,0),0))</f>
        <v>1</v>
      </c>
    </row>
    <row r="629">
      <c r="A629" t="n">
        <v>628</v>
      </c>
      <c r="B629" t="n">
        <v>28.9</v>
      </c>
      <c r="C629" t="n">
        <v>24.6</v>
      </c>
      <c r="D629" t="n">
        <v>22.9</v>
      </c>
      <c r="E629">
        <f>1</f>
        <v>1</v>
      </c>
      <c r="F629">
        <f>IF(OR(F_Custom1_Q="(None)",F_Custom1_Q="",ISBLANK(F_Custom1_Q),F_Custom1_V="(All)",F_Custom1_V="",ISBLANK(F_Custom1_V)),1,IFERROR(IF(ISNUMBER(SEARCH("|"&amp;INDEX(INDIRECT(F_Custom1_resolved_column),628)&amp;"|",F_Custom1_wrapped)),1,0),0))</f>
        <v>1</v>
      </c>
      <c r="G629">
        <f>IF(OR(F_Custom2_Q="(None)",F_Custom2_Q="",ISBLANK(F_Custom2_Q),F_Custom2_V="(All)",F_Custom2_V="",ISBLANK(F_Custom2_V)),1,IFERROR(IF(ISNUMBER(SEARCH("|"&amp;INDEX(INDIRECT(F_Custom2_resolved_column),628)&amp;"|",F_Custom2_wrapped)),1,0),0))</f>
        <v>1</v>
      </c>
      <c r="H629">
        <f>F629*G629*1</f>
        <v>1</v>
      </c>
      <c r="I629">
        <f>1</f>
        <v>1</v>
      </c>
      <c r="J6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628)&amp;"|",All_Questions_Q20_F_wrapped)),1,0),0))</f>
        <v>1</v>
      </c>
    </row>
    <row r="630">
      <c r="A630" t="n">
        <v>629</v>
      </c>
      <c r="B630" t="n">
        <v>28.9</v>
      </c>
      <c r="C630" t="n">
        <v>24.6</v>
      </c>
      <c r="D630" t="n">
        <v>22.9</v>
      </c>
      <c r="E630">
        <f>1</f>
        <v>1</v>
      </c>
      <c r="F630">
        <f>IF(OR(F_Custom1_Q="(None)",F_Custom1_Q="",ISBLANK(F_Custom1_Q),F_Custom1_V="(All)",F_Custom1_V="",ISBLANK(F_Custom1_V)),1,IFERROR(IF(ISNUMBER(SEARCH("|"&amp;INDEX(INDIRECT(F_Custom1_resolved_column),629)&amp;"|",F_Custom1_wrapped)),1,0),0))</f>
        <v>1</v>
      </c>
      <c r="G630">
        <f>IF(OR(F_Custom2_Q="(None)",F_Custom2_Q="",ISBLANK(F_Custom2_Q),F_Custom2_V="(All)",F_Custom2_V="",ISBLANK(F_Custom2_V)),1,IFERROR(IF(ISNUMBER(SEARCH("|"&amp;INDEX(INDIRECT(F_Custom2_resolved_column),629)&amp;"|",F_Custom2_wrapped)),1,0),0))</f>
        <v>1</v>
      </c>
      <c r="H630">
        <f>F630*G630*1</f>
        <v>1</v>
      </c>
      <c r="I630">
        <f>1</f>
        <v>1</v>
      </c>
      <c r="J6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629)&amp;"|",All_Questions_Q20_F_wrapped)),1,0),0))</f>
        <v>1</v>
      </c>
    </row>
    <row r="631">
      <c r="A631" t="n">
        <v>630</v>
      </c>
      <c r="B631" t="n">
        <v>28.9</v>
      </c>
      <c r="C631" t="n">
        <v>24.6</v>
      </c>
      <c r="D631" t="n">
        <v>22.9</v>
      </c>
      <c r="E631">
        <f>1</f>
        <v>1</v>
      </c>
      <c r="F631">
        <f>IF(OR(F_Custom1_Q="(None)",F_Custom1_Q="",ISBLANK(F_Custom1_Q),F_Custom1_V="(All)",F_Custom1_V="",ISBLANK(F_Custom1_V)),1,IFERROR(IF(ISNUMBER(SEARCH("|"&amp;INDEX(INDIRECT(F_Custom1_resolved_column),630)&amp;"|",F_Custom1_wrapped)),1,0),0))</f>
        <v>1</v>
      </c>
      <c r="G631">
        <f>IF(OR(F_Custom2_Q="(None)",F_Custom2_Q="",ISBLANK(F_Custom2_Q),F_Custom2_V="(All)",F_Custom2_V="",ISBLANK(F_Custom2_V)),1,IFERROR(IF(ISNUMBER(SEARCH("|"&amp;INDEX(INDIRECT(F_Custom2_resolved_column),630)&amp;"|",F_Custom2_wrapped)),1,0),0))</f>
        <v>1</v>
      </c>
      <c r="H631">
        <f>F631*G631*1</f>
        <v>1</v>
      </c>
      <c r="I631">
        <f>1</f>
        <v>1</v>
      </c>
      <c r="J6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630)&amp;"|",All_Questions_Q20_F_wrapped)),1,0),0))</f>
        <v>1</v>
      </c>
    </row>
    <row r="632">
      <c r="A632" t="n">
        <v>631</v>
      </c>
      <c r="B632" t="n">
        <v>28.9</v>
      </c>
      <c r="C632" t="n">
        <v>24.6</v>
      </c>
      <c r="D632" t="n">
        <v>22.9</v>
      </c>
      <c r="E632">
        <f>1</f>
        <v>1</v>
      </c>
      <c r="F632">
        <f>IF(OR(F_Custom1_Q="(None)",F_Custom1_Q="",ISBLANK(F_Custom1_Q),F_Custom1_V="(All)",F_Custom1_V="",ISBLANK(F_Custom1_V)),1,IFERROR(IF(ISNUMBER(SEARCH("|"&amp;INDEX(INDIRECT(F_Custom1_resolved_column),631)&amp;"|",F_Custom1_wrapped)),1,0),0))</f>
        <v>1</v>
      </c>
      <c r="G632">
        <f>IF(OR(F_Custom2_Q="(None)",F_Custom2_Q="",ISBLANK(F_Custom2_Q),F_Custom2_V="(All)",F_Custom2_V="",ISBLANK(F_Custom2_V)),1,IFERROR(IF(ISNUMBER(SEARCH("|"&amp;INDEX(INDIRECT(F_Custom2_resolved_column),631)&amp;"|",F_Custom2_wrapped)),1,0),0))</f>
        <v>1</v>
      </c>
      <c r="H632">
        <f>F632*G632*1</f>
        <v>1</v>
      </c>
      <c r="I632">
        <f>1</f>
        <v>1</v>
      </c>
      <c r="J6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631)&amp;"|",All_Questions_Q20_F_wrapped)),1,0),0))</f>
        <v>1</v>
      </c>
    </row>
    <row r="633">
      <c r="A633" t="n">
        <v>632</v>
      </c>
      <c r="B633" t="n">
        <v>28.9</v>
      </c>
      <c r="C633" t="n">
        <v>24.6</v>
      </c>
      <c r="D633" t="n">
        <v>22.9</v>
      </c>
      <c r="E633">
        <f>1</f>
        <v>1</v>
      </c>
      <c r="F633">
        <f>IF(OR(F_Custom1_Q="(None)",F_Custom1_Q="",ISBLANK(F_Custom1_Q),F_Custom1_V="(All)",F_Custom1_V="",ISBLANK(F_Custom1_V)),1,IFERROR(IF(ISNUMBER(SEARCH("|"&amp;INDEX(INDIRECT(F_Custom1_resolved_column),632)&amp;"|",F_Custom1_wrapped)),1,0),0))</f>
        <v>1</v>
      </c>
      <c r="G633">
        <f>IF(OR(F_Custom2_Q="(None)",F_Custom2_Q="",ISBLANK(F_Custom2_Q),F_Custom2_V="(All)",F_Custom2_V="",ISBLANK(F_Custom2_V)),1,IFERROR(IF(ISNUMBER(SEARCH("|"&amp;INDEX(INDIRECT(F_Custom2_resolved_column),632)&amp;"|",F_Custom2_wrapped)),1,0),0))</f>
        <v>1</v>
      </c>
      <c r="H633">
        <f>F633*G633*1</f>
        <v>1</v>
      </c>
      <c r="I633">
        <f>1</f>
        <v>1</v>
      </c>
      <c r="J6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632)&amp;"|",All_Questions_Q20_F_wrapped)),1,0),0))</f>
        <v>1</v>
      </c>
    </row>
    <row r="634">
      <c r="A634" t="n">
        <v>633</v>
      </c>
      <c r="B634" t="n">
        <v>28.9</v>
      </c>
      <c r="C634" t="n">
        <v>24.6</v>
      </c>
      <c r="D634" t="n">
        <v>22.9</v>
      </c>
      <c r="E634">
        <f>1</f>
        <v>1</v>
      </c>
      <c r="F634">
        <f>IF(OR(F_Custom1_Q="(None)",F_Custom1_Q="",ISBLANK(F_Custom1_Q),F_Custom1_V="(All)",F_Custom1_V="",ISBLANK(F_Custom1_V)),1,IFERROR(IF(ISNUMBER(SEARCH("|"&amp;INDEX(INDIRECT(F_Custom1_resolved_column),633)&amp;"|",F_Custom1_wrapped)),1,0),0))</f>
        <v>1</v>
      </c>
      <c r="G634">
        <f>IF(OR(F_Custom2_Q="(None)",F_Custom2_Q="",ISBLANK(F_Custom2_Q),F_Custom2_V="(All)",F_Custom2_V="",ISBLANK(F_Custom2_V)),1,IFERROR(IF(ISNUMBER(SEARCH("|"&amp;INDEX(INDIRECT(F_Custom2_resolved_column),633)&amp;"|",F_Custom2_wrapped)),1,0),0))</f>
        <v>1</v>
      </c>
      <c r="H634">
        <f>F634*G634*1</f>
        <v>1</v>
      </c>
      <c r="I634">
        <f>1</f>
        <v>1</v>
      </c>
      <c r="J6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633)&amp;"|",All_Questions_Q20_F_wrapped)),1,0),0))</f>
        <v>1</v>
      </c>
    </row>
    <row r="635">
      <c r="A635" t="n">
        <v>634</v>
      </c>
      <c r="B635" t="n">
        <v>28.9</v>
      </c>
      <c r="C635" t="n">
        <v>24.6</v>
      </c>
      <c r="D635" t="n">
        <v>22.9</v>
      </c>
      <c r="E635">
        <f>1</f>
        <v>1</v>
      </c>
      <c r="F635">
        <f>IF(OR(F_Custom1_Q="(None)",F_Custom1_Q="",ISBLANK(F_Custom1_Q),F_Custom1_V="(All)",F_Custom1_V="",ISBLANK(F_Custom1_V)),1,IFERROR(IF(ISNUMBER(SEARCH("|"&amp;INDEX(INDIRECT(F_Custom1_resolved_column),634)&amp;"|",F_Custom1_wrapped)),1,0),0))</f>
        <v>1</v>
      </c>
      <c r="G635">
        <f>IF(OR(F_Custom2_Q="(None)",F_Custom2_Q="",ISBLANK(F_Custom2_Q),F_Custom2_V="(All)",F_Custom2_V="",ISBLANK(F_Custom2_V)),1,IFERROR(IF(ISNUMBER(SEARCH("|"&amp;INDEX(INDIRECT(F_Custom2_resolved_column),634)&amp;"|",F_Custom2_wrapped)),1,0),0))</f>
        <v>1</v>
      </c>
      <c r="H635">
        <f>F635*G635*1</f>
        <v>1</v>
      </c>
      <c r="I635">
        <f>1</f>
        <v>1</v>
      </c>
      <c r="J6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634)&amp;"|",All_Questions_Q20_F_wrapped)),1,0),0))</f>
        <v>1</v>
      </c>
    </row>
    <row r="636">
      <c r="A636" t="n">
        <v>635</v>
      </c>
      <c r="B636" t="n">
        <v>28.9</v>
      </c>
      <c r="C636" t="n">
        <v>24.6</v>
      </c>
      <c r="D636" t="n">
        <v>22.9</v>
      </c>
      <c r="E636">
        <f>1</f>
        <v>1</v>
      </c>
      <c r="F636">
        <f>IF(OR(F_Custom1_Q="(None)",F_Custom1_Q="",ISBLANK(F_Custom1_Q),F_Custom1_V="(All)",F_Custom1_V="",ISBLANK(F_Custom1_V)),1,IFERROR(IF(ISNUMBER(SEARCH("|"&amp;INDEX(INDIRECT(F_Custom1_resolved_column),635)&amp;"|",F_Custom1_wrapped)),1,0),0))</f>
        <v>1</v>
      </c>
      <c r="G636">
        <f>IF(OR(F_Custom2_Q="(None)",F_Custom2_Q="",ISBLANK(F_Custom2_Q),F_Custom2_V="(All)",F_Custom2_V="",ISBLANK(F_Custom2_V)),1,IFERROR(IF(ISNUMBER(SEARCH("|"&amp;INDEX(INDIRECT(F_Custom2_resolved_column),635)&amp;"|",F_Custom2_wrapped)),1,0),0))</f>
        <v>1</v>
      </c>
      <c r="H636">
        <f>F636*G636*1</f>
        <v>1</v>
      </c>
      <c r="I636">
        <f>1</f>
        <v>1</v>
      </c>
      <c r="J6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635)&amp;"|",All_Questions_Q20_F_wrapped)),1,0),0))</f>
        <v>1</v>
      </c>
    </row>
    <row r="637">
      <c r="A637" t="n">
        <v>636</v>
      </c>
      <c r="B637" t="n">
        <v>28.9</v>
      </c>
      <c r="C637" t="n">
        <v>24.6</v>
      </c>
      <c r="D637" t="n">
        <v>22.9</v>
      </c>
      <c r="E637">
        <f>1</f>
        <v>1</v>
      </c>
      <c r="F637">
        <f>IF(OR(F_Custom1_Q="(None)",F_Custom1_Q="",ISBLANK(F_Custom1_Q),F_Custom1_V="(All)",F_Custom1_V="",ISBLANK(F_Custom1_V)),1,IFERROR(IF(ISNUMBER(SEARCH("|"&amp;INDEX(INDIRECT(F_Custom1_resolved_column),636)&amp;"|",F_Custom1_wrapped)),1,0),0))</f>
        <v>1</v>
      </c>
      <c r="G637">
        <f>IF(OR(F_Custom2_Q="(None)",F_Custom2_Q="",ISBLANK(F_Custom2_Q),F_Custom2_V="(All)",F_Custom2_V="",ISBLANK(F_Custom2_V)),1,IFERROR(IF(ISNUMBER(SEARCH("|"&amp;INDEX(INDIRECT(F_Custom2_resolved_column),636)&amp;"|",F_Custom2_wrapped)),1,0),0))</f>
        <v>1</v>
      </c>
      <c r="H637">
        <f>F637*G637*1</f>
        <v>1</v>
      </c>
      <c r="I637">
        <f>1</f>
        <v>1</v>
      </c>
      <c r="J6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636)&amp;"|",All_Questions_Q20_F_wrapped)),1,0),0))</f>
        <v>1</v>
      </c>
    </row>
    <row r="638">
      <c r="A638" t="n">
        <v>637</v>
      </c>
      <c r="B638" t="n">
        <v>28.9</v>
      </c>
      <c r="C638" t="n">
        <v>24.6</v>
      </c>
      <c r="D638" t="n">
        <v>22.9</v>
      </c>
      <c r="E638">
        <f>1</f>
        <v>1</v>
      </c>
      <c r="F638">
        <f>IF(OR(F_Custom1_Q="(None)",F_Custom1_Q="",ISBLANK(F_Custom1_Q),F_Custom1_V="(All)",F_Custom1_V="",ISBLANK(F_Custom1_V)),1,IFERROR(IF(ISNUMBER(SEARCH("|"&amp;INDEX(INDIRECT(F_Custom1_resolved_column),637)&amp;"|",F_Custom1_wrapped)),1,0),0))</f>
        <v>1</v>
      </c>
      <c r="G638">
        <f>IF(OR(F_Custom2_Q="(None)",F_Custom2_Q="",ISBLANK(F_Custom2_Q),F_Custom2_V="(All)",F_Custom2_V="",ISBLANK(F_Custom2_V)),1,IFERROR(IF(ISNUMBER(SEARCH("|"&amp;INDEX(INDIRECT(F_Custom2_resolved_column),637)&amp;"|",F_Custom2_wrapped)),1,0),0))</f>
        <v>1</v>
      </c>
      <c r="H638">
        <f>F638*G638*1</f>
        <v>1</v>
      </c>
      <c r="I638">
        <f>1</f>
        <v>1</v>
      </c>
      <c r="J6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637)&amp;"|",All_Questions_Q20_F_wrapped)),1,0),0))</f>
        <v>1</v>
      </c>
    </row>
    <row r="639">
      <c r="A639" t="n">
        <v>638</v>
      </c>
      <c r="B639" t="n">
        <v>28.9</v>
      </c>
      <c r="C639" t="n">
        <v>24.6</v>
      </c>
      <c r="D639" t="n">
        <v>22.9</v>
      </c>
      <c r="E639">
        <f>1</f>
        <v>1</v>
      </c>
      <c r="F639">
        <f>IF(OR(F_Custom1_Q="(None)",F_Custom1_Q="",ISBLANK(F_Custom1_Q),F_Custom1_V="(All)",F_Custom1_V="",ISBLANK(F_Custom1_V)),1,IFERROR(IF(ISNUMBER(SEARCH("|"&amp;INDEX(INDIRECT(F_Custom1_resolved_column),638)&amp;"|",F_Custom1_wrapped)),1,0),0))</f>
        <v>1</v>
      </c>
      <c r="G639">
        <f>IF(OR(F_Custom2_Q="(None)",F_Custom2_Q="",ISBLANK(F_Custom2_Q),F_Custom2_V="(All)",F_Custom2_V="",ISBLANK(F_Custom2_V)),1,IFERROR(IF(ISNUMBER(SEARCH("|"&amp;INDEX(INDIRECT(F_Custom2_resolved_column),638)&amp;"|",F_Custom2_wrapped)),1,0),0))</f>
        <v>1</v>
      </c>
      <c r="H639">
        <f>F639*G639*1</f>
        <v>1</v>
      </c>
      <c r="I639">
        <f>1</f>
        <v>1</v>
      </c>
      <c r="J6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638)&amp;"|",All_Questions_Q20_F_wrapped)),1,0),0))</f>
        <v>1</v>
      </c>
    </row>
    <row r="640">
      <c r="A640" t="n">
        <v>639</v>
      </c>
      <c r="B640" t="n">
        <v>28.9</v>
      </c>
      <c r="C640" t="n">
        <v>24.6</v>
      </c>
      <c r="D640" t="n">
        <v>22.9</v>
      </c>
      <c r="E640">
        <f>1</f>
        <v>1</v>
      </c>
      <c r="F640">
        <f>IF(OR(F_Custom1_Q="(None)",F_Custom1_Q="",ISBLANK(F_Custom1_Q),F_Custom1_V="(All)",F_Custom1_V="",ISBLANK(F_Custom1_V)),1,IFERROR(IF(ISNUMBER(SEARCH("|"&amp;INDEX(INDIRECT(F_Custom1_resolved_column),639)&amp;"|",F_Custom1_wrapped)),1,0),0))</f>
        <v>1</v>
      </c>
      <c r="G640">
        <f>IF(OR(F_Custom2_Q="(None)",F_Custom2_Q="",ISBLANK(F_Custom2_Q),F_Custom2_V="(All)",F_Custom2_V="",ISBLANK(F_Custom2_V)),1,IFERROR(IF(ISNUMBER(SEARCH("|"&amp;INDEX(INDIRECT(F_Custom2_resolved_column),639)&amp;"|",F_Custom2_wrapped)),1,0),0))</f>
        <v>1</v>
      </c>
      <c r="H640">
        <f>F640*G640*1</f>
        <v>1</v>
      </c>
      <c r="I640">
        <f>1</f>
        <v>1</v>
      </c>
      <c r="J6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639)&amp;"|",All_Questions_Q20_F_wrapped)),1,0),0))</f>
        <v>1</v>
      </c>
    </row>
    <row r="641">
      <c r="A641" t="n">
        <v>640</v>
      </c>
      <c r="B641" t="n">
        <v>28.9</v>
      </c>
      <c r="C641" t="n">
        <v>24.6</v>
      </c>
      <c r="D641" t="n">
        <v>22.9</v>
      </c>
      <c r="E641">
        <f>1</f>
        <v>1</v>
      </c>
      <c r="F641">
        <f>IF(OR(F_Custom1_Q="(None)",F_Custom1_Q="",ISBLANK(F_Custom1_Q),F_Custom1_V="(All)",F_Custom1_V="",ISBLANK(F_Custom1_V)),1,IFERROR(IF(ISNUMBER(SEARCH("|"&amp;INDEX(INDIRECT(F_Custom1_resolved_column),640)&amp;"|",F_Custom1_wrapped)),1,0),0))</f>
        <v>1</v>
      </c>
      <c r="G641">
        <f>IF(OR(F_Custom2_Q="(None)",F_Custom2_Q="",ISBLANK(F_Custom2_Q),F_Custom2_V="(All)",F_Custom2_V="",ISBLANK(F_Custom2_V)),1,IFERROR(IF(ISNUMBER(SEARCH("|"&amp;INDEX(INDIRECT(F_Custom2_resolved_column),640)&amp;"|",F_Custom2_wrapped)),1,0),0))</f>
        <v>1</v>
      </c>
      <c r="H641">
        <f>F641*G641*1</f>
        <v>1</v>
      </c>
      <c r="I641">
        <f>1</f>
        <v>1</v>
      </c>
      <c r="J6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640)&amp;"|",All_Questions_Q20_F_wrapped)),1,0),0))</f>
        <v>1</v>
      </c>
    </row>
    <row r="642">
      <c r="A642" t="n">
        <v>641</v>
      </c>
      <c r="B642" t="n">
        <v>28.9</v>
      </c>
      <c r="C642" t="n">
        <v>24.6</v>
      </c>
      <c r="D642" t="n">
        <v>22.9</v>
      </c>
      <c r="E642">
        <f>1</f>
        <v>1</v>
      </c>
      <c r="F642">
        <f>IF(OR(F_Custom1_Q="(None)",F_Custom1_Q="",ISBLANK(F_Custom1_Q),F_Custom1_V="(All)",F_Custom1_V="",ISBLANK(F_Custom1_V)),1,IFERROR(IF(ISNUMBER(SEARCH("|"&amp;INDEX(INDIRECT(F_Custom1_resolved_column),641)&amp;"|",F_Custom1_wrapped)),1,0),0))</f>
        <v>1</v>
      </c>
      <c r="G642">
        <f>IF(OR(F_Custom2_Q="(None)",F_Custom2_Q="",ISBLANK(F_Custom2_Q),F_Custom2_V="(All)",F_Custom2_V="",ISBLANK(F_Custom2_V)),1,IFERROR(IF(ISNUMBER(SEARCH("|"&amp;INDEX(INDIRECT(F_Custom2_resolved_column),641)&amp;"|",F_Custom2_wrapped)),1,0),0))</f>
        <v>1</v>
      </c>
      <c r="H642">
        <f>F642*G642*1</f>
        <v>1</v>
      </c>
      <c r="I642">
        <f>1</f>
        <v>1</v>
      </c>
      <c r="J6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641)&amp;"|",All_Questions_Q20_F_wrapped)),1,0),0))</f>
        <v>1</v>
      </c>
    </row>
    <row r="643">
      <c r="A643" t="n">
        <v>642</v>
      </c>
      <c r="B643" t="n">
        <v>28.9</v>
      </c>
      <c r="C643" t="n">
        <v>24.6</v>
      </c>
      <c r="D643" t="n">
        <v>22.9</v>
      </c>
      <c r="E643">
        <f>1</f>
        <v>1</v>
      </c>
      <c r="F643">
        <f>IF(OR(F_Custom1_Q="(None)",F_Custom1_Q="",ISBLANK(F_Custom1_Q),F_Custom1_V="(All)",F_Custom1_V="",ISBLANK(F_Custom1_V)),1,IFERROR(IF(ISNUMBER(SEARCH("|"&amp;INDEX(INDIRECT(F_Custom1_resolved_column),642)&amp;"|",F_Custom1_wrapped)),1,0),0))</f>
        <v>1</v>
      </c>
      <c r="G643">
        <f>IF(OR(F_Custom2_Q="(None)",F_Custom2_Q="",ISBLANK(F_Custom2_Q),F_Custom2_V="(All)",F_Custom2_V="",ISBLANK(F_Custom2_V)),1,IFERROR(IF(ISNUMBER(SEARCH("|"&amp;INDEX(INDIRECT(F_Custom2_resolved_column),642)&amp;"|",F_Custom2_wrapped)),1,0),0))</f>
        <v>1</v>
      </c>
      <c r="H643">
        <f>F643*G643*1</f>
        <v>1</v>
      </c>
      <c r="I643">
        <f>1</f>
        <v>1</v>
      </c>
      <c r="J6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642)&amp;"|",All_Questions_Q20_F_wrapped)),1,0),0))</f>
        <v>1</v>
      </c>
    </row>
    <row r="644">
      <c r="A644" t="n">
        <v>643</v>
      </c>
      <c r="B644" t="n">
        <v>28.9</v>
      </c>
      <c r="C644" t="n">
        <v>24.6</v>
      </c>
      <c r="D644" t="n">
        <v>22.9</v>
      </c>
      <c r="E644">
        <f>1</f>
        <v>1</v>
      </c>
      <c r="F644">
        <f>IF(OR(F_Custom1_Q="(None)",F_Custom1_Q="",ISBLANK(F_Custom1_Q),F_Custom1_V="(All)",F_Custom1_V="",ISBLANK(F_Custom1_V)),1,IFERROR(IF(ISNUMBER(SEARCH("|"&amp;INDEX(INDIRECT(F_Custom1_resolved_column),643)&amp;"|",F_Custom1_wrapped)),1,0),0))</f>
        <v>1</v>
      </c>
      <c r="G644">
        <f>IF(OR(F_Custom2_Q="(None)",F_Custom2_Q="",ISBLANK(F_Custom2_Q),F_Custom2_V="(All)",F_Custom2_V="",ISBLANK(F_Custom2_V)),1,IFERROR(IF(ISNUMBER(SEARCH("|"&amp;INDEX(INDIRECT(F_Custom2_resolved_column),643)&amp;"|",F_Custom2_wrapped)),1,0),0))</f>
        <v>1</v>
      </c>
      <c r="H644">
        <f>F644*G644*1</f>
        <v>1</v>
      </c>
      <c r="I644">
        <f>1</f>
        <v>1</v>
      </c>
      <c r="J6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643)&amp;"|",All_Questions_Q20_F_wrapped)),1,0),0))</f>
        <v>1</v>
      </c>
    </row>
    <row r="645">
      <c r="A645" t="n">
        <v>644</v>
      </c>
      <c r="B645" t="n">
        <v>28.9</v>
      </c>
      <c r="C645" t="n">
        <v>24.6</v>
      </c>
      <c r="D645" t="n">
        <v>22.9</v>
      </c>
      <c r="E645">
        <f>1</f>
        <v>1</v>
      </c>
      <c r="F645">
        <f>IF(OR(F_Custom1_Q="(None)",F_Custom1_Q="",ISBLANK(F_Custom1_Q),F_Custom1_V="(All)",F_Custom1_V="",ISBLANK(F_Custom1_V)),1,IFERROR(IF(ISNUMBER(SEARCH("|"&amp;INDEX(INDIRECT(F_Custom1_resolved_column),644)&amp;"|",F_Custom1_wrapped)),1,0),0))</f>
        <v>1</v>
      </c>
      <c r="G645">
        <f>IF(OR(F_Custom2_Q="(None)",F_Custom2_Q="",ISBLANK(F_Custom2_Q),F_Custom2_V="(All)",F_Custom2_V="",ISBLANK(F_Custom2_V)),1,IFERROR(IF(ISNUMBER(SEARCH("|"&amp;INDEX(INDIRECT(F_Custom2_resolved_column),644)&amp;"|",F_Custom2_wrapped)),1,0),0))</f>
        <v>1</v>
      </c>
      <c r="H645">
        <f>F645*G645*1</f>
        <v>1</v>
      </c>
      <c r="I645">
        <f>1</f>
        <v>1</v>
      </c>
      <c r="J6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644)&amp;"|",All_Questions_Q20_F_wrapped)),1,0),0))</f>
        <v>1</v>
      </c>
    </row>
    <row r="646">
      <c r="A646" t="n">
        <v>645</v>
      </c>
      <c r="B646" t="n">
        <v>28.9</v>
      </c>
      <c r="C646" t="n">
        <v>24.6</v>
      </c>
      <c r="D646" t="n">
        <v>22.9</v>
      </c>
      <c r="E646">
        <f>1</f>
        <v>1</v>
      </c>
      <c r="F646">
        <f>IF(OR(F_Custom1_Q="(None)",F_Custom1_Q="",ISBLANK(F_Custom1_Q),F_Custom1_V="(All)",F_Custom1_V="",ISBLANK(F_Custom1_V)),1,IFERROR(IF(ISNUMBER(SEARCH("|"&amp;INDEX(INDIRECT(F_Custom1_resolved_column),645)&amp;"|",F_Custom1_wrapped)),1,0),0))</f>
        <v>1</v>
      </c>
      <c r="G646">
        <f>IF(OR(F_Custom2_Q="(None)",F_Custom2_Q="",ISBLANK(F_Custom2_Q),F_Custom2_V="(All)",F_Custom2_V="",ISBLANK(F_Custom2_V)),1,IFERROR(IF(ISNUMBER(SEARCH("|"&amp;INDEX(INDIRECT(F_Custom2_resolved_column),645)&amp;"|",F_Custom2_wrapped)),1,0),0))</f>
        <v>1</v>
      </c>
      <c r="H646">
        <f>F646*G646*1</f>
        <v>1</v>
      </c>
      <c r="I646">
        <f>1</f>
        <v>1</v>
      </c>
      <c r="J6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645)&amp;"|",All_Questions_Q20_F_wrapped)),1,0),0))</f>
        <v>1</v>
      </c>
    </row>
    <row r="647">
      <c r="A647" t="n">
        <v>646</v>
      </c>
      <c r="B647" t="n">
        <v>28.9</v>
      </c>
      <c r="C647" t="n">
        <v>24.6</v>
      </c>
      <c r="D647" t="n">
        <v>22.9</v>
      </c>
      <c r="E647">
        <f>1</f>
        <v>1</v>
      </c>
      <c r="F647">
        <f>IF(OR(F_Custom1_Q="(None)",F_Custom1_Q="",ISBLANK(F_Custom1_Q),F_Custom1_V="(All)",F_Custom1_V="",ISBLANK(F_Custom1_V)),1,IFERROR(IF(ISNUMBER(SEARCH("|"&amp;INDEX(INDIRECT(F_Custom1_resolved_column),646)&amp;"|",F_Custom1_wrapped)),1,0),0))</f>
        <v>1</v>
      </c>
      <c r="G647">
        <f>IF(OR(F_Custom2_Q="(None)",F_Custom2_Q="",ISBLANK(F_Custom2_Q),F_Custom2_V="(All)",F_Custom2_V="",ISBLANK(F_Custom2_V)),1,IFERROR(IF(ISNUMBER(SEARCH("|"&amp;INDEX(INDIRECT(F_Custom2_resolved_column),646)&amp;"|",F_Custom2_wrapped)),1,0),0))</f>
        <v>1</v>
      </c>
      <c r="H647">
        <f>F647*G647*1</f>
        <v>1</v>
      </c>
      <c r="I647">
        <f>1</f>
        <v>1</v>
      </c>
      <c r="J6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646)&amp;"|",All_Questions_Q20_F_wrapped)),1,0),0))</f>
        <v>1</v>
      </c>
    </row>
    <row r="648">
      <c r="A648" t="n">
        <v>647</v>
      </c>
      <c r="B648" t="n">
        <v>28.9</v>
      </c>
      <c r="C648" t="n">
        <v>24.6</v>
      </c>
      <c r="D648" t="n">
        <v>22.9</v>
      </c>
      <c r="E648">
        <f>1</f>
        <v>1</v>
      </c>
      <c r="F648">
        <f>IF(OR(F_Custom1_Q="(None)",F_Custom1_Q="",ISBLANK(F_Custom1_Q),F_Custom1_V="(All)",F_Custom1_V="",ISBLANK(F_Custom1_V)),1,IFERROR(IF(ISNUMBER(SEARCH("|"&amp;INDEX(INDIRECT(F_Custom1_resolved_column),647)&amp;"|",F_Custom1_wrapped)),1,0),0))</f>
        <v>1</v>
      </c>
      <c r="G648">
        <f>IF(OR(F_Custom2_Q="(None)",F_Custom2_Q="",ISBLANK(F_Custom2_Q),F_Custom2_V="(All)",F_Custom2_V="",ISBLANK(F_Custom2_V)),1,IFERROR(IF(ISNUMBER(SEARCH("|"&amp;INDEX(INDIRECT(F_Custom2_resolved_column),647)&amp;"|",F_Custom2_wrapped)),1,0),0))</f>
        <v>1</v>
      </c>
      <c r="H648">
        <f>F648*G648*1</f>
        <v>1</v>
      </c>
      <c r="I648">
        <f>1</f>
        <v>1</v>
      </c>
      <c r="J6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647)&amp;"|",All_Questions_Q20_F_wrapped)),1,0),0))</f>
        <v>1</v>
      </c>
    </row>
    <row r="649">
      <c r="A649" t="n">
        <v>648</v>
      </c>
      <c r="B649" t="n">
        <v>28.9</v>
      </c>
      <c r="C649" t="n">
        <v>24.6</v>
      </c>
      <c r="D649" t="n">
        <v>22.9</v>
      </c>
      <c r="E649">
        <f>1</f>
        <v>1</v>
      </c>
      <c r="F649">
        <f>IF(OR(F_Custom1_Q="(None)",F_Custom1_Q="",ISBLANK(F_Custom1_Q),F_Custom1_V="(All)",F_Custom1_V="",ISBLANK(F_Custom1_V)),1,IFERROR(IF(ISNUMBER(SEARCH("|"&amp;INDEX(INDIRECT(F_Custom1_resolved_column),648)&amp;"|",F_Custom1_wrapped)),1,0),0))</f>
        <v>1</v>
      </c>
      <c r="G649">
        <f>IF(OR(F_Custom2_Q="(None)",F_Custom2_Q="",ISBLANK(F_Custom2_Q),F_Custom2_V="(All)",F_Custom2_V="",ISBLANK(F_Custom2_V)),1,IFERROR(IF(ISNUMBER(SEARCH("|"&amp;INDEX(INDIRECT(F_Custom2_resolved_column),648)&amp;"|",F_Custom2_wrapped)),1,0),0))</f>
        <v>1</v>
      </c>
      <c r="H649">
        <f>F649*G649*1</f>
        <v>1</v>
      </c>
      <c r="I649">
        <f>1</f>
        <v>1</v>
      </c>
      <c r="J6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648)&amp;"|",All_Questions_Q20_F_wrapped)),1,0),0))</f>
        <v>1</v>
      </c>
    </row>
    <row r="650">
      <c r="A650" t="n">
        <v>649</v>
      </c>
      <c r="B650" t="n">
        <v>28.9</v>
      </c>
      <c r="C650" t="n">
        <v>24.6</v>
      </c>
      <c r="D650" t="n">
        <v>22.9</v>
      </c>
      <c r="E650">
        <f>1</f>
        <v>1</v>
      </c>
      <c r="F650">
        <f>IF(OR(F_Custom1_Q="(None)",F_Custom1_Q="",ISBLANK(F_Custom1_Q),F_Custom1_V="(All)",F_Custom1_V="",ISBLANK(F_Custom1_V)),1,IFERROR(IF(ISNUMBER(SEARCH("|"&amp;INDEX(INDIRECT(F_Custom1_resolved_column),649)&amp;"|",F_Custom1_wrapped)),1,0),0))</f>
        <v>1</v>
      </c>
      <c r="G650">
        <f>IF(OR(F_Custom2_Q="(None)",F_Custom2_Q="",ISBLANK(F_Custom2_Q),F_Custom2_V="(All)",F_Custom2_V="",ISBLANK(F_Custom2_V)),1,IFERROR(IF(ISNUMBER(SEARCH("|"&amp;INDEX(INDIRECT(F_Custom2_resolved_column),649)&amp;"|",F_Custom2_wrapped)),1,0),0))</f>
        <v>1</v>
      </c>
      <c r="H650">
        <f>F650*G650*1</f>
        <v>1</v>
      </c>
      <c r="I650">
        <f>1</f>
        <v>1</v>
      </c>
      <c r="J6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649)&amp;"|",All_Questions_Q20_F_wrapped)),1,0),0))</f>
        <v>1</v>
      </c>
    </row>
    <row r="651">
      <c r="A651" t="n">
        <v>650</v>
      </c>
      <c r="B651" t="n">
        <v>28.9</v>
      </c>
      <c r="C651" t="n">
        <v>24.6</v>
      </c>
      <c r="D651" t="n">
        <v>22.9</v>
      </c>
      <c r="E651">
        <f>1</f>
        <v>1</v>
      </c>
      <c r="F651">
        <f>IF(OR(F_Custom1_Q="(None)",F_Custom1_Q="",ISBLANK(F_Custom1_Q),F_Custom1_V="(All)",F_Custom1_V="",ISBLANK(F_Custom1_V)),1,IFERROR(IF(ISNUMBER(SEARCH("|"&amp;INDEX(INDIRECT(F_Custom1_resolved_column),650)&amp;"|",F_Custom1_wrapped)),1,0),0))</f>
        <v>1</v>
      </c>
      <c r="G651">
        <f>IF(OR(F_Custom2_Q="(None)",F_Custom2_Q="",ISBLANK(F_Custom2_Q),F_Custom2_V="(All)",F_Custom2_V="",ISBLANK(F_Custom2_V)),1,IFERROR(IF(ISNUMBER(SEARCH("|"&amp;INDEX(INDIRECT(F_Custom2_resolved_column),650)&amp;"|",F_Custom2_wrapped)),1,0),0))</f>
        <v>1</v>
      </c>
      <c r="H651">
        <f>F651*G651*1</f>
        <v>1</v>
      </c>
      <c r="I651">
        <f>1</f>
        <v>1</v>
      </c>
      <c r="J6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650)&amp;"|",All_Questions_Q20_F_wrapped)),1,0),0))</f>
        <v>1</v>
      </c>
    </row>
    <row r="652">
      <c r="A652" t="n">
        <v>651</v>
      </c>
      <c r="B652" t="n">
        <v>28.9</v>
      </c>
      <c r="C652" t="n">
        <v>24.6</v>
      </c>
      <c r="D652" t="n">
        <v>22.9</v>
      </c>
      <c r="E652">
        <f>1</f>
        <v>1</v>
      </c>
      <c r="F652">
        <f>IF(OR(F_Custom1_Q="(None)",F_Custom1_Q="",ISBLANK(F_Custom1_Q),F_Custom1_V="(All)",F_Custom1_V="",ISBLANK(F_Custom1_V)),1,IFERROR(IF(ISNUMBER(SEARCH("|"&amp;INDEX(INDIRECT(F_Custom1_resolved_column),651)&amp;"|",F_Custom1_wrapped)),1,0),0))</f>
        <v>1</v>
      </c>
      <c r="G652">
        <f>IF(OR(F_Custom2_Q="(None)",F_Custom2_Q="",ISBLANK(F_Custom2_Q),F_Custom2_V="(All)",F_Custom2_V="",ISBLANK(F_Custom2_V)),1,IFERROR(IF(ISNUMBER(SEARCH("|"&amp;INDEX(INDIRECT(F_Custom2_resolved_column),651)&amp;"|",F_Custom2_wrapped)),1,0),0))</f>
        <v>1</v>
      </c>
      <c r="H652">
        <f>F652*G652*1</f>
        <v>1</v>
      </c>
      <c r="I652">
        <f>1</f>
        <v>1</v>
      </c>
      <c r="J6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651)&amp;"|",All_Questions_Q20_F_wrapped)),1,0),0))</f>
        <v>1</v>
      </c>
    </row>
    <row r="653">
      <c r="A653" t="n">
        <v>652</v>
      </c>
      <c r="B653" t="n">
        <v>28.9</v>
      </c>
      <c r="C653" t="n">
        <v>24.6</v>
      </c>
      <c r="D653" t="n">
        <v>22.9</v>
      </c>
      <c r="E653">
        <f>1</f>
        <v>1</v>
      </c>
      <c r="F653">
        <f>IF(OR(F_Custom1_Q="(None)",F_Custom1_Q="",ISBLANK(F_Custom1_Q),F_Custom1_V="(All)",F_Custom1_V="",ISBLANK(F_Custom1_V)),1,IFERROR(IF(ISNUMBER(SEARCH("|"&amp;INDEX(INDIRECT(F_Custom1_resolved_column),652)&amp;"|",F_Custom1_wrapped)),1,0),0))</f>
        <v>1</v>
      </c>
      <c r="G653">
        <f>IF(OR(F_Custom2_Q="(None)",F_Custom2_Q="",ISBLANK(F_Custom2_Q),F_Custom2_V="(All)",F_Custom2_V="",ISBLANK(F_Custom2_V)),1,IFERROR(IF(ISNUMBER(SEARCH("|"&amp;INDEX(INDIRECT(F_Custom2_resolved_column),652)&amp;"|",F_Custom2_wrapped)),1,0),0))</f>
        <v>1</v>
      </c>
      <c r="H653">
        <f>F653*G653*1</f>
        <v>1</v>
      </c>
      <c r="I653">
        <f>1</f>
        <v>1</v>
      </c>
      <c r="J6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652)&amp;"|",All_Questions_Q20_F_wrapped)),1,0),0))</f>
        <v>1</v>
      </c>
    </row>
    <row r="654">
      <c r="A654" t="n">
        <v>653</v>
      </c>
      <c r="B654" t="n">
        <v>28.9</v>
      </c>
      <c r="C654" t="n">
        <v>24.6</v>
      </c>
      <c r="D654" t="n">
        <v>22.9</v>
      </c>
      <c r="E654">
        <f>1</f>
        <v>1</v>
      </c>
      <c r="F654">
        <f>IF(OR(F_Custom1_Q="(None)",F_Custom1_Q="",ISBLANK(F_Custom1_Q),F_Custom1_V="(All)",F_Custom1_V="",ISBLANK(F_Custom1_V)),1,IFERROR(IF(ISNUMBER(SEARCH("|"&amp;INDEX(INDIRECT(F_Custom1_resolved_column),653)&amp;"|",F_Custom1_wrapped)),1,0),0))</f>
        <v>1</v>
      </c>
      <c r="G654">
        <f>IF(OR(F_Custom2_Q="(None)",F_Custom2_Q="",ISBLANK(F_Custom2_Q),F_Custom2_V="(All)",F_Custom2_V="",ISBLANK(F_Custom2_V)),1,IFERROR(IF(ISNUMBER(SEARCH("|"&amp;INDEX(INDIRECT(F_Custom2_resolved_column),653)&amp;"|",F_Custom2_wrapped)),1,0),0))</f>
        <v>1</v>
      </c>
      <c r="H654">
        <f>F654*G654*1</f>
        <v>1</v>
      </c>
      <c r="I654">
        <f>1</f>
        <v>1</v>
      </c>
      <c r="J6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653)&amp;"|",All_Questions_Q20_F_wrapped)),1,0),0))</f>
        <v>1</v>
      </c>
    </row>
    <row r="655">
      <c r="A655" t="n">
        <v>654</v>
      </c>
      <c r="B655" t="n">
        <v>28.9</v>
      </c>
      <c r="C655" t="n">
        <v>24.6</v>
      </c>
      <c r="D655" t="n">
        <v>22.9</v>
      </c>
      <c r="E655">
        <f>1</f>
        <v>1</v>
      </c>
      <c r="F655">
        <f>IF(OR(F_Custom1_Q="(None)",F_Custom1_Q="",ISBLANK(F_Custom1_Q),F_Custom1_V="(All)",F_Custom1_V="",ISBLANK(F_Custom1_V)),1,IFERROR(IF(ISNUMBER(SEARCH("|"&amp;INDEX(INDIRECT(F_Custom1_resolved_column),654)&amp;"|",F_Custom1_wrapped)),1,0),0))</f>
        <v>1</v>
      </c>
      <c r="G655">
        <f>IF(OR(F_Custom2_Q="(None)",F_Custom2_Q="",ISBLANK(F_Custom2_Q),F_Custom2_V="(All)",F_Custom2_V="",ISBLANK(F_Custom2_V)),1,IFERROR(IF(ISNUMBER(SEARCH("|"&amp;INDEX(INDIRECT(F_Custom2_resolved_column),654)&amp;"|",F_Custom2_wrapped)),1,0),0))</f>
        <v>1</v>
      </c>
      <c r="H655">
        <f>F655*G655*1</f>
        <v>1</v>
      </c>
      <c r="I655">
        <f>1</f>
        <v>1</v>
      </c>
      <c r="J6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654)&amp;"|",All_Questions_Q20_F_wrapped)),1,0),0))</f>
        <v>1</v>
      </c>
    </row>
    <row r="656">
      <c r="A656" t="n">
        <v>655</v>
      </c>
      <c r="B656" t="n">
        <v>28.9</v>
      </c>
      <c r="C656" t="n">
        <v>24.6</v>
      </c>
      <c r="D656" t="n">
        <v>22.9</v>
      </c>
      <c r="E656">
        <f>1</f>
        <v>1</v>
      </c>
      <c r="F656">
        <f>IF(OR(F_Custom1_Q="(None)",F_Custom1_Q="",ISBLANK(F_Custom1_Q),F_Custom1_V="(All)",F_Custom1_V="",ISBLANK(F_Custom1_V)),1,IFERROR(IF(ISNUMBER(SEARCH("|"&amp;INDEX(INDIRECT(F_Custom1_resolved_column),655)&amp;"|",F_Custom1_wrapped)),1,0),0))</f>
        <v>1</v>
      </c>
      <c r="G656">
        <f>IF(OR(F_Custom2_Q="(None)",F_Custom2_Q="",ISBLANK(F_Custom2_Q),F_Custom2_V="(All)",F_Custom2_V="",ISBLANK(F_Custom2_V)),1,IFERROR(IF(ISNUMBER(SEARCH("|"&amp;INDEX(INDIRECT(F_Custom2_resolved_column),655)&amp;"|",F_Custom2_wrapped)),1,0),0))</f>
        <v>1</v>
      </c>
      <c r="H656">
        <f>F656*G656*1</f>
        <v>1</v>
      </c>
      <c r="I656">
        <f>1</f>
        <v>1</v>
      </c>
      <c r="J6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655)&amp;"|",All_Questions_Q20_F_wrapped)),1,0),0))</f>
        <v>1</v>
      </c>
    </row>
    <row r="657">
      <c r="A657" t="n">
        <v>656</v>
      </c>
      <c r="B657" t="n">
        <v>28.9</v>
      </c>
      <c r="C657" t="n">
        <v>24.6</v>
      </c>
      <c r="D657" t="n">
        <v>22.9</v>
      </c>
      <c r="E657">
        <f>1</f>
        <v>1</v>
      </c>
      <c r="F657">
        <f>IF(OR(F_Custom1_Q="(None)",F_Custom1_Q="",ISBLANK(F_Custom1_Q),F_Custom1_V="(All)",F_Custom1_V="",ISBLANK(F_Custom1_V)),1,IFERROR(IF(ISNUMBER(SEARCH("|"&amp;INDEX(INDIRECT(F_Custom1_resolved_column),656)&amp;"|",F_Custom1_wrapped)),1,0),0))</f>
        <v>1</v>
      </c>
      <c r="G657">
        <f>IF(OR(F_Custom2_Q="(None)",F_Custom2_Q="",ISBLANK(F_Custom2_Q),F_Custom2_V="(All)",F_Custom2_V="",ISBLANK(F_Custom2_V)),1,IFERROR(IF(ISNUMBER(SEARCH("|"&amp;INDEX(INDIRECT(F_Custom2_resolved_column),656)&amp;"|",F_Custom2_wrapped)),1,0),0))</f>
        <v>1</v>
      </c>
      <c r="H657">
        <f>F657*G657*1</f>
        <v>1</v>
      </c>
      <c r="I657">
        <f>1</f>
        <v>1</v>
      </c>
      <c r="J6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656)&amp;"|",All_Questions_Q20_F_wrapped)),1,0),0))</f>
        <v>1</v>
      </c>
    </row>
    <row r="658">
      <c r="A658" t="n">
        <v>657</v>
      </c>
      <c r="B658" t="n">
        <v>28.9</v>
      </c>
      <c r="C658" t="n">
        <v>24.6</v>
      </c>
      <c r="D658" t="n">
        <v>22.9</v>
      </c>
      <c r="E658">
        <f>1</f>
        <v>1</v>
      </c>
      <c r="F658">
        <f>IF(OR(F_Custom1_Q="(None)",F_Custom1_Q="",ISBLANK(F_Custom1_Q),F_Custom1_V="(All)",F_Custom1_V="",ISBLANK(F_Custom1_V)),1,IFERROR(IF(ISNUMBER(SEARCH("|"&amp;INDEX(INDIRECT(F_Custom1_resolved_column),657)&amp;"|",F_Custom1_wrapped)),1,0),0))</f>
        <v>1</v>
      </c>
      <c r="G658">
        <f>IF(OR(F_Custom2_Q="(None)",F_Custom2_Q="",ISBLANK(F_Custom2_Q),F_Custom2_V="(All)",F_Custom2_V="",ISBLANK(F_Custom2_V)),1,IFERROR(IF(ISNUMBER(SEARCH("|"&amp;INDEX(INDIRECT(F_Custom2_resolved_column),657)&amp;"|",F_Custom2_wrapped)),1,0),0))</f>
        <v>1</v>
      </c>
      <c r="H658">
        <f>F658*G658*1</f>
        <v>1</v>
      </c>
      <c r="I658">
        <f>1</f>
        <v>1</v>
      </c>
      <c r="J6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657)&amp;"|",All_Questions_Q20_F_wrapped)),1,0),0))</f>
        <v>1</v>
      </c>
    </row>
    <row r="659">
      <c r="A659" t="n">
        <v>658</v>
      </c>
      <c r="B659" t="n">
        <v>28.9</v>
      </c>
      <c r="C659" t="n">
        <v>24.6</v>
      </c>
      <c r="D659" t="n">
        <v>22.9</v>
      </c>
      <c r="E659">
        <f>1</f>
        <v>1</v>
      </c>
      <c r="F659">
        <f>IF(OR(F_Custom1_Q="(None)",F_Custom1_Q="",ISBLANK(F_Custom1_Q),F_Custom1_V="(All)",F_Custom1_V="",ISBLANK(F_Custom1_V)),1,IFERROR(IF(ISNUMBER(SEARCH("|"&amp;INDEX(INDIRECT(F_Custom1_resolved_column),658)&amp;"|",F_Custom1_wrapped)),1,0),0))</f>
        <v>1</v>
      </c>
      <c r="G659">
        <f>IF(OR(F_Custom2_Q="(None)",F_Custom2_Q="",ISBLANK(F_Custom2_Q),F_Custom2_V="(All)",F_Custom2_V="",ISBLANK(F_Custom2_V)),1,IFERROR(IF(ISNUMBER(SEARCH("|"&amp;INDEX(INDIRECT(F_Custom2_resolved_column),658)&amp;"|",F_Custom2_wrapped)),1,0),0))</f>
        <v>1</v>
      </c>
      <c r="H659">
        <f>F659*G659*1</f>
        <v>1</v>
      </c>
      <c r="I659">
        <f>1</f>
        <v>1</v>
      </c>
      <c r="J6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658)&amp;"|",All_Questions_Q20_F_wrapped)),1,0),0))</f>
        <v>1</v>
      </c>
    </row>
    <row r="660">
      <c r="A660" t="n">
        <v>659</v>
      </c>
      <c r="B660" t="n">
        <v>28.9</v>
      </c>
      <c r="C660" t="n">
        <v>24.6</v>
      </c>
      <c r="D660" t="n">
        <v>22.9</v>
      </c>
      <c r="E660">
        <f>1</f>
        <v>1</v>
      </c>
      <c r="F660">
        <f>IF(OR(F_Custom1_Q="(None)",F_Custom1_Q="",ISBLANK(F_Custom1_Q),F_Custom1_V="(All)",F_Custom1_V="",ISBLANK(F_Custom1_V)),1,IFERROR(IF(ISNUMBER(SEARCH("|"&amp;INDEX(INDIRECT(F_Custom1_resolved_column),659)&amp;"|",F_Custom1_wrapped)),1,0),0))</f>
        <v>1</v>
      </c>
      <c r="G660">
        <f>IF(OR(F_Custom2_Q="(None)",F_Custom2_Q="",ISBLANK(F_Custom2_Q),F_Custom2_V="(All)",F_Custom2_V="",ISBLANK(F_Custom2_V)),1,IFERROR(IF(ISNUMBER(SEARCH("|"&amp;INDEX(INDIRECT(F_Custom2_resolved_column),659)&amp;"|",F_Custom2_wrapped)),1,0),0))</f>
        <v>1</v>
      </c>
      <c r="H660">
        <f>F660*G660*1</f>
        <v>1</v>
      </c>
      <c r="I660">
        <f>1</f>
        <v>1</v>
      </c>
      <c r="J6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659)&amp;"|",All_Questions_Q20_F_wrapped)),1,0),0))</f>
        <v>1</v>
      </c>
    </row>
    <row r="661">
      <c r="A661" t="n">
        <v>660</v>
      </c>
      <c r="B661" t="n">
        <v>28.9</v>
      </c>
      <c r="C661" t="n">
        <v>24.6</v>
      </c>
      <c r="D661" t="n">
        <v>22.9</v>
      </c>
      <c r="E661">
        <f>1</f>
        <v>1</v>
      </c>
      <c r="F661">
        <f>IF(OR(F_Custom1_Q="(None)",F_Custom1_Q="",ISBLANK(F_Custom1_Q),F_Custom1_V="(All)",F_Custom1_V="",ISBLANK(F_Custom1_V)),1,IFERROR(IF(ISNUMBER(SEARCH("|"&amp;INDEX(INDIRECT(F_Custom1_resolved_column),660)&amp;"|",F_Custom1_wrapped)),1,0),0))</f>
        <v>1</v>
      </c>
      <c r="G661">
        <f>IF(OR(F_Custom2_Q="(None)",F_Custom2_Q="",ISBLANK(F_Custom2_Q),F_Custom2_V="(All)",F_Custom2_V="",ISBLANK(F_Custom2_V)),1,IFERROR(IF(ISNUMBER(SEARCH("|"&amp;INDEX(INDIRECT(F_Custom2_resolved_column),660)&amp;"|",F_Custom2_wrapped)),1,0),0))</f>
        <v>1</v>
      </c>
      <c r="H661">
        <f>F661*G661*1</f>
        <v>1</v>
      </c>
      <c r="I661">
        <f>1</f>
        <v>1</v>
      </c>
      <c r="J6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660)&amp;"|",All_Questions_Q20_F_wrapped)),1,0),0))</f>
        <v>1</v>
      </c>
    </row>
    <row r="662">
      <c r="A662" t="n">
        <v>661</v>
      </c>
      <c r="B662" t="n">
        <v>28.9</v>
      </c>
      <c r="C662" t="n">
        <v>24.6</v>
      </c>
      <c r="D662" t="n">
        <v>22.9</v>
      </c>
      <c r="E662">
        <f>1</f>
        <v>1</v>
      </c>
      <c r="F662">
        <f>IF(OR(F_Custom1_Q="(None)",F_Custom1_Q="",ISBLANK(F_Custom1_Q),F_Custom1_V="(All)",F_Custom1_V="",ISBLANK(F_Custom1_V)),1,IFERROR(IF(ISNUMBER(SEARCH("|"&amp;INDEX(INDIRECT(F_Custom1_resolved_column),661)&amp;"|",F_Custom1_wrapped)),1,0),0))</f>
        <v>1</v>
      </c>
      <c r="G662">
        <f>IF(OR(F_Custom2_Q="(None)",F_Custom2_Q="",ISBLANK(F_Custom2_Q),F_Custom2_V="(All)",F_Custom2_V="",ISBLANK(F_Custom2_V)),1,IFERROR(IF(ISNUMBER(SEARCH("|"&amp;INDEX(INDIRECT(F_Custom2_resolved_column),661)&amp;"|",F_Custom2_wrapped)),1,0),0))</f>
        <v>1</v>
      </c>
      <c r="H662">
        <f>F662*G662*1</f>
        <v>1</v>
      </c>
      <c r="I662">
        <f>1</f>
        <v>1</v>
      </c>
      <c r="J6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661)&amp;"|",All_Questions_Q20_F_wrapped)),1,0),0))</f>
        <v>1</v>
      </c>
    </row>
    <row r="663">
      <c r="A663" t="n">
        <v>662</v>
      </c>
      <c r="B663" t="n">
        <v>28.9</v>
      </c>
      <c r="C663" t="n">
        <v>24.6</v>
      </c>
      <c r="D663" t="n">
        <v>22.9</v>
      </c>
      <c r="E663">
        <f>1</f>
        <v>1</v>
      </c>
      <c r="F663">
        <f>IF(OR(F_Custom1_Q="(None)",F_Custom1_Q="",ISBLANK(F_Custom1_Q),F_Custom1_V="(All)",F_Custom1_V="",ISBLANK(F_Custom1_V)),1,IFERROR(IF(ISNUMBER(SEARCH("|"&amp;INDEX(INDIRECT(F_Custom1_resolved_column),662)&amp;"|",F_Custom1_wrapped)),1,0),0))</f>
        <v>1</v>
      </c>
      <c r="G663">
        <f>IF(OR(F_Custom2_Q="(None)",F_Custom2_Q="",ISBLANK(F_Custom2_Q),F_Custom2_V="(All)",F_Custom2_V="",ISBLANK(F_Custom2_V)),1,IFERROR(IF(ISNUMBER(SEARCH("|"&amp;INDEX(INDIRECT(F_Custom2_resolved_column),662)&amp;"|",F_Custom2_wrapped)),1,0),0))</f>
        <v>1</v>
      </c>
      <c r="H663">
        <f>F663*G663*1</f>
        <v>1</v>
      </c>
      <c r="I663">
        <f>1</f>
        <v>1</v>
      </c>
      <c r="J6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662)&amp;"|",All_Questions_Q20_F_wrapped)),1,0),0))</f>
        <v>1</v>
      </c>
    </row>
    <row r="664">
      <c r="A664" t="n">
        <v>663</v>
      </c>
      <c r="B664" t="n">
        <v>28.9</v>
      </c>
      <c r="C664" t="n">
        <v>24.6</v>
      </c>
      <c r="D664" t="n">
        <v>22.9</v>
      </c>
      <c r="E664">
        <f>1</f>
        <v>1</v>
      </c>
      <c r="F664">
        <f>IF(OR(F_Custom1_Q="(None)",F_Custom1_Q="",ISBLANK(F_Custom1_Q),F_Custom1_V="(All)",F_Custom1_V="",ISBLANK(F_Custom1_V)),1,IFERROR(IF(ISNUMBER(SEARCH("|"&amp;INDEX(INDIRECT(F_Custom1_resolved_column),663)&amp;"|",F_Custom1_wrapped)),1,0),0))</f>
        <v>1</v>
      </c>
      <c r="G664">
        <f>IF(OR(F_Custom2_Q="(None)",F_Custom2_Q="",ISBLANK(F_Custom2_Q),F_Custom2_V="(All)",F_Custom2_V="",ISBLANK(F_Custom2_V)),1,IFERROR(IF(ISNUMBER(SEARCH("|"&amp;INDEX(INDIRECT(F_Custom2_resolved_column),663)&amp;"|",F_Custom2_wrapped)),1,0),0))</f>
        <v>1</v>
      </c>
      <c r="H664">
        <f>F664*G664*1</f>
        <v>1</v>
      </c>
      <c r="I664">
        <f>1</f>
        <v>1</v>
      </c>
      <c r="J6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663)&amp;"|",All_Questions_Q20_F_wrapped)),1,0),0))</f>
        <v>1</v>
      </c>
    </row>
    <row r="665">
      <c r="A665" t="n">
        <v>664</v>
      </c>
      <c r="B665" t="n">
        <v>28.9</v>
      </c>
      <c r="C665" t="n">
        <v>24.6</v>
      </c>
      <c r="D665" t="n">
        <v>22.9</v>
      </c>
      <c r="E665">
        <f>1</f>
        <v>1</v>
      </c>
      <c r="F665">
        <f>IF(OR(F_Custom1_Q="(None)",F_Custom1_Q="",ISBLANK(F_Custom1_Q),F_Custom1_V="(All)",F_Custom1_V="",ISBLANK(F_Custom1_V)),1,IFERROR(IF(ISNUMBER(SEARCH("|"&amp;INDEX(INDIRECT(F_Custom1_resolved_column),664)&amp;"|",F_Custom1_wrapped)),1,0),0))</f>
        <v>1</v>
      </c>
      <c r="G665">
        <f>IF(OR(F_Custom2_Q="(None)",F_Custom2_Q="",ISBLANK(F_Custom2_Q),F_Custom2_V="(All)",F_Custom2_V="",ISBLANK(F_Custom2_V)),1,IFERROR(IF(ISNUMBER(SEARCH("|"&amp;INDEX(INDIRECT(F_Custom2_resolved_column),664)&amp;"|",F_Custom2_wrapped)),1,0),0))</f>
        <v>1</v>
      </c>
      <c r="H665">
        <f>F665*G665*1</f>
        <v>1</v>
      </c>
      <c r="I665">
        <f>1</f>
        <v>1</v>
      </c>
      <c r="J6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664)&amp;"|",All_Questions_Q20_F_wrapped)),1,0),0))</f>
        <v>1</v>
      </c>
    </row>
    <row r="666">
      <c r="A666" t="n">
        <v>665</v>
      </c>
      <c r="B666" t="n">
        <v>28.9</v>
      </c>
      <c r="C666" t="n">
        <v>24.6</v>
      </c>
      <c r="D666" t="n">
        <v>22.9</v>
      </c>
      <c r="E666">
        <f>1</f>
        <v>1</v>
      </c>
      <c r="F666">
        <f>IF(OR(F_Custom1_Q="(None)",F_Custom1_Q="",ISBLANK(F_Custom1_Q),F_Custom1_V="(All)",F_Custom1_V="",ISBLANK(F_Custom1_V)),1,IFERROR(IF(ISNUMBER(SEARCH("|"&amp;INDEX(INDIRECT(F_Custom1_resolved_column),665)&amp;"|",F_Custom1_wrapped)),1,0),0))</f>
        <v>1</v>
      </c>
      <c r="G666">
        <f>IF(OR(F_Custom2_Q="(None)",F_Custom2_Q="",ISBLANK(F_Custom2_Q),F_Custom2_V="(All)",F_Custom2_V="",ISBLANK(F_Custom2_V)),1,IFERROR(IF(ISNUMBER(SEARCH("|"&amp;INDEX(INDIRECT(F_Custom2_resolved_column),665)&amp;"|",F_Custom2_wrapped)),1,0),0))</f>
        <v>1</v>
      </c>
      <c r="H666">
        <f>F666*G666*1</f>
        <v>1</v>
      </c>
      <c r="I666">
        <f>1</f>
        <v>1</v>
      </c>
      <c r="J6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665)&amp;"|",All_Questions_Q20_F_wrapped)),1,0),0))</f>
        <v>1</v>
      </c>
    </row>
    <row r="667">
      <c r="A667" t="n">
        <v>666</v>
      </c>
      <c r="B667" t="n">
        <v>28.9</v>
      </c>
      <c r="C667" t="n">
        <v>24.6</v>
      </c>
      <c r="D667" t="n">
        <v>22.9</v>
      </c>
      <c r="E667">
        <f>1</f>
        <v>1</v>
      </c>
      <c r="F667">
        <f>IF(OR(F_Custom1_Q="(None)",F_Custom1_Q="",ISBLANK(F_Custom1_Q),F_Custom1_V="(All)",F_Custom1_V="",ISBLANK(F_Custom1_V)),1,IFERROR(IF(ISNUMBER(SEARCH("|"&amp;INDEX(INDIRECT(F_Custom1_resolved_column),666)&amp;"|",F_Custom1_wrapped)),1,0),0))</f>
        <v>1</v>
      </c>
      <c r="G667">
        <f>IF(OR(F_Custom2_Q="(None)",F_Custom2_Q="",ISBLANK(F_Custom2_Q),F_Custom2_V="(All)",F_Custom2_V="",ISBLANK(F_Custom2_V)),1,IFERROR(IF(ISNUMBER(SEARCH("|"&amp;INDEX(INDIRECT(F_Custom2_resolved_column),666)&amp;"|",F_Custom2_wrapped)),1,0),0))</f>
        <v>1</v>
      </c>
      <c r="H667">
        <f>F667*G667*1</f>
        <v>1</v>
      </c>
      <c r="I667">
        <f>1</f>
        <v>1</v>
      </c>
      <c r="J6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666)&amp;"|",All_Questions_Q20_F_wrapped)),1,0),0))</f>
        <v>1</v>
      </c>
    </row>
    <row r="668">
      <c r="A668" t="n">
        <v>667</v>
      </c>
      <c r="B668" t="n">
        <v>28.9</v>
      </c>
      <c r="C668" t="n">
        <v>24.6</v>
      </c>
      <c r="D668" t="n">
        <v>22.9</v>
      </c>
      <c r="E668">
        <f>1</f>
        <v>1</v>
      </c>
      <c r="F668">
        <f>IF(OR(F_Custom1_Q="(None)",F_Custom1_Q="",ISBLANK(F_Custom1_Q),F_Custom1_V="(All)",F_Custom1_V="",ISBLANK(F_Custom1_V)),1,IFERROR(IF(ISNUMBER(SEARCH("|"&amp;INDEX(INDIRECT(F_Custom1_resolved_column),667)&amp;"|",F_Custom1_wrapped)),1,0),0))</f>
        <v>1</v>
      </c>
      <c r="G668">
        <f>IF(OR(F_Custom2_Q="(None)",F_Custom2_Q="",ISBLANK(F_Custom2_Q),F_Custom2_V="(All)",F_Custom2_V="",ISBLANK(F_Custom2_V)),1,IFERROR(IF(ISNUMBER(SEARCH("|"&amp;INDEX(INDIRECT(F_Custom2_resolved_column),667)&amp;"|",F_Custom2_wrapped)),1,0),0))</f>
        <v>1</v>
      </c>
      <c r="H668">
        <f>F668*G668*1</f>
        <v>1</v>
      </c>
      <c r="I668">
        <f>1</f>
        <v>1</v>
      </c>
      <c r="J6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667)&amp;"|",All_Questions_Q20_F_wrapped)),1,0),0))</f>
        <v>1</v>
      </c>
    </row>
    <row r="669">
      <c r="A669" t="n">
        <v>668</v>
      </c>
      <c r="B669" t="n">
        <v>28.9</v>
      </c>
      <c r="C669" t="n">
        <v>24.6</v>
      </c>
      <c r="D669" t="n">
        <v>22.9</v>
      </c>
      <c r="E669">
        <f>1</f>
        <v>1</v>
      </c>
      <c r="F669">
        <f>IF(OR(F_Custom1_Q="(None)",F_Custom1_Q="",ISBLANK(F_Custom1_Q),F_Custom1_V="(All)",F_Custom1_V="",ISBLANK(F_Custom1_V)),1,IFERROR(IF(ISNUMBER(SEARCH("|"&amp;INDEX(INDIRECT(F_Custom1_resolved_column),668)&amp;"|",F_Custom1_wrapped)),1,0),0))</f>
        <v>1</v>
      </c>
      <c r="G669">
        <f>IF(OR(F_Custom2_Q="(None)",F_Custom2_Q="",ISBLANK(F_Custom2_Q),F_Custom2_V="(All)",F_Custom2_V="",ISBLANK(F_Custom2_V)),1,IFERROR(IF(ISNUMBER(SEARCH("|"&amp;INDEX(INDIRECT(F_Custom2_resolved_column),668)&amp;"|",F_Custom2_wrapped)),1,0),0))</f>
        <v>1</v>
      </c>
      <c r="H669">
        <f>F669*G669*1</f>
        <v>1</v>
      </c>
      <c r="I669">
        <f>1</f>
        <v>1</v>
      </c>
      <c r="J6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668)&amp;"|",All_Questions_Q20_F_wrapped)),1,0),0))</f>
        <v>1</v>
      </c>
    </row>
    <row r="670">
      <c r="A670" t="n">
        <v>669</v>
      </c>
      <c r="B670" t="n">
        <v>28.9</v>
      </c>
      <c r="C670" t="n">
        <v>24.6</v>
      </c>
      <c r="D670" t="n">
        <v>22.9</v>
      </c>
      <c r="E670">
        <f>1</f>
        <v>1</v>
      </c>
      <c r="F670">
        <f>IF(OR(F_Custom1_Q="(None)",F_Custom1_Q="",ISBLANK(F_Custom1_Q),F_Custom1_V="(All)",F_Custom1_V="",ISBLANK(F_Custom1_V)),1,IFERROR(IF(ISNUMBER(SEARCH("|"&amp;INDEX(INDIRECT(F_Custom1_resolved_column),669)&amp;"|",F_Custom1_wrapped)),1,0),0))</f>
        <v>1</v>
      </c>
      <c r="G670">
        <f>IF(OR(F_Custom2_Q="(None)",F_Custom2_Q="",ISBLANK(F_Custom2_Q),F_Custom2_V="(All)",F_Custom2_V="",ISBLANK(F_Custom2_V)),1,IFERROR(IF(ISNUMBER(SEARCH("|"&amp;INDEX(INDIRECT(F_Custom2_resolved_column),669)&amp;"|",F_Custom2_wrapped)),1,0),0))</f>
        <v>1</v>
      </c>
      <c r="H670">
        <f>F670*G670*1</f>
        <v>1</v>
      </c>
      <c r="I670">
        <f>1</f>
        <v>1</v>
      </c>
      <c r="J6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669)&amp;"|",All_Questions_Q20_F_wrapped)),1,0),0))</f>
        <v>1</v>
      </c>
    </row>
    <row r="671">
      <c r="A671" t="n">
        <v>670</v>
      </c>
      <c r="B671" t="n">
        <v>28.9</v>
      </c>
      <c r="C671" t="n">
        <v>24.6</v>
      </c>
      <c r="D671" t="n">
        <v>22.9</v>
      </c>
      <c r="E671">
        <f>1</f>
        <v>1</v>
      </c>
      <c r="F671">
        <f>IF(OR(F_Custom1_Q="(None)",F_Custom1_Q="",ISBLANK(F_Custom1_Q),F_Custom1_V="(All)",F_Custom1_V="",ISBLANK(F_Custom1_V)),1,IFERROR(IF(ISNUMBER(SEARCH("|"&amp;INDEX(INDIRECT(F_Custom1_resolved_column),670)&amp;"|",F_Custom1_wrapped)),1,0),0))</f>
        <v>1</v>
      </c>
      <c r="G671">
        <f>IF(OR(F_Custom2_Q="(None)",F_Custom2_Q="",ISBLANK(F_Custom2_Q),F_Custom2_V="(All)",F_Custom2_V="",ISBLANK(F_Custom2_V)),1,IFERROR(IF(ISNUMBER(SEARCH("|"&amp;INDEX(INDIRECT(F_Custom2_resolved_column),670)&amp;"|",F_Custom2_wrapped)),1,0),0))</f>
        <v>1</v>
      </c>
      <c r="H671">
        <f>F671*G671*1</f>
        <v>1</v>
      </c>
      <c r="I671">
        <f>1</f>
        <v>1</v>
      </c>
      <c r="J6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670)&amp;"|",All_Questions_Q20_F_wrapped)),1,0),0))</f>
        <v>1</v>
      </c>
    </row>
    <row r="672">
      <c r="A672" t="n">
        <v>671</v>
      </c>
      <c r="B672" t="n">
        <v>28.9</v>
      </c>
      <c r="C672" t="n">
        <v>24.6</v>
      </c>
      <c r="D672" t="n">
        <v>22.9</v>
      </c>
      <c r="E672">
        <f>1</f>
        <v>1</v>
      </c>
      <c r="F672">
        <f>IF(OR(F_Custom1_Q="(None)",F_Custom1_Q="",ISBLANK(F_Custom1_Q),F_Custom1_V="(All)",F_Custom1_V="",ISBLANK(F_Custom1_V)),1,IFERROR(IF(ISNUMBER(SEARCH("|"&amp;INDEX(INDIRECT(F_Custom1_resolved_column),671)&amp;"|",F_Custom1_wrapped)),1,0),0))</f>
        <v>1</v>
      </c>
      <c r="G672">
        <f>IF(OR(F_Custom2_Q="(None)",F_Custom2_Q="",ISBLANK(F_Custom2_Q),F_Custom2_V="(All)",F_Custom2_V="",ISBLANK(F_Custom2_V)),1,IFERROR(IF(ISNUMBER(SEARCH("|"&amp;INDEX(INDIRECT(F_Custom2_resolved_column),671)&amp;"|",F_Custom2_wrapped)),1,0),0))</f>
        <v>1</v>
      </c>
      <c r="H672">
        <f>F672*G672*1</f>
        <v>1</v>
      </c>
      <c r="I672">
        <f>1</f>
        <v>1</v>
      </c>
      <c r="J6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671)&amp;"|",All_Questions_Q20_F_wrapped)),1,0),0))</f>
        <v>1</v>
      </c>
    </row>
    <row r="673">
      <c r="A673" t="n">
        <v>672</v>
      </c>
      <c r="B673" t="n">
        <v>28.9</v>
      </c>
      <c r="C673" t="n">
        <v>24.6</v>
      </c>
      <c r="D673" t="n">
        <v>22.9</v>
      </c>
      <c r="E673">
        <f>1</f>
        <v>1</v>
      </c>
      <c r="F673">
        <f>IF(OR(F_Custom1_Q="(None)",F_Custom1_Q="",ISBLANK(F_Custom1_Q),F_Custom1_V="(All)",F_Custom1_V="",ISBLANK(F_Custom1_V)),1,IFERROR(IF(ISNUMBER(SEARCH("|"&amp;INDEX(INDIRECT(F_Custom1_resolved_column),672)&amp;"|",F_Custom1_wrapped)),1,0),0))</f>
        <v>1</v>
      </c>
      <c r="G673">
        <f>IF(OR(F_Custom2_Q="(None)",F_Custom2_Q="",ISBLANK(F_Custom2_Q),F_Custom2_V="(All)",F_Custom2_V="",ISBLANK(F_Custom2_V)),1,IFERROR(IF(ISNUMBER(SEARCH("|"&amp;INDEX(INDIRECT(F_Custom2_resolved_column),672)&amp;"|",F_Custom2_wrapped)),1,0),0))</f>
        <v>1</v>
      </c>
      <c r="H673">
        <f>F673*G673*1</f>
        <v>1</v>
      </c>
      <c r="I673">
        <f>1</f>
        <v>1</v>
      </c>
      <c r="J6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672)&amp;"|",All_Questions_Q20_F_wrapped)),1,0),0))</f>
        <v>1</v>
      </c>
    </row>
    <row r="674">
      <c r="A674" t="n">
        <v>673</v>
      </c>
      <c r="B674" t="n">
        <v>28.9</v>
      </c>
      <c r="C674" t="n">
        <v>24.6</v>
      </c>
      <c r="D674" t="n">
        <v>22.9</v>
      </c>
      <c r="E674">
        <f>1</f>
        <v>1</v>
      </c>
      <c r="F674">
        <f>IF(OR(F_Custom1_Q="(None)",F_Custom1_Q="",ISBLANK(F_Custom1_Q),F_Custom1_V="(All)",F_Custom1_V="",ISBLANK(F_Custom1_V)),1,IFERROR(IF(ISNUMBER(SEARCH("|"&amp;INDEX(INDIRECT(F_Custom1_resolved_column),673)&amp;"|",F_Custom1_wrapped)),1,0),0))</f>
        <v>1</v>
      </c>
      <c r="G674">
        <f>IF(OR(F_Custom2_Q="(None)",F_Custom2_Q="",ISBLANK(F_Custom2_Q),F_Custom2_V="(All)",F_Custom2_V="",ISBLANK(F_Custom2_V)),1,IFERROR(IF(ISNUMBER(SEARCH("|"&amp;INDEX(INDIRECT(F_Custom2_resolved_column),673)&amp;"|",F_Custom2_wrapped)),1,0),0))</f>
        <v>1</v>
      </c>
      <c r="H674">
        <f>F674*G674*1</f>
        <v>1</v>
      </c>
      <c r="I674">
        <f>1</f>
        <v>1</v>
      </c>
      <c r="J6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673)&amp;"|",All_Questions_Q20_F_wrapped)),1,0),0))</f>
        <v>1</v>
      </c>
    </row>
    <row r="675">
      <c r="A675" t="n">
        <v>674</v>
      </c>
      <c r="B675" t="n">
        <v>28.9</v>
      </c>
      <c r="C675" t="n">
        <v>24.6</v>
      </c>
      <c r="D675" t="n">
        <v>22.9</v>
      </c>
      <c r="E675">
        <f>1</f>
        <v>1</v>
      </c>
      <c r="F675">
        <f>IF(OR(F_Custom1_Q="(None)",F_Custom1_Q="",ISBLANK(F_Custom1_Q),F_Custom1_V="(All)",F_Custom1_V="",ISBLANK(F_Custom1_V)),1,IFERROR(IF(ISNUMBER(SEARCH("|"&amp;INDEX(INDIRECT(F_Custom1_resolved_column),674)&amp;"|",F_Custom1_wrapped)),1,0),0))</f>
        <v>1</v>
      </c>
      <c r="G675">
        <f>IF(OR(F_Custom2_Q="(None)",F_Custom2_Q="",ISBLANK(F_Custom2_Q),F_Custom2_V="(All)",F_Custom2_V="",ISBLANK(F_Custom2_V)),1,IFERROR(IF(ISNUMBER(SEARCH("|"&amp;INDEX(INDIRECT(F_Custom2_resolved_column),674)&amp;"|",F_Custom2_wrapped)),1,0),0))</f>
        <v>1</v>
      </c>
      <c r="H675">
        <f>F675*G675*1</f>
        <v>1</v>
      </c>
      <c r="I675">
        <f>1</f>
        <v>1</v>
      </c>
      <c r="J6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674)&amp;"|",All_Questions_Q20_F_wrapped)),1,0),0))</f>
        <v>1</v>
      </c>
    </row>
    <row r="676">
      <c r="A676" t="n">
        <v>675</v>
      </c>
      <c r="B676" t="n">
        <v>28.9</v>
      </c>
      <c r="C676" t="n">
        <v>24.6</v>
      </c>
      <c r="D676" t="n">
        <v>22.9</v>
      </c>
      <c r="E676">
        <f>1</f>
        <v>1</v>
      </c>
      <c r="F676">
        <f>IF(OR(F_Custom1_Q="(None)",F_Custom1_Q="",ISBLANK(F_Custom1_Q),F_Custom1_V="(All)",F_Custom1_V="",ISBLANK(F_Custom1_V)),1,IFERROR(IF(ISNUMBER(SEARCH("|"&amp;INDEX(INDIRECT(F_Custom1_resolved_column),675)&amp;"|",F_Custom1_wrapped)),1,0),0))</f>
        <v>1</v>
      </c>
      <c r="G676">
        <f>IF(OR(F_Custom2_Q="(None)",F_Custom2_Q="",ISBLANK(F_Custom2_Q),F_Custom2_V="(All)",F_Custom2_V="",ISBLANK(F_Custom2_V)),1,IFERROR(IF(ISNUMBER(SEARCH("|"&amp;INDEX(INDIRECT(F_Custom2_resolved_column),675)&amp;"|",F_Custom2_wrapped)),1,0),0))</f>
        <v>1</v>
      </c>
      <c r="H676">
        <f>F676*G676*1</f>
        <v>1</v>
      </c>
      <c r="I676">
        <f>1</f>
        <v>1</v>
      </c>
      <c r="J6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675)&amp;"|",All_Questions_Q20_F_wrapped)),1,0),0))</f>
        <v>1</v>
      </c>
    </row>
    <row r="677">
      <c r="A677" t="n">
        <v>676</v>
      </c>
      <c r="B677" t="n">
        <v>28.9</v>
      </c>
      <c r="C677" t="n">
        <v>24.6</v>
      </c>
      <c r="D677" t="n">
        <v>22.9</v>
      </c>
      <c r="E677">
        <f>1</f>
        <v>1</v>
      </c>
      <c r="F677">
        <f>IF(OR(F_Custom1_Q="(None)",F_Custom1_Q="",ISBLANK(F_Custom1_Q),F_Custom1_V="(All)",F_Custom1_V="",ISBLANK(F_Custom1_V)),1,IFERROR(IF(ISNUMBER(SEARCH("|"&amp;INDEX(INDIRECT(F_Custom1_resolved_column),676)&amp;"|",F_Custom1_wrapped)),1,0),0))</f>
        <v>1</v>
      </c>
      <c r="G677">
        <f>IF(OR(F_Custom2_Q="(None)",F_Custom2_Q="",ISBLANK(F_Custom2_Q),F_Custom2_V="(All)",F_Custom2_V="",ISBLANK(F_Custom2_V)),1,IFERROR(IF(ISNUMBER(SEARCH("|"&amp;INDEX(INDIRECT(F_Custom2_resolved_column),676)&amp;"|",F_Custom2_wrapped)),1,0),0))</f>
        <v>1</v>
      </c>
      <c r="H677">
        <f>F677*G677*1</f>
        <v>1</v>
      </c>
      <c r="I677">
        <f>1</f>
        <v>1</v>
      </c>
      <c r="J6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676)&amp;"|",All_Questions_Q20_F_wrapped)),1,0),0))</f>
        <v>1</v>
      </c>
    </row>
    <row r="678">
      <c r="A678" t="n">
        <v>677</v>
      </c>
      <c r="B678" t="n">
        <v>28.9</v>
      </c>
      <c r="C678" t="n">
        <v>24.6</v>
      </c>
      <c r="D678" t="n">
        <v>22.9</v>
      </c>
      <c r="E678">
        <f>1</f>
        <v>1</v>
      </c>
      <c r="F678">
        <f>IF(OR(F_Custom1_Q="(None)",F_Custom1_Q="",ISBLANK(F_Custom1_Q),F_Custom1_V="(All)",F_Custom1_V="",ISBLANK(F_Custom1_V)),1,IFERROR(IF(ISNUMBER(SEARCH("|"&amp;INDEX(INDIRECT(F_Custom1_resolved_column),677)&amp;"|",F_Custom1_wrapped)),1,0),0))</f>
        <v>1</v>
      </c>
      <c r="G678">
        <f>IF(OR(F_Custom2_Q="(None)",F_Custom2_Q="",ISBLANK(F_Custom2_Q),F_Custom2_V="(All)",F_Custom2_V="",ISBLANK(F_Custom2_V)),1,IFERROR(IF(ISNUMBER(SEARCH("|"&amp;INDEX(INDIRECT(F_Custom2_resolved_column),677)&amp;"|",F_Custom2_wrapped)),1,0),0))</f>
        <v>1</v>
      </c>
      <c r="H678">
        <f>F678*G678*1</f>
        <v>1</v>
      </c>
      <c r="I678">
        <f>1</f>
        <v>1</v>
      </c>
      <c r="J6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677)&amp;"|",All_Questions_Q20_F_wrapped)),1,0),0))</f>
        <v>1</v>
      </c>
    </row>
    <row r="679">
      <c r="A679" t="n">
        <v>678</v>
      </c>
      <c r="B679" t="n">
        <v>28.9</v>
      </c>
      <c r="C679" t="n">
        <v>24.6</v>
      </c>
      <c r="D679" t="n">
        <v>22.9</v>
      </c>
      <c r="E679">
        <f>1</f>
        <v>1</v>
      </c>
      <c r="F679">
        <f>IF(OR(F_Custom1_Q="(None)",F_Custom1_Q="",ISBLANK(F_Custom1_Q),F_Custom1_V="(All)",F_Custom1_V="",ISBLANK(F_Custom1_V)),1,IFERROR(IF(ISNUMBER(SEARCH("|"&amp;INDEX(INDIRECT(F_Custom1_resolved_column),678)&amp;"|",F_Custom1_wrapped)),1,0),0))</f>
        <v>1</v>
      </c>
      <c r="G679">
        <f>IF(OR(F_Custom2_Q="(None)",F_Custom2_Q="",ISBLANK(F_Custom2_Q),F_Custom2_V="(All)",F_Custom2_V="",ISBLANK(F_Custom2_V)),1,IFERROR(IF(ISNUMBER(SEARCH("|"&amp;INDEX(INDIRECT(F_Custom2_resolved_column),678)&amp;"|",F_Custom2_wrapped)),1,0),0))</f>
        <v>1</v>
      </c>
      <c r="H679">
        <f>F679*G679*1</f>
        <v>1</v>
      </c>
      <c r="I679">
        <f>1</f>
        <v>1</v>
      </c>
      <c r="J6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678)&amp;"|",All_Questions_Q20_F_wrapped)),1,0),0))</f>
        <v>1</v>
      </c>
    </row>
    <row r="680">
      <c r="A680" t="n">
        <v>679</v>
      </c>
      <c r="B680" t="n">
        <v>28.9</v>
      </c>
      <c r="C680" t="n">
        <v>24.6</v>
      </c>
      <c r="D680" t="n">
        <v>22.9</v>
      </c>
      <c r="E680">
        <f>1</f>
        <v>1</v>
      </c>
      <c r="F680">
        <f>IF(OR(F_Custom1_Q="(None)",F_Custom1_Q="",ISBLANK(F_Custom1_Q),F_Custom1_V="(All)",F_Custom1_V="",ISBLANK(F_Custom1_V)),1,IFERROR(IF(ISNUMBER(SEARCH("|"&amp;INDEX(INDIRECT(F_Custom1_resolved_column),679)&amp;"|",F_Custom1_wrapped)),1,0),0))</f>
        <v>1</v>
      </c>
      <c r="G680">
        <f>IF(OR(F_Custom2_Q="(None)",F_Custom2_Q="",ISBLANK(F_Custom2_Q),F_Custom2_V="(All)",F_Custom2_V="",ISBLANK(F_Custom2_V)),1,IFERROR(IF(ISNUMBER(SEARCH("|"&amp;INDEX(INDIRECT(F_Custom2_resolved_column),679)&amp;"|",F_Custom2_wrapped)),1,0),0))</f>
        <v>1</v>
      </c>
      <c r="H680">
        <f>F680*G680*1</f>
        <v>1</v>
      </c>
      <c r="I680">
        <f>1</f>
        <v>1</v>
      </c>
      <c r="J6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679)&amp;"|",All_Questions_Q20_F_wrapped)),1,0),0))</f>
        <v>1</v>
      </c>
    </row>
    <row r="681">
      <c r="A681" t="n">
        <v>680</v>
      </c>
      <c r="B681" t="n">
        <v>28.9</v>
      </c>
      <c r="C681" t="n">
        <v>24.6</v>
      </c>
      <c r="D681" t="n">
        <v>22.9</v>
      </c>
      <c r="E681">
        <f>1</f>
        <v>1</v>
      </c>
      <c r="F681">
        <f>IF(OR(F_Custom1_Q="(None)",F_Custom1_Q="",ISBLANK(F_Custom1_Q),F_Custom1_V="(All)",F_Custom1_V="",ISBLANK(F_Custom1_V)),1,IFERROR(IF(ISNUMBER(SEARCH("|"&amp;INDEX(INDIRECT(F_Custom1_resolved_column),680)&amp;"|",F_Custom1_wrapped)),1,0),0))</f>
        <v>1</v>
      </c>
      <c r="G681">
        <f>IF(OR(F_Custom2_Q="(None)",F_Custom2_Q="",ISBLANK(F_Custom2_Q),F_Custom2_V="(All)",F_Custom2_V="",ISBLANK(F_Custom2_V)),1,IFERROR(IF(ISNUMBER(SEARCH("|"&amp;INDEX(INDIRECT(F_Custom2_resolved_column),680)&amp;"|",F_Custom2_wrapped)),1,0),0))</f>
        <v>1</v>
      </c>
      <c r="H681">
        <f>F681*G681*1</f>
        <v>1</v>
      </c>
      <c r="I681">
        <f>1</f>
        <v>1</v>
      </c>
      <c r="J6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680)&amp;"|",All_Questions_Q20_F_wrapped)),1,0),0))</f>
        <v>1</v>
      </c>
    </row>
    <row r="682">
      <c r="A682" t="n">
        <v>681</v>
      </c>
      <c r="B682" t="n">
        <v>28.9</v>
      </c>
      <c r="C682" t="n">
        <v>24.6</v>
      </c>
      <c r="D682" t="n">
        <v>22.9</v>
      </c>
      <c r="E682">
        <f>1</f>
        <v>1</v>
      </c>
      <c r="F682">
        <f>IF(OR(F_Custom1_Q="(None)",F_Custom1_Q="",ISBLANK(F_Custom1_Q),F_Custom1_V="(All)",F_Custom1_V="",ISBLANK(F_Custom1_V)),1,IFERROR(IF(ISNUMBER(SEARCH("|"&amp;INDEX(INDIRECT(F_Custom1_resolved_column),681)&amp;"|",F_Custom1_wrapped)),1,0),0))</f>
        <v>1</v>
      </c>
      <c r="G682">
        <f>IF(OR(F_Custom2_Q="(None)",F_Custom2_Q="",ISBLANK(F_Custom2_Q),F_Custom2_V="(All)",F_Custom2_V="",ISBLANK(F_Custom2_V)),1,IFERROR(IF(ISNUMBER(SEARCH("|"&amp;INDEX(INDIRECT(F_Custom2_resolved_column),681)&amp;"|",F_Custom2_wrapped)),1,0),0))</f>
        <v>1</v>
      </c>
      <c r="H682">
        <f>F682*G682*1</f>
        <v>1</v>
      </c>
      <c r="I682">
        <f>1</f>
        <v>1</v>
      </c>
      <c r="J6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681)&amp;"|",All_Questions_Q20_F_wrapped)),1,0),0))</f>
        <v>1</v>
      </c>
    </row>
    <row r="683">
      <c r="A683" t="n">
        <v>682</v>
      </c>
      <c r="B683" t="n">
        <v>28.9</v>
      </c>
      <c r="C683" t="n">
        <v>24.6</v>
      </c>
      <c r="D683" t="n">
        <v>22.9</v>
      </c>
      <c r="E683">
        <f>1</f>
        <v>1</v>
      </c>
      <c r="F683">
        <f>IF(OR(F_Custom1_Q="(None)",F_Custom1_Q="",ISBLANK(F_Custom1_Q),F_Custom1_V="(All)",F_Custom1_V="",ISBLANK(F_Custom1_V)),1,IFERROR(IF(ISNUMBER(SEARCH("|"&amp;INDEX(INDIRECT(F_Custom1_resolved_column),682)&amp;"|",F_Custom1_wrapped)),1,0),0))</f>
        <v>1</v>
      </c>
      <c r="G683">
        <f>IF(OR(F_Custom2_Q="(None)",F_Custom2_Q="",ISBLANK(F_Custom2_Q),F_Custom2_V="(All)",F_Custom2_V="",ISBLANK(F_Custom2_V)),1,IFERROR(IF(ISNUMBER(SEARCH("|"&amp;INDEX(INDIRECT(F_Custom2_resolved_column),682)&amp;"|",F_Custom2_wrapped)),1,0),0))</f>
        <v>1</v>
      </c>
      <c r="H683">
        <f>F683*G683*1</f>
        <v>1</v>
      </c>
      <c r="I683">
        <f>1</f>
        <v>1</v>
      </c>
      <c r="J6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682)&amp;"|",All_Questions_Q20_F_wrapped)),1,0),0))</f>
        <v>1</v>
      </c>
    </row>
    <row r="684">
      <c r="A684" t="n">
        <v>683</v>
      </c>
      <c r="B684" t="n">
        <v>28.9</v>
      </c>
      <c r="C684" t="n">
        <v>24.6</v>
      </c>
      <c r="D684" t="n">
        <v>22.9</v>
      </c>
      <c r="E684">
        <f>1</f>
        <v>1</v>
      </c>
      <c r="F684">
        <f>IF(OR(F_Custom1_Q="(None)",F_Custom1_Q="",ISBLANK(F_Custom1_Q),F_Custom1_V="(All)",F_Custom1_V="",ISBLANK(F_Custom1_V)),1,IFERROR(IF(ISNUMBER(SEARCH("|"&amp;INDEX(INDIRECT(F_Custom1_resolved_column),683)&amp;"|",F_Custom1_wrapped)),1,0),0))</f>
        <v>1</v>
      </c>
      <c r="G684">
        <f>IF(OR(F_Custom2_Q="(None)",F_Custom2_Q="",ISBLANK(F_Custom2_Q),F_Custom2_V="(All)",F_Custom2_V="",ISBLANK(F_Custom2_V)),1,IFERROR(IF(ISNUMBER(SEARCH("|"&amp;INDEX(INDIRECT(F_Custom2_resolved_column),683)&amp;"|",F_Custom2_wrapped)),1,0),0))</f>
        <v>1</v>
      </c>
      <c r="H684">
        <f>F684*G684*1</f>
        <v>1</v>
      </c>
      <c r="I684">
        <f>1</f>
        <v>1</v>
      </c>
      <c r="J6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683)&amp;"|",All_Questions_Q20_F_wrapped)),1,0),0))</f>
        <v>1</v>
      </c>
    </row>
    <row r="685">
      <c r="A685" t="n">
        <v>684</v>
      </c>
      <c r="B685" t="n">
        <v>28.9</v>
      </c>
      <c r="C685" t="n">
        <v>24.6</v>
      </c>
      <c r="D685" t="n">
        <v>22.9</v>
      </c>
      <c r="E685">
        <f>1</f>
        <v>1</v>
      </c>
      <c r="F685">
        <f>IF(OR(F_Custom1_Q="(None)",F_Custom1_Q="",ISBLANK(F_Custom1_Q),F_Custom1_V="(All)",F_Custom1_V="",ISBLANK(F_Custom1_V)),1,IFERROR(IF(ISNUMBER(SEARCH("|"&amp;INDEX(INDIRECT(F_Custom1_resolved_column),684)&amp;"|",F_Custom1_wrapped)),1,0),0))</f>
        <v>1</v>
      </c>
      <c r="G685">
        <f>IF(OR(F_Custom2_Q="(None)",F_Custom2_Q="",ISBLANK(F_Custom2_Q),F_Custom2_V="(All)",F_Custom2_V="",ISBLANK(F_Custom2_V)),1,IFERROR(IF(ISNUMBER(SEARCH("|"&amp;INDEX(INDIRECT(F_Custom2_resolved_column),684)&amp;"|",F_Custom2_wrapped)),1,0),0))</f>
        <v>1</v>
      </c>
      <c r="H685">
        <f>F685*G685*1</f>
        <v>1</v>
      </c>
      <c r="I685">
        <f>1</f>
        <v>1</v>
      </c>
      <c r="J6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684)&amp;"|",All_Questions_Q20_F_wrapped)),1,0),0))</f>
        <v>1</v>
      </c>
    </row>
    <row r="686">
      <c r="A686" t="n">
        <v>685</v>
      </c>
      <c r="B686" t="n">
        <v>28.9</v>
      </c>
      <c r="C686" t="n">
        <v>24.6</v>
      </c>
      <c r="D686" t="n">
        <v>22.9</v>
      </c>
      <c r="E686">
        <f>1</f>
        <v>1</v>
      </c>
      <c r="F686">
        <f>IF(OR(F_Custom1_Q="(None)",F_Custom1_Q="",ISBLANK(F_Custom1_Q),F_Custom1_V="(All)",F_Custom1_V="",ISBLANK(F_Custom1_V)),1,IFERROR(IF(ISNUMBER(SEARCH("|"&amp;INDEX(INDIRECT(F_Custom1_resolved_column),685)&amp;"|",F_Custom1_wrapped)),1,0),0))</f>
        <v>1</v>
      </c>
      <c r="G686">
        <f>IF(OR(F_Custom2_Q="(None)",F_Custom2_Q="",ISBLANK(F_Custom2_Q),F_Custom2_V="(All)",F_Custom2_V="",ISBLANK(F_Custom2_V)),1,IFERROR(IF(ISNUMBER(SEARCH("|"&amp;INDEX(INDIRECT(F_Custom2_resolved_column),685)&amp;"|",F_Custom2_wrapped)),1,0),0))</f>
        <v>1</v>
      </c>
      <c r="H686">
        <f>F686*G686*1</f>
        <v>1</v>
      </c>
      <c r="I686">
        <f>1</f>
        <v>1</v>
      </c>
      <c r="J6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685)&amp;"|",All_Questions_Q20_F_wrapped)),1,0),0))</f>
        <v>1</v>
      </c>
    </row>
    <row r="687">
      <c r="A687" t="n">
        <v>686</v>
      </c>
      <c r="B687" t="n">
        <v>28.9</v>
      </c>
      <c r="C687" t="n">
        <v>24.6</v>
      </c>
      <c r="D687" t="n">
        <v>22.9</v>
      </c>
      <c r="E687">
        <f>1</f>
        <v>1</v>
      </c>
      <c r="F687">
        <f>IF(OR(F_Custom1_Q="(None)",F_Custom1_Q="",ISBLANK(F_Custom1_Q),F_Custom1_V="(All)",F_Custom1_V="",ISBLANK(F_Custom1_V)),1,IFERROR(IF(ISNUMBER(SEARCH("|"&amp;INDEX(INDIRECT(F_Custom1_resolved_column),686)&amp;"|",F_Custom1_wrapped)),1,0),0))</f>
        <v>1</v>
      </c>
      <c r="G687">
        <f>IF(OR(F_Custom2_Q="(None)",F_Custom2_Q="",ISBLANK(F_Custom2_Q),F_Custom2_V="(All)",F_Custom2_V="",ISBLANK(F_Custom2_V)),1,IFERROR(IF(ISNUMBER(SEARCH("|"&amp;INDEX(INDIRECT(F_Custom2_resolved_column),686)&amp;"|",F_Custom2_wrapped)),1,0),0))</f>
        <v>1</v>
      </c>
      <c r="H687">
        <f>F687*G687*1</f>
        <v>1</v>
      </c>
      <c r="I687">
        <f>1</f>
        <v>1</v>
      </c>
      <c r="J6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686)&amp;"|",All_Questions_Q20_F_wrapped)),1,0),0))</f>
        <v>1</v>
      </c>
    </row>
    <row r="688">
      <c r="A688" t="n">
        <v>687</v>
      </c>
      <c r="B688" t="n">
        <v>28.9</v>
      </c>
      <c r="C688" t="n">
        <v>24.6</v>
      </c>
      <c r="D688" t="n">
        <v>22.9</v>
      </c>
      <c r="E688">
        <f>1</f>
        <v>1</v>
      </c>
      <c r="F688">
        <f>IF(OR(F_Custom1_Q="(None)",F_Custom1_Q="",ISBLANK(F_Custom1_Q),F_Custom1_V="(All)",F_Custom1_V="",ISBLANK(F_Custom1_V)),1,IFERROR(IF(ISNUMBER(SEARCH("|"&amp;INDEX(INDIRECT(F_Custom1_resolved_column),687)&amp;"|",F_Custom1_wrapped)),1,0),0))</f>
        <v>1</v>
      </c>
      <c r="G688">
        <f>IF(OR(F_Custom2_Q="(None)",F_Custom2_Q="",ISBLANK(F_Custom2_Q),F_Custom2_V="(All)",F_Custom2_V="",ISBLANK(F_Custom2_V)),1,IFERROR(IF(ISNUMBER(SEARCH("|"&amp;INDEX(INDIRECT(F_Custom2_resolved_column),687)&amp;"|",F_Custom2_wrapped)),1,0),0))</f>
        <v>1</v>
      </c>
      <c r="H688">
        <f>F688*G688*1</f>
        <v>1</v>
      </c>
      <c r="I688">
        <f>1</f>
        <v>1</v>
      </c>
      <c r="J6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687)&amp;"|",All_Questions_Q20_F_wrapped)),1,0),0))</f>
        <v>1</v>
      </c>
    </row>
    <row r="689">
      <c r="A689" t="n">
        <v>688</v>
      </c>
      <c r="B689" t="n">
        <v>28.9</v>
      </c>
      <c r="C689" t="n">
        <v>24.6</v>
      </c>
      <c r="D689" t="n">
        <v>22.9</v>
      </c>
      <c r="E689">
        <f>1</f>
        <v>1</v>
      </c>
      <c r="F689">
        <f>IF(OR(F_Custom1_Q="(None)",F_Custom1_Q="",ISBLANK(F_Custom1_Q),F_Custom1_V="(All)",F_Custom1_V="",ISBLANK(F_Custom1_V)),1,IFERROR(IF(ISNUMBER(SEARCH("|"&amp;INDEX(INDIRECT(F_Custom1_resolved_column),688)&amp;"|",F_Custom1_wrapped)),1,0),0))</f>
        <v>1</v>
      </c>
      <c r="G689">
        <f>IF(OR(F_Custom2_Q="(None)",F_Custom2_Q="",ISBLANK(F_Custom2_Q),F_Custom2_V="(All)",F_Custom2_V="",ISBLANK(F_Custom2_V)),1,IFERROR(IF(ISNUMBER(SEARCH("|"&amp;INDEX(INDIRECT(F_Custom2_resolved_column),688)&amp;"|",F_Custom2_wrapped)),1,0),0))</f>
        <v>1</v>
      </c>
      <c r="H689">
        <f>F689*G689*1</f>
        <v>1</v>
      </c>
      <c r="I689">
        <f>1</f>
        <v>1</v>
      </c>
      <c r="J6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688)&amp;"|",All_Questions_Q20_F_wrapped)),1,0),0))</f>
        <v>1</v>
      </c>
    </row>
    <row r="690">
      <c r="A690" t="n">
        <v>689</v>
      </c>
      <c r="B690" t="n">
        <v>28.9</v>
      </c>
      <c r="C690" t="n">
        <v>24.6</v>
      </c>
      <c r="D690" t="n">
        <v>22.9</v>
      </c>
      <c r="E690">
        <f>1</f>
        <v>1</v>
      </c>
      <c r="F690">
        <f>IF(OR(F_Custom1_Q="(None)",F_Custom1_Q="",ISBLANK(F_Custom1_Q),F_Custom1_V="(All)",F_Custom1_V="",ISBLANK(F_Custom1_V)),1,IFERROR(IF(ISNUMBER(SEARCH("|"&amp;INDEX(INDIRECT(F_Custom1_resolved_column),689)&amp;"|",F_Custom1_wrapped)),1,0),0))</f>
        <v>1</v>
      </c>
      <c r="G690">
        <f>IF(OR(F_Custom2_Q="(None)",F_Custom2_Q="",ISBLANK(F_Custom2_Q),F_Custom2_V="(All)",F_Custom2_V="",ISBLANK(F_Custom2_V)),1,IFERROR(IF(ISNUMBER(SEARCH("|"&amp;INDEX(INDIRECT(F_Custom2_resolved_column),689)&amp;"|",F_Custom2_wrapped)),1,0),0))</f>
        <v>1</v>
      </c>
      <c r="H690">
        <f>F690*G690*1</f>
        <v>1</v>
      </c>
      <c r="I690">
        <f>1</f>
        <v>1</v>
      </c>
      <c r="J6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689)&amp;"|",All_Questions_Q20_F_wrapped)),1,0),0))</f>
        <v>1</v>
      </c>
    </row>
    <row r="691">
      <c r="A691" t="n">
        <v>690</v>
      </c>
      <c r="B691" t="n">
        <v>28.9</v>
      </c>
      <c r="C691" t="n">
        <v>24.6</v>
      </c>
      <c r="D691" t="n">
        <v>22.9</v>
      </c>
      <c r="E691">
        <f>1</f>
        <v>1</v>
      </c>
      <c r="F691">
        <f>IF(OR(F_Custom1_Q="(None)",F_Custom1_Q="",ISBLANK(F_Custom1_Q),F_Custom1_V="(All)",F_Custom1_V="",ISBLANK(F_Custom1_V)),1,IFERROR(IF(ISNUMBER(SEARCH("|"&amp;INDEX(INDIRECT(F_Custom1_resolved_column),690)&amp;"|",F_Custom1_wrapped)),1,0),0))</f>
        <v>1</v>
      </c>
      <c r="G691">
        <f>IF(OR(F_Custom2_Q="(None)",F_Custom2_Q="",ISBLANK(F_Custom2_Q),F_Custom2_V="(All)",F_Custom2_V="",ISBLANK(F_Custom2_V)),1,IFERROR(IF(ISNUMBER(SEARCH("|"&amp;INDEX(INDIRECT(F_Custom2_resolved_column),690)&amp;"|",F_Custom2_wrapped)),1,0),0))</f>
        <v>1</v>
      </c>
      <c r="H691">
        <f>F691*G691*1</f>
        <v>1</v>
      </c>
      <c r="I691">
        <f>1</f>
        <v>1</v>
      </c>
      <c r="J6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690)&amp;"|",All_Questions_Q20_F_wrapped)),1,0),0))</f>
        <v>1</v>
      </c>
    </row>
    <row r="692">
      <c r="A692" t="n">
        <v>691</v>
      </c>
      <c r="B692" t="n">
        <v>28.9</v>
      </c>
      <c r="C692" t="n">
        <v>24.6</v>
      </c>
      <c r="D692" t="n">
        <v>22.9</v>
      </c>
      <c r="E692">
        <f>1</f>
        <v>1</v>
      </c>
      <c r="F692">
        <f>IF(OR(F_Custom1_Q="(None)",F_Custom1_Q="",ISBLANK(F_Custom1_Q),F_Custom1_V="(All)",F_Custom1_V="",ISBLANK(F_Custom1_V)),1,IFERROR(IF(ISNUMBER(SEARCH("|"&amp;INDEX(INDIRECT(F_Custom1_resolved_column),691)&amp;"|",F_Custom1_wrapped)),1,0),0))</f>
        <v>1</v>
      </c>
      <c r="G692">
        <f>IF(OR(F_Custom2_Q="(None)",F_Custom2_Q="",ISBLANK(F_Custom2_Q),F_Custom2_V="(All)",F_Custom2_V="",ISBLANK(F_Custom2_V)),1,IFERROR(IF(ISNUMBER(SEARCH("|"&amp;INDEX(INDIRECT(F_Custom2_resolved_column),691)&amp;"|",F_Custom2_wrapped)),1,0),0))</f>
        <v>1</v>
      </c>
      <c r="H692">
        <f>F692*G692*1</f>
        <v>1</v>
      </c>
      <c r="I692">
        <f>1</f>
        <v>1</v>
      </c>
      <c r="J6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691)&amp;"|",All_Questions_Q20_F_wrapped)),1,0),0))</f>
        <v>1</v>
      </c>
    </row>
    <row r="693">
      <c r="A693" t="n">
        <v>692</v>
      </c>
      <c r="B693" t="n">
        <v>28.9</v>
      </c>
      <c r="C693" t="n">
        <v>24.6</v>
      </c>
      <c r="D693" t="n">
        <v>22.9</v>
      </c>
      <c r="E693">
        <f>1</f>
        <v>1</v>
      </c>
      <c r="F693">
        <f>IF(OR(F_Custom1_Q="(None)",F_Custom1_Q="",ISBLANK(F_Custom1_Q),F_Custom1_V="(All)",F_Custom1_V="",ISBLANK(F_Custom1_V)),1,IFERROR(IF(ISNUMBER(SEARCH("|"&amp;INDEX(INDIRECT(F_Custom1_resolved_column),692)&amp;"|",F_Custom1_wrapped)),1,0),0))</f>
        <v>1</v>
      </c>
      <c r="G693">
        <f>IF(OR(F_Custom2_Q="(None)",F_Custom2_Q="",ISBLANK(F_Custom2_Q),F_Custom2_V="(All)",F_Custom2_V="",ISBLANK(F_Custom2_V)),1,IFERROR(IF(ISNUMBER(SEARCH("|"&amp;INDEX(INDIRECT(F_Custom2_resolved_column),692)&amp;"|",F_Custom2_wrapped)),1,0),0))</f>
        <v>1</v>
      </c>
      <c r="H693">
        <f>F693*G693*1</f>
        <v>1</v>
      </c>
      <c r="I693">
        <f>1</f>
        <v>1</v>
      </c>
      <c r="J6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692)&amp;"|",All_Questions_Q20_F_wrapped)),1,0),0))</f>
        <v>1</v>
      </c>
    </row>
    <row r="694">
      <c r="A694" t="n">
        <v>693</v>
      </c>
      <c r="B694" t="n">
        <v>28.9</v>
      </c>
      <c r="C694" t="n">
        <v>24.6</v>
      </c>
      <c r="D694" t="n">
        <v>22.9</v>
      </c>
      <c r="E694">
        <f>1</f>
        <v>1</v>
      </c>
      <c r="F694">
        <f>IF(OR(F_Custom1_Q="(None)",F_Custom1_Q="",ISBLANK(F_Custom1_Q),F_Custom1_V="(All)",F_Custom1_V="",ISBLANK(F_Custom1_V)),1,IFERROR(IF(ISNUMBER(SEARCH("|"&amp;INDEX(INDIRECT(F_Custom1_resolved_column),693)&amp;"|",F_Custom1_wrapped)),1,0),0))</f>
        <v>1</v>
      </c>
      <c r="G694">
        <f>IF(OR(F_Custom2_Q="(None)",F_Custom2_Q="",ISBLANK(F_Custom2_Q),F_Custom2_V="(All)",F_Custom2_V="",ISBLANK(F_Custom2_V)),1,IFERROR(IF(ISNUMBER(SEARCH("|"&amp;INDEX(INDIRECT(F_Custom2_resolved_column),693)&amp;"|",F_Custom2_wrapped)),1,0),0))</f>
        <v>1</v>
      </c>
      <c r="H694">
        <f>F694*G694*1</f>
        <v>1</v>
      </c>
      <c r="I694">
        <f>1</f>
        <v>1</v>
      </c>
      <c r="J6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693)&amp;"|",All_Questions_Q20_F_wrapped)),1,0),0))</f>
        <v>1</v>
      </c>
    </row>
    <row r="695">
      <c r="A695" t="n">
        <v>694</v>
      </c>
      <c r="B695" t="n">
        <v>28.9</v>
      </c>
      <c r="C695" t="n">
        <v>24.6</v>
      </c>
      <c r="D695" t="n">
        <v>22.9</v>
      </c>
      <c r="E695">
        <f>1</f>
        <v>1</v>
      </c>
      <c r="F695">
        <f>IF(OR(F_Custom1_Q="(None)",F_Custom1_Q="",ISBLANK(F_Custom1_Q),F_Custom1_V="(All)",F_Custom1_V="",ISBLANK(F_Custom1_V)),1,IFERROR(IF(ISNUMBER(SEARCH("|"&amp;INDEX(INDIRECT(F_Custom1_resolved_column),694)&amp;"|",F_Custom1_wrapped)),1,0),0))</f>
        <v>1</v>
      </c>
      <c r="G695">
        <f>IF(OR(F_Custom2_Q="(None)",F_Custom2_Q="",ISBLANK(F_Custom2_Q),F_Custom2_V="(All)",F_Custom2_V="",ISBLANK(F_Custom2_V)),1,IFERROR(IF(ISNUMBER(SEARCH("|"&amp;INDEX(INDIRECT(F_Custom2_resolved_column),694)&amp;"|",F_Custom2_wrapped)),1,0),0))</f>
        <v>1</v>
      </c>
      <c r="H695">
        <f>F695*G695*1</f>
        <v>1</v>
      </c>
      <c r="I695">
        <f>1</f>
        <v>1</v>
      </c>
      <c r="J6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694)&amp;"|",All_Questions_Q20_F_wrapped)),1,0),0))</f>
        <v>1</v>
      </c>
    </row>
    <row r="696">
      <c r="A696" t="n">
        <v>695</v>
      </c>
      <c r="B696" t="n">
        <v>28.9</v>
      </c>
      <c r="C696" t="n">
        <v>24.6</v>
      </c>
      <c r="D696" t="n">
        <v>22.9</v>
      </c>
      <c r="E696">
        <f>1</f>
        <v>1</v>
      </c>
      <c r="F696">
        <f>IF(OR(F_Custom1_Q="(None)",F_Custom1_Q="",ISBLANK(F_Custom1_Q),F_Custom1_V="(All)",F_Custom1_V="",ISBLANK(F_Custom1_V)),1,IFERROR(IF(ISNUMBER(SEARCH("|"&amp;INDEX(INDIRECT(F_Custom1_resolved_column),695)&amp;"|",F_Custom1_wrapped)),1,0),0))</f>
        <v>1</v>
      </c>
      <c r="G696">
        <f>IF(OR(F_Custom2_Q="(None)",F_Custom2_Q="",ISBLANK(F_Custom2_Q),F_Custom2_V="(All)",F_Custom2_V="",ISBLANK(F_Custom2_V)),1,IFERROR(IF(ISNUMBER(SEARCH("|"&amp;INDEX(INDIRECT(F_Custom2_resolved_column),695)&amp;"|",F_Custom2_wrapped)),1,0),0))</f>
        <v>1</v>
      </c>
      <c r="H696">
        <f>F696*G696*1</f>
        <v>1</v>
      </c>
      <c r="I696">
        <f>1</f>
        <v>1</v>
      </c>
      <c r="J6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695)&amp;"|",All_Questions_Q20_F_wrapped)),1,0),0))</f>
        <v>1</v>
      </c>
    </row>
    <row r="697">
      <c r="A697" t="n">
        <v>696</v>
      </c>
      <c r="B697" t="n">
        <v>28.9</v>
      </c>
      <c r="C697" t="n">
        <v>24.6</v>
      </c>
      <c r="D697" t="n">
        <v>22.9</v>
      </c>
      <c r="E697">
        <f>1</f>
        <v>1</v>
      </c>
      <c r="F697">
        <f>IF(OR(F_Custom1_Q="(None)",F_Custom1_Q="",ISBLANK(F_Custom1_Q),F_Custom1_V="(All)",F_Custom1_V="",ISBLANK(F_Custom1_V)),1,IFERROR(IF(ISNUMBER(SEARCH("|"&amp;INDEX(INDIRECT(F_Custom1_resolved_column),696)&amp;"|",F_Custom1_wrapped)),1,0),0))</f>
        <v>1</v>
      </c>
      <c r="G697">
        <f>IF(OR(F_Custom2_Q="(None)",F_Custom2_Q="",ISBLANK(F_Custom2_Q),F_Custom2_V="(All)",F_Custom2_V="",ISBLANK(F_Custom2_V)),1,IFERROR(IF(ISNUMBER(SEARCH("|"&amp;INDEX(INDIRECT(F_Custom2_resolved_column),696)&amp;"|",F_Custom2_wrapped)),1,0),0))</f>
        <v>1</v>
      </c>
      <c r="H697">
        <f>F697*G697*1</f>
        <v>1</v>
      </c>
      <c r="I697">
        <f>1</f>
        <v>1</v>
      </c>
      <c r="J6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696)&amp;"|",All_Questions_Q20_F_wrapped)),1,0),0))</f>
        <v>1</v>
      </c>
    </row>
    <row r="698">
      <c r="A698" t="n">
        <v>697</v>
      </c>
      <c r="B698" t="n">
        <v>28.9</v>
      </c>
      <c r="C698" t="n">
        <v>24.6</v>
      </c>
      <c r="D698" t="n">
        <v>22.9</v>
      </c>
      <c r="E698">
        <f>1</f>
        <v>1</v>
      </c>
      <c r="F698">
        <f>IF(OR(F_Custom1_Q="(None)",F_Custom1_Q="",ISBLANK(F_Custom1_Q),F_Custom1_V="(All)",F_Custom1_V="",ISBLANK(F_Custom1_V)),1,IFERROR(IF(ISNUMBER(SEARCH("|"&amp;INDEX(INDIRECT(F_Custom1_resolved_column),697)&amp;"|",F_Custom1_wrapped)),1,0),0))</f>
        <v>1</v>
      </c>
      <c r="G698">
        <f>IF(OR(F_Custom2_Q="(None)",F_Custom2_Q="",ISBLANK(F_Custom2_Q),F_Custom2_V="(All)",F_Custom2_V="",ISBLANK(F_Custom2_V)),1,IFERROR(IF(ISNUMBER(SEARCH("|"&amp;INDEX(INDIRECT(F_Custom2_resolved_column),697)&amp;"|",F_Custom2_wrapped)),1,0),0))</f>
        <v>1</v>
      </c>
      <c r="H698">
        <f>F698*G698*1</f>
        <v>1</v>
      </c>
      <c r="I698">
        <f>1</f>
        <v>1</v>
      </c>
      <c r="J6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697)&amp;"|",All_Questions_Q20_F_wrapped)),1,0),0))</f>
        <v>1</v>
      </c>
    </row>
    <row r="699">
      <c r="A699" t="n">
        <v>698</v>
      </c>
      <c r="B699" t="n">
        <v>28.9</v>
      </c>
      <c r="C699" t="n">
        <v>24.6</v>
      </c>
      <c r="D699" t="n">
        <v>22.9</v>
      </c>
      <c r="E699">
        <f>1</f>
        <v>1</v>
      </c>
      <c r="F699">
        <f>IF(OR(F_Custom1_Q="(None)",F_Custom1_Q="",ISBLANK(F_Custom1_Q),F_Custom1_V="(All)",F_Custom1_V="",ISBLANK(F_Custom1_V)),1,IFERROR(IF(ISNUMBER(SEARCH("|"&amp;INDEX(INDIRECT(F_Custom1_resolved_column),698)&amp;"|",F_Custom1_wrapped)),1,0),0))</f>
        <v>1</v>
      </c>
      <c r="G699">
        <f>IF(OR(F_Custom2_Q="(None)",F_Custom2_Q="",ISBLANK(F_Custom2_Q),F_Custom2_V="(All)",F_Custom2_V="",ISBLANK(F_Custom2_V)),1,IFERROR(IF(ISNUMBER(SEARCH("|"&amp;INDEX(INDIRECT(F_Custom2_resolved_column),698)&amp;"|",F_Custom2_wrapped)),1,0),0))</f>
        <v>1</v>
      </c>
      <c r="H699">
        <f>F699*G699*1</f>
        <v>1</v>
      </c>
      <c r="I699">
        <f>1</f>
        <v>1</v>
      </c>
      <c r="J6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698)&amp;"|",All_Questions_Q20_F_wrapped)),1,0),0))</f>
        <v>1</v>
      </c>
    </row>
    <row r="700">
      <c r="A700" t="n">
        <v>699</v>
      </c>
      <c r="B700" t="n">
        <v>28.9</v>
      </c>
      <c r="C700" t="n">
        <v>24.6</v>
      </c>
      <c r="D700" t="n">
        <v>22.9</v>
      </c>
      <c r="E700">
        <f>1</f>
        <v>1</v>
      </c>
      <c r="F700">
        <f>IF(OR(F_Custom1_Q="(None)",F_Custom1_Q="",ISBLANK(F_Custom1_Q),F_Custom1_V="(All)",F_Custom1_V="",ISBLANK(F_Custom1_V)),1,IFERROR(IF(ISNUMBER(SEARCH("|"&amp;INDEX(INDIRECT(F_Custom1_resolved_column),699)&amp;"|",F_Custom1_wrapped)),1,0),0))</f>
        <v>1</v>
      </c>
      <c r="G700">
        <f>IF(OR(F_Custom2_Q="(None)",F_Custom2_Q="",ISBLANK(F_Custom2_Q),F_Custom2_V="(All)",F_Custom2_V="",ISBLANK(F_Custom2_V)),1,IFERROR(IF(ISNUMBER(SEARCH("|"&amp;INDEX(INDIRECT(F_Custom2_resolved_column),699)&amp;"|",F_Custom2_wrapped)),1,0),0))</f>
        <v>1</v>
      </c>
      <c r="H700">
        <f>F700*G700*1</f>
        <v>1</v>
      </c>
      <c r="I700">
        <f>1</f>
        <v>1</v>
      </c>
      <c r="J7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699)&amp;"|",All_Questions_Q20_F_wrapped)),1,0),0))</f>
        <v>1</v>
      </c>
    </row>
    <row r="701">
      <c r="A701" t="n">
        <v>700</v>
      </c>
      <c r="B701" t="n">
        <v>28.9</v>
      </c>
      <c r="C701" t="n">
        <v>24.6</v>
      </c>
      <c r="D701" t="n">
        <v>22.9</v>
      </c>
      <c r="E701">
        <f>1</f>
        <v>1</v>
      </c>
      <c r="F701">
        <f>IF(OR(F_Custom1_Q="(None)",F_Custom1_Q="",ISBLANK(F_Custom1_Q),F_Custom1_V="(All)",F_Custom1_V="",ISBLANK(F_Custom1_V)),1,IFERROR(IF(ISNUMBER(SEARCH("|"&amp;INDEX(INDIRECT(F_Custom1_resolved_column),700)&amp;"|",F_Custom1_wrapped)),1,0),0))</f>
        <v>1</v>
      </c>
      <c r="G701">
        <f>IF(OR(F_Custom2_Q="(None)",F_Custom2_Q="",ISBLANK(F_Custom2_Q),F_Custom2_V="(All)",F_Custom2_V="",ISBLANK(F_Custom2_V)),1,IFERROR(IF(ISNUMBER(SEARCH("|"&amp;INDEX(INDIRECT(F_Custom2_resolved_column),700)&amp;"|",F_Custom2_wrapped)),1,0),0))</f>
        <v>1</v>
      </c>
      <c r="H701">
        <f>F701*G701*1</f>
        <v>1</v>
      </c>
      <c r="I701">
        <f>1</f>
        <v>1</v>
      </c>
      <c r="J7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700)&amp;"|",All_Questions_Q20_F_wrapped)),1,0),0))</f>
        <v>1</v>
      </c>
    </row>
    <row r="702">
      <c r="A702" t="n">
        <v>701</v>
      </c>
      <c r="B702" t="n">
        <v>28.9</v>
      </c>
      <c r="C702" t="n">
        <v>24.6</v>
      </c>
      <c r="D702" t="n">
        <v>22.9</v>
      </c>
      <c r="E702">
        <f>1</f>
        <v>1</v>
      </c>
      <c r="F702">
        <f>IF(OR(F_Custom1_Q="(None)",F_Custom1_Q="",ISBLANK(F_Custom1_Q),F_Custom1_V="(All)",F_Custom1_V="",ISBLANK(F_Custom1_V)),1,IFERROR(IF(ISNUMBER(SEARCH("|"&amp;INDEX(INDIRECT(F_Custom1_resolved_column),701)&amp;"|",F_Custom1_wrapped)),1,0),0))</f>
        <v>1</v>
      </c>
      <c r="G702">
        <f>IF(OR(F_Custom2_Q="(None)",F_Custom2_Q="",ISBLANK(F_Custom2_Q),F_Custom2_V="(All)",F_Custom2_V="",ISBLANK(F_Custom2_V)),1,IFERROR(IF(ISNUMBER(SEARCH("|"&amp;INDEX(INDIRECT(F_Custom2_resolved_column),701)&amp;"|",F_Custom2_wrapped)),1,0),0))</f>
        <v>1</v>
      </c>
      <c r="H702">
        <f>F702*G702*1</f>
        <v>1</v>
      </c>
      <c r="I702">
        <f>1</f>
        <v>1</v>
      </c>
      <c r="J7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701)&amp;"|",All_Questions_Q20_F_wrapped)),1,0),0))</f>
        <v>1</v>
      </c>
    </row>
    <row r="703">
      <c r="A703" t="n">
        <v>702</v>
      </c>
      <c r="B703" t="n">
        <v>28.9</v>
      </c>
      <c r="C703" t="n">
        <v>24.6</v>
      </c>
      <c r="D703" t="n">
        <v>22.9</v>
      </c>
      <c r="E703">
        <f>1</f>
        <v>1</v>
      </c>
      <c r="F703">
        <f>IF(OR(F_Custom1_Q="(None)",F_Custom1_Q="",ISBLANK(F_Custom1_Q),F_Custom1_V="(All)",F_Custom1_V="",ISBLANK(F_Custom1_V)),1,IFERROR(IF(ISNUMBER(SEARCH("|"&amp;INDEX(INDIRECT(F_Custom1_resolved_column),702)&amp;"|",F_Custom1_wrapped)),1,0),0))</f>
        <v>1</v>
      </c>
      <c r="G703">
        <f>IF(OR(F_Custom2_Q="(None)",F_Custom2_Q="",ISBLANK(F_Custom2_Q),F_Custom2_V="(All)",F_Custom2_V="",ISBLANK(F_Custom2_V)),1,IFERROR(IF(ISNUMBER(SEARCH("|"&amp;INDEX(INDIRECT(F_Custom2_resolved_column),702)&amp;"|",F_Custom2_wrapped)),1,0),0))</f>
        <v>1</v>
      </c>
      <c r="H703">
        <f>F703*G703*1</f>
        <v>1</v>
      </c>
      <c r="I703">
        <f>1</f>
        <v>1</v>
      </c>
      <c r="J7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702)&amp;"|",All_Questions_Q20_F_wrapped)),1,0),0))</f>
        <v>1</v>
      </c>
    </row>
    <row r="704">
      <c r="A704" t="n">
        <v>703</v>
      </c>
      <c r="B704" t="n">
        <v>28.9</v>
      </c>
      <c r="C704" t="n">
        <v>24.6</v>
      </c>
      <c r="D704" t="n">
        <v>22.9</v>
      </c>
      <c r="E704">
        <f>1</f>
        <v>1</v>
      </c>
      <c r="F704">
        <f>IF(OR(F_Custom1_Q="(None)",F_Custom1_Q="",ISBLANK(F_Custom1_Q),F_Custom1_V="(All)",F_Custom1_V="",ISBLANK(F_Custom1_V)),1,IFERROR(IF(ISNUMBER(SEARCH("|"&amp;INDEX(INDIRECT(F_Custom1_resolved_column),703)&amp;"|",F_Custom1_wrapped)),1,0),0))</f>
        <v>1</v>
      </c>
      <c r="G704">
        <f>IF(OR(F_Custom2_Q="(None)",F_Custom2_Q="",ISBLANK(F_Custom2_Q),F_Custom2_V="(All)",F_Custom2_V="",ISBLANK(F_Custom2_V)),1,IFERROR(IF(ISNUMBER(SEARCH("|"&amp;INDEX(INDIRECT(F_Custom2_resolved_column),703)&amp;"|",F_Custom2_wrapped)),1,0),0))</f>
        <v>1</v>
      </c>
      <c r="H704">
        <f>F704*G704*1</f>
        <v>1</v>
      </c>
      <c r="I704">
        <f>1</f>
        <v>1</v>
      </c>
      <c r="J7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703)&amp;"|",All_Questions_Q20_F_wrapped)),1,0),0))</f>
        <v>1</v>
      </c>
    </row>
    <row r="705">
      <c r="A705" t="n">
        <v>704</v>
      </c>
      <c r="B705" t="n">
        <v>28.9</v>
      </c>
      <c r="C705" t="n">
        <v>24.6</v>
      </c>
      <c r="D705" t="n">
        <v>22.9</v>
      </c>
      <c r="E705">
        <f>1</f>
        <v>1</v>
      </c>
      <c r="F705">
        <f>IF(OR(F_Custom1_Q="(None)",F_Custom1_Q="",ISBLANK(F_Custom1_Q),F_Custom1_V="(All)",F_Custom1_V="",ISBLANK(F_Custom1_V)),1,IFERROR(IF(ISNUMBER(SEARCH("|"&amp;INDEX(INDIRECT(F_Custom1_resolved_column),704)&amp;"|",F_Custom1_wrapped)),1,0),0))</f>
        <v>1</v>
      </c>
      <c r="G705">
        <f>IF(OR(F_Custom2_Q="(None)",F_Custom2_Q="",ISBLANK(F_Custom2_Q),F_Custom2_V="(All)",F_Custom2_V="",ISBLANK(F_Custom2_V)),1,IFERROR(IF(ISNUMBER(SEARCH("|"&amp;INDEX(INDIRECT(F_Custom2_resolved_column),704)&amp;"|",F_Custom2_wrapped)),1,0),0))</f>
        <v>1</v>
      </c>
      <c r="H705">
        <f>F705*G705*1</f>
        <v>1</v>
      </c>
      <c r="I705">
        <f>1</f>
        <v>1</v>
      </c>
      <c r="J7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704)&amp;"|",All_Questions_Q20_F_wrapped)),1,0),0))</f>
        <v>1</v>
      </c>
    </row>
    <row r="706">
      <c r="A706" t="n">
        <v>705</v>
      </c>
      <c r="B706" t="n">
        <v>28.9</v>
      </c>
      <c r="C706" t="n">
        <v>24.6</v>
      </c>
      <c r="D706" t="n">
        <v>22.9</v>
      </c>
      <c r="E706">
        <f>1</f>
        <v>1</v>
      </c>
      <c r="F706">
        <f>IF(OR(F_Custom1_Q="(None)",F_Custom1_Q="",ISBLANK(F_Custom1_Q),F_Custom1_V="(All)",F_Custom1_V="",ISBLANK(F_Custom1_V)),1,IFERROR(IF(ISNUMBER(SEARCH("|"&amp;INDEX(INDIRECT(F_Custom1_resolved_column),705)&amp;"|",F_Custom1_wrapped)),1,0),0))</f>
        <v>1</v>
      </c>
      <c r="G706">
        <f>IF(OR(F_Custom2_Q="(None)",F_Custom2_Q="",ISBLANK(F_Custom2_Q),F_Custom2_V="(All)",F_Custom2_V="",ISBLANK(F_Custom2_V)),1,IFERROR(IF(ISNUMBER(SEARCH("|"&amp;INDEX(INDIRECT(F_Custom2_resolved_column),705)&amp;"|",F_Custom2_wrapped)),1,0),0))</f>
        <v>1</v>
      </c>
      <c r="H706">
        <f>F706*G706*1</f>
        <v>1</v>
      </c>
      <c r="I706">
        <f>1</f>
        <v>1</v>
      </c>
      <c r="J7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705)&amp;"|",All_Questions_Q20_F_wrapped)),1,0),0))</f>
        <v>1</v>
      </c>
    </row>
    <row r="707">
      <c r="A707" t="n">
        <v>706</v>
      </c>
      <c r="B707" t="n">
        <v>28.9</v>
      </c>
      <c r="C707" t="n">
        <v>24.6</v>
      </c>
      <c r="D707" t="n">
        <v>22.9</v>
      </c>
      <c r="E707">
        <f>1</f>
        <v>1</v>
      </c>
      <c r="F707">
        <f>IF(OR(F_Custom1_Q="(None)",F_Custom1_Q="",ISBLANK(F_Custom1_Q),F_Custom1_V="(All)",F_Custom1_V="",ISBLANK(F_Custom1_V)),1,IFERROR(IF(ISNUMBER(SEARCH("|"&amp;INDEX(INDIRECT(F_Custom1_resolved_column),706)&amp;"|",F_Custom1_wrapped)),1,0),0))</f>
        <v>1</v>
      </c>
      <c r="G707">
        <f>IF(OR(F_Custom2_Q="(None)",F_Custom2_Q="",ISBLANK(F_Custom2_Q),F_Custom2_V="(All)",F_Custom2_V="",ISBLANK(F_Custom2_V)),1,IFERROR(IF(ISNUMBER(SEARCH("|"&amp;INDEX(INDIRECT(F_Custom2_resolved_column),706)&amp;"|",F_Custom2_wrapped)),1,0),0))</f>
        <v>1</v>
      </c>
      <c r="H707">
        <f>F707*G707*1</f>
        <v>1</v>
      </c>
      <c r="I707">
        <f>1</f>
        <v>1</v>
      </c>
      <c r="J7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706)&amp;"|",All_Questions_Q20_F_wrapped)),1,0),0))</f>
        <v>1</v>
      </c>
    </row>
    <row r="708">
      <c r="A708" t="n">
        <v>707</v>
      </c>
      <c r="B708" t="n">
        <v>28.9</v>
      </c>
      <c r="C708" t="n">
        <v>24.6</v>
      </c>
      <c r="D708" t="n">
        <v>22.9</v>
      </c>
      <c r="E708">
        <f>1</f>
        <v>1</v>
      </c>
      <c r="F708">
        <f>IF(OR(F_Custom1_Q="(None)",F_Custom1_Q="",ISBLANK(F_Custom1_Q),F_Custom1_V="(All)",F_Custom1_V="",ISBLANK(F_Custom1_V)),1,IFERROR(IF(ISNUMBER(SEARCH("|"&amp;INDEX(INDIRECT(F_Custom1_resolved_column),707)&amp;"|",F_Custom1_wrapped)),1,0),0))</f>
        <v>1</v>
      </c>
      <c r="G708">
        <f>IF(OR(F_Custom2_Q="(None)",F_Custom2_Q="",ISBLANK(F_Custom2_Q),F_Custom2_V="(All)",F_Custom2_V="",ISBLANK(F_Custom2_V)),1,IFERROR(IF(ISNUMBER(SEARCH("|"&amp;INDEX(INDIRECT(F_Custom2_resolved_column),707)&amp;"|",F_Custom2_wrapped)),1,0),0))</f>
        <v>1</v>
      </c>
      <c r="H708">
        <f>F708*G708*1</f>
        <v>1</v>
      </c>
      <c r="I708">
        <f>1</f>
        <v>1</v>
      </c>
      <c r="J7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707)&amp;"|",All_Questions_Q20_F_wrapped)),1,0),0))</f>
        <v>1</v>
      </c>
    </row>
    <row r="709">
      <c r="A709" t="n">
        <v>708</v>
      </c>
      <c r="B709" t="n">
        <v>28.9</v>
      </c>
      <c r="C709" t="n">
        <v>24.6</v>
      </c>
      <c r="D709" t="n">
        <v>22.9</v>
      </c>
      <c r="E709">
        <f>1</f>
        <v>1</v>
      </c>
      <c r="F709">
        <f>IF(OR(F_Custom1_Q="(None)",F_Custom1_Q="",ISBLANK(F_Custom1_Q),F_Custom1_V="(All)",F_Custom1_V="",ISBLANK(F_Custom1_V)),1,IFERROR(IF(ISNUMBER(SEARCH("|"&amp;INDEX(INDIRECT(F_Custom1_resolved_column),708)&amp;"|",F_Custom1_wrapped)),1,0),0))</f>
        <v>1</v>
      </c>
      <c r="G709">
        <f>IF(OR(F_Custom2_Q="(None)",F_Custom2_Q="",ISBLANK(F_Custom2_Q),F_Custom2_V="(All)",F_Custom2_V="",ISBLANK(F_Custom2_V)),1,IFERROR(IF(ISNUMBER(SEARCH("|"&amp;INDEX(INDIRECT(F_Custom2_resolved_column),708)&amp;"|",F_Custom2_wrapped)),1,0),0))</f>
        <v>1</v>
      </c>
      <c r="H709">
        <f>F709*G709*1</f>
        <v>1</v>
      </c>
      <c r="I709">
        <f>1</f>
        <v>1</v>
      </c>
      <c r="J7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708)&amp;"|",All_Questions_Q20_F_wrapped)),1,0),0))</f>
        <v>1</v>
      </c>
    </row>
    <row r="710">
      <c r="A710" t="n">
        <v>709</v>
      </c>
      <c r="B710" t="n">
        <v>28.9</v>
      </c>
      <c r="C710" t="n">
        <v>24.6</v>
      </c>
      <c r="D710" t="n">
        <v>22.9</v>
      </c>
      <c r="E710">
        <f>1</f>
        <v>1</v>
      </c>
      <c r="F710">
        <f>IF(OR(F_Custom1_Q="(None)",F_Custom1_Q="",ISBLANK(F_Custom1_Q),F_Custom1_V="(All)",F_Custom1_V="",ISBLANK(F_Custom1_V)),1,IFERROR(IF(ISNUMBER(SEARCH("|"&amp;INDEX(INDIRECT(F_Custom1_resolved_column),709)&amp;"|",F_Custom1_wrapped)),1,0),0))</f>
        <v>1</v>
      </c>
      <c r="G710">
        <f>IF(OR(F_Custom2_Q="(None)",F_Custom2_Q="",ISBLANK(F_Custom2_Q),F_Custom2_V="(All)",F_Custom2_V="",ISBLANK(F_Custom2_V)),1,IFERROR(IF(ISNUMBER(SEARCH("|"&amp;INDEX(INDIRECT(F_Custom2_resolved_column),709)&amp;"|",F_Custom2_wrapped)),1,0),0))</f>
        <v>1</v>
      </c>
      <c r="H710">
        <f>F710*G710*1</f>
        <v>1</v>
      </c>
      <c r="I710">
        <f>1</f>
        <v>1</v>
      </c>
      <c r="J7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709)&amp;"|",All_Questions_Q20_F_wrapped)),1,0),0))</f>
        <v>1</v>
      </c>
    </row>
    <row r="711">
      <c r="A711" t="n">
        <v>710</v>
      </c>
      <c r="B711" t="n">
        <v>28.9</v>
      </c>
      <c r="C711" t="n">
        <v>24.6</v>
      </c>
      <c r="D711" t="n">
        <v>22.9</v>
      </c>
      <c r="E711">
        <f>1</f>
        <v>1</v>
      </c>
      <c r="F711">
        <f>IF(OR(F_Custom1_Q="(None)",F_Custom1_Q="",ISBLANK(F_Custom1_Q),F_Custom1_V="(All)",F_Custom1_V="",ISBLANK(F_Custom1_V)),1,IFERROR(IF(ISNUMBER(SEARCH("|"&amp;INDEX(INDIRECT(F_Custom1_resolved_column),710)&amp;"|",F_Custom1_wrapped)),1,0),0))</f>
        <v>1</v>
      </c>
      <c r="G711">
        <f>IF(OR(F_Custom2_Q="(None)",F_Custom2_Q="",ISBLANK(F_Custom2_Q),F_Custom2_V="(All)",F_Custom2_V="",ISBLANK(F_Custom2_V)),1,IFERROR(IF(ISNUMBER(SEARCH("|"&amp;INDEX(INDIRECT(F_Custom2_resolved_column),710)&amp;"|",F_Custom2_wrapped)),1,0),0))</f>
        <v>1</v>
      </c>
      <c r="H711">
        <f>F711*G711*1</f>
        <v>1</v>
      </c>
      <c r="I711">
        <f>1</f>
        <v>1</v>
      </c>
      <c r="J7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710)&amp;"|",All_Questions_Q20_F_wrapped)),1,0),0))</f>
        <v>1</v>
      </c>
    </row>
    <row r="712">
      <c r="A712" t="n">
        <v>711</v>
      </c>
      <c r="B712" t="n">
        <v>28.9</v>
      </c>
      <c r="C712" t="n">
        <v>24.6</v>
      </c>
      <c r="D712" t="n">
        <v>22.9</v>
      </c>
      <c r="E712">
        <f>1</f>
        <v>1</v>
      </c>
      <c r="F712">
        <f>IF(OR(F_Custom1_Q="(None)",F_Custom1_Q="",ISBLANK(F_Custom1_Q),F_Custom1_V="(All)",F_Custom1_V="",ISBLANK(F_Custom1_V)),1,IFERROR(IF(ISNUMBER(SEARCH("|"&amp;INDEX(INDIRECT(F_Custom1_resolved_column),711)&amp;"|",F_Custom1_wrapped)),1,0),0))</f>
        <v>1</v>
      </c>
      <c r="G712">
        <f>IF(OR(F_Custom2_Q="(None)",F_Custom2_Q="",ISBLANK(F_Custom2_Q),F_Custom2_V="(All)",F_Custom2_V="",ISBLANK(F_Custom2_V)),1,IFERROR(IF(ISNUMBER(SEARCH("|"&amp;INDEX(INDIRECT(F_Custom2_resolved_column),711)&amp;"|",F_Custom2_wrapped)),1,0),0))</f>
        <v>1</v>
      </c>
      <c r="H712">
        <f>F712*G712*1</f>
        <v>1</v>
      </c>
      <c r="I712">
        <f>1</f>
        <v>1</v>
      </c>
      <c r="J7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711)&amp;"|",All_Questions_Q20_F_wrapped)),1,0),0))</f>
        <v>1</v>
      </c>
    </row>
    <row r="713">
      <c r="A713" t="n">
        <v>712</v>
      </c>
      <c r="B713" t="n">
        <v>28.9</v>
      </c>
      <c r="C713" t="n">
        <v>24.6</v>
      </c>
      <c r="D713" t="n">
        <v>22.9</v>
      </c>
      <c r="E713">
        <f>1</f>
        <v>1</v>
      </c>
      <c r="F713">
        <f>IF(OR(F_Custom1_Q="(None)",F_Custom1_Q="",ISBLANK(F_Custom1_Q),F_Custom1_V="(All)",F_Custom1_V="",ISBLANK(F_Custom1_V)),1,IFERROR(IF(ISNUMBER(SEARCH("|"&amp;INDEX(INDIRECT(F_Custom1_resolved_column),712)&amp;"|",F_Custom1_wrapped)),1,0),0))</f>
        <v>1</v>
      </c>
      <c r="G713">
        <f>IF(OR(F_Custom2_Q="(None)",F_Custom2_Q="",ISBLANK(F_Custom2_Q),F_Custom2_V="(All)",F_Custom2_V="",ISBLANK(F_Custom2_V)),1,IFERROR(IF(ISNUMBER(SEARCH("|"&amp;INDEX(INDIRECT(F_Custom2_resolved_column),712)&amp;"|",F_Custom2_wrapped)),1,0),0))</f>
        <v>1</v>
      </c>
      <c r="H713">
        <f>F713*G713*1</f>
        <v>1</v>
      </c>
      <c r="I713">
        <f>1</f>
        <v>1</v>
      </c>
      <c r="J7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712)&amp;"|",All_Questions_Q20_F_wrapped)),1,0),0))</f>
        <v>1</v>
      </c>
    </row>
    <row r="714">
      <c r="A714" t="n">
        <v>713</v>
      </c>
      <c r="B714" t="n">
        <v>28.9</v>
      </c>
      <c r="C714" t="n">
        <v>24.6</v>
      </c>
      <c r="D714" t="n">
        <v>22.9</v>
      </c>
      <c r="E714">
        <f>1</f>
        <v>1</v>
      </c>
      <c r="F714">
        <f>IF(OR(F_Custom1_Q="(None)",F_Custom1_Q="",ISBLANK(F_Custom1_Q),F_Custom1_V="(All)",F_Custom1_V="",ISBLANK(F_Custom1_V)),1,IFERROR(IF(ISNUMBER(SEARCH("|"&amp;INDEX(INDIRECT(F_Custom1_resolved_column),713)&amp;"|",F_Custom1_wrapped)),1,0),0))</f>
        <v>1</v>
      </c>
      <c r="G714">
        <f>IF(OR(F_Custom2_Q="(None)",F_Custom2_Q="",ISBLANK(F_Custom2_Q),F_Custom2_V="(All)",F_Custom2_V="",ISBLANK(F_Custom2_V)),1,IFERROR(IF(ISNUMBER(SEARCH("|"&amp;INDEX(INDIRECT(F_Custom2_resolved_column),713)&amp;"|",F_Custom2_wrapped)),1,0),0))</f>
        <v>1</v>
      </c>
      <c r="H714">
        <f>F714*G714*1</f>
        <v>1</v>
      </c>
      <c r="I714">
        <f>1</f>
        <v>1</v>
      </c>
      <c r="J7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713)&amp;"|",All_Questions_Q20_F_wrapped)),1,0),0))</f>
        <v>1</v>
      </c>
    </row>
    <row r="715">
      <c r="A715" t="n">
        <v>714</v>
      </c>
      <c r="B715" t="n">
        <v>28.9</v>
      </c>
      <c r="C715" t="n">
        <v>24.6</v>
      </c>
      <c r="D715" t="n">
        <v>22.9</v>
      </c>
      <c r="E715">
        <f>1</f>
        <v>1</v>
      </c>
      <c r="F715">
        <f>IF(OR(F_Custom1_Q="(None)",F_Custom1_Q="",ISBLANK(F_Custom1_Q),F_Custom1_V="(All)",F_Custom1_V="",ISBLANK(F_Custom1_V)),1,IFERROR(IF(ISNUMBER(SEARCH("|"&amp;INDEX(INDIRECT(F_Custom1_resolved_column),714)&amp;"|",F_Custom1_wrapped)),1,0),0))</f>
        <v>1</v>
      </c>
      <c r="G715">
        <f>IF(OR(F_Custom2_Q="(None)",F_Custom2_Q="",ISBLANK(F_Custom2_Q),F_Custom2_V="(All)",F_Custom2_V="",ISBLANK(F_Custom2_V)),1,IFERROR(IF(ISNUMBER(SEARCH("|"&amp;INDEX(INDIRECT(F_Custom2_resolved_column),714)&amp;"|",F_Custom2_wrapped)),1,0),0))</f>
        <v>1</v>
      </c>
      <c r="H715">
        <f>F715*G715*1</f>
        <v>1</v>
      </c>
      <c r="I715">
        <f>1</f>
        <v>1</v>
      </c>
      <c r="J7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714)&amp;"|",All_Questions_Q20_F_wrapped)),1,0),0))</f>
        <v>1</v>
      </c>
    </row>
    <row r="716">
      <c r="A716" t="n">
        <v>715</v>
      </c>
      <c r="B716" t="n">
        <v>28.9</v>
      </c>
      <c r="C716" t="n">
        <v>24.6</v>
      </c>
      <c r="D716" t="n">
        <v>22.9</v>
      </c>
      <c r="E716">
        <f>1</f>
        <v>1</v>
      </c>
      <c r="F716">
        <f>IF(OR(F_Custom1_Q="(None)",F_Custom1_Q="",ISBLANK(F_Custom1_Q),F_Custom1_V="(All)",F_Custom1_V="",ISBLANK(F_Custom1_V)),1,IFERROR(IF(ISNUMBER(SEARCH("|"&amp;INDEX(INDIRECT(F_Custom1_resolved_column),715)&amp;"|",F_Custom1_wrapped)),1,0),0))</f>
        <v>1</v>
      </c>
      <c r="G716">
        <f>IF(OR(F_Custom2_Q="(None)",F_Custom2_Q="",ISBLANK(F_Custom2_Q),F_Custom2_V="(All)",F_Custom2_V="",ISBLANK(F_Custom2_V)),1,IFERROR(IF(ISNUMBER(SEARCH("|"&amp;INDEX(INDIRECT(F_Custom2_resolved_column),715)&amp;"|",F_Custom2_wrapped)),1,0),0))</f>
        <v>1</v>
      </c>
      <c r="H716">
        <f>F716*G716*1</f>
        <v>1</v>
      </c>
      <c r="I716">
        <f>1</f>
        <v>1</v>
      </c>
      <c r="J7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715)&amp;"|",All_Questions_Q20_F_wrapped)),1,0),0))</f>
        <v>1</v>
      </c>
    </row>
    <row r="717">
      <c r="A717" t="n">
        <v>716</v>
      </c>
      <c r="B717" t="n">
        <v>28.9</v>
      </c>
      <c r="C717" t="n">
        <v>24.6</v>
      </c>
      <c r="D717" t="n">
        <v>22.9</v>
      </c>
      <c r="E717">
        <f>1</f>
        <v>1</v>
      </c>
      <c r="F717">
        <f>IF(OR(F_Custom1_Q="(None)",F_Custom1_Q="",ISBLANK(F_Custom1_Q),F_Custom1_V="(All)",F_Custom1_V="",ISBLANK(F_Custom1_V)),1,IFERROR(IF(ISNUMBER(SEARCH("|"&amp;INDEX(INDIRECT(F_Custom1_resolved_column),716)&amp;"|",F_Custom1_wrapped)),1,0),0))</f>
        <v>1</v>
      </c>
      <c r="G717">
        <f>IF(OR(F_Custom2_Q="(None)",F_Custom2_Q="",ISBLANK(F_Custom2_Q),F_Custom2_V="(All)",F_Custom2_V="",ISBLANK(F_Custom2_V)),1,IFERROR(IF(ISNUMBER(SEARCH("|"&amp;INDEX(INDIRECT(F_Custom2_resolved_column),716)&amp;"|",F_Custom2_wrapped)),1,0),0))</f>
        <v>1</v>
      </c>
      <c r="H717">
        <f>F717*G717*1</f>
        <v>1</v>
      </c>
      <c r="I717">
        <f>1</f>
        <v>1</v>
      </c>
      <c r="J7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716)&amp;"|",All_Questions_Q20_F_wrapped)),1,0),0))</f>
        <v>1</v>
      </c>
    </row>
    <row r="718">
      <c r="A718" t="n">
        <v>717</v>
      </c>
      <c r="B718" t="n">
        <v>28.9</v>
      </c>
      <c r="C718" t="n">
        <v>24.6</v>
      </c>
      <c r="D718" t="n">
        <v>22.9</v>
      </c>
      <c r="E718">
        <f>1</f>
        <v>1</v>
      </c>
      <c r="F718">
        <f>IF(OR(F_Custom1_Q="(None)",F_Custom1_Q="",ISBLANK(F_Custom1_Q),F_Custom1_V="(All)",F_Custom1_V="",ISBLANK(F_Custom1_V)),1,IFERROR(IF(ISNUMBER(SEARCH("|"&amp;INDEX(INDIRECT(F_Custom1_resolved_column),717)&amp;"|",F_Custom1_wrapped)),1,0),0))</f>
        <v>1</v>
      </c>
      <c r="G718">
        <f>IF(OR(F_Custom2_Q="(None)",F_Custom2_Q="",ISBLANK(F_Custom2_Q),F_Custom2_V="(All)",F_Custom2_V="",ISBLANK(F_Custom2_V)),1,IFERROR(IF(ISNUMBER(SEARCH("|"&amp;INDEX(INDIRECT(F_Custom2_resolved_column),717)&amp;"|",F_Custom2_wrapped)),1,0),0))</f>
        <v>1</v>
      </c>
      <c r="H718">
        <f>F718*G718*1</f>
        <v>1</v>
      </c>
      <c r="I718">
        <f>1</f>
        <v>1</v>
      </c>
      <c r="J7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717)&amp;"|",All_Questions_Q20_F_wrapped)),1,0),0))</f>
        <v>1</v>
      </c>
    </row>
    <row r="719">
      <c r="A719" t="n">
        <v>718</v>
      </c>
      <c r="B719" t="n">
        <v>28.9</v>
      </c>
      <c r="C719" t="n">
        <v>24.6</v>
      </c>
      <c r="D719" t="n">
        <v>22.9</v>
      </c>
      <c r="E719">
        <f>1</f>
        <v>1</v>
      </c>
      <c r="F719">
        <f>IF(OR(F_Custom1_Q="(None)",F_Custom1_Q="",ISBLANK(F_Custom1_Q),F_Custom1_V="(All)",F_Custom1_V="",ISBLANK(F_Custom1_V)),1,IFERROR(IF(ISNUMBER(SEARCH("|"&amp;INDEX(INDIRECT(F_Custom1_resolved_column),718)&amp;"|",F_Custom1_wrapped)),1,0),0))</f>
        <v>1</v>
      </c>
      <c r="G719">
        <f>IF(OR(F_Custom2_Q="(None)",F_Custom2_Q="",ISBLANK(F_Custom2_Q),F_Custom2_V="(All)",F_Custom2_V="",ISBLANK(F_Custom2_V)),1,IFERROR(IF(ISNUMBER(SEARCH("|"&amp;INDEX(INDIRECT(F_Custom2_resolved_column),718)&amp;"|",F_Custom2_wrapped)),1,0),0))</f>
        <v>1</v>
      </c>
      <c r="H719">
        <f>F719*G719*1</f>
        <v>1</v>
      </c>
      <c r="I719">
        <f>1</f>
        <v>1</v>
      </c>
      <c r="J7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718)&amp;"|",All_Questions_Q20_F_wrapped)),1,0),0))</f>
        <v>1</v>
      </c>
    </row>
    <row r="720">
      <c r="A720" t="n">
        <v>719</v>
      </c>
      <c r="B720" t="n">
        <v>28.9</v>
      </c>
      <c r="C720" t="n">
        <v>24.6</v>
      </c>
      <c r="D720" t="n">
        <v>22.9</v>
      </c>
      <c r="E720">
        <f>1</f>
        <v>1</v>
      </c>
      <c r="F720">
        <f>IF(OR(F_Custom1_Q="(None)",F_Custom1_Q="",ISBLANK(F_Custom1_Q),F_Custom1_V="(All)",F_Custom1_V="",ISBLANK(F_Custom1_V)),1,IFERROR(IF(ISNUMBER(SEARCH("|"&amp;INDEX(INDIRECT(F_Custom1_resolved_column),719)&amp;"|",F_Custom1_wrapped)),1,0),0))</f>
        <v>1</v>
      </c>
      <c r="G720">
        <f>IF(OR(F_Custom2_Q="(None)",F_Custom2_Q="",ISBLANK(F_Custom2_Q),F_Custom2_V="(All)",F_Custom2_V="",ISBLANK(F_Custom2_V)),1,IFERROR(IF(ISNUMBER(SEARCH("|"&amp;INDEX(INDIRECT(F_Custom2_resolved_column),719)&amp;"|",F_Custom2_wrapped)),1,0),0))</f>
        <v>1</v>
      </c>
      <c r="H720">
        <f>F720*G720*1</f>
        <v>1</v>
      </c>
      <c r="I720">
        <f>1</f>
        <v>1</v>
      </c>
      <c r="J7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719)&amp;"|",All_Questions_Q20_F_wrapped)),1,0),0))</f>
        <v>1</v>
      </c>
    </row>
    <row r="721">
      <c r="A721" t="n">
        <v>720</v>
      </c>
      <c r="B721" t="n">
        <v>28.9</v>
      </c>
      <c r="C721" t="n">
        <v>24.6</v>
      </c>
      <c r="D721" t="n">
        <v>22.9</v>
      </c>
      <c r="E721">
        <f>1</f>
        <v>1</v>
      </c>
      <c r="F721">
        <f>IF(OR(F_Custom1_Q="(None)",F_Custom1_Q="",ISBLANK(F_Custom1_Q),F_Custom1_V="(All)",F_Custom1_V="",ISBLANK(F_Custom1_V)),1,IFERROR(IF(ISNUMBER(SEARCH("|"&amp;INDEX(INDIRECT(F_Custom1_resolved_column),720)&amp;"|",F_Custom1_wrapped)),1,0),0))</f>
        <v>1</v>
      </c>
      <c r="G721">
        <f>IF(OR(F_Custom2_Q="(None)",F_Custom2_Q="",ISBLANK(F_Custom2_Q),F_Custom2_V="(All)",F_Custom2_V="",ISBLANK(F_Custom2_V)),1,IFERROR(IF(ISNUMBER(SEARCH("|"&amp;INDEX(INDIRECT(F_Custom2_resolved_column),720)&amp;"|",F_Custom2_wrapped)),1,0),0))</f>
        <v>1</v>
      </c>
      <c r="H721">
        <f>F721*G721*1</f>
        <v>1</v>
      </c>
      <c r="I721">
        <f>1</f>
        <v>1</v>
      </c>
      <c r="J7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720)&amp;"|",All_Questions_Q20_F_wrapped)),1,0),0))</f>
        <v>1</v>
      </c>
    </row>
    <row r="722">
      <c r="A722" t="n">
        <v>721</v>
      </c>
      <c r="B722" t="n">
        <v>28.9</v>
      </c>
      <c r="C722" t="n">
        <v>24.6</v>
      </c>
      <c r="D722" t="n">
        <v>22.9</v>
      </c>
      <c r="E722">
        <f>1</f>
        <v>1</v>
      </c>
      <c r="F722">
        <f>IF(OR(F_Custom1_Q="(None)",F_Custom1_Q="",ISBLANK(F_Custom1_Q),F_Custom1_V="(All)",F_Custom1_V="",ISBLANK(F_Custom1_V)),1,IFERROR(IF(ISNUMBER(SEARCH("|"&amp;INDEX(INDIRECT(F_Custom1_resolved_column),721)&amp;"|",F_Custom1_wrapped)),1,0),0))</f>
        <v>1</v>
      </c>
      <c r="G722">
        <f>IF(OR(F_Custom2_Q="(None)",F_Custom2_Q="",ISBLANK(F_Custom2_Q),F_Custom2_V="(All)",F_Custom2_V="",ISBLANK(F_Custom2_V)),1,IFERROR(IF(ISNUMBER(SEARCH("|"&amp;INDEX(INDIRECT(F_Custom2_resolved_column),721)&amp;"|",F_Custom2_wrapped)),1,0),0))</f>
        <v>1</v>
      </c>
      <c r="H722">
        <f>F722*G722*1</f>
        <v>1</v>
      </c>
      <c r="I722">
        <f>1</f>
        <v>1</v>
      </c>
      <c r="J7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721)&amp;"|",All_Questions_Q20_F_wrapped)),1,0),0))</f>
        <v>1</v>
      </c>
    </row>
    <row r="723">
      <c r="A723" t="n">
        <v>722</v>
      </c>
      <c r="B723" t="n">
        <v>28.9</v>
      </c>
      <c r="C723" t="n">
        <v>24.6</v>
      </c>
      <c r="D723" t="n">
        <v>22.9</v>
      </c>
      <c r="E723">
        <f>1</f>
        <v>1</v>
      </c>
      <c r="F723">
        <f>IF(OR(F_Custom1_Q="(None)",F_Custom1_Q="",ISBLANK(F_Custom1_Q),F_Custom1_V="(All)",F_Custom1_V="",ISBLANK(F_Custom1_V)),1,IFERROR(IF(ISNUMBER(SEARCH("|"&amp;INDEX(INDIRECT(F_Custom1_resolved_column),722)&amp;"|",F_Custom1_wrapped)),1,0),0))</f>
        <v>1</v>
      </c>
      <c r="G723">
        <f>IF(OR(F_Custom2_Q="(None)",F_Custom2_Q="",ISBLANK(F_Custom2_Q),F_Custom2_V="(All)",F_Custom2_V="",ISBLANK(F_Custom2_V)),1,IFERROR(IF(ISNUMBER(SEARCH("|"&amp;INDEX(INDIRECT(F_Custom2_resolved_column),722)&amp;"|",F_Custom2_wrapped)),1,0),0))</f>
        <v>1</v>
      </c>
      <c r="H723">
        <f>F723*G723*1</f>
        <v>1</v>
      </c>
      <c r="I723">
        <f>1</f>
        <v>1</v>
      </c>
      <c r="J7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722)&amp;"|",All_Questions_Q20_F_wrapped)),1,0),0))</f>
        <v>1</v>
      </c>
    </row>
    <row r="724">
      <c r="A724" t="n">
        <v>723</v>
      </c>
      <c r="B724" t="n">
        <v>28.9</v>
      </c>
      <c r="C724" t="n">
        <v>24.6</v>
      </c>
      <c r="D724" t="n">
        <v>22.9</v>
      </c>
      <c r="E724">
        <f>1</f>
        <v>1</v>
      </c>
      <c r="F724">
        <f>IF(OR(F_Custom1_Q="(None)",F_Custom1_Q="",ISBLANK(F_Custom1_Q),F_Custom1_V="(All)",F_Custom1_V="",ISBLANK(F_Custom1_V)),1,IFERROR(IF(ISNUMBER(SEARCH("|"&amp;INDEX(INDIRECT(F_Custom1_resolved_column),723)&amp;"|",F_Custom1_wrapped)),1,0),0))</f>
        <v>1</v>
      </c>
      <c r="G724">
        <f>IF(OR(F_Custom2_Q="(None)",F_Custom2_Q="",ISBLANK(F_Custom2_Q),F_Custom2_V="(All)",F_Custom2_V="",ISBLANK(F_Custom2_V)),1,IFERROR(IF(ISNUMBER(SEARCH("|"&amp;INDEX(INDIRECT(F_Custom2_resolved_column),723)&amp;"|",F_Custom2_wrapped)),1,0),0))</f>
        <v>1</v>
      </c>
      <c r="H724">
        <f>F724*G724*1</f>
        <v>1</v>
      </c>
      <c r="I724">
        <f>1</f>
        <v>1</v>
      </c>
      <c r="J7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723)&amp;"|",All_Questions_Q20_F_wrapped)),1,0),0))</f>
        <v>1</v>
      </c>
    </row>
    <row r="725">
      <c r="A725" t="n">
        <v>724</v>
      </c>
      <c r="B725" t="n">
        <v>28.9</v>
      </c>
      <c r="C725" t="n">
        <v>24.6</v>
      </c>
      <c r="D725" t="n">
        <v>22.9</v>
      </c>
      <c r="E725">
        <f>1</f>
        <v>1</v>
      </c>
      <c r="F725">
        <f>IF(OR(F_Custom1_Q="(None)",F_Custom1_Q="",ISBLANK(F_Custom1_Q),F_Custom1_V="(All)",F_Custom1_V="",ISBLANK(F_Custom1_V)),1,IFERROR(IF(ISNUMBER(SEARCH("|"&amp;INDEX(INDIRECT(F_Custom1_resolved_column),724)&amp;"|",F_Custom1_wrapped)),1,0),0))</f>
        <v>1</v>
      </c>
      <c r="G725">
        <f>IF(OR(F_Custom2_Q="(None)",F_Custom2_Q="",ISBLANK(F_Custom2_Q),F_Custom2_V="(All)",F_Custom2_V="",ISBLANK(F_Custom2_V)),1,IFERROR(IF(ISNUMBER(SEARCH("|"&amp;INDEX(INDIRECT(F_Custom2_resolved_column),724)&amp;"|",F_Custom2_wrapped)),1,0),0))</f>
        <v>1</v>
      </c>
      <c r="H725">
        <f>F725*G725*1</f>
        <v>1</v>
      </c>
      <c r="I725">
        <f>1</f>
        <v>1</v>
      </c>
      <c r="J7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724)&amp;"|",All_Questions_Q20_F_wrapped)),1,0),0))</f>
        <v>1</v>
      </c>
    </row>
    <row r="726">
      <c r="A726" t="n">
        <v>725</v>
      </c>
      <c r="B726" t="n">
        <v>28.9</v>
      </c>
      <c r="C726" t="n">
        <v>24.6</v>
      </c>
      <c r="D726" t="n">
        <v>22.9</v>
      </c>
      <c r="E726">
        <f>1</f>
        <v>1</v>
      </c>
      <c r="F726">
        <f>IF(OR(F_Custom1_Q="(None)",F_Custom1_Q="",ISBLANK(F_Custom1_Q),F_Custom1_V="(All)",F_Custom1_V="",ISBLANK(F_Custom1_V)),1,IFERROR(IF(ISNUMBER(SEARCH("|"&amp;INDEX(INDIRECT(F_Custom1_resolved_column),725)&amp;"|",F_Custom1_wrapped)),1,0),0))</f>
        <v>1</v>
      </c>
      <c r="G726">
        <f>IF(OR(F_Custom2_Q="(None)",F_Custom2_Q="",ISBLANK(F_Custom2_Q),F_Custom2_V="(All)",F_Custom2_V="",ISBLANK(F_Custom2_V)),1,IFERROR(IF(ISNUMBER(SEARCH("|"&amp;INDEX(INDIRECT(F_Custom2_resolved_column),725)&amp;"|",F_Custom2_wrapped)),1,0),0))</f>
        <v>1</v>
      </c>
      <c r="H726">
        <f>F726*G726*1</f>
        <v>1</v>
      </c>
      <c r="I726">
        <f>1</f>
        <v>1</v>
      </c>
      <c r="J7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725)&amp;"|",All_Questions_Q20_F_wrapped)),1,0),0))</f>
        <v>1</v>
      </c>
    </row>
    <row r="727">
      <c r="A727" t="n">
        <v>726</v>
      </c>
      <c r="B727" t="n">
        <v>28.9</v>
      </c>
      <c r="C727" t="n">
        <v>24.6</v>
      </c>
      <c r="D727" t="n">
        <v>22.9</v>
      </c>
      <c r="E727">
        <f>1</f>
        <v>1</v>
      </c>
      <c r="F727">
        <f>IF(OR(F_Custom1_Q="(None)",F_Custom1_Q="",ISBLANK(F_Custom1_Q),F_Custom1_V="(All)",F_Custom1_V="",ISBLANK(F_Custom1_V)),1,IFERROR(IF(ISNUMBER(SEARCH("|"&amp;INDEX(INDIRECT(F_Custom1_resolved_column),726)&amp;"|",F_Custom1_wrapped)),1,0),0))</f>
        <v>1</v>
      </c>
      <c r="G727">
        <f>IF(OR(F_Custom2_Q="(None)",F_Custom2_Q="",ISBLANK(F_Custom2_Q),F_Custom2_V="(All)",F_Custom2_V="",ISBLANK(F_Custom2_V)),1,IFERROR(IF(ISNUMBER(SEARCH("|"&amp;INDEX(INDIRECT(F_Custom2_resolved_column),726)&amp;"|",F_Custom2_wrapped)),1,0),0))</f>
        <v>1</v>
      </c>
      <c r="H727">
        <f>F727*G727*1</f>
        <v>1</v>
      </c>
      <c r="I727">
        <f>1</f>
        <v>1</v>
      </c>
      <c r="J7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726)&amp;"|",All_Questions_Q20_F_wrapped)),1,0),0))</f>
        <v>1</v>
      </c>
    </row>
    <row r="728">
      <c r="A728" t="n">
        <v>727</v>
      </c>
      <c r="B728" t="n">
        <v>28.9</v>
      </c>
      <c r="C728" t="n">
        <v>24.6</v>
      </c>
      <c r="D728" t="n">
        <v>22.9</v>
      </c>
      <c r="E728">
        <f>1</f>
        <v>1</v>
      </c>
      <c r="F728">
        <f>IF(OR(F_Custom1_Q="(None)",F_Custom1_Q="",ISBLANK(F_Custom1_Q),F_Custom1_V="(All)",F_Custom1_V="",ISBLANK(F_Custom1_V)),1,IFERROR(IF(ISNUMBER(SEARCH("|"&amp;INDEX(INDIRECT(F_Custom1_resolved_column),727)&amp;"|",F_Custom1_wrapped)),1,0),0))</f>
        <v>1</v>
      </c>
      <c r="G728">
        <f>IF(OR(F_Custom2_Q="(None)",F_Custom2_Q="",ISBLANK(F_Custom2_Q),F_Custom2_V="(All)",F_Custom2_V="",ISBLANK(F_Custom2_V)),1,IFERROR(IF(ISNUMBER(SEARCH("|"&amp;INDEX(INDIRECT(F_Custom2_resolved_column),727)&amp;"|",F_Custom2_wrapped)),1,0),0))</f>
        <v>1</v>
      </c>
      <c r="H728">
        <f>F728*G728*1</f>
        <v>1</v>
      </c>
      <c r="I728">
        <f>1</f>
        <v>1</v>
      </c>
      <c r="J7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727)&amp;"|",All_Questions_Q20_F_wrapped)),1,0),0))</f>
        <v>1</v>
      </c>
    </row>
    <row r="729">
      <c r="A729" t="n">
        <v>728</v>
      </c>
      <c r="B729" t="n">
        <v>28.9</v>
      </c>
      <c r="C729" t="n">
        <v>24.6</v>
      </c>
      <c r="D729" t="n">
        <v>22.9</v>
      </c>
      <c r="E729">
        <f>1</f>
        <v>1</v>
      </c>
      <c r="F729">
        <f>IF(OR(F_Custom1_Q="(None)",F_Custom1_Q="",ISBLANK(F_Custom1_Q),F_Custom1_V="(All)",F_Custom1_V="",ISBLANK(F_Custom1_V)),1,IFERROR(IF(ISNUMBER(SEARCH("|"&amp;INDEX(INDIRECT(F_Custom1_resolved_column),728)&amp;"|",F_Custom1_wrapped)),1,0),0))</f>
        <v>1</v>
      </c>
      <c r="G729">
        <f>IF(OR(F_Custom2_Q="(None)",F_Custom2_Q="",ISBLANK(F_Custom2_Q),F_Custom2_V="(All)",F_Custom2_V="",ISBLANK(F_Custom2_V)),1,IFERROR(IF(ISNUMBER(SEARCH("|"&amp;INDEX(INDIRECT(F_Custom2_resolved_column),728)&amp;"|",F_Custom2_wrapped)),1,0),0))</f>
        <v>1</v>
      </c>
      <c r="H729">
        <f>F729*G729*1</f>
        <v>1</v>
      </c>
      <c r="I729">
        <f>1</f>
        <v>1</v>
      </c>
      <c r="J7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728)&amp;"|",All_Questions_Q20_F_wrapped)),1,0),0))</f>
        <v>1</v>
      </c>
    </row>
    <row r="730">
      <c r="A730" t="n">
        <v>729</v>
      </c>
      <c r="B730" t="n">
        <v>28.9</v>
      </c>
      <c r="C730" t="n">
        <v>24.6</v>
      </c>
      <c r="D730" t="n">
        <v>22.9</v>
      </c>
      <c r="E730">
        <f>1</f>
        <v>1</v>
      </c>
      <c r="F730">
        <f>IF(OR(F_Custom1_Q="(None)",F_Custom1_Q="",ISBLANK(F_Custom1_Q),F_Custom1_V="(All)",F_Custom1_V="",ISBLANK(F_Custom1_V)),1,IFERROR(IF(ISNUMBER(SEARCH("|"&amp;INDEX(INDIRECT(F_Custom1_resolved_column),729)&amp;"|",F_Custom1_wrapped)),1,0),0))</f>
        <v>1</v>
      </c>
      <c r="G730">
        <f>IF(OR(F_Custom2_Q="(None)",F_Custom2_Q="",ISBLANK(F_Custom2_Q),F_Custom2_V="(All)",F_Custom2_V="",ISBLANK(F_Custom2_V)),1,IFERROR(IF(ISNUMBER(SEARCH("|"&amp;INDEX(INDIRECT(F_Custom2_resolved_column),729)&amp;"|",F_Custom2_wrapped)),1,0),0))</f>
        <v>1</v>
      </c>
      <c r="H730">
        <f>F730*G730*1</f>
        <v>1</v>
      </c>
      <c r="I730">
        <f>1</f>
        <v>1</v>
      </c>
      <c r="J7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729)&amp;"|",All_Questions_Q20_F_wrapped)),1,0),0))</f>
        <v>1</v>
      </c>
    </row>
    <row r="731">
      <c r="A731" t="n">
        <v>730</v>
      </c>
      <c r="B731" t="n">
        <v>28.9</v>
      </c>
      <c r="C731" t="n">
        <v>24.6</v>
      </c>
      <c r="D731" t="n">
        <v>22.9</v>
      </c>
      <c r="E731">
        <f>1</f>
        <v>1</v>
      </c>
      <c r="F731">
        <f>IF(OR(F_Custom1_Q="(None)",F_Custom1_Q="",ISBLANK(F_Custom1_Q),F_Custom1_V="(All)",F_Custom1_V="",ISBLANK(F_Custom1_V)),1,IFERROR(IF(ISNUMBER(SEARCH("|"&amp;INDEX(INDIRECT(F_Custom1_resolved_column),730)&amp;"|",F_Custom1_wrapped)),1,0),0))</f>
        <v>1</v>
      </c>
      <c r="G731">
        <f>IF(OR(F_Custom2_Q="(None)",F_Custom2_Q="",ISBLANK(F_Custom2_Q),F_Custom2_V="(All)",F_Custom2_V="",ISBLANK(F_Custom2_V)),1,IFERROR(IF(ISNUMBER(SEARCH("|"&amp;INDEX(INDIRECT(F_Custom2_resolved_column),730)&amp;"|",F_Custom2_wrapped)),1,0),0))</f>
        <v>1</v>
      </c>
      <c r="H731">
        <f>F731*G731*1</f>
        <v>1</v>
      </c>
      <c r="I731">
        <f>1</f>
        <v>1</v>
      </c>
      <c r="J7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730)&amp;"|",All_Questions_Q20_F_wrapped)),1,0),0))</f>
        <v>1</v>
      </c>
    </row>
    <row r="732">
      <c r="A732" t="n">
        <v>731</v>
      </c>
      <c r="B732" t="n">
        <v>28.9</v>
      </c>
      <c r="C732" t="n">
        <v>24.6</v>
      </c>
      <c r="D732" t="n">
        <v>22.9</v>
      </c>
      <c r="E732">
        <f>1</f>
        <v>1</v>
      </c>
      <c r="F732">
        <f>IF(OR(F_Custom1_Q="(None)",F_Custom1_Q="",ISBLANK(F_Custom1_Q),F_Custom1_V="(All)",F_Custom1_V="",ISBLANK(F_Custom1_V)),1,IFERROR(IF(ISNUMBER(SEARCH("|"&amp;INDEX(INDIRECT(F_Custom1_resolved_column),731)&amp;"|",F_Custom1_wrapped)),1,0),0))</f>
        <v>1</v>
      </c>
      <c r="G732">
        <f>IF(OR(F_Custom2_Q="(None)",F_Custom2_Q="",ISBLANK(F_Custom2_Q),F_Custom2_V="(All)",F_Custom2_V="",ISBLANK(F_Custom2_V)),1,IFERROR(IF(ISNUMBER(SEARCH("|"&amp;INDEX(INDIRECT(F_Custom2_resolved_column),731)&amp;"|",F_Custom2_wrapped)),1,0),0))</f>
        <v>1</v>
      </c>
      <c r="H732">
        <f>F732*G732*1</f>
        <v>1</v>
      </c>
      <c r="I732">
        <f>1</f>
        <v>1</v>
      </c>
      <c r="J7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731)&amp;"|",All_Questions_Q20_F_wrapped)),1,0),0))</f>
        <v>1</v>
      </c>
    </row>
    <row r="733">
      <c r="A733" t="n">
        <v>732</v>
      </c>
      <c r="B733" t="n">
        <v>28.9</v>
      </c>
      <c r="C733" t="n">
        <v>24.6</v>
      </c>
      <c r="D733" t="n">
        <v>22.9</v>
      </c>
      <c r="E733">
        <f>1</f>
        <v>1</v>
      </c>
      <c r="F733">
        <f>IF(OR(F_Custom1_Q="(None)",F_Custom1_Q="",ISBLANK(F_Custom1_Q),F_Custom1_V="(All)",F_Custom1_V="",ISBLANK(F_Custom1_V)),1,IFERROR(IF(ISNUMBER(SEARCH("|"&amp;INDEX(INDIRECT(F_Custom1_resolved_column),732)&amp;"|",F_Custom1_wrapped)),1,0),0))</f>
        <v>1</v>
      </c>
      <c r="G733">
        <f>IF(OR(F_Custom2_Q="(None)",F_Custom2_Q="",ISBLANK(F_Custom2_Q),F_Custom2_V="(All)",F_Custom2_V="",ISBLANK(F_Custom2_V)),1,IFERROR(IF(ISNUMBER(SEARCH("|"&amp;INDEX(INDIRECT(F_Custom2_resolved_column),732)&amp;"|",F_Custom2_wrapped)),1,0),0))</f>
        <v>1</v>
      </c>
      <c r="H733">
        <f>F733*G733*1</f>
        <v>1</v>
      </c>
      <c r="I733">
        <f>1</f>
        <v>1</v>
      </c>
      <c r="J7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732)&amp;"|",All_Questions_Q20_F_wrapped)),1,0),0))</f>
        <v>1</v>
      </c>
    </row>
    <row r="734">
      <c r="A734" t="n">
        <v>733</v>
      </c>
      <c r="B734" t="n">
        <v>28.9</v>
      </c>
      <c r="C734" t="n">
        <v>24.6</v>
      </c>
      <c r="D734" t="n">
        <v>22.9</v>
      </c>
      <c r="E734">
        <f>1</f>
        <v>1</v>
      </c>
      <c r="F734">
        <f>IF(OR(F_Custom1_Q="(None)",F_Custom1_Q="",ISBLANK(F_Custom1_Q),F_Custom1_V="(All)",F_Custom1_V="",ISBLANK(F_Custom1_V)),1,IFERROR(IF(ISNUMBER(SEARCH("|"&amp;INDEX(INDIRECT(F_Custom1_resolved_column),733)&amp;"|",F_Custom1_wrapped)),1,0),0))</f>
        <v>1</v>
      </c>
      <c r="G734">
        <f>IF(OR(F_Custom2_Q="(None)",F_Custom2_Q="",ISBLANK(F_Custom2_Q),F_Custom2_V="(All)",F_Custom2_V="",ISBLANK(F_Custom2_V)),1,IFERROR(IF(ISNUMBER(SEARCH("|"&amp;INDEX(INDIRECT(F_Custom2_resolved_column),733)&amp;"|",F_Custom2_wrapped)),1,0),0))</f>
        <v>1</v>
      </c>
      <c r="H734">
        <f>F734*G734*1</f>
        <v>1</v>
      </c>
      <c r="I734">
        <f>1</f>
        <v>1</v>
      </c>
      <c r="J7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733)&amp;"|",All_Questions_Q20_F_wrapped)),1,0),0))</f>
        <v>1</v>
      </c>
    </row>
    <row r="735">
      <c r="A735" t="n">
        <v>734</v>
      </c>
      <c r="B735" t="n">
        <v>28.9</v>
      </c>
      <c r="C735" t="n">
        <v>24.6</v>
      </c>
      <c r="D735" t="n">
        <v>22.9</v>
      </c>
      <c r="E735">
        <f>1</f>
        <v>1</v>
      </c>
      <c r="F735">
        <f>IF(OR(F_Custom1_Q="(None)",F_Custom1_Q="",ISBLANK(F_Custom1_Q),F_Custom1_V="(All)",F_Custom1_V="",ISBLANK(F_Custom1_V)),1,IFERROR(IF(ISNUMBER(SEARCH("|"&amp;INDEX(INDIRECT(F_Custom1_resolved_column),734)&amp;"|",F_Custom1_wrapped)),1,0),0))</f>
        <v>1</v>
      </c>
      <c r="G735">
        <f>IF(OR(F_Custom2_Q="(None)",F_Custom2_Q="",ISBLANK(F_Custom2_Q),F_Custom2_V="(All)",F_Custom2_V="",ISBLANK(F_Custom2_V)),1,IFERROR(IF(ISNUMBER(SEARCH("|"&amp;INDEX(INDIRECT(F_Custom2_resolved_column),734)&amp;"|",F_Custom2_wrapped)),1,0),0))</f>
        <v>1</v>
      </c>
      <c r="H735">
        <f>F735*G735*1</f>
        <v>1</v>
      </c>
      <c r="I735">
        <f>1</f>
        <v>1</v>
      </c>
      <c r="J7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734)&amp;"|",All_Questions_Q20_F_wrapped)),1,0),0))</f>
        <v>1</v>
      </c>
    </row>
    <row r="736">
      <c r="A736" t="n">
        <v>735</v>
      </c>
      <c r="B736" t="n">
        <v>28.9</v>
      </c>
      <c r="C736" t="n">
        <v>24.6</v>
      </c>
      <c r="D736" t="n">
        <v>22.9</v>
      </c>
      <c r="E736">
        <f>1</f>
        <v>1</v>
      </c>
      <c r="F736">
        <f>IF(OR(F_Custom1_Q="(None)",F_Custom1_Q="",ISBLANK(F_Custom1_Q),F_Custom1_V="(All)",F_Custom1_V="",ISBLANK(F_Custom1_V)),1,IFERROR(IF(ISNUMBER(SEARCH("|"&amp;INDEX(INDIRECT(F_Custom1_resolved_column),735)&amp;"|",F_Custom1_wrapped)),1,0),0))</f>
        <v>1</v>
      </c>
      <c r="G736">
        <f>IF(OR(F_Custom2_Q="(None)",F_Custom2_Q="",ISBLANK(F_Custom2_Q),F_Custom2_V="(All)",F_Custom2_V="",ISBLANK(F_Custom2_V)),1,IFERROR(IF(ISNUMBER(SEARCH("|"&amp;INDEX(INDIRECT(F_Custom2_resolved_column),735)&amp;"|",F_Custom2_wrapped)),1,0),0))</f>
        <v>1</v>
      </c>
      <c r="H736">
        <f>F736*G736*1</f>
        <v>1</v>
      </c>
      <c r="I736">
        <f>1</f>
        <v>1</v>
      </c>
      <c r="J7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735)&amp;"|",All_Questions_Q20_F_wrapped)),1,0),0))</f>
        <v>1</v>
      </c>
    </row>
    <row r="737">
      <c r="A737" t="n">
        <v>736</v>
      </c>
      <c r="B737" t="n">
        <v>28.9</v>
      </c>
      <c r="C737" t="n">
        <v>24.6</v>
      </c>
      <c r="D737" t="n">
        <v>22.9</v>
      </c>
      <c r="E737">
        <f>1</f>
        <v>1</v>
      </c>
      <c r="F737">
        <f>IF(OR(F_Custom1_Q="(None)",F_Custom1_Q="",ISBLANK(F_Custom1_Q),F_Custom1_V="(All)",F_Custom1_V="",ISBLANK(F_Custom1_V)),1,IFERROR(IF(ISNUMBER(SEARCH("|"&amp;INDEX(INDIRECT(F_Custom1_resolved_column),736)&amp;"|",F_Custom1_wrapped)),1,0),0))</f>
        <v>1</v>
      </c>
      <c r="G737">
        <f>IF(OR(F_Custom2_Q="(None)",F_Custom2_Q="",ISBLANK(F_Custom2_Q),F_Custom2_V="(All)",F_Custom2_V="",ISBLANK(F_Custom2_V)),1,IFERROR(IF(ISNUMBER(SEARCH("|"&amp;INDEX(INDIRECT(F_Custom2_resolved_column),736)&amp;"|",F_Custom2_wrapped)),1,0),0))</f>
        <v>1</v>
      </c>
      <c r="H737">
        <f>F737*G737*1</f>
        <v>1</v>
      </c>
      <c r="I737">
        <f>1</f>
        <v>1</v>
      </c>
      <c r="J7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736)&amp;"|",All_Questions_Q20_F_wrapped)),1,0),0))</f>
        <v>1</v>
      </c>
    </row>
    <row r="738">
      <c r="A738" t="n">
        <v>737</v>
      </c>
      <c r="B738" t="n">
        <v>28.9</v>
      </c>
      <c r="C738" t="n">
        <v>24.6</v>
      </c>
      <c r="D738" t="n">
        <v>22.9</v>
      </c>
      <c r="E738">
        <f>1</f>
        <v>1</v>
      </c>
      <c r="F738">
        <f>IF(OR(F_Custom1_Q="(None)",F_Custom1_Q="",ISBLANK(F_Custom1_Q),F_Custom1_V="(All)",F_Custom1_V="",ISBLANK(F_Custom1_V)),1,IFERROR(IF(ISNUMBER(SEARCH("|"&amp;INDEX(INDIRECT(F_Custom1_resolved_column),737)&amp;"|",F_Custom1_wrapped)),1,0),0))</f>
        <v>1</v>
      </c>
      <c r="G738">
        <f>IF(OR(F_Custom2_Q="(None)",F_Custom2_Q="",ISBLANK(F_Custom2_Q),F_Custom2_V="(All)",F_Custom2_V="",ISBLANK(F_Custom2_V)),1,IFERROR(IF(ISNUMBER(SEARCH("|"&amp;INDEX(INDIRECT(F_Custom2_resolved_column),737)&amp;"|",F_Custom2_wrapped)),1,0),0))</f>
        <v>1</v>
      </c>
      <c r="H738">
        <f>F738*G738*1</f>
        <v>1</v>
      </c>
      <c r="I738">
        <f>1</f>
        <v>1</v>
      </c>
      <c r="J7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737)&amp;"|",All_Questions_Q20_F_wrapped)),1,0),0))</f>
        <v>1</v>
      </c>
    </row>
    <row r="739">
      <c r="A739" t="n">
        <v>738</v>
      </c>
      <c r="B739" t="n">
        <v>28.9</v>
      </c>
      <c r="C739" t="n">
        <v>24.6</v>
      </c>
      <c r="D739" t="n">
        <v>22.9</v>
      </c>
      <c r="E739">
        <f>1</f>
        <v>1</v>
      </c>
      <c r="F739">
        <f>IF(OR(F_Custom1_Q="(None)",F_Custom1_Q="",ISBLANK(F_Custom1_Q),F_Custom1_V="(All)",F_Custom1_V="",ISBLANK(F_Custom1_V)),1,IFERROR(IF(ISNUMBER(SEARCH("|"&amp;INDEX(INDIRECT(F_Custom1_resolved_column),738)&amp;"|",F_Custom1_wrapped)),1,0),0))</f>
        <v>1</v>
      </c>
      <c r="G739">
        <f>IF(OR(F_Custom2_Q="(None)",F_Custom2_Q="",ISBLANK(F_Custom2_Q),F_Custom2_V="(All)",F_Custom2_V="",ISBLANK(F_Custom2_V)),1,IFERROR(IF(ISNUMBER(SEARCH("|"&amp;INDEX(INDIRECT(F_Custom2_resolved_column),738)&amp;"|",F_Custom2_wrapped)),1,0),0))</f>
        <v>1</v>
      </c>
      <c r="H739">
        <f>F739*G739*1</f>
        <v>1</v>
      </c>
      <c r="I739">
        <f>1</f>
        <v>1</v>
      </c>
      <c r="J7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738)&amp;"|",All_Questions_Q20_F_wrapped)),1,0),0))</f>
        <v>1</v>
      </c>
    </row>
    <row r="740">
      <c r="A740" t="n">
        <v>739</v>
      </c>
      <c r="B740" t="n">
        <v>28.9</v>
      </c>
      <c r="C740" t="n">
        <v>24.6</v>
      </c>
      <c r="D740" t="n">
        <v>22.9</v>
      </c>
      <c r="E740">
        <f>1</f>
        <v>1</v>
      </c>
      <c r="F740">
        <f>IF(OR(F_Custom1_Q="(None)",F_Custom1_Q="",ISBLANK(F_Custom1_Q),F_Custom1_V="(All)",F_Custom1_V="",ISBLANK(F_Custom1_V)),1,IFERROR(IF(ISNUMBER(SEARCH("|"&amp;INDEX(INDIRECT(F_Custom1_resolved_column),739)&amp;"|",F_Custom1_wrapped)),1,0),0))</f>
        <v>1</v>
      </c>
      <c r="G740">
        <f>IF(OR(F_Custom2_Q="(None)",F_Custom2_Q="",ISBLANK(F_Custom2_Q),F_Custom2_V="(All)",F_Custom2_V="",ISBLANK(F_Custom2_V)),1,IFERROR(IF(ISNUMBER(SEARCH("|"&amp;INDEX(INDIRECT(F_Custom2_resolved_column),739)&amp;"|",F_Custom2_wrapped)),1,0),0))</f>
        <v>1</v>
      </c>
      <c r="H740">
        <f>F740*G740*1</f>
        <v>1</v>
      </c>
      <c r="I740">
        <f>1</f>
        <v>1</v>
      </c>
      <c r="J7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739)&amp;"|",All_Questions_Q20_F_wrapped)),1,0),0))</f>
        <v>1</v>
      </c>
    </row>
    <row r="741">
      <c r="A741" t="n">
        <v>740</v>
      </c>
      <c r="B741" t="n">
        <v>28.9</v>
      </c>
      <c r="C741" t="n">
        <v>24.6</v>
      </c>
      <c r="D741" t="n">
        <v>22.9</v>
      </c>
      <c r="E741">
        <f>1</f>
        <v>1</v>
      </c>
      <c r="F741">
        <f>IF(OR(F_Custom1_Q="(None)",F_Custom1_Q="",ISBLANK(F_Custom1_Q),F_Custom1_V="(All)",F_Custom1_V="",ISBLANK(F_Custom1_V)),1,IFERROR(IF(ISNUMBER(SEARCH("|"&amp;INDEX(INDIRECT(F_Custom1_resolved_column),740)&amp;"|",F_Custom1_wrapped)),1,0),0))</f>
        <v>1</v>
      </c>
      <c r="G741">
        <f>IF(OR(F_Custom2_Q="(None)",F_Custom2_Q="",ISBLANK(F_Custom2_Q),F_Custom2_V="(All)",F_Custom2_V="",ISBLANK(F_Custom2_V)),1,IFERROR(IF(ISNUMBER(SEARCH("|"&amp;INDEX(INDIRECT(F_Custom2_resolved_column),740)&amp;"|",F_Custom2_wrapped)),1,0),0))</f>
        <v>1</v>
      </c>
      <c r="H741">
        <f>F741*G741*1</f>
        <v>1</v>
      </c>
      <c r="I741">
        <f>1</f>
        <v>1</v>
      </c>
      <c r="J7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740)&amp;"|",All_Questions_Q20_F_wrapped)),1,0),0))</f>
        <v>1</v>
      </c>
    </row>
    <row r="742">
      <c r="A742" t="n">
        <v>741</v>
      </c>
      <c r="B742" t="n">
        <v>28.9</v>
      </c>
      <c r="C742" t="n">
        <v>24.6</v>
      </c>
      <c r="D742" t="n">
        <v>22.9</v>
      </c>
      <c r="E742">
        <f>1</f>
        <v>1</v>
      </c>
      <c r="F742">
        <f>IF(OR(F_Custom1_Q="(None)",F_Custom1_Q="",ISBLANK(F_Custom1_Q),F_Custom1_V="(All)",F_Custom1_V="",ISBLANK(F_Custom1_V)),1,IFERROR(IF(ISNUMBER(SEARCH("|"&amp;INDEX(INDIRECT(F_Custom1_resolved_column),741)&amp;"|",F_Custom1_wrapped)),1,0),0))</f>
        <v>1</v>
      </c>
      <c r="G742">
        <f>IF(OR(F_Custom2_Q="(None)",F_Custom2_Q="",ISBLANK(F_Custom2_Q),F_Custom2_V="(All)",F_Custom2_V="",ISBLANK(F_Custom2_V)),1,IFERROR(IF(ISNUMBER(SEARCH("|"&amp;INDEX(INDIRECT(F_Custom2_resolved_column),741)&amp;"|",F_Custom2_wrapped)),1,0),0))</f>
        <v>1</v>
      </c>
      <c r="H742">
        <f>F742*G742*1</f>
        <v>1</v>
      </c>
      <c r="I742">
        <f>1</f>
        <v>1</v>
      </c>
      <c r="J7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741)&amp;"|",All_Questions_Q20_F_wrapped)),1,0),0))</f>
        <v>1</v>
      </c>
    </row>
    <row r="743">
      <c r="A743" t="n">
        <v>742</v>
      </c>
      <c r="B743" t="n">
        <v>28.9</v>
      </c>
      <c r="C743" t="n">
        <v>24.6</v>
      </c>
      <c r="D743" t="n">
        <v>22.9</v>
      </c>
      <c r="E743">
        <f>1</f>
        <v>1</v>
      </c>
      <c r="F743">
        <f>IF(OR(F_Custom1_Q="(None)",F_Custom1_Q="",ISBLANK(F_Custom1_Q),F_Custom1_V="(All)",F_Custom1_V="",ISBLANK(F_Custom1_V)),1,IFERROR(IF(ISNUMBER(SEARCH("|"&amp;INDEX(INDIRECT(F_Custom1_resolved_column),742)&amp;"|",F_Custom1_wrapped)),1,0),0))</f>
        <v>1</v>
      </c>
      <c r="G743">
        <f>IF(OR(F_Custom2_Q="(None)",F_Custom2_Q="",ISBLANK(F_Custom2_Q),F_Custom2_V="(All)",F_Custom2_V="",ISBLANK(F_Custom2_V)),1,IFERROR(IF(ISNUMBER(SEARCH("|"&amp;INDEX(INDIRECT(F_Custom2_resolved_column),742)&amp;"|",F_Custom2_wrapped)),1,0),0))</f>
        <v>1</v>
      </c>
      <c r="H743">
        <f>F743*G743*1</f>
        <v>1</v>
      </c>
      <c r="I743">
        <f>1</f>
        <v>1</v>
      </c>
      <c r="J7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742)&amp;"|",All_Questions_Q20_F_wrapped)),1,0),0))</f>
        <v>1</v>
      </c>
    </row>
    <row r="744">
      <c r="A744" t="n">
        <v>743</v>
      </c>
      <c r="B744" t="n">
        <v>28.9</v>
      </c>
      <c r="C744" t="n">
        <v>24.6</v>
      </c>
      <c r="D744" t="n">
        <v>22.9</v>
      </c>
      <c r="E744">
        <f>1</f>
        <v>1</v>
      </c>
      <c r="F744">
        <f>IF(OR(F_Custom1_Q="(None)",F_Custom1_Q="",ISBLANK(F_Custom1_Q),F_Custom1_V="(All)",F_Custom1_V="",ISBLANK(F_Custom1_V)),1,IFERROR(IF(ISNUMBER(SEARCH("|"&amp;INDEX(INDIRECT(F_Custom1_resolved_column),743)&amp;"|",F_Custom1_wrapped)),1,0),0))</f>
        <v>1</v>
      </c>
      <c r="G744">
        <f>IF(OR(F_Custom2_Q="(None)",F_Custom2_Q="",ISBLANK(F_Custom2_Q),F_Custom2_V="(All)",F_Custom2_V="",ISBLANK(F_Custom2_V)),1,IFERROR(IF(ISNUMBER(SEARCH("|"&amp;INDEX(INDIRECT(F_Custom2_resolved_column),743)&amp;"|",F_Custom2_wrapped)),1,0),0))</f>
        <v>1</v>
      </c>
      <c r="H744">
        <f>F744*G744*1</f>
        <v>1</v>
      </c>
      <c r="I744">
        <f>1</f>
        <v>1</v>
      </c>
      <c r="J7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743)&amp;"|",All_Questions_Q20_F_wrapped)),1,0),0))</f>
        <v>1</v>
      </c>
    </row>
    <row r="745">
      <c r="A745" t="n">
        <v>744</v>
      </c>
      <c r="B745" t="n">
        <v>28.9</v>
      </c>
      <c r="C745" t="n">
        <v>24.6</v>
      </c>
      <c r="D745" t="n">
        <v>22.9</v>
      </c>
      <c r="E745">
        <f>1</f>
        <v>1</v>
      </c>
      <c r="F745">
        <f>IF(OR(F_Custom1_Q="(None)",F_Custom1_Q="",ISBLANK(F_Custom1_Q),F_Custom1_V="(All)",F_Custom1_V="",ISBLANK(F_Custom1_V)),1,IFERROR(IF(ISNUMBER(SEARCH("|"&amp;INDEX(INDIRECT(F_Custom1_resolved_column),744)&amp;"|",F_Custom1_wrapped)),1,0),0))</f>
        <v>1</v>
      </c>
      <c r="G745">
        <f>IF(OR(F_Custom2_Q="(None)",F_Custom2_Q="",ISBLANK(F_Custom2_Q),F_Custom2_V="(All)",F_Custom2_V="",ISBLANK(F_Custom2_V)),1,IFERROR(IF(ISNUMBER(SEARCH("|"&amp;INDEX(INDIRECT(F_Custom2_resolved_column),744)&amp;"|",F_Custom2_wrapped)),1,0),0))</f>
        <v>1</v>
      </c>
      <c r="H745">
        <f>F745*G745*1</f>
        <v>1</v>
      </c>
      <c r="I745">
        <f>1</f>
        <v>1</v>
      </c>
      <c r="J7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744)&amp;"|",All_Questions_Q20_F_wrapped)),1,0),0))</f>
        <v>1</v>
      </c>
    </row>
    <row r="746">
      <c r="A746" t="n">
        <v>745</v>
      </c>
      <c r="B746" t="n">
        <v>28.9</v>
      </c>
      <c r="C746" t="n">
        <v>24.6</v>
      </c>
      <c r="D746" t="n">
        <v>22.9</v>
      </c>
      <c r="E746">
        <f>1</f>
        <v>1</v>
      </c>
      <c r="F746">
        <f>IF(OR(F_Custom1_Q="(None)",F_Custom1_Q="",ISBLANK(F_Custom1_Q),F_Custom1_V="(All)",F_Custom1_V="",ISBLANK(F_Custom1_V)),1,IFERROR(IF(ISNUMBER(SEARCH("|"&amp;INDEX(INDIRECT(F_Custom1_resolved_column),745)&amp;"|",F_Custom1_wrapped)),1,0),0))</f>
        <v>1</v>
      </c>
      <c r="G746">
        <f>IF(OR(F_Custom2_Q="(None)",F_Custom2_Q="",ISBLANK(F_Custom2_Q),F_Custom2_V="(All)",F_Custom2_V="",ISBLANK(F_Custom2_V)),1,IFERROR(IF(ISNUMBER(SEARCH("|"&amp;INDEX(INDIRECT(F_Custom2_resolved_column),745)&amp;"|",F_Custom2_wrapped)),1,0),0))</f>
        <v>1</v>
      </c>
      <c r="H746">
        <f>F746*G746*1</f>
        <v>1</v>
      </c>
      <c r="I746">
        <f>1</f>
        <v>1</v>
      </c>
      <c r="J7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745)&amp;"|",All_Questions_Q20_F_wrapped)),1,0),0))</f>
        <v>1</v>
      </c>
    </row>
    <row r="747">
      <c r="A747" t="n">
        <v>746</v>
      </c>
      <c r="B747" t="n">
        <v>28.9</v>
      </c>
      <c r="C747" t="n">
        <v>24.6</v>
      </c>
      <c r="D747" t="n">
        <v>22.9</v>
      </c>
      <c r="E747">
        <f>1</f>
        <v>1</v>
      </c>
      <c r="F747">
        <f>IF(OR(F_Custom1_Q="(None)",F_Custom1_Q="",ISBLANK(F_Custom1_Q),F_Custom1_V="(All)",F_Custom1_V="",ISBLANK(F_Custom1_V)),1,IFERROR(IF(ISNUMBER(SEARCH("|"&amp;INDEX(INDIRECT(F_Custom1_resolved_column),746)&amp;"|",F_Custom1_wrapped)),1,0),0))</f>
        <v>1</v>
      </c>
      <c r="G747">
        <f>IF(OR(F_Custom2_Q="(None)",F_Custom2_Q="",ISBLANK(F_Custom2_Q),F_Custom2_V="(All)",F_Custom2_V="",ISBLANK(F_Custom2_V)),1,IFERROR(IF(ISNUMBER(SEARCH("|"&amp;INDEX(INDIRECT(F_Custom2_resolved_column),746)&amp;"|",F_Custom2_wrapped)),1,0),0))</f>
        <v>1</v>
      </c>
      <c r="H747">
        <f>F747*G747*1</f>
        <v>1</v>
      </c>
      <c r="I747">
        <f>1</f>
        <v>1</v>
      </c>
      <c r="J7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746)&amp;"|",All_Questions_Q20_F_wrapped)),1,0),0))</f>
        <v>1</v>
      </c>
    </row>
    <row r="748">
      <c r="A748" t="n">
        <v>747</v>
      </c>
      <c r="B748" t="n">
        <v>28.9</v>
      </c>
      <c r="C748" t="n">
        <v>24.6</v>
      </c>
      <c r="D748" t="n">
        <v>22.9</v>
      </c>
      <c r="E748">
        <f>1</f>
        <v>1</v>
      </c>
      <c r="F748">
        <f>IF(OR(F_Custom1_Q="(None)",F_Custom1_Q="",ISBLANK(F_Custom1_Q),F_Custom1_V="(All)",F_Custom1_V="",ISBLANK(F_Custom1_V)),1,IFERROR(IF(ISNUMBER(SEARCH("|"&amp;INDEX(INDIRECT(F_Custom1_resolved_column),747)&amp;"|",F_Custom1_wrapped)),1,0),0))</f>
        <v>1</v>
      </c>
      <c r="G748">
        <f>IF(OR(F_Custom2_Q="(None)",F_Custom2_Q="",ISBLANK(F_Custom2_Q),F_Custom2_V="(All)",F_Custom2_V="",ISBLANK(F_Custom2_V)),1,IFERROR(IF(ISNUMBER(SEARCH("|"&amp;INDEX(INDIRECT(F_Custom2_resolved_column),747)&amp;"|",F_Custom2_wrapped)),1,0),0))</f>
        <v>1</v>
      </c>
      <c r="H748">
        <f>F748*G748*1</f>
        <v>1</v>
      </c>
      <c r="I748">
        <f>1</f>
        <v>1</v>
      </c>
      <c r="J7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747)&amp;"|",All_Questions_Q20_F_wrapped)),1,0),0))</f>
        <v>1</v>
      </c>
    </row>
    <row r="749">
      <c r="A749" t="n">
        <v>748</v>
      </c>
      <c r="B749" t="n">
        <v>28.9</v>
      </c>
      <c r="C749" t="n">
        <v>24.6</v>
      </c>
      <c r="D749" t="n">
        <v>22.9</v>
      </c>
      <c r="E749">
        <f>1</f>
        <v>1</v>
      </c>
      <c r="F749">
        <f>IF(OR(F_Custom1_Q="(None)",F_Custom1_Q="",ISBLANK(F_Custom1_Q),F_Custom1_V="(All)",F_Custom1_V="",ISBLANK(F_Custom1_V)),1,IFERROR(IF(ISNUMBER(SEARCH("|"&amp;INDEX(INDIRECT(F_Custom1_resolved_column),748)&amp;"|",F_Custom1_wrapped)),1,0),0))</f>
        <v>1</v>
      </c>
      <c r="G749">
        <f>IF(OR(F_Custom2_Q="(None)",F_Custom2_Q="",ISBLANK(F_Custom2_Q),F_Custom2_V="(All)",F_Custom2_V="",ISBLANK(F_Custom2_V)),1,IFERROR(IF(ISNUMBER(SEARCH("|"&amp;INDEX(INDIRECT(F_Custom2_resolved_column),748)&amp;"|",F_Custom2_wrapped)),1,0),0))</f>
        <v>1</v>
      </c>
      <c r="H749">
        <f>F749*G749*1</f>
        <v>1</v>
      </c>
      <c r="I749">
        <f>1</f>
        <v>1</v>
      </c>
      <c r="J7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748)&amp;"|",All_Questions_Q20_F_wrapped)),1,0),0))</f>
        <v>1</v>
      </c>
    </row>
    <row r="750">
      <c r="A750" t="n">
        <v>749</v>
      </c>
      <c r="B750" t="n">
        <v>28.9</v>
      </c>
      <c r="C750" t="n">
        <v>24.6</v>
      </c>
      <c r="D750" t="n">
        <v>22.9</v>
      </c>
      <c r="E750">
        <f>1</f>
        <v>1</v>
      </c>
      <c r="F750">
        <f>IF(OR(F_Custom1_Q="(None)",F_Custom1_Q="",ISBLANK(F_Custom1_Q),F_Custom1_V="(All)",F_Custom1_V="",ISBLANK(F_Custom1_V)),1,IFERROR(IF(ISNUMBER(SEARCH("|"&amp;INDEX(INDIRECT(F_Custom1_resolved_column),749)&amp;"|",F_Custom1_wrapped)),1,0),0))</f>
        <v>1</v>
      </c>
      <c r="G750">
        <f>IF(OR(F_Custom2_Q="(None)",F_Custom2_Q="",ISBLANK(F_Custom2_Q),F_Custom2_V="(All)",F_Custom2_V="",ISBLANK(F_Custom2_V)),1,IFERROR(IF(ISNUMBER(SEARCH("|"&amp;INDEX(INDIRECT(F_Custom2_resolved_column),749)&amp;"|",F_Custom2_wrapped)),1,0),0))</f>
        <v>1</v>
      </c>
      <c r="H750">
        <f>F750*G750*1</f>
        <v>1</v>
      </c>
      <c r="I750">
        <f>1</f>
        <v>1</v>
      </c>
      <c r="J7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749)&amp;"|",All_Questions_Q20_F_wrapped)),1,0),0))</f>
        <v>1</v>
      </c>
    </row>
    <row r="751">
      <c r="A751" t="n">
        <v>750</v>
      </c>
      <c r="B751" t="n">
        <v>28.9</v>
      </c>
      <c r="C751" t="n">
        <v>24.6</v>
      </c>
      <c r="D751" t="n">
        <v>22.9</v>
      </c>
      <c r="E751">
        <f>1</f>
        <v>1</v>
      </c>
      <c r="F751">
        <f>IF(OR(F_Custom1_Q="(None)",F_Custom1_Q="",ISBLANK(F_Custom1_Q),F_Custom1_V="(All)",F_Custom1_V="",ISBLANK(F_Custom1_V)),1,IFERROR(IF(ISNUMBER(SEARCH("|"&amp;INDEX(INDIRECT(F_Custom1_resolved_column),750)&amp;"|",F_Custom1_wrapped)),1,0),0))</f>
        <v>1</v>
      </c>
      <c r="G751">
        <f>IF(OR(F_Custom2_Q="(None)",F_Custom2_Q="",ISBLANK(F_Custom2_Q),F_Custom2_V="(All)",F_Custom2_V="",ISBLANK(F_Custom2_V)),1,IFERROR(IF(ISNUMBER(SEARCH("|"&amp;INDEX(INDIRECT(F_Custom2_resolved_column),750)&amp;"|",F_Custom2_wrapped)),1,0),0))</f>
        <v>1</v>
      </c>
      <c r="H751">
        <f>F751*G751*1</f>
        <v>1</v>
      </c>
      <c r="I751">
        <f>1</f>
        <v>1</v>
      </c>
      <c r="J7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750)&amp;"|",All_Questions_Q20_F_wrapped)),1,0),0))</f>
        <v>1</v>
      </c>
    </row>
    <row r="752">
      <c r="A752" t="n">
        <v>751</v>
      </c>
      <c r="B752" t="n">
        <v>28.9</v>
      </c>
      <c r="C752" t="n">
        <v>24.6</v>
      </c>
      <c r="D752" t="n">
        <v>22.9</v>
      </c>
      <c r="E752">
        <f>1</f>
        <v>1</v>
      </c>
      <c r="F752">
        <f>IF(OR(F_Custom1_Q="(None)",F_Custom1_Q="",ISBLANK(F_Custom1_Q),F_Custom1_V="(All)",F_Custom1_V="",ISBLANK(F_Custom1_V)),1,IFERROR(IF(ISNUMBER(SEARCH("|"&amp;INDEX(INDIRECT(F_Custom1_resolved_column),751)&amp;"|",F_Custom1_wrapped)),1,0),0))</f>
        <v>1</v>
      </c>
      <c r="G752">
        <f>IF(OR(F_Custom2_Q="(None)",F_Custom2_Q="",ISBLANK(F_Custom2_Q),F_Custom2_V="(All)",F_Custom2_V="",ISBLANK(F_Custom2_V)),1,IFERROR(IF(ISNUMBER(SEARCH("|"&amp;INDEX(INDIRECT(F_Custom2_resolved_column),751)&amp;"|",F_Custom2_wrapped)),1,0),0))</f>
        <v>1</v>
      </c>
      <c r="H752">
        <f>F752*G752*1</f>
        <v>1</v>
      </c>
      <c r="I752">
        <f>1</f>
        <v>1</v>
      </c>
      <c r="J7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751)&amp;"|",All_Questions_Q20_F_wrapped)),1,0),0))</f>
        <v>1</v>
      </c>
    </row>
    <row r="753">
      <c r="A753" t="n">
        <v>752</v>
      </c>
      <c r="B753" t="n">
        <v>28.9</v>
      </c>
      <c r="C753" t="n">
        <v>24.6</v>
      </c>
      <c r="D753" t="n">
        <v>22.9</v>
      </c>
      <c r="E753">
        <f>1</f>
        <v>1</v>
      </c>
      <c r="F753">
        <f>IF(OR(F_Custom1_Q="(None)",F_Custom1_Q="",ISBLANK(F_Custom1_Q),F_Custom1_V="(All)",F_Custom1_V="",ISBLANK(F_Custom1_V)),1,IFERROR(IF(ISNUMBER(SEARCH("|"&amp;INDEX(INDIRECT(F_Custom1_resolved_column),752)&amp;"|",F_Custom1_wrapped)),1,0),0))</f>
        <v>1</v>
      </c>
      <c r="G753">
        <f>IF(OR(F_Custom2_Q="(None)",F_Custom2_Q="",ISBLANK(F_Custom2_Q),F_Custom2_V="(All)",F_Custom2_V="",ISBLANK(F_Custom2_V)),1,IFERROR(IF(ISNUMBER(SEARCH("|"&amp;INDEX(INDIRECT(F_Custom2_resolved_column),752)&amp;"|",F_Custom2_wrapped)),1,0),0))</f>
        <v>1</v>
      </c>
      <c r="H753">
        <f>F753*G753*1</f>
        <v>1</v>
      </c>
      <c r="I753">
        <f>1</f>
        <v>1</v>
      </c>
      <c r="J7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752)&amp;"|",All_Questions_Q20_F_wrapped)),1,0),0))</f>
        <v>1</v>
      </c>
    </row>
    <row r="754">
      <c r="A754" t="n">
        <v>753</v>
      </c>
      <c r="B754" t="n">
        <v>28.9</v>
      </c>
      <c r="C754" t="n">
        <v>24.6</v>
      </c>
      <c r="D754" t="n">
        <v>22.9</v>
      </c>
      <c r="E754">
        <f>1</f>
        <v>1</v>
      </c>
      <c r="F754">
        <f>IF(OR(F_Custom1_Q="(None)",F_Custom1_Q="",ISBLANK(F_Custom1_Q),F_Custom1_V="(All)",F_Custom1_V="",ISBLANK(F_Custom1_V)),1,IFERROR(IF(ISNUMBER(SEARCH("|"&amp;INDEX(INDIRECT(F_Custom1_resolved_column),753)&amp;"|",F_Custom1_wrapped)),1,0),0))</f>
        <v>1</v>
      </c>
      <c r="G754">
        <f>IF(OR(F_Custom2_Q="(None)",F_Custom2_Q="",ISBLANK(F_Custom2_Q),F_Custom2_V="(All)",F_Custom2_V="",ISBLANK(F_Custom2_V)),1,IFERROR(IF(ISNUMBER(SEARCH("|"&amp;INDEX(INDIRECT(F_Custom2_resolved_column),753)&amp;"|",F_Custom2_wrapped)),1,0),0))</f>
        <v>1</v>
      </c>
      <c r="H754">
        <f>F754*G754*1</f>
        <v>1</v>
      </c>
      <c r="I754">
        <f>1</f>
        <v>1</v>
      </c>
      <c r="J7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753)&amp;"|",All_Questions_Q20_F_wrapped)),1,0),0))</f>
        <v>1</v>
      </c>
    </row>
    <row r="755">
      <c r="A755" t="n">
        <v>754</v>
      </c>
      <c r="B755" t="n">
        <v>28.9</v>
      </c>
      <c r="C755" t="n">
        <v>24.6</v>
      </c>
      <c r="D755" t="n">
        <v>22.9</v>
      </c>
      <c r="E755">
        <f>1</f>
        <v>1</v>
      </c>
      <c r="F755">
        <f>IF(OR(F_Custom1_Q="(None)",F_Custom1_Q="",ISBLANK(F_Custom1_Q),F_Custom1_V="(All)",F_Custom1_V="",ISBLANK(F_Custom1_V)),1,IFERROR(IF(ISNUMBER(SEARCH("|"&amp;INDEX(INDIRECT(F_Custom1_resolved_column),754)&amp;"|",F_Custom1_wrapped)),1,0),0))</f>
        <v>1</v>
      </c>
      <c r="G755">
        <f>IF(OR(F_Custom2_Q="(None)",F_Custom2_Q="",ISBLANK(F_Custom2_Q),F_Custom2_V="(All)",F_Custom2_V="",ISBLANK(F_Custom2_V)),1,IFERROR(IF(ISNUMBER(SEARCH("|"&amp;INDEX(INDIRECT(F_Custom2_resolved_column),754)&amp;"|",F_Custom2_wrapped)),1,0),0))</f>
        <v>1</v>
      </c>
      <c r="H755">
        <f>F755*G755*1</f>
        <v>1</v>
      </c>
      <c r="I755">
        <f>1</f>
        <v>1</v>
      </c>
      <c r="J7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754)&amp;"|",All_Questions_Q20_F_wrapped)),1,0),0))</f>
        <v>1</v>
      </c>
    </row>
    <row r="756">
      <c r="A756" t="n">
        <v>755</v>
      </c>
      <c r="B756" t="n">
        <v>28.9</v>
      </c>
      <c r="C756" t="n">
        <v>24.6</v>
      </c>
      <c r="D756" t="n">
        <v>22.9</v>
      </c>
      <c r="E756">
        <f>1</f>
        <v>1</v>
      </c>
      <c r="F756">
        <f>IF(OR(F_Custom1_Q="(None)",F_Custom1_Q="",ISBLANK(F_Custom1_Q),F_Custom1_V="(All)",F_Custom1_V="",ISBLANK(F_Custom1_V)),1,IFERROR(IF(ISNUMBER(SEARCH("|"&amp;INDEX(INDIRECT(F_Custom1_resolved_column),755)&amp;"|",F_Custom1_wrapped)),1,0),0))</f>
        <v>1</v>
      </c>
      <c r="G756">
        <f>IF(OR(F_Custom2_Q="(None)",F_Custom2_Q="",ISBLANK(F_Custom2_Q),F_Custom2_V="(All)",F_Custom2_V="",ISBLANK(F_Custom2_V)),1,IFERROR(IF(ISNUMBER(SEARCH("|"&amp;INDEX(INDIRECT(F_Custom2_resolved_column),755)&amp;"|",F_Custom2_wrapped)),1,0),0))</f>
        <v>1</v>
      </c>
      <c r="H756">
        <f>F756*G756*1</f>
        <v>1</v>
      </c>
      <c r="I756">
        <f>1</f>
        <v>1</v>
      </c>
      <c r="J7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755)&amp;"|",All_Questions_Q20_F_wrapped)),1,0),0))</f>
        <v>1</v>
      </c>
    </row>
    <row r="757">
      <c r="A757" t="n">
        <v>756</v>
      </c>
      <c r="B757" t="n">
        <v>28.9</v>
      </c>
      <c r="C757" t="n">
        <v>24.6</v>
      </c>
      <c r="D757" t="n">
        <v>22.9</v>
      </c>
      <c r="E757">
        <f>1</f>
        <v>1</v>
      </c>
      <c r="F757">
        <f>IF(OR(F_Custom1_Q="(None)",F_Custom1_Q="",ISBLANK(F_Custom1_Q),F_Custom1_V="(All)",F_Custom1_V="",ISBLANK(F_Custom1_V)),1,IFERROR(IF(ISNUMBER(SEARCH("|"&amp;INDEX(INDIRECT(F_Custom1_resolved_column),756)&amp;"|",F_Custom1_wrapped)),1,0),0))</f>
        <v>1</v>
      </c>
      <c r="G757">
        <f>IF(OR(F_Custom2_Q="(None)",F_Custom2_Q="",ISBLANK(F_Custom2_Q),F_Custom2_V="(All)",F_Custom2_V="",ISBLANK(F_Custom2_V)),1,IFERROR(IF(ISNUMBER(SEARCH("|"&amp;INDEX(INDIRECT(F_Custom2_resolved_column),756)&amp;"|",F_Custom2_wrapped)),1,0),0))</f>
        <v>1</v>
      </c>
      <c r="H757">
        <f>F757*G757*1</f>
        <v>1</v>
      </c>
      <c r="I757">
        <f>1</f>
        <v>1</v>
      </c>
      <c r="J7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756)&amp;"|",All_Questions_Q20_F_wrapped)),1,0),0))</f>
        <v>1</v>
      </c>
    </row>
    <row r="758">
      <c r="A758" t="n">
        <v>757</v>
      </c>
      <c r="B758" t="n">
        <v>28.9</v>
      </c>
      <c r="C758" t="n">
        <v>24.6</v>
      </c>
      <c r="D758" t="n">
        <v>22.9</v>
      </c>
      <c r="E758">
        <f>1</f>
        <v>1</v>
      </c>
      <c r="F758">
        <f>IF(OR(F_Custom1_Q="(None)",F_Custom1_Q="",ISBLANK(F_Custom1_Q),F_Custom1_V="(All)",F_Custom1_V="",ISBLANK(F_Custom1_V)),1,IFERROR(IF(ISNUMBER(SEARCH("|"&amp;INDEX(INDIRECT(F_Custom1_resolved_column),757)&amp;"|",F_Custom1_wrapped)),1,0),0))</f>
        <v>1</v>
      </c>
      <c r="G758">
        <f>IF(OR(F_Custom2_Q="(None)",F_Custom2_Q="",ISBLANK(F_Custom2_Q),F_Custom2_V="(All)",F_Custom2_V="",ISBLANK(F_Custom2_V)),1,IFERROR(IF(ISNUMBER(SEARCH("|"&amp;INDEX(INDIRECT(F_Custom2_resolved_column),757)&amp;"|",F_Custom2_wrapped)),1,0),0))</f>
        <v>1</v>
      </c>
      <c r="H758">
        <f>F758*G758*1</f>
        <v>1</v>
      </c>
      <c r="I758">
        <f>1</f>
        <v>1</v>
      </c>
      <c r="J7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757)&amp;"|",All_Questions_Q20_F_wrapped)),1,0),0))</f>
        <v>1</v>
      </c>
    </row>
    <row r="759">
      <c r="A759" t="n">
        <v>758</v>
      </c>
      <c r="B759" t="n">
        <v>28.9</v>
      </c>
      <c r="C759" t="n">
        <v>24.6</v>
      </c>
      <c r="D759" t="n">
        <v>22.9</v>
      </c>
      <c r="E759">
        <f>1</f>
        <v>1</v>
      </c>
      <c r="F759">
        <f>IF(OR(F_Custom1_Q="(None)",F_Custom1_Q="",ISBLANK(F_Custom1_Q),F_Custom1_V="(All)",F_Custom1_V="",ISBLANK(F_Custom1_V)),1,IFERROR(IF(ISNUMBER(SEARCH("|"&amp;INDEX(INDIRECT(F_Custom1_resolved_column),758)&amp;"|",F_Custom1_wrapped)),1,0),0))</f>
        <v>1</v>
      </c>
      <c r="G759">
        <f>IF(OR(F_Custom2_Q="(None)",F_Custom2_Q="",ISBLANK(F_Custom2_Q),F_Custom2_V="(All)",F_Custom2_V="",ISBLANK(F_Custom2_V)),1,IFERROR(IF(ISNUMBER(SEARCH("|"&amp;INDEX(INDIRECT(F_Custom2_resolved_column),758)&amp;"|",F_Custom2_wrapped)),1,0),0))</f>
        <v>1</v>
      </c>
      <c r="H759">
        <f>F759*G759*1</f>
        <v>1</v>
      </c>
      <c r="I759">
        <f>1</f>
        <v>1</v>
      </c>
      <c r="J7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758)&amp;"|",All_Questions_Q20_F_wrapped)),1,0),0))</f>
        <v>1</v>
      </c>
    </row>
    <row r="760">
      <c r="A760" t="n">
        <v>759</v>
      </c>
      <c r="B760" t="n">
        <v>28.9</v>
      </c>
      <c r="C760" t="n">
        <v>24.6</v>
      </c>
      <c r="D760" t="n">
        <v>22.9</v>
      </c>
      <c r="E760">
        <f>1</f>
        <v>1</v>
      </c>
      <c r="F760">
        <f>IF(OR(F_Custom1_Q="(None)",F_Custom1_Q="",ISBLANK(F_Custom1_Q),F_Custom1_V="(All)",F_Custom1_V="",ISBLANK(F_Custom1_V)),1,IFERROR(IF(ISNUMBER(SEARCH("|"&amp;INDEX(INDIRECT(F_Custom1_resolved_column),759)&amp;"|",F_Custom1_wrapped)),1,0),0))</f>
        <v>1</v>
      </c>
      <c r="G760">
        <f>IF(OR(F_Custom2_Q="(None)",F_Custom2_Q="",ISBLANK(F_Custom2_Q),F_Custom2_V="(All)",F_Custom2_V="",ISBLANK(F_Custom2_V)),1,IFERROR(IF(ISNUMBER(SEARCH("|"&amp;INDEX(INDIRECT(F_Custom2_resolved_column),759)&amp;"|",F_Custom2_wrapped)),1,0),0))</f>
        <v>1</v>
      </c>
      <c r="H760">
        <f>F760*G760*1</f>
        <v>1</v>
      </c>
      <c r="I760">
        <f>1</f>
        <v>1</v>
      </c>
      <c r="J7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759)&amp;"|",All_Questions_Q20_F_wrapped)),1,0),0))</f>
        <v>1</v>
      </c>
    </row>
    <row r="761">
      <c r="A761" t="n">
        <v>760</v>
      </c>
      <c r="B761" t="n">
        <v>28.9</v>
      </c>
      <c r="C761" t="n">
        <v>24.6</v>
      </c>
      <c r="D761" t="n">
        <v>22.9</v>
      </c>
      <c r="E761">
        <f>1</f>
        <v>1</v>
      </c>
      <c r="F761">
        <f>IF(OR(F_Custom1_Q="(None)",F_Custom1_Q="",ISBLANK(F_Custom1_Q),F_Custom1_V="(All)",F_Custom1_V="",ISBLANK(F_Custom1_V)),1,IFERROR(IF(ISNUMBER(SEARCH("|"&amp;INDEX(INDIRECT(F_Custom1_resolved_column),760)&amp;"|",F_Custom1_wrapped)),1,0),0))</f>
        <v>1</v>
      </c>
      <c r="G761">
        <f>IF(OR(F_Custom2_Q="(None)",F_Custom2_Q="",ISBLANK(F_Custom2_Q),F_Custom2_V="(All)",F_Custom2_V="",ISBLANK(F_Custom2_V)),1,IFERROR(IF(ISNUMBER(SEARCH("|"&amp;INDEX(INDIRECT(F_Custom2_resolved_column),760)&amp;"|",F_Custom2_wrapped)),1,0),0))</f>
        <v>1</v>
      </c>
      <c r="H761">
        <f>F761*G761*1</f>
        <v>1</v>
      </c>
      <c r="I761">
        <f>1</f>
        <v>1</v>
      </c>
      <c r="J7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760)&amp;"|",All_Questions_Q20_F_wrapped)),1,0),0))</f>
        <v>1</v>
      </c>
    </row>
    <row r="762">
      <c r="A762" t="n">
        <v>761</v>
      </c>
      <c r="B762" t="n">
        <v>28.9</v>
      </c>
      <c r="C762" t="n">
        <v>24.6</v>
      </c>
      <c r="D762" t="n">
        <v>22.9</v>
      </c>
      <c r="E762">
        <f>1</f>
        <v>1</v>
      </c>
      <c r="F762">
        <f>IF(OR(F_Custom1_Q="(None)",F_Custom1_Q="",ISBLANK(F_Custom1_Q),F_Custom1_V="(All)",F_Custom1_V="",ISBLANK(F_Custom1_V)),1,IFERROR(IF(ISNUMBER(SEARCH("|"&amp;INDEX(INDIRECT(F_Custom1_resolved_column),761)&amp;"|",F_Custom1_wrapped)),1,0),0))</f>
        <v>1</v>
      </c>
      <c r="G762">
        <f>IF(OR(F_Custom2_Q="(None)",F_Custom2_Q="",ISBLANK(F_Custom2_Q),F_Custom2_V="(All)",F_Custom2_V="",ISBLANK(F_Custom2_V)),1,IFERROR(IF(ISNUMBER(SEARCH("|"&amp;INDEX(INDIRECT(F_Custom2_resolved_column),761)&amp;"|",F_Custom2_wrapped)),1,0),0))</f>
        <v>1</v>
      </c>
      <c r="H762">
        <f>F762*G762*1</f>
        <v>1</v>
      </c>
      <c r="I762">
        <f>1</f>
        <v>1</v>
      </c>
      <c r="J7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761)&amp;"|",All_Questions_Q20_F_wrapped)),1,0),0))</f>
        <v>1</v>
      </c>
    </row>
    <row r="763">
      <c r="A763" t="n">
        <v>762</v>
      </c>
      <c r="B763" t="n">
        <v>28.9</v>
      </c>
      <c r="C763" t="n">
        <v>24.6</v>
      </c>
      <c r="D763" t="n">
        <v>22.9</v>
      </c>
      <c r="E763">
        <f>1</f>
        <v>1</v>
      </c>
      <c r="F763">
        <f>IF(OR(F_Custom1_Q="(None)",F_Custom1_Q="",ISBLANK(F_Custom1_Q),F_Custom1_V="(All)",F_Custom1_V="",ISBLANK(F_Custom1_V)),1,IFERROR(IF(ISNUMBER(SEARCH("|"&amp;INDEX(INDIRECT(F_Custom1_resolved_column),762)&amp;"|",F_Custom1_wrapped)),1,0),0))</f>
        <v>1</v>
      </c>
      <c r="G763">
        <f>IF(OR(F_Custom2_Q="(None)",F_Custom2_Q="",ISBLANK(F_Custom2_Q),F_Custom2_V="(All)",F_Custom2_V="",ISBLANK(F_Custom2_V)),1,IFERROR(IF(ISNUMBER(SEARCH("|"&amp;INDEX(INDIRECT(F_Custom2_resolved_column),762)&amp;"|",F_Custom2_wrapped)),1,0),0))</f>
        <v>1</v>
      </c>
      <c r="H763">
        <f>F763*G763*1</f>
        <v>1</v>
      </c>
      <c r="I763">
        <f>1</f>
        <v>1</v>
      </c>
      <c r="J7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762)&amp;"|",All_Questions_Q20_F_wrapped)),1,0),0))</f>
        <v>1</v>
      </c>
    </row>
    <row r="764">
      <c r="A764" t="n">
        <v>763</v>
      </c>
      <c r="B764" t="n">
        <v>28.9</v>
      </c>
      <c r="C764" t="n">
        <v>24.6</v>
      </c>
      <c r="D764" t="n">
        <v>22.9</v>
      </c>
      <c r="E764">
        <f>1</f>
        <v>1</v>
      </c>
      <c r="F764">
        <f>IF(OR(F_Custom1_Q="(None)",F_Custom1_Q="",ISBLANK(F_Custom1_Q),F_Custom1_V="(All)",F_Custom1_V="",ISBLANK(F_Custom1_V)),1,IFERROR(IF(ISNUMBER(SEARCH("|"&amp;INDEX(INDIRECT(F_Custom1_resolved_column),763)&amp;"|",F_Custom1_wrapped)),1,0),0))</f>
        <v>1</v>
      </c>
      <c r="G764">
        <f>IF(OR(F_Custom2_Q="(None)",F_Custom2_Q="",ISBLANK(F_Custom2_Q),F_Custom2_V="(All)",F_Custom2_V="",ISBLANK(F_Custom2_V)),1,IFERROR(IF(ISNUMBER(SEARCH("|"&amp;INDEX(INDIRECT(F_Custom2_resolved_column),763)&amp;"|",F_Custom2_wrapped)),1,0),0))</f>
        <v>1</v>
      </c>
      <c r="H764">
        <f>F764*G764*1</f>
        <v>1</v>
      </c>
      <c r="I764">
        <f>1</f>
        <v>1</v>
      </c>
      <c r="J7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763)&amp;"|",All_Questions_Q20_F_wrapped)),1,0),0))</f>
        <v>1</v>
      </c>
    </row>
    <row r="765">
      <c r="A765" t="n">
        <v>764</v>
      </c>
      <c r="B765" t="n">
        <v>28.9</v>
      </c>
      <c r="C765" t="n">
        <v>24.6</v>
      </c>
      <c r="D765" t="n">
        <v>22.9</v>
      </c>
      <c r="E765">
        <f>1</f>
        <v>1</v>
      </c>
      <c r="F765">
        <f>IF(OR(F_Custom1_Q="(None)",F_Custom1_Q="",ISBLANK(F_Custom1_Q),F_Custom1_V="(All)",F_Custom1_V="",ISBLANK(F_Custom1_V)),1,IFERROR(IF(ISNUMBER(SEARCH("|"&amp;INDEX(INDIRECT(F_Custom1_resolved_column),764)&amp;"|",F_Custom1_wrapped)),1,0),0))</f>
        <v>1</v>
      </c>
      <c r="G765">
        <f>IF(OR(F_Custom2_Q="(None)",F_Custom2_Q="",ISBLANK(F_Custom2_Q),F_Custom2_V="(All)",F_Custom2_V="",ISBLANK(F_Custom2_V)),1,IFERROR(IF(ISNUMBER(SEARCH("|"&amp;INDEX(INDIRECT(F_Custom2_resolved_column),764)&amp;"|",F_Custom2_wrapped)),1,0),0))</f>
        <v>1</v>
      </c>
      <c r="H765">
        <f>F765*G765*1</f>
        <v>1</v>
      </c>
      <c r="I765">
        <f>1</f>
        <v>1</v>
      </c>
      <c r="J7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764)&amp;"|",All_Questions_Q20_F_wrapped)),1,0),0))</f>
        <v>1</v>
      </c>
    </row>
    <row r="766">
      <c r="A766" t="n">
        <v>765</v>
      </c>
      <c r="B766" t="n">
        <v>28.9</v>
      </c>
      <c r="C766" t="n">
        <v>24.6</v>
      </c>
      <c r="D766" t="n">
        <v>22.9</v>
      </c>
      <c r="E766">
        <f>1</f>
        <v>1</v>
      </c>
      <c r="F766">
        <f>IF(OR(F_Custom1_Q="(None)",F_Custom1_Q="",ISBLANK(F_Custom1_Q),F_Custom1_V="(All)",F_Custom1_V="",ISBLANK(F_Custom1_V)),1,IFERROR(IF(ISNUMBER(SEARCH("|"&amp;INDEX(INDIRECT(F_Custom1_resolved_column),765)&amp;"|",F_Custom1_wrapped)),1,0),0))</f>
        <v>1</v>
      </c>
      <c r="G766">
        <f>IF(OR(F_Custom2_Q="(None)",F_Custom2_Q="",ISBLANK(F_Custom2_Q),F_Custom2_V="(All)",F_Custom2_V="",ISBLANK(F_Custom2_V)),1,IFERROR(IF(ISNUMBER(SEARCH("|"&amp;INDEX(INDIRECT(F_Custom2_resolved_column),765)&amp;"|",F_Custom2_wrapped)),1,0),0))</f>
        <v>1</v>
      </c>
      <c r="H766">
        <f>F766*G766*1</f>
        <v>1</v>
      </c>
      <c r="I766">
        <f>1</f>
        <v>1</v>
      </c>
      <c r="J7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765)&amp;"|",All_Questions_Q20_F_wrapped)),1,0),0))</f>
        <v>1</v>
      </c>
    </row>
    <row r="767">
      <c r="A767" t="n">
        <v>766</v>
      </c>
      <c r="B767" t="n">
        <v>28.9</v>
      </c>
      <c r="C767" t="n">
        <v>24.6</v>
      </c>
      <c r="D767" t="n">
        <v>22.9</v>
      </c>
      <c r="E767">
        <f>1</f>
        <v>1</v>
      </c>
      <c r="F767">
        <f>IF(OR(F_Custom1_Q="(None)",F_Custom1_Q="",ISBLANK(F_Custom1_Q),F_Custom1_V="(All)",F_Custom1_V="",ISBLANK(F_Custom1_V)),1,IFERROR(IF(ISNUMBER(SEARCH("|"&amp;INDEX(INDIRECT(F_Custom1_resolved_column),766)&amp;"|",F_Custom1_wrapped)),1,0),0))</f>
        <v>1</v>
      </c>
      <c r="G767">
        <f>IF(OR(F_Custom2_Q="(None)",F_Custom2_Q="",ISBLANK(F_Custom2_Q),F_Custom2_V="(All)",F_Custom2_V="",ISBLANK(F_Custom2_V)),1,IFERROR(IF(ISNUMBER(SEARCH("|"&amp;INDEX(INDIRECT(F_Custom2_resolved_column),766)&amp;"|",F_Custom2_wrapped)),1,0),0))</f>
        <v>1</v>
      </c>
      <c r="H767">
        <f>F767*G767*1</f>
        <v>1</v>
      </c>
      <c r="I767">
        <f>1</f>
        <v>1</v>
      </c>
      <c r="J7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766)&amp;"|",All_Questions_Q20_F_wrapped)),1,0),0))</f>
        <v>1</v>
      </c>
    </row>
    <row r="768">
      <c r="A768" t="n">
        <v>767</v>
      </c>
      <c r="B768" t="n">
        <v>28.9</v>
      </c>
      <c r="C768" t="n">
        <v>24.6</v>
      </c>
      <c r="D768" t="n">
        <v>22.9</v>
      </c>
      <c r="E768">
        <f>1</f>
        <v>1</v>
      </c>
      <c r="F768">
        <f>IF(OR(F_Custom1_Q="(None)",F_Custom1_Q="",ISBLANK(F_Custom1_Q),F_Custom1_V="(All)",F_Custom1_V="",ISBLANK(F_Custom1_V)),1,IFERROR(IF(ISNUMBER(SEARCH("|"&amp;INDEX(INDIRECT(F_Custom1_resolved_column),767)&amp;"|",F_Custom1_wrapped)),1,0),0))</f>
        <v>1</v>
      </c>
      <c r="G768">
        <f>IF(OR(F_Custom2_Q="(None)",F_Custom2_Q="",ISBLANK(F_Custom2_Q),F_Custom2_V="(All)",F_Custom2_V="",ISBLANK(F_Custom2_V)),1,IFERROR(IF(ISNUMBER(SEARCH("|"&amp;INDEX(INDIRECT(F_Custom2_resolved_column),767)&amp;"|",F_Custom2_wrapped)),1,0),0))</f>
        <v>1</v>
      </c>
      <c r="H768">
        <f>F768*G768*1</f>
        <v>1</v>
      </c>
      <c r="I768">
        <f>1</f>
        <v>1</v>
      </c>
      <c r="J7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767)&amp;"|",All_Questions_Q20_F_wrapped)),1,0),0))</f>
        <v>1</v>
      </c>
    </row>
    <row r="769">
      <c r="A769" t="n">
        <v>768</v>
      </c>
      <c r="B769" t="n">
        <v>28.9</v>
      </c>
      <c r="C769" t="n">
        <v>24.6</v>
      </c>
      <c r="D769" t="n">
        <v>22.9</v>
      </c>
      <c r="E769">
        <f>1</f>
        <v>1</v>
      </c>
      <c r="F769">
        <f>IF(OR(F_Custom1_Q="(None)",F_Custom1_Q="",ISBLANK(F_Custom1_Q),F_Custom1_V="(All)",F_Custom1_V="",ISBLANK(F_Custom1_V)),1,IFERROR(IF(ISNUMBER(SEARCH("|"&amp;INDEX(INDIRECT(F_Custom1_resolved_column),768)&amp;"|",F_Custom1_wrapped)),1,0),0))</f>
        <v>1</v>
      </c>
      <c r="G769">
        <f>IF(OR(F_Custom2_Q="(None)",F_Custom2_Q="",ISBLANK(F_Custom2_Q),F_Custom2_V="(All)",F_Custom2_V="",ISBLANK(F_Custom2_V)),1,IFERROR(IF(ISNUMBER(SEARCH("|"&amp;INDEX(INDIRECT(F_Custom2_resolved_column),768)&amp;"|",F_Custom2_wrapped)),1,0),0))</f>
        <v>1</v>
      </c>
      <c r="H769">
        <f>F769*G769*1</f>
        <v>1</v>
      </c>
      <c r="I769">
        <f>1</f>
        <v>1</v>
      </c>
      <c r="J7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768)&amp;"|",All_Questions_Q20_F_wrapped)),1,0),0))</f>
        <v>1</v>
      </c>
    </row>
    <row r="770">
      <c r="A770" t="n">
        <v>769</v>
      </c>
      <c r="B770" t="n">
        <v>28.9</v>
      </c>
      <c r="C770" t="n">
        <v>24.6</v>
      </c>
      <c r="D770" t="n">
        <v>22.9</v>
      </c>
      <c r="E770">
        <f>1</f>
        <v>1</v>
      </c>
      <c r="F770">
        <f>IF(OR(F_Custom1_Q="(None)",F_Custom1_Q="",ISBLANK(F_Custom1_Q),F_Custom1_V="(All)",F_Custom1_V="",ISBLANK(F_Custom1_V)),1,IFERROR(IF(ISNUMBER(SEARCH("|"&amp;INDEX(INDIRECT(F_Custom1_resolved_column),769)&amp;"|",F_Custom1_wrapped)),1,0),0))</f>
        <v>1</v>
      </c>
      <c r="G770">
        <f>IF(OR(F_Custom2_Q="(None)",F_Custom2_Q="",ISBLANK(F_Custom2_Q),F_Custom2_V="(All)",F_Custom2_V="",ISBLANK(F_Custom2_V)),1,IFERROR(IF(ISNUMBER(SEARCH("|"&amp;INDEX(INDIRECT(F_Custom2_resolved_column),769)&amp;"|",F_Custom2_wrapped)),1,0),0))</f>
        <v>1</v>
      </c>
      <c r="H770">
        <f>F770*G770*1</f>
        <v>1</v>
      </c>
      <c r="I770">
        <f>1</f>
        <v>1</v>
      </c>
      <c r="J7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769)&amp;"|",All_Questions_Q20_F_wrapped)),1,0),0))</f>
        <v>1</v>
      </c>
    </row>
    <row r="771">
      <c r="A771" t="n">
        <v>770</v>
      </c>
      <c r="B771" t="n">
        <v>28.9</v>
      </c>
      <c r="C771" t="n">
        <v>24.6</v>
      </c>
      <c r="D771" t="n">
        <v>22.9</v>
      </c>
      <c r="E771">
        <f>1</f>
        <v>1</v>
      </c>
      <c r="F771">
        <f>IF(OR(F_Custom1_Q="(None)",F_Custom1_Q="",ISBLANK(F_Custom1_Q),F_Custom1_V="(All)",F_Custom1_V="",ISBLANK(F_Custom1_V)),1,IFERROR(IF(ISNUMBER(SEARCH("|"&amp;INDEX(INDIRECT(F_Custom1_resolved_column),770)&amp;"|",F_Custom1_wrapped)),1,0),0))</f>
        <v>1</v>
      </c>
      <c r="G771">
        <f>IF(OR(F_Custom2_Q="(None)",F_Custom2_Q="",ISBLANK(F_Custom2_Q),F_Custom2_V="(All)",F_Custom2_V="",ISBLANK(F_Custom2_V)),1,IFERROR(IF(ISNUMBER(SEARCH("|"&amp;INDEX(INDIRECT(F_Custom2_resolved_column),770)&amp;"|",F_Custom2_wrapped)),1,0),0))</f>
        <v>1</v>
      </c>
      <c r="H771">
        <f>F771*G771*1</f>
        <v>1</v>
      </c>
      <c r="I771">
        <f>1</f>
        <v>1</v>
      </c>
      <c r="J7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770)&amp;"|",All_Questions_Q20_F_wrapped)),1,0),0))</f>
        <v>1</v>
      </c>
    </row>
    <row r="772">
      <c r="A772" t="n">
        <v>771</v>
      </c>
      <c r="B772" t="n">
        <v>28.9</v>
      </c>
      <c r="C772" t="n">
        <v>24.6</v>
      </c>
      <c r="D772" t="n">
        <v>22.9</v>
      </c>
      <c r="E772">
        <f>1</f>
        <v>1</v>
      </c>
      <c r="F772">
        <f>IF(OR(F_Custom1_Q="(None)",F_Custom1_Q="",ISBLANK(F_Custom1_Q),F_Custom1_V="(All)",F_Custom1_V="",ISBLANK(F_Custom1_V)),1,IFERROR(IF(ISNUMBER(SEARCH("|"&amp;INDEX(INDIRECT(F_Custom1_resolved_column),771)&amp;"|",F_Custom1_wrapped)),1,0),0))</f>
        <v>1</v>
      </c>
      <c r="G772">
        <f>IF(OR(F_Custom2_Q="(None)",F_Custom2_Q="",ISBLANK(F_Custom2_Q),F_Custom2_V="(All)",F_Custom2_V="",ISBLANK(F_Custom2_V)),1,IFERROR(IF(ISNUMBER(SEARCH("|"&amp;INDEX(INDIRECT(F_Custom2_resolved_column),771)&amp;"|",F_Custom2_wrapped)),1,0),0))</f>
        <v>1</v>
      </c>
      <c r="H772">
        <f>F772*G772*1</f>
        <v>1</v>
      </c>
      <c r="I772">
        <f>1</f>
        <v>1</v>
      </c>
      <c r="J7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771)&amp;"|",All_Questions_Q20_F_wrapped)),1,0),0))</f>
        <v>1</v>
      </c>
    </row>
    <row r="773">
      <c r="A773" t="n">
        <v>772</v>
      </c>
      <c r="B773" t="n">
        <v>28.9</v>
      </c>
      <c r="C773" t="n">
        <v>24.6</v>
      </c>
      <c r="D773" t="n">
        <v>22.9</v>
      </c>
      <c r="E773">
        <f>1</f>
        <v>1</v>
      </c>
      <c r="F773">
        <f>IF(OR(F_Custom1_Q="(None)",F_Custom1_Q="",ISBLANK(F_Custom1_Q),F_Custom1_V="(All)",F_Custom1_V="",ISBLANK(F_Custom1_V)),1,IFERROR(IF(ISNUMBER(SEARCH("|"&amp;INDEX(INDIRECT(F_Custom1_resolved_column),772)&amp;"|",F_Custom1_wrapped)),1,0),0))</f>
        <v>1</v>
      </c>
      <c r="G773">
        <f>IF(OR(F_Custom2_Q="(None)",F_Custom2_Q="",ISBLANK(F_Custom2_Q),F_Custom2_V="(All)",F_Custom2_V="",ISBLANK(F_Custom2_V)),1,IFERROR(IF(ISNUMBER(SEARCH("|"&amp;INDEX(INDIRECT(F_Custom2_resolved_column),772)&amp;"|",F_Custom2_wrapped)),1,0),0))</f>
        <v>1</v>
      </c>
      <c r="H773">
        <f>F773*G773*1</f>
        <v>1</v>
      </c>
      <c r="I773">
        <f>1</f>
        <v>1</v>
      </c>
      <c r="J7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772)&amp;"|",All_Questions_Q20_F_wrapped)),1,0),0))</f>
        <v>1</v>
      </c>
    </row>
    <row r="774">
      <c r="A774" t="n">
        <v>773</v>
      </c>
      <c r="B774" t="n">
        <v>28.9</v>
      </c>
      <c r="C774" t="n">
        <v>24.6</v>
      </c>
      <c r="D774" t="n">
        <v>22.9</v>
      </c>
      <c r="E774">
        <f>1</f>
        <v>1</v>
      </c>
      <c r="F774">
        <f>IF(OR(F_Custom1_Q="(None)",F_Custom1_Q="",ISBLANK(F_Custom1_Q),F_Custom1_V="(All)",F_Custom1_V="",ISBLANK(F_Custom1_V)),1,IFERROR(IF(ISNUMBER(SEARCH("|"&amp;INDEX(INDIRECT(F_Custom1_resolved_column),773)&amp;"|",F_Custom1_wrapped)),1,0),0))</f>
        <v>1</v>
      </c>
      <c r="G774">
        <f>IF(OR(F_Custom2_Q="(None)",F_Custom2_Q="",ISBLANK(F_Custom2_Q),F_Custom2_V="(All)",F_Custom2_V="",ISBLANK(F_Custom2_V)),1,IFERROR(IF(ISNUMBER(SEARCH("|"&amp;INDEX(INDIRECT(F_Custom2_resolved_column),773)&amp;"|",F_Custom2_wrapped)),1,0),0))</f>
        <v>1</v>
      </c>
      <c r="H774">
        <f>F774*G774*1</f>
        <v>1</v>
      </c>
      <c r="I774">
        <f>1</f>
        <v>1</v>
      </c>
      <c r="J7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773)&amp;"|",All_Questions_Q20_F_wrapped)),1,0),0))</f>
        <v>1</v>
      </c>
    </row>
    <row r="775">
      <c r="A775" t="n">
        <v>774</v>
      </c>
      <c r="B775" t="n">
        <v>28.9</v>
      </c>
      <c r="C775" t="n">
        <v>24.6</v>
      </c>
      <c r="D775" t="n">
        <v>22.9</v>
      </c>
      <c r="E775">
        <f>1</f>
        <v>1</v>
      </c>
      <c r="F775">
        <f>IF(OR(F_Custom1_Q="(None)",F_Custom1_Q="",ISBLANK(F_Custom1_Q),F_Custom1_V="(All)",F_Custom1_V="",ISBLANK(F_Custom1_V)),1,IFERROR(IF(ISNUMBER(SEARCH("|"&amp;INDEX(INDIRECT(F_Custom1_resolved_column),774)&amp;"|",F_Custom1_wrapped)),1,0),0))</f>
        <v>1</v>
      </c>
      <c r="G775">
        <f>IF(OR(F_Custom2_Q="(None)",F_Custom2_Q="",ISBLANK(F_Custom2_Q),F_Custom2_V="(All)",F_Custom2_V="",ISBLANK(F_Custom2_V)),1,IFERROR(IF(ISNUMBER(SEARCH("|"&amp;INDEX(INDIRECT(F_Custom2_resolved_column),774)&amp;"|",F_Custom2_wrapped)),1,0),0))</f>
        <v>1</v>
      </c>
      <c r="H775">
        <f>F775*G775*1</f>
        <v>1</v>
      </c>
      <c r="I775">
        <f>1</f>
        <v>1</v>
      </c>
      <c r="J7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774)&amp;"|",All_Questions_Q20_F_wrapped)),1,0),0))</f>
        <v>1</v>
      </c>
    </row>
    <row r="776">
      <c r="A776" t="n">
        <v>775</v>
      </c>
      <c r="B776" t="n">
        <v>28.9</v>
      </c>
      <c r="C776" t="n">
        <v>24.6</v>
      </c>
      <c r="D776" t="n">
        <v>22.9</v>
      </c>
      <c r="E776">
        <f>1</f>
        <v>1</v>
      </c>
      <c r="F776">
        <f>IF(OR(F_Custom1_Q="(None)",F_Custom1_Q="",ISBLANK(F_Custom1_Q),F_Custom1_V="(All)",F_Custom1_V="",ISBLANK(F_Custom1_V)),1,IFERROR(IF(ISNUMBER(SEARCH("|"&amp;INDEX(INDIRECT(F_Custom1_resolved_column),775)&amp;"|",F_Custom1_wrapped)),1,0),0))</f>
        <v>1</v>
      </c>
      <c r="G776">
        <f>IF(OR(F_Custom2_Q="(None)",F_Custom2_Q="",ISBLANK(F_Custom2_Q),F_Custom2_V="(All)",F_Custom2_V="",ISBLANK(F_Custom2_V)),1,IFERROR(IF(ISNUMBER(SEARCH("|"&amp;INDEX(INDIRECT(F_Custom2_resolved_column),775)&amp;"|",F_Custom2_wrapped)),1,0),0))</f>
        <v>1</v>
      </c>
      <c r="H776">
        <f>F776*G776*1</f>
        <v>1</v>
      </c>
      <c r="I776">
        <f>1</f>
        <v>1</v>
      </c>
      <c r="J7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775)&amp;"|",All_Questions_Q20_F_wrapped)),1,0),0))</f>
        <v>1</v>
      </c>
    </row>
    <row r="777">
      <c r="A777" t="n">
        <v>776</v>
      </c>
      <c r="B777" t="n">
        <v>28.9</v>
      </c>
      <c r="C777" t="n">
        <v>24.6</v>
      </c>
      <c r="D777" t="n">
        <v>22.9</v>
      </c>
      <c r="E777">
        <f>1</f>
        <v>1</v>
      </c>
      <c r="F777">
        <f>IF(OR(F_Custom1_Q="(None)",F_Custom1_Q="",ISBLANK(F_Custom1_Q),F_Custom1_V="(All)",F_Custom1_V="",ISBLANK(F_Custom1_V)),1,IFERROR(IF(ISNUMBER(SEARCH("|"&amp;INDEX(INDIRECT(F_Custom1_resolved_column),776)&amp;"|",F_Custom1_wrapped)),1,0),0))</f>
        <v>1</v>
      </c>
      <c r="G777">
        <f>IF(OR(F_Custom2_Q="(None)",F_Custom2_Q="",ISBLANK(F_Custom2_Q),F_Custom2_V="(All)",F_Custom2_V="",ISBLANK(F_Custom2_V)),1,IFERROR(IF(ISNUMBER(SEARCH("|"&amp;INDEX(INDIRECT(F_Custom2_resolved_column),776)&amp;"|",F_Custom2_wrapped)),1,0),0))</f>
        <v>1</v>
      </c>
      <c r="H777">
        <f>F777*G777*1</f>
        <v>1</v>
      </c>
      <c r="I777">
        <f>1</f>
        <v>1</v>
      </c>
      <c r="J7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776)&amp;"|",All_Questions_Q20_F_wrapped)),1,0),0))</f>
        <v>1</v>
      </c>
    </row>
    <row r="778">
      <c r="A778" t="n">
        <v>777</v>
      </c>
      <c r="B778" t="n">
        <v>28.9</v>
      </c>
      <c r="C778" t="n">
        <v>24.6</v>
      </c>
      <c r="D778" t="n">
        <v>22.9</v>
      </c>
      <c r="E778">
        <f>1</f>
        <v>1</v>
      </c>
      <c r="F778">
        <f>IF(OR(F_Custom1_Q="(None)",F_Custom1_Q="",ISBLANK(F_Custom1_Q),F_Custom1_V="(All)",F_Custom1_V="",ISBLANK(F_Custom1_V)),1,IFERROR(IF(ISNUMBER(SEARCH("|"&amp;INDEX(INDIRECT(F_Custom1_resolved_column),777)&amp;"|",F_Custom1_wrapped)),1,0),0))</f>
        <v>1</v>
      </c>
      <c r="G778">
        <f>IF(OR(F_Custom2_Q="(None)",F_Custom2_Q="",ISBLANK(F_Custom2_Q),F_Custom2_V="(All)",F_Custom2_V="",ISBLANK(F_Custom2_V)),1,IFERROR(IF(ISNUMBER(SEARCH("|"&amp;INDEX(INDIRECT(F_Custom2_resolved_column),777)&amp;"|",F_Custom2_wrapped)),1,0),0))</f>
        <v>1</v>
      </c>
      <c r="H778">
        <f>F778*G778*1</f>
        <v>1</v>
      </c>
      <c r="I778">
        <f>1</f>
        <v>1</v>
      </c>
      <c r="J7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777)&amp;"|",All_Questions_Q20_F_wrapped)),1,0),0))</f>
        <v>1</v>
      </c>
    </row>
    <row r="779">
      <c r="A779" t="n">
        <v>778</v>
      </c>
      <c r="B779" t="n">
        <v>28.9</v>
      </c>
      <c r="C779" t="n">
        <v>24.6</v>
      </c>
      <c r="D779" t="n">
        <v>22.9</v>
      </c>
      <c r="E779">
        <f>1</f>
        <v>1</v>
      </c>
      <c r="F779">
        <f>IF(OR(F_Custom1_Q="(None)",F_Custom1_Q="",ISBLANK(F_Custom1_Q),F_Custom1_V="(All)",F_Custom1_V="",ISBLANK(F_Custom1_V)),1,IFERROR(IF(ISNUMBER(SEARCH("|"&amp;INDEX(INDIRECT(F_Custom1_resolved_column),778)&amp;"|",F_Custom1_wrapped)),1,0),0))</f>
        <v>1</v>
      </c>
      <c r="G779">
        <f>IF(OR(F_Custom2_Q="(None)",F_Custom2_Q="",ISBLANK(F_Custom2_Q),F_Custom2_V="(All)",F_Custom2_V="",ISBLANK(F_Custom2_V)),1,IFERROR(IF(ISNUMBER(SEARCH("|"&amp;INDEX(INDIRECT(F_Custom2_resolved_column),778)&amp;"|",F_Custom2_wrapped)),1,0),0))</f>
        <v>1</v>
      </c>
      <c r="H779">
        <f>F779*G779*1</f>
        <v>1</v>
      </c>
      <c r="I779">
        <f>1</f>
        <v>1</v>
      </c>
      <c r="J7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778)&amp;"|",All_Questions_Q20_F_wrapped)),1,0),0))</f>
        <v>1</v>
      </c>
    </row>
    <row r="780">
      <c r="A780" t="n">
        <v>779</v>
      </c>
      <c r="B780" t="n">
        <v>28.9</v>
      </c>
      <c r="C780" t="n">
        <v>24.6</v>
      </c>
      <c r="D780" t="n">
        <v>22.9</v>
      </c>
      <c r="E780">
        <f>1</f>
        <v>1</v>
      </c>
      <c r="F780">
        <f>IF(OR(F_Custom1_Q="(None)",F_Custom1_Q="",ISBLANK(F_Custom1_Q),F_Custom1_V="(All)",F_Custom1_V="",ISBLANK(F_Custom1_V)),1,IFERROR(IF(ISNUMBER(SEARCH("|"&amp;INDEX(INDIRECT(F_Custom1_resolved_column),779)&amp;"|",F_Custom1_wrapped)),1,0),0))</f>
        <v>1</v>
      </c>
      <c r="G780">
        <f>IF(OR(F_Custom2_Q="(None)",F_Custom2_Q="",ISBLANK(F_Custom2_Q),F_Custom2_V="(All)",F_Custom2_V="",ISBLANK(F_Custom2_V)),1,IFERROR(IF(ISNUMBER(SEARCH("|"&amp;INDEX(INDIRECT(F_Custom2_resolved_column),779)&amp;"|",F_Custom2_wrapped)),1,0),0))</f>
        <v>1</v>
      </c>
      <c r="H780">
        <f>F780*G780*1</f>
        <v>1</v>
      </c>
      <c r="I780">
        <f>1</f>
        <v>1</v>
      </c>
      <c r="J7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779)&amp;"|",All_Questions_Q20_F_wrapped)),1,0),0))</f>
        <v>1</v>
      </c>
    </row>
    <row r="781">
      <c r="A781" t="n">
        <v>780</v>
      </c>
      <c r="B781" t="n">
        <v>28.9</v>
      </c>
      <c r="C781" t="n">
        <v>24.6</v>
      </c>
      <c r="D781" t="n">
        <v>22.9</v>
      </c>
      <c r="E781">
        <f>1</f>
        <v>1</v>
      </c>
      <c r="F781">
        <f>IF(OR(F_Custom1_Q="(None)",F_Custom1_Q="",ISBLANK(F_Custom1_Q),F_Custom1_V="(All)",F_Custom1_V="",ISBLANK(F_Custom1_V)),1,IFERROR(IF(ISNUMBER(SEARCH("|"&amp;INDEX(INDIRECT(F_Custom1_resolved_column),780)&amp;"|",F_Custom1_wrapped)),1,0),0))</f>
        <v>1</v>
      </c>
      <c r="G781">
        <f>IF(OR(F_Custom2_Q="(None)",F_Custom2_Q="",ISBLANK(F_Custom2_Q),F_Custom2_V="(All)",F_Custom2_V="",ISBLANK(F_Custom2_V)),1,IFERROR(IF(ISNUMBER(SEARCH("|"&amp;INDEX(INDIRECT(F_Custom2_resolved_column),780)&amp;"|",F_Custom2_wrapped)),1,0),0))</f>
        <v>1</v>
      </c>
      <c r="H781">
        <f>F781*G781*1</f>
        <v>1</v>
      </c>
      <c r="I781">
        <f>1</f>
        <v>1</v>
      </c>
      <c r="J7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780)&amp;"|",All_Questions_Q20_F_wrapped)),1,0),0))</f>
        <v>1</v>
      </c>
    </row>
    <row r="782">
      <c r="A782" t="n">
        <v>781</v>
      </c>
      <c r="B782" t="n">
        <v>28.9</v>
      </c>
      <c r="C782" t="n">
        <v>24.6</v>
      </c>
      <c r="D782" t="n">
        <v>22.9</v>
      </c>
      <c r="E782">
        <f>1</f>
        <v>1</v>
      </c>
      <c r="F782">
        <f>IF(OR(F_Custom1_Q="(None)",F_Custom1_Q="",ISBLANK(F_Custom1_Q),F_Custom1_V="(All)",F_Custom1_V="",ISBLANK(F_Custom1_V)),1,IFERROR(IF(ISNUMBER(SEARCH("|"&amp;INDEX(INDIRECT(F_Custom1_resolved_column),781)&amp;"|",F_Custom1_wrapped)),1,0),0))</f>
        <v>1</v>
      </c>
      <c r="G782">
        <f>IF(OR(F_Custom2_Q="(None)",F_Custom2_Q="",ISBLANK(F_Custom2_Q),F_Custom2_V="(All)",F_Custom2_V="",ISBLANK(F_Custom2_V)),1,IFERROR(IF(ISNUMBER(SEARCH("|"&amp;INDEX(INDIRECT(F_Custom2_resolved_column),781)&amp;"|",F_Custom2_wrapped)),1,0),0))</f>
        <v>1</v>
      </c>
      <c r="H782">
        <f>F782*G782*1</f>
        <v>1</v>
      </c>
      <c r="I782">
        <f>1</f>
        <v>1</v>
      </c>
      <c r="J7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781)&amp;"|",All_Questions_Q20_F_wrapped)),1,0),0))</f>
        <v>1</v>
      </c>
    </row>
    <row r="783">
      <c r="A783" t="n">
        <v>782</v>
      </c>
      <c r="B783" t="n">
        <v>28.9</v>
      </c>
      <c r="C783" t="n">
        <v>24.6</v>
      </c>
      <c r="D783" t="n">
        <v>22.9</v>
      </c>
      <c r="E783">
        <f>1</f>
        <v>1</v>
      </c>
      <c r="F783">
        <f>IF(OR(F_Custom1_Q="(None)",F_Custom1_Q="",ISBLANK(F_Custom1_Q),F_Custom1_V="(All)",F_Custom1_V="",ISBLANK(F_Custom1_V)),1,IFERROR(IF(ISNUMBER(SEARCH("|"&amp;INDEX(INDIRECT(F_Custom1_resolved_column),782)&amp;"|",F_Custom1_wrapped)),1,0),0))</f>
        <v>1</v>
      </c>
      <c r="G783">
        <f>IF(OR(F_Custom2_Q="(None)",F_Custom2_Q="",ISBLANK(F_Custom2_Q),F_Custom2_V="(All)",F_Custom2_V="",ISBLANK(F_Custom2_V)),1,IFERROR(IF(ISNUMBER(SEARCH("|"&amp;INDEX(INDIRECT(F_Custom2_resolved_column),782)&amp;"|",F_Custom2_wrapped)),1,0),0))</f>
        <v>1</v>
      </c>
      <c r="H783">
        <f>F783*G783*1</f>
        <v>1</v>
      </c>
      <c r="I783">
        <f>1</f>
        <v>1</v>
      </c>
      <c r="J7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782)&amp;"|",All_Questions_Q20_F_wrapped)),1,0),0))</f>
        <v>1</v>
      </c>
    </row>
    <row r="784">
      <c r="A784" t="n">
        <v>783</v>
      </c>
      <c r="B784" t="n">
        <v>28.9</v>
      </c>
      <c r="C784" t="n">
        <v>24.6</v>
      </c>
      <c r="D784" t="n">
        <v>22.9</v>
      </c>
      <c r="E784">
        <f>1</f>
        <v>1</v>
      </c>
      <c r="F784">
        <f>IF(OR(F_Custom1_Q="(None)",F_Custom1_Q="",ISBLANK(F_Custom1_Q),F_Custom1_V="(All)",F_Custom1_V="",ISBLANK(F_Custom1_V)),1,IFERROR(IF(ISNUMBER(SEARCH("|"&amp;INDEX(INDIRECT(F_Custom1_resolved_column),783)&amp;"|",F_Custom1_wrapped)),1,0),0))</f>
        <v>1</v>
      </c>
      <c r="G784">
        <f>IF(OR(F_Custom2_Q="(None)",F_Custom2_Q="",ISBLANK(F_Custom2_Q),F_Custom2_V="(All)",F_Custom2_V="",ISBLANK(F_Custom2_V)),1,IFERROR(IF(ISNUMBER(SEARCH("|"&amp;INDEX(INDIRECT(F_Custom2_resolved_column),783)&amp;"|",F_Custom2_wrapped)),1,0),0))</f>
        <v>1</v>
      </c>
      <c r="H784">
        <f>F784*G784*1</f>
        <v>1</v>
      </c>
      <c r="I784">
        <f>1</f>
        <v>1</v>
      </c>
      <c r="J7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783)&amp;"|",All_Questions_Q20_F_wrapped)),1,0),0))</f>
        <v>1</v>
      </c>
    </row>
    <row r="785">
      <c r="A785" t="n">
        <v>784</v>
      </c>
      <c r="B785" t="n">
        <v>28.9</v>
      </c>
      <c r="C785" t="n">
        <v>24.6</v>
      </c>
      <c r="D785" t="n">
        <v>22.9</v>
      </c>
      <c r="E785">
        <f>1</f>
        <v>1</v>
      </c>
      <c r="F785">
        <f>IF(OR(F_Custom1_Q="(None)",F_Custom1_Q="",ISBLANK(F_Custom1_Q),F_Custom1_V="(All)",F_Custom1_V="",ISBLANK(F_Custom1_V)),1,IFERROR(IF(ISNUMBER(SEARCH("|"&amp;INDEX(INDIRECT(F_Custom1_resolved_column),784)&amp;"|",F_Custom1_wrapped)),1,0),0))</f>
        <v>1</v>
      </c>
      <c r="G785">
        <f>IF(OR(F_Custom2_Q="(None)",F_Custom2_Q="",ISBLANK(F_Custom2_Q),F_Custom2_V="(All)",F_Custom2_V="",ISBLANK(F_Custom2_V)),1,IFERROR(IF(ISNUMBER(SEARCH("|"&amp;INDEX(INDIRECT(F_Custom2_resolved_column),784)&amp;"|",F_Custom2_wrapped)),1,0),0))</f>
        <v>1</v>
      </c>
      <c r="H785">
        <f>F785*G785*1</f>
        <v>1</v>
      </c>
      <c r="I785">
        <f>1</f>
        <v>1</v>
      </c>
      <c r="J7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784)&amp;"|",All_Questions_Q20_F_wrapped)),1,0),0))</f>
        <v>1</v>
      </c>
    </row>
    <row r="786">
      <c r="A786" t="n">
        <v>785</v>
      </c>
      <c r="B786" t="n">
        <v>28.9</v>
      </c>
      <c r="C786" t="n">
        <v>24.6</v>
      </c>
      <c r="D786" t="n">
        <v>22.9</v>
      </c>
      <c r="E786">
        <f>1</f>
        <v>1</v>
      </c>
      <c r="F786">
        <f>IF(OR(F_Custom1_Q="(None)",F_Custom1_Q="",ISBLANK(F_Custom1_Q),F_Custom1_V="(All)",F_Custom1_V="",ISBLANK(F_Custom1_V)),1,IFERROR(IF(ISNUMBER(SEARCH("|"&amp;INDEX(INDIRECT(F_Custom1_resolved_column),785)&amp;"|",F_Custom1_wrapped)),1,0),0))</f>
        <v>1</v>
      </c>
      <c r="G786">
        <f>IF(OR(F_Custom2_Q="(None)",F_Custom2_Q="",ISBLANK(F_Custom2_Q),F_Custom2_V="(All)",F_Custom2_V="",ISBLANK(F_Custom2_V)),1,IFERROR(IF(ISNUMBER(SEARCH("|"&amp;INDEX(INDIRECT(F_Custom2_resolved_column),785)&amp;"|",F_Custom2_wrapped)),1,0),0))</f>
        <v>1</v>
      </c>
      <c r="H786">
        <f>F786*G786*1</f>
        <v>1</v>
      </c>
      <c r="I786">
        <f>1</f>
        <v>1</v>
      </c>
      <c r="J7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785)&amp;"|",All_Questions_Q20_F_wrapped)),1,0),0))</f>
        <v>1</v>
      </c>
    </row>
    <row r="787">
      <c r="A787" t="n">
        <v>786</v>
      </c>
      <c r="B787" t="n">
        <v>28.9</v>
      </c>
      <c r="C787" t="n">
        <v>24.6</v>
      </c>
      <c r="D787" t="n">
        <v>22.9</v>
      </c>
      <c r="E787">
        <f>1</f>
        <v>1</v>
      </c>
      <c r="F787">
        <f>IF(OR(F_Custom1_Q="(None)",F_Custom1_Q="",ISBLANK(F_Custom1_Q),F_Custom1_V="(All)",F_Custom1_V="",ISBLANK(F_Custom1_V)),1,IFERROR(IF(ISNUMBER(SEARCH("|"&amp;INDEX(INDIRECT(F_Custom1_resolved_column),786)&amp;"|",F_Custom1_wrapped)),1,0),0))</f>
        <v>1</v>
      </c>
      <c r="G787">
        <f>IF(OR(F_Custom2_Q="(None)",F_Custom2_Q="",ISBLANK(F_Custom2_Q),F_Custom2_V="(All)",F_Custom2_V="",ISBLANK(F_Custom2_V)),1,IFERROR(IF(ISNUMBER(SEARCH("|"&amp;INDEX(INDIRECT(F_Custom2_resolved_column),786)&amp;"|",F_Custom2_wrapped)),1,0),0))</f>
        <v>1</v>
      </c>
      <c r="H787">
        <f>F787*G787*1</f>
        <v>1</v>
      </c>
      <c r="I787">
        <f>1</f>
        <v>1</v>
      </c>
      <c r="J7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786)&amp;"|",All_Questions_Q20_F_wrapped)),1,0),0))</f>
        <v>1</v>
      </c>
    </row>
    <row r="788">
      <c r="A788" t="n">
        <v>787</v>
      </c>
      <c r="B788" t="n">
        <v>28.9</v>
      </c>
      <c r="C788" t="n">
        <v>24.6</v>
      </c>
      <c r="D788" t="n">
        <v>22.9</v>
      </c>
      <c r="E788">
        <f>1</f>
        <v>1</v>
      </c>
      <c r="F788">
        <f>IF(OR(F_Custom1_Q="(None)",F_Custom1_Q="",ISBLANK(F_Custom1_Q),F_Custom1_V="(All)",F_Custom1_V="",ISBLANK(F_Custom1_V)),1,IFERROR(IF(ISNUMBER(SEARCH("|"&amp;INDEX(INDIRECT(F_Custom1_resolved_column),787)&amp;"|",F_Custom1_wrapped)),1,0),0))</f>
        <v>1</v>
      </c>
      <c r="G788">
        <f>IF(OR(F_Custom2_Q="(None)",F_Custom2_Q="",ISBLANK(F_Custom2_Q),F_Custom2_V="(All)",F_Custom2_V="",ISBLANK(F_Custom2_V)),1,IFERROR(IF(ISNUMBER(SEARCH("|"&amp;INDEX(INDIRECT(F_Custom2_resolved_column),787)&amp;"|",F_Custom2_wrapped)),1,0),0))</f>
        <v>1</v>
      </c>
      <c r="H788">
        <f>F788*G788*1</f>
        <v>1</v>
      </c>
      <c r="I788">
        <f>1</f>
        <v>1</v>
      </c>
      <c r="J7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787)&amp;"|",All_Questions_Q20_F_wrapped)),1,0),0))</f>
        <v>1</v>
      </c>
    </row>
    <row r="789">
      <c r="A789" t="n">
        <v>788</v>
      </c>
      <c r="B789" t="n">
        <v>28.9</v>
      </c>
      <c r="C789" t="n">
        <v>24.6</v>
      </c>
      <c r="D789" t="n">
        <v>22.9</v>
      </c>
      <c r="E789">
        <f>1</f>
        <v>1</v>
      </c>
      <c r="F789">
        <f>IF(OR(F_Custom1_Q="(None)",F_Custom1_Q="",ISBLANK(F_Custom1_Q),F_Custom1_V="(All)",F_Custom1_V="",ISBLANK(F_Custom1_V)),1,IFERROR(IF(ISNUMBER(SEARCH("|"&amp;INDEX(INDIRECT(F_Custom1_resolved_column),788)&amp;"|",F_Custom1_wrapped)),1,0),0))</f>
        <v>1</v>
      </c>
      <c r="G789">
        <f>IF(OR(F_Custom2_Q="(None)",F_Custom2_Q="",ISBLANK(F_Custom2_Q),F_Custom2_V="(All)",F_Custom2_V="",ISBLANK(F_Custom2_V)),1,IFERROR(IF(ISNUMBER(SEARCH("|"&amp;INDEX(INDIRECT(F_Custom2_resolved_column),788)&amp;"|",F_Custom2_wrapped)),1,0),0))</f>
        <v>1</v>
      </c>
      <c r="H789">
        <f>F789*G789*1</f>
        <v>1</v>
      </c>
      <c r="I789">
        <f>1</f>
        <v>1</v>
      </c>
      <c r="J7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788)&amp;"|",All_Questions_Q20_F_wrapped)),1,0),0))</f>
        <v>1</v>
      </c>
    </row>
    <row r="790">
      <c r="A790" t="n">
        <v>789</v>
      </c>
      <c r="B790" t="n">
        <v>28.9</v>
      </c>
      <c r="C790" t="n">
        <v>24.6</v>
      </c>
      <c r="D790" t="n">
        <v>22.9</v>
      </c>
      <c r="E790">
        <f>1</f>
        <v>1</v>
      </c>
      <c r="F790">
        <f>IF(OR(F_Custom1_Q="(None)",F_Custom1_Q="",ISBLANK(F_Custom1_Q),F_Custom1_V="(All)",F_Custom1_V="",ISBLANK(F_Custom1_V)),1,IFERROR(IF(ISNUMBER(SEARCH("|"&amp;INDEX(INDIRECT(F_Custom1_resolved_column),789)&amp;"|",F_Custom1_wrapped)),1,0),0))</f>
        <v>1</v>
      </c>
      <c r="G790">
        <f>IF(OR(F_Custom2_Q="(None)",F_Custom2_Q="",ISBLANK(F_Custom2_Q),F_Custom2_V="(All)",F_Custom2_V="",ISBLANK(F_Custom2_V)),1,IFERROR(IF(ISNUMBER(SEARCH("|"&amp;INDEX(INDIRECT(F_Custom2_resolved_column),789)&amp;"|",F_Custom2_wrapped)),1,0),0))</f>
        <v>1</v>
      </c>
      <c r="H790">
        <f>F790*G790*1</f>
        <v>1</v>
      </c>
      <c r="I790">
        <f>1</f>
        <v>1</v>
      </c>
      <c r="J7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789)&amp;"|",All_Questions_Q20_F_wrapped)),1,0),0))</f>
        <v>1</v>
      </c>
    </row>
    <row r="791">
      <c r="A791" t="n">
        <v>790</v>
      </c>
      <c r="B791" t="n">
        <v>28.9</v>
      </c>
      <c r="C791" t="n">
        <v>24.6</v>
      </c>
      <c r="D791" t="n">
        <v>22.9</v>
      </c>
      <c r="E791">
        <f>1</f>
        <v>1</v>
      </c>
      <c r="F791">
        <f>IF(OR(F_Custom1_Q="(None)",F_Custom1_Q="",ISBLANK(F_Custom1_Q),F_Custom1_V="(All)",F_Custom1_V="",ISBLANK(F_Custom1_V)),1,IFERROR(IF(ISNUMBER(SEARCH("|"&amp;INDEX(INDIRECT(F_Custom1_resolved_column),790)&amp;"|",F_Custom1_wrapped)),1,0),0))</f>
        <v>1</v>
      </c>
      <c r="G791">
        <f>IF(OR(F_Custom2_Q="(None)",F_Custom2_Q="",ISBLANK(F_Custom2_Q),F_Custom2_V="(All)",F_Custom2_V="",ISBLANK(F_Custom2_V)),1,IFERROR(IF(ISNUMBER(SEARCH("|"&amp;INDEX(INDIRECT(F_Custom2_resolved_column),790)&amp;"|",F_Custom2_wrapped)),1,0),0))</f>
        <v>1</v>
      </c>
      <c r="H791">
        <f>F791*G791*1</f>
        <v>1</v>
      </c>
      <c r="I791">
        <f>1</f>
        <v>1</v>
      </c>
      <c r="J7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790)&amp;"|",All_Questions_Q20_F_wrapped)),1,0),0))</f>
        <v>1</v>
      </c>
    </row>
    <row r="792">
      <c r="A792" t="n">
        <v>791</v>
      </c>
      <c r="B792" t="n">
        <v>28.9</v>
      </c>
      <c r="C792" t="n">
        <v>24.6</v>
      </c>
      <c r="D792" t="n">
        <v>22.9</v>
      </c>
      <c r="E792">
        <f>1</f>
        <v>1</v>
      </c>
      <c r="F792">
        <f>IF(OR(F_Custom1_Q="(None)",F_Custom1_Q="",ISBLANK(F_Custom1_Q),F_Custom1_V="(All)",F_Custom1_V="",ISBLANK(F_Custom1_V)),1,IFERROR(IF(ISNUMBER(SEARCH("|"&amp;INDEX(INDIRECT(F_Custom1_resolved_column),791)&amp;"|",F_Custom1_wrapped)),1,0),0))</f>
        <v>1</v>
      </c>
      <c r="G792">
        <f>IF(OR(F_Custom2_Q="(None)",F_Custom2_Q="",ISBLANK(F_Custom2_Q),F_Custom2_V="(All)",F_Custom2_V="",ISBLANK(F_Custom2_V)),1,IFERROR(IF(ISNUMBER(SEARCH("|"&amp;INDEX(INDIRECT(F_Custom2_resolved_column),791)&amp;"|",F_Custom2_wrapped)),1,0),0))</f>
        <v>1</v>
      </c>
      <c r="H792">
        <f>F792*G792*1</f>
        <v>1</v>
      </c>
      <c r="I792">
        <f>1</f>
        <v>1</v>
      </c>
      <c r="J7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791)&amp;"|",All_Questions_Q20_F_wrapped)),1,0),0))</f>
        <v>1</v>
      </c>
    </row>
    <row r="793">
      <c r="A793" t="n">
        <v>792</v>
      </c>
      <c r="B793" t="n">
        <v>28.9</v>
      </c>
      <c r="C793" t="n">
        <v>24.6</v>
      </c>
      <c r="D793" t="n">
        <v>22.9</v>
      </c>
      <c r="E793">
        <f>1</f>
        <v>1</v>
      </c>
      <c r="F793">
        <f>IF(OR(F_Custom1_Q="(None)",F_Custom1_Q="",ISBLANK(F_Custom1_Q),F_Custom1_V="(All)",F_Custom1_V="",ISBLANK(F_Custom1_V)),1,IFERROR(IF(ISNUMBER(SEARCH("|"&amp;INDEX(INDIRECT(F_Custom1_resolved_column),792)&amp;"|",F_Custom1_wrapped)),1,0),0))</f>
        <v>1</v>
      </c>
      <c r="G793">
        <f>IF(OR(F_Custom2_Q="(None)",F_Custom2_Q="",ISBLANK(F_Custom2_Q),F_Custom2_V="(All)",F_Custom2_V="",ISBLANK(F_Custom2_V)),1,IFERROR(IF(ISNUMBER(SEARCH("|"&amp;INDEX(INDIRECT(F_Custom2_resolved_column),792)&amp;"|",F_Custom2_wrapped)),1,0),0))</f>
        <v>1</v>
      </c>
      <c r="H793">
        <f>F793*G793*1</f>
        <v>1</v>
      </c>
      <c r="I793">
        <f>1</f>
        <v>1</v>
      </c>
      <c r="J7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792)&amp;"|",All_Questions_Q20_F_wrapped)),1,0),0))</f>
        <v>1</v>
      </c>
    </row>
    <row r="794">
      <c r="A794" t="n">
        <v>793</v>
      </c>
      <c r="B794" t="n">
        <v>28.9</v>
      </c>
      <c r="C794" t="n">
        <v>24.6</v>
      </c>
      <c r="D794" t="n">
        <v>22.9</v>
      </c>
      <c r="E794">
        <f>1</f>
        <v>1</v>
      </c>
      <c r="F794">
        <f>IF(OR(F_Custom1_Q="(None)",F_Custom1_Q="",ISBLANK(F_Custom1_Q),F_Custom1_V="(All)",F_Custom1_V="",ISBLANK(F_Custom1_V)),1,IFERROR(IF(ISNUMBER(SEARCH("|"&amp;INDEX(INDIRECT(F_Custom1_resolved_column),793)&amp;"|",F_Custom1_wrapped)),1,0),0))</f>
        <v>1</v>
      </c>
      <c r="G794">
        <f>IF(OR(F_Custom2_Q="(None)",F_Custom2_Q="",ISBLANK(F_Custom2_Q),F_Custom2_V="(All)",F_Custom2_V="",ISBLANK(F_Custom2_V)),1,IFERROR(IF(ISNUMBER(SEARCH("|"&amp;INDEX(INDIRECT(F_Custom2_resolved_column),793)&amp;"|",F_Custom2_wrapped)),1,0),0))</f>
        <v>1</v>
      </c>
      <c r="H794">
        <f>F794*G794*1</f>
        <v>1</v>
      </c>
      <c r="I794">
        <f>1</f>
        <v>1</v>
      </c>
      <c r="J7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793)&amp;"|",All_Questions_Q20_F_wrapped)),1,0),0))</f>
        <v>1</v>
      </c>
    </row>
    <row r="795">
      <c r="A795" t="n">
        <v>794</v>
      </c>
      <c r="B795" t="n">
        <v>28.9</v>
      </c>
      <c r="C795" t="n">
        <v>24.6</v>
      </c>
      <c r="D795" t="n">
        <v>22.9</v>
      </c>
      <c r="E795">
        <f>1</f>
        <v>1</v>
      </c>
      <c r="F795">
        <f>IF(OR(F_Custom1_Q="(None)",F_Custom1_Q="",ISBLANK(F_Custom1_Q),F_Custom1_V="(All)",F_Custom1_V="",ISBLANK(F_Custom1_V)),1,IFERROR(IF(ISNUMBER(SEARCH("|"&amp;INDEX(INDIRECT(F_Custom1_resolved_column),794)&amp;"|",F_Custom1_wrapped)),1,0),0))</f>
        <v>1</v>
      </c>
      <c r="G795">
        <f>IF(OR(F_Custom2_Q="(None)",F_Custom2_Q="",ISBLANK(F_Custom2_Q),F_Custom2_V="(All)",F_Custom2_V="",ISBLANK(F_Custom2_V)),1,IFERROR(IF(ISNUMBER(SEARCH("|"&amp;INDEX(INDIRECT(F_Custom2_resolved_column),794)&amp;"|",F_Custom2_wrapped)),1,0),0))</f>
        <v>1</v>
      </c>
      <c r="H795">
        <f>F795*G795*1</f>
        <v>1</v>
      </c>
      <c r="I795">
        <f>1</f>
        <v>1</v>
      </c>
      <c r="J7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794)&amp;"|",All_Questions_Q20_F_wrapped)),1,0),0))</f>
        <v>1</v>
      </c>
    </row>
    <row r="796">
      <c r="A796" t="n">
        <v>795</v>
      </c>
      <c r="B796" t="n">
        <v>28.9</v>
      </c>
      <c r="C796" t="n">
        <v>24.6</v>
      </c>
      <c r="D796" t="n">
        <v>22.9</v>
      </c>
      <c r="E796">
        <f>1</f>
        <v>1</v>
      </c>
      <c r="F796">
        <f>IF(OR(F_Custom1_Q="(None)",F_Custom1_Q="",ISBLANK(F_Custom1_Q),F_Custom1_V="(All)",F_Custom1_V="",ISBLANK(F_Custom1_V)),1,IFERROR(IF(ISNUMBER(SEARCH("|"&amp;INDEX(INDIRECT(F_Custom1_resolved_column),795)&amp;"|",F_Custom1_wrapped)),1,0),0))</f>
        <v>1</v>
      </c>
      <c r="G796">
        <f>IF(OR(F_Custom2_Q="(None)",F_Custom2_Q="",ISBLANK(F_Custom2_Q),F_Custom2_V="(All)",F_Custom2_V="",ISBLANK(F_Custom2_V)),1,IFERROR(IF(ISNUMBER(SEARCH("|"&amp;INDEX(INDIRECT(F_Custom2_resolved_column),795)&amp;"|",F_Custom2_wrapped)),1,0),0))</f>
        <v>1</v>
      </c>
      <c r="H796">
        <f>F796*G796*1</f>
        <v>1</v>
      </c>
      <c r="I796">
        <f>1</f>
        <v>1</v>
      </c>
      <c r="J7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795)&amp;"|",All_Questions_Q20_F_wrapped)),1,0),0))</f>
        <v>1</v>
      </c>
    </row>
    <row r="797">
      <c r="A797" t="n">
        <v>796</v>
      </c>
      <c r="B797" t="n">
        <v>28.9</v>
      </c>
      <c r="C797" t="n">
        <v>24.6</v>
      </c>
      <c r="D797" t="n">
        <v>22.9</v>
      </c>
      <c r="E797">
        <f>1</f>
        <v>1</v>
      </c>
      <c r="F797">
        <f>IF(OR(F_Custom1_Q="(None)",F_Custom1_Q="",ISBLANK(F_Custom1_Q),F_Custom1_V="(All)",F_Custom1_V="",ISBLANK(F_Custom1_V)),1,IFERROR(IF(ISNUMBER(SEARCH("|"&amp;INDEX(INDIRECT(F_Custom1_resolved_column),796)&amp;"|",F_Custom1_wrapped)),1,0),0))</f>
        <v>1</v>
      </c>
      <c r="G797">
        <f>IF(OR(F_Custom2_Q="(None)",F_Custom2_Q="",ISBLANK(F_Custom2_Q),F_Custom2_V="(All)",F_Custom2_V="",ISBLANK(F_Custom2_V)),1,IFERROR(IF(ISNUMBER(SEARCH("|"&amp;INDEX(INDIRECT(F_Custom2_resolved_column),796)&amp;"|",F_Custom2_wrapped)),1,0),0))</f>
        <v>1</v>
      </c>
      <c r="H797">
        <f>F797*G797*1</f>
        <v>1</v>
      </c>
      <c r="I797">
        <f>1</f>
        <v>1</v>
      </c>
      <c r="J7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796)&amp;"|",All_Questions_Q20_F_wrapped)),1,0),0))</f>
        <v>1</v>
      </c>
    </row>
    <row r="798">
      <c r="A798" t="n">
        <v>797</v>
      </c>
      <c r="B798" t="n">
        <v>28.9</v>
      </c>
      <c r="C798" t="n">
        <v>24.6</v>
      </c>
      <c r="D798" t="n">
        <v>22.9</v>
      </c>
      <c r="E798">
        <f>1</f>
        <v>1</v>
      </c>
      <c r="F798">
        <f>IF(OR(F_Custom1_Q="(None)",F_Custom1_Q="",ISBLANK(F_Custom1_Q),F_Custom1_V="(All)",F_Custom1_V="",ISBLANK(F_Custom1_V)),1,IFERROR(IF(ISNUMBER(SEARCH("|"&amp;INDEX(INDIRECT(F_Custom1_resolved_column),797)&amp;"|",F_Custom1_wrapped)),1,0),0))</f>
        <v>1</v>
      </c>
      <c r="G798">
        <f>IF(OR(F_Custom2_Q="(None)",F_Custom2_Q="",ISBLANK(F_Custom2_Q),F_Custom2_V="(All)",F_Custom2_V="",ISBLANK(F_Custom2_V)),1,IFERROR(IF(ISNUMBER(SEARCH("|"&amp;INDEX(INDIRECT(F_Custom2_resolved_column),797)&amp;"|",F_Custom2_wrapped)),1,0),0))</f>
        <v>1</v>
      </c>
      <c r="H798">
        <f>F798*G798*1</f>
        <v>1</v>
      </c>
      <c r="I798">
        <f>1</f>
        <v>1</v>
      </c>
      <c r="J7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797)&amp;"|",All_Questions_Q20_F_wrapped)),1,0),0))</f>
        <v>1</v>
      </c>
    </row>
    <row r="799">
      <c r="A799" t="n">
        <v>798</v>
      </c>
      <c r="B799" t="n">
        <v>28.9</v>
      </c>
      <c r="C799" t="n">
        <v>24.6</v>
      </c>
      <c r="D799" t="n">
        <v>22.9</v>
      </c>
      <c r="E799">
        <f>1</f>
        <v>1</v>
      </c>
      <c r="F799">
        <f>IF(OR(F_Custom1_Q="(None)",F_Custom1_Q="",ISBLANK(F_Custom1_Q),F_Custom1_V="(All)",F_Custom1_V="",ISBLANK(F_Custom1_V)),1,IFERROR(IF(ISNUMBER(SEARCH("|"&amp;INDEX(INDIRECT(F_Custom1_resolved_column),798)&amp;"|",F_Custom1_wrapped)),1,0),0))</f>
        <v>1</v>
      </c>
      <c r="G799">
        <f>IF(OR(F_Custom2_Q="(None)",F_Custom2_Q="",ISBLANK(F_Custom2_Q),F_Custom2_V="(All)",F_Custom2_V="",ISBLANK(F_Custom2_V)),1,IFERROR(IF(ISNUMBER(SEARCH("|"&amp;INDEX(INDIRECT(F_Custom2_resolved_column),798)&amp;"|",F_Custom2_wrapped)),1,0),0))</f>
        <v>1</v>
      </c>
      <c r="H799">
        <f>F799*G799*1</f>
        <v>1</v>
      </c>
      <c r="I799">
        <f>1</f>
        <v>1</v>
      </c>
      <c r="J7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798)&amp;"|",All_Questions_Q20_F_wrapped)),1,0),0))</f>
        <v>1</v>
      </c>
    </row>
    <row r="800">
      <c r="A800" t="n">
        <v>799</v>
      </c>
      <c r="B800" t="n">
        <v>28.9</v>
      </c>
      <c r="C800" t="n">
        <v>24.6</v>
      </c>
      <c r="D800" t="n">
        <v>22.9</v>
      </c>
      <c r="E800">
        <f>1</f>
        <v>1</v>
      </c>
      <c r="F800">
        <f>IF(OR(F_Custom1_Q="(None)",F_Custom1_Q="",ISBLANK(F_Custom1_Q),F_Custom1_V="(All)",F_Custom1_V="",ISBLANK(F_Custom1_V)),1,IFERROR(IF(ISNUMBER(SEARCH("|"&amp;INDEX(INDIRECT(F_Custom1_resolved_column),799)&amp;"|",F_Custom1_wrapped)),1,0),0))</f>
        <v>1</v>
      </c>
      <c r="G800">
        <f>IF(OR(F_Custom2_Q="(None)",F_Custom2_Q="",ISBLANK(F_Custom2_Q),F_Custom2_V="(All)",F_Custom2_V="",ISBLANK(F_Custom2_V)),1,IFERROR(IF(ISNUMBER(SEARCH("|"&amp;INDEX(INDIRECT(F_Custom2_resolved_column),799)&amp;"|",F_Custom2_wrapped)),1,0),0))</f>
        <v>1</v>
      </c>
      <c r="H800">
        <f>F800*G800*1</f>
        <v>1</v>
      </c>
      <c r="I800">
        <f>1</f>
        <v>1</v>
      </c>
      <c r="J8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799)&amp;"|",All_Questions_Q20_F_wrapped)),1,0),0))</f>
        <v>1</v>
      </c>
    </row>
    <row r="801">
      <c r="A801" t="n">
        <v>800</v>
      </c>
      <c r="B801" t="n">
        <v>28.9</v>
      </c>
      <c r="C801" t="n">
        <v>24.6</v>
      </c>
      <c r="D801" t="n">
        <v>22.9</v>
      </c>
      <c r="E801">
        <f>1</f>
        <v>1</v>
      </c>
      <c r="F801">
        <f>IF(OR(F_Custom1_Q="(None)",F_Custom1_Q="",ISBLANK(F_Custom1_Q),F_Custom1_V="(All)",F_Custom1_V="",ISBLANK(F_Custom1_V)),1,IFERROR(IF(ISNUMBER(SEARCH("|"&amp;INDEX(INDIRECT(F_Custom1_resolved_column),800)&amp;"|",F_Custom1_wrapped)),1,0),0))</f>
        <v>1</v>
      </c>
      <c r="G801">
        <f>IF(OR(F_Custom2_Q="(None)",F_Custom2_Q="",ISBLANK(F_Custom2_Q),F_Custom2_V="(All)",F_Custom2_V="",ISBLANK(F_Custom2_V)),1,IFERROR(IF(ISNUMBER(SEARCH("|"&amp;INDEX(INDIRECT(F_Custom2_resolved_column),800)&amp;"|",F_Custom2_wrapped)),1,0),0))</f>
        <v>1</v>
      </c>
      <c r="H801">
        <f>F801*G801*1</f>
        <v>1</v>
      </c>
      <c r="I801">
        <f>1</f>
        <v>1</v>
      </c>
      <c r="J8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800)&amp;"|",All_Questions_Q20_F_wrapped)),1,0),0))</f>
        <v>1</v>
      </c>
    </row>
    <row r="802">
      <c r="A802" t="n">
        <v>801</v>
      </c>
      <c r="B802" t="n">
        <v>28.9</v>
      </c>
      <c r="C802" t="n">
        <v>24.6</v>
      </c>
      <c r="D802" t="n">
        <v>22.9</v>
      </c>
      <c r="E802">
        <f>1</f>
        <v>1</v>
      </c>
      <c r="F802">
        <f>IF(OR(F_Custom1_Q="(None)",F_Custom1_Q="",ISBLANK(F_Custom1_Q),F_Custom1_V="(All)",F_Custom1_V="",ISBLANK(F_Custom1_V)),1,IFERROR(IF(ISNUMBER(SEARCH("|"&amp;INDEX(INDIRECT(F_Custom1_resolved_column),801)&amp;"|",F_Custom1_wrapped)),1,0),0))</f>
        <v>1</v>
      </c>
      <c r="G802">
        <f>IF(OR(F_Custom2_Q="(None)",F_Custom2_Q="",ISBLANK(F_Custom2_Q),F_Custom2_V="(All)",F_Custom2_V="",ISBLANK(F_Custom2_V)),1,IFERROR(IF(ISNUMBER(SEARCH("|"&amp;INDEX(INDIRECT(F_Custom2_resolved_column),801)&amp;"|",F_Custom2_wrapped)),1,0),0))</f>
        <v>1</v>
      </c>
      <c r="H802">
        <f>F802*G802*1</f>
        <v>1</v>
      </c>
      <c r="I802">
        <f>1</f>
        <v>1</v>
      </c>
      <c r="J8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801)&amp;"|",All_Questions_Q20_F_wrapped)),1,0),0))</f>
        <v>1</v>
      </c>
    </row>
    <row r="803">
      <c r="A803" t="n">
        <v>802</v>
      </c>
      <c r="B803" t="n">
        <v>28.9</v>
      </c>
      <c r="C803" t="n">
        <v>24.6</v>
      </c>
      <c r="D803" t="n">
        <v>22.9</v>
      </c>
      <c r="E803">
        <f>1</f>
        <v>1</v>
      </c>
      <c r="F803">
        <f>IF(OR(F_Custom1_Q="(None)",F_Custom1_Q="",ISBLANK(F_Custom1_Q),F_Custom1_V="(All)",F_Custom1_V="",ISBLANK(F_Custom1_V)),1,IFERROR(IF(ISNUMBER(SEARCH("|"&amp;INDEX(INDIRECT(F_Custom1_resolved_column),802)&amp;"|",F_Custom1_wrapped)),1,0),0))</f>
        <v>1</v>
      </c>
      <c r="G803">
        <f>IF(OR(F_Custom2_Q="(None)",F_Custom2_Q="",ISBLANK(F_Custom2_Q),F_Custom2_V="(All)",F_Custom2_V="",ISBLANK(F_Custom2_V)),1,IFERROR(IF(ISNUMBER(SEARCH("|"&amp;INDEX(INDIRECT(F_Custom2_resolved_column),802)&amp;"|",F_Custom2_wrapped)),1,0),0))</f>
        <v>1</v>
      </c>
      <c r="H803">
        <f>F803*G803*1</f>
        <v>1</v>
      </c>
      <c r="I803">
        <f>1</f>
        <v>1</v>
      </c>
      <c r="J8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802)&amp;"|",All_Questions_Q20_F_wrapped)),1,0),0))</f>
        <v>1</v>
      </c>
    </row>
    <row r="804">
      <c r="A804" t="n">
        <v>803</v>
      </c>
      <c r="B804" t="n">
        <v>28.9</v>
      </c>
      <c r="C804" t="n">
        <v>24.6</v>
      </c>
      <c r="D804" t="n">
        <v>22.9</v>
      </c>
      <c r="E804">
        <f>1</f>
        <v>1</v>
      </c>
      <c r="F804">
        <f>IF(OR(F_Custom1_Q="(None)",F_Custom1_Q="",ISBLANK(F_Custom1_Q),F_Custom1_V="(All)",F_Custom1_V="",ISBLANK(F_Custom1_V)),1,IFERROR(IF(ISNUMBER(SEARCH("|"&amp;INDEX(INDIRECT(F_Custom1_resolved_column),803)&amp;"|",F_Custom1_wrapped)),1,0),0))</f>
        <v>1</v>
      </c>
      <c r="G804">
        <f>IF(OR(F_Custom2_Q="(None)",F_Custom2_Q="",ISBLANK(F_Custom2_Q),F_Custom2_V="(All)",F_Custom2_V="",ISBLANK(F_Custom2_V)),1,IFERROR(IF(ISNUMBER(SEARCH("|"&amp;INDEX(INDIRECT(F_Custom2_resolved_column),803)&amp;"|",F_Custom2_wrapped)),1,0),0))</f>
        <v>1</v>
      </c>
      <c r="H804">
        <f>F804*G804*1</f>
        <v>1</v>
      </c>
      <c r="I804">
        <f>1</f>
        <v>1</v>
      </c>
      <c r="J8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803)&amp;"|",All_Questions_Q20_F_wrapped)),1,0),0))</f>
        <v>1</v>
      </c>
    </row>
    <row r="805">
      <c r="A805" t="n">
        <v>804</v>
      </c>
      <c r="B805" t="n">
        <v>28.9</v>
      </c>
      <c r="C805" t="n">
        <v>24.6</v>
      </c>
      <c r="D805" t="n">
        <v>22.9</v>
      </c>
      <c r="E805">
        <f>1</f>
        <v>1</v>
      </c>
      <c r="F805">
        <f>IF(OR(F_Custom1_Q="(None)",F_Custom1_Q="",ISBLANK(F_Custom1_Q),F_Custom1_V="(All)",F_Custom1_V="",ISBLANK(F_Custom1_V)),1,IFERROR(IF(ISNUMBER(SEARCH("|"&amp;INDEX(INDIRECT(F_Custom1_resolved_column),804)&amp;"|",F_Custom1_wrapped)),1,0),0))</f>
        <v>1</v>
      </c>
      <c r="G805">
        <f>IF(OR(F_Custom2_Q="(None)",F_Custom2_Q="",ISBLANK(F_Custom2_Q),F_Custom2_V="(All)",F_Custom2_V="",ISBLANK(F_Custom2_V)),1,IFERROR(IF(ISNUMBER(SEARCH("|"&amp;INDEX(INDIRECT(F_Custom2_resolved_column),804)&amp;"|",F_Custom2_wrapped)),1,0),0))</f>
        <v>1</v>
      </c>
      <c r="H805">
        <f>F805*G805*1</f>
        <v>1</v>
      </c>
      <c r="I805">
        <f>1</f>
        <v>1</v>
      </c>
      <c r="J8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804)&amp;"|",All_Questions_Q20_F_wrapped)),1,0),0))</f>
        <v>1</v>
      </c>
    </row>
    <row r="806">
      <c r="A806" t="n">
        <v>805</v>
      </c>
      <c r="B806" t="n">
        <v>28.9</v>
      </c>
      <c r="C806" t="n">
        <v>24.6</v>
      </c>
      <c r="D806" t="n">
        <v>22.9</v>
      </c>
      <c r="E806">
        <f>1</f>
        <v>1</v>
      </c>
      <c r="F806">
        <f>IF(OR(F_Custom1_Q="(None)",F_Custom1_Q="",ISBLANK(F_Custom1_Q),F_Custom1_V="(All)",F_Custom1_V="",ISBLANK(F_Custom1_V)),1,IFERROR(IF(ISNUMBER(SEARCH("|"&amp;INDEX(INDIRECT(F_Custom1_resolved_column),805)&amp;"|",F_Custom1_wrapped)),1,0),0))</f>
        <v>1</v>
      </c>
      <c r="G806">
        <f>IF(OR(F_Custom2_Q="(None)",F_Custom2_Q="",ISBLANK(F_Custom2_Q),F_Custom2_V="(All)",F_Custom2_V="",ISBLANK(F_Custom2_V)),1,IFERROR(IF(ISNUMBER(SEARCH("|"&amp;INDEX(INDIRECT(F_Custom2_resolved_column),805)&amp;"|",F_Custom2_wrapped)),1,0),0))</f>
        <v>1</v>
      </c>
      <c r="H806">
        <f>F806*G806*1</f>
        <v>1</v>
      </c>
      <c r="I806">
        <f>1</f>
        <v>1</v>
      </c>
      <c r="J8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805)&amp;"|",All_Questions_Q20_F_wrapped)),1,0),0))</f>
        <v>1</v>
      </c>
    </row>
    <row r="807">
      <c r="A807" t="n">
        <v>806</v>
      </c>
      <c r="B807" t="n">
        <v>28.9</v>
      </c>
      <c r="C807" t="n">
        <v>24.6</v>
      </c>
      <c r="D807" t="n">
        <v>22.9</v>
      </c>
      <c r="E807">
        <f>1</f>
        <v>1</v>
      </c>
      <c r="F807">
        <f>IF(OR(F_Custom1_Q="(None)",F_Custom1_Q="",ISBLANK(F_Custom1_Q),F_Custom1_V="(All)",F_Custom1_V="",ISBLANK(F_Custom1_V)),1,IFERROR(IF(ISNUMBER(SEARCH("|"&amp;INDEX(INDIRECT(F_Custom1_resolved_column),806)&amp;"|",F_Custom1_wrapped)),1,0),0))</f>
        <v>1</v>
      </c>
      <c r="G807">
        <f>IF(OR(F_Custom2_Q="(None)",F_Custom2_Q="",ISBLANK(F_Custom2_Q),F_Custom2_V="(All)",F_Custom2_V="",ISBLANK(F_Custom2_V)),1,IFERROR(IF(ISNUMBER(SEARCH("|"&amp;INDEX(INDIRECT(F_Custom2_resolved_column),806)&amp;"|",F_Custom2_wrapped)),1,0),0))</f>
        <v>1</v>
      </c>
      <c r="H807">
        <f>F807*G807*1</f>
        <v>1</v>
      </c>
      <c r="I807">
        <f>1</f>
        <v>1</v>
      </c>
      <c r="J8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806)&amp;"|",All_Questions_Q20_F_wrapped)),1,0),0))</f>
        <v>1</v>
      </c>
    </row>
    <row r="808">
      <c r="A808" t="n">
        <v>807</v>
      </c>
      <c r="B808" t="n">
        <v>28.9</v>
      </c>
      <c r="C808" t="n">
        <v>24.6</v>
      </c>
      <c r="D808" t="n">
        <v>22.9</v>
      </c>
      <c r="E808">
        <f>1</f>
        <v>1</v>
      </c>
      <c r="F808">
        <f>IF(OR(F_Custom1_Q="(None)",F_Custom1_Q="",ISBLANK(F_Custom1_Q),F_Custom1_V="(All)",F_Custom1_V="",ISBLANK(F_Custom1_V)),1,IFERROR(IF(ISNUMBER(SEARCH("|"&amp;INDEX(INDIRECT(F_Custom1_resolved_column),807)&amp;"|",F_Custom1_wrapped)),1,0),0))</f>
        <v>1</v>
      </c>
      <c r="G808">
        <f>IF(OR(F_Custom2_Q="(None)",F_Custom2_Q="",ISBLANK(F_Custom2_Q),F_Custom2_V="(All)",F_Custom2_V="",ISBLANK(F_Custom2_V)),1,IFERROR(IF(ISNUMBER(SEARCH("|"&amp;INDEX(INDIRECT(F_Custom2_resolved_column),807)&amp;"|",F_Custom2_wrapped)),1,0),0))</f>
        <v>1</v>
      </c>
      <c r="H808">
        <f>F808*G808*1</f>
        <v>1</v>
      </c>
      <c r="I808">
        <f>1</f>
        <v>1</v>
      </c>
      <c r="J8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807)&amp;"|",All_Questions_Q20_F_wrapped)),1,0),0))</f>
        <v>1</v>
      </c>
    </row>
    <row r="809">
      <c r="A809" t="n">
        <v>808</v>
      </c>
      <c r="B809" t="n">
        <v>28.9</v>
      </c>
      <c r="C809" t="n">
        <v>24.6</v>
      </c>
      <c r="D809" t="n">
        <v>22.9</v>
      </c>
      <c r="E809">
        <f>1</f>
        <v>1</v>
      </c>
      <c r="F809">
        <f>IF(OR(F_Custom1_Q="(None)",F_Custom1_Q="",ISBLANK(F_Custom1_Q),F_Custom1_V="(All)",F_Custom1_V="",ISBLANK(F_Custom1_V)),1,IFERROR(IF(ISNUMBER(SEARCH("|"&amp;INDEX(INDIRECT(F_Custom1_resolved_column),808)&amp;"|",F_Custom1_wrapped)),1,0),0))</f>
        <v>1</v>
      </c>
      <c r="G809">
        <f>IF(OR(F_Custom2_Q="(None)",F_Custom2_Q="",ISBLANK(F_Custom2_Q),F_Custom2_V="(All)",F_Custom2_V="",ISBLANK(F_Custom2_V)),1,IFERROR(IF(ISNUMBER(SEARCH("|"&amp;INDEX(INDIRECT(F_Custom2_resolved_column),808)&amp;"|",F_Custom2_wrapped)),1,0),0))</f>
        <v>1</v>
      </c>
      <c r="H809">
        <f>F809*G809*1</f>
        <v>1</v>
      </c>
      <c r="I809">
        <f>1</f>
        <v>1</v>
      </c>
      <c r="J8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808)&amp;"|",All_Questions_Q20_F_wrapped)),1,0),0))</f>
        <v>1</v>
      </c>
    </row>
    <row r="810">
      <c r="A810" t="n">
        <v>809</v>
      </c>
      <c r="B810" t="n">
        <v>28.9</v>
      </c>
      <c r="C810" t="n">
        <v>24.6</v>
      </c>
      <c r="D810" t="n">
        <v>22.9</v>
      </c>
      <c r="E810">
        <f>1</f>
        <v>1</v>
      </c>
      <c r="F810">
        <f>IF(OR(F_Custom1_Q="(None)",F_Custom1_Q="",ISBLANK(F_Custom1_Q),F_Custom1_V="(All)",F_Custom1_V="",ISBLANK(F_Custom1_V)),1,IFERROR(IF(ISNUMBER(SEARCH("|"&amp;INDEX(INDIRECT(F_Custom1_resolved_column),809)&amp;"|",F_Custom1_wrapped)),1,0),0))</f>
        <v>1</v>
      </c>
      <c r="G810">
        <f>IF(OR(F_Custom2_Q="(None)",F_Custom2_Q="",ISBLANK(F_Custom2_Q),F_Custom2_V="(All)",F_Custom2_V="",ISBLANK(F_Custom2_V)),1,IFERROR(IF(ISNUMBER(SEARCH("|"&amp;INDEX(INDIRECT(F_Custom2_resolved_column),809)&amp;"|",F_Custom2_wrapped)),1,0),0))</f>
        <v>1</v>
      </c>
      <c r="H810">
        <f>F810*G810*1</f>
        <v>1</v>
      </c>
      <c r="I810">
        <f>1</f>
        <v>1</v>
      </c>
      <c r="J8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809)&amp;"|",All_Questions_Q20_F_wrapped)),1,0),0))</f>
        <v>1</v>
      </c>
    </row>
    <row r="811">
      <c r="A811" t="n">
        <v>810</v>
      </c>
      <c r="B811" t="n">
        <v>28.9</v>
      </c>
      <c r="C811" t="n">
        <v>24.6</v>
      </c>
      <c r="D811" t="n">
        <v>22.9</v>
      </c>
      <c r="E811">
        <f>1</f>
        <v>1</v>
      </c>
      <c r="F811">
        <f>IF(OR(F_Custom1_Q="(None)",F_Custom1_Q="",ISBLANK(F_Custom1_Q),F_Custom1_V="(All)",F_Custom1_V="",ISBLANK(F_Custom1_V)),1,IFERROR(IF(ISNUMBER(SEARCH("|"&amp;INDEX(INDIRECT(F_Custom1_resolved_column),810)&amp;"|",F_Custom1_wrapped)),1,0),0))</f>
        <v>1</v>
      </c>
      <c r="G811">
        <f>IF(OR(F_Custom2_Q="(None)",F_Custom2_Q="",ISBLANK(F_Custom2_Q),F_Custom2_V="(All)",F_Custom2_V="",ISBLANK(F_Custom2_V)),1,IFERROR(IF(ISNUMBER(SEARCH("|"&amp;INDEX(INDIRECT(F_Custom2_resolved_column),810)&amp;"|",F_Custom2_wrapped)),1,0),0))</f>
        <v>1</v>
      </c>
      <c r="H811">
        <f>F811*G811*1</f>
        <v>1</v>
      </c>
      <c r="I811">
        <f>1</f>
        <v>1</v>
      </c>
      <c r="J8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810)&amp;"|",All_Questions_Q20_F_wrapped)),1,0),0))</f>
        <v>1</v>
      </c>
    </row>
    <row r="812">
      <c r="A812" t="n">
        <v>811</v>
      </c>
      <c r="B812" t="n">
        <v>28.9</v>
      </c>
      <c r="C812" t="n">
        <v>24.6</v>
      </c>
      <c r="D812" t="n">
        <v>22.9</v>
      </c>
      <c r="E812">
        <f>1</f>
        <v>1</v>
      </c>
      <c r="F812">
        <f>IF(OR(F_Custom1_Q="(None)",F_Custom1_Q="",ISBLANK(F_Custom1_Q),F_Custom1_V="(All)",F_Custom1_V="",ISBLANK(F_Custom1_V)),1,IFERROR(IF(ISNUMBER(SEARCH("|"&amp;INDEX(INDIRECT(F_Custom1_resolved_column),811)&amp;"|",F_Custom1_wrapped)),1,0),0))</f>
        <v>1</v>
      </c>
      <c r="G812">
        <f>IF(OR(F_Custom2_Q="(None)",F_Custom2_Q="",ISBLANK(F_Custom2_Q),F_Custom2_V="(All)",F_Custom2_V="",ISBLANK(F_Custom2_V)),1,IFERROR(IF(ISNUMBER(SEARCH("|"&amp;INDEX(INDIRECT(F_Custom2_resolved_column),811)&amp;"|",F_Custom2_wrapped)),1,0),0))</f>
        <v>1</v>
      </c>
      <c r="H812">
        <f>F812*G812*1</f>
        <v>1</v>
      </c>
      <c r="I812">
        <f>1</f>
        <v>1</v>
      </c>
      <c r="J8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811)&amp;"|",All_Questions_Q20_F_wrapped)),1,0),0))</f>
        <v>1</v>
      </c>
    </row>
    <row r="813">
      <c r="A813" t="n">
        <v>812</v>
      </c>
      <c r="B813" t="n">
        <v>28.9</v>
      </c>
      <c r="C813" t="n">
        <v>24.6</v>
      </c>
      <c r="D813" t="n">
        <v>22.9</v>
      </c>
      <c r="E813">
        <f>1</f>
        <v>1</v>
      </c>
      <c r="F813">
        <f>IF(OR(F_Custom1_Q="(None)",F_Custom1_Q="",ISBLANK(F_Custom1_Q),F_Custom1_V="(All)",F_Custom1_V="",ISBLANK(F_Custom1_V)),1,IFERROR(IF(ISNUMBER(SEARCH("|"&amp;INDEX(INDIRECT(F_Custom1_resolved_column),812)&amp;"|",F_Custom1_wrapped)),1,0),0))</f>
        <v>1</v>
      </c>
      <c r="G813">
        <f>IF(OR(F_Custom2_Q="(None)",F_Custom2_Q="",ISBLANK(F_Custom2_Q),F_Custom2_V="(All)",F_Custom2_V="",ISBLANK(F_Custom2_V)),1,IFERROR(IF(ISNUMBER(SEARCH("|"&amp;INDEX(INDIRECT(F_Custom2_resolved_column),812)&amp;"|",F_Custom2_wrapped)),1,0),0))</f>
        <v>1</v>
      </c>
      <c r="H813">
        <f>F813*G813*1</f>
        <v>1</v>
      </c>
      <c r="I813">
        <f>1</f>
        <v>1</v>
      </c>
      <c r="J8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812)&amp;"|",All_Questions_Q20_F_wrapped)),1,0),0))</f>
        <v>1</v>
      </c>
    </row>
    <row r="814">
      <c r="A814" t="n">
        <v>813</v>
      </c>
      <c r="B814" t="n">
        <v>28.9</v>
      </c>
      <c r="C814" t="n">
        <v>24.6</v>
      </c>
      <c r="D814" t="n">
        <v>22.9</v>
      </c>
      <c r="E814">
        <f>1</f>
        <v>1</v>
      </c>
      <c r="F814">
        <f>IF(OR(F_Custom1_Q="(None)",F_Custom1_Q="",ISBLANK(F_Custom1_Q),F_Custom1_V="(All)",F_Custom1_V="",ISBLANK(F_Custom1_V)),1,IFERROR(IF(ISNUMBER(SEARCH("|"&amp;INDEX(INDIRECT(F_Custom1_resolved_column),813)&amp;"|",F_Custom1_wrapped)),1,0),0))</f>
        <v>1</v>
      </c>
      <c r="G814">
        <f>IF(OR(F_Custom2_Q="(None)",F_Custom2_Q="",ISBLANK(F_Custom2_Q),F_Custom2_V="(All)",F_Custom2_V="",ISBLANK(F_Custom2_V)),1,IFERROR(IF(ISNUMBER(SEARCH("|"&amp;INDEX(INDIRECT(F_Custom2_resolved_column),813)&amp;"|",F_Custom2_wrapped)),1,0),0))</f>
        <v>1</v>
      </c>
      <c r="H814">
        <f>F814*G814*1</f>
        <v>1</v>
      </c>
      <c r="I814">
        <f>1</f>
        <v>1</v>
      </c>
      <c r="J8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813)&amp;"|",All_Questions_Q20_F_wrapped)),1,0),0))</f>
        <v>1</v>
      </c>
    </row>
    <row r="815">
      <c r="A815" t="n">
        <v>814</v>
      </c>
      <c r="B815" t="n">
        <v>28.9</v>
      </c>
      <c r="C815" t="n">
        <v>24.6</v>
      </c>
      <c r="D815" t="n">
        <v>22.9</v>
      </c>
      <c r="E815">
        <f>1</f>
        <v>1</v>
      </c>
      <c r="F815">
        <f>IF(OR(F_Custom1_Q="(None)",F_Custom1_Q="",ISBLANK(F_Custom1_Q),F_Custom1_V="(All)",F_Custom1_V="",ISBLANK(F_Custom1_V)),1,IFERROR(IF(ISNUMBER(SEARCH("|"&amp;INDEX(INDIRECT(F_Custom1_resolved_column),814)&amp;"|",F_Custom1_wrapped)),1,0),0))</f>
        <v>1</v>
      </c>
      <c r="G815">
        <f>IF(OR(F_Custom2_Q="(None)",F_Custom2_Q="",ISBLANK(F_Custom2_Q),F_Custom2_V="(All)",F_Custom2_V="",ISBLANK(F_Custom2_V)),1,IFERROR(IF(ISNUMBER(SEARCH("|"&amp;INDEX(INDIRECT(F_Custom2_resolved_column),814)&amp;"|",F_Custom2_wrapped)),1,0),0))</f>
        <v>1</v>
      </c>
      <c r="H815">
        <f>F815*G815*1</f>
        <v>1</v>
      </c>
      <c r="I815">
        <f>1</f>
        <v>1</v>
      </c>
      <c r="J8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814)&amp;"|",All_Questions_Q20_F_wrapped)),1,0),0))</f>
        <v>1</v>
      </c>
    </row>
    <row r="816">
      <c r="A816" t="n">
        <v>815</v>
      </c>
      <c r="B816" t="n">
        <v>28.9</v>
      </c>
      <c r="C816" t="n">
        <v>24.6</v>
      </c>
      <c r="D816" t="n">
        <v>22.9</v>
      </c>
      <c r="E816">
        <f>1</f>
        <v>1</v>
      </c>
      <c r="F816">
        <f>IF(OR(F_Custom1_Q="(None)",F_Custom1_Q="",ISBLANK(F_Custom1_Q),F_Custom1_V="(All)",F_Custom1_V="",ISBLANK(F_Custom1_V)),1,IFERROR(IF(ISNUMBER(SEARCH("|"&amp;INDEX(INDIRECT(F_Custom1_resolved_column),815)&amp;"|",F_Custom1_wrapped)),1,0),0))</f>
        <v>1</v>
      </c>
      <c r="G816">
        <f>IF(OR(F_Custom2_Q="(None)",F_Custom2_Q="",ISBLANK(F_Custom2_Q),F_Custom2_V="(All)",F_Custom2_V="",ISBLANK(F_Custom2_V)),1,IFERROR(IF(ISNUMBER(SEARCH("|"&amp;INDEX(INDIRECT(F_Custom2_resolved_column),815)&amp;"|",F_Custom2_wrapped)),1,0),0))</f>
        <v>1</v>
      </c>
      <c r="H816">
        <f>F816*G816*1</f>
        <v>1</v>
      </c>
      <c r="I816">
        <f>1</f>
        <v>1</v>
      </c>
      <c r="J8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815)&amp;"|",All_Questions_Q20_F_wrapped)),1,0),0))</f>
        <v>1</v>
      </c>
    </row>
    <row r="817">
      <c r="A817" t="n">
        <v>816</v>
      </c>
      <c r="B817" t="n">
        <v>28.9</v>
      </c>
      <c r="C817" t="n">
        <v>24.6</v>
      </c>
      <c r="D817" t="n">
        <v>22.9</v>
      </c>
      <c r="E817">
        <f>1</f>
        <v>1</v>
      </c>
      <c r="F817">
        <f>IF(OR(F_Custom1_Q="(None)",F_Custom1_Q="",ISBLANK(F_Custom1_Q),F_Custom1_V="(All)",F_Custom1_V="",ISBLANK(F_Custom1_V)),1,IFERROR(IF(ISNUMBER(SEARCH("|"&amp;INDEX(INDIRECT(F_Custom1_resolved_column),816)&amp;"|",F_Custom1_wrapped)),1,0),0))</f>
        <v>1</v>
      </c>
      <c r="G817">
        <f>IF(OR(F_Custom2_Q="(None)",F_Custom2_Q="",ISBLANK(F_Custom2_Q),F_Custom2_V="(All)",F_Custom2_V="",ISBLANK(F_Custom2_V)),1,IFERROR(IF(ISNUMBER(SEARCH("|"&amp;INDEX(INDIRECT(F_Custom2_resolved_column),816)&amp;"|",F_Custom2_wrapped)),1,0),0))</f>
        <v>1</v>
      </c>
      <c r="H817">
        <f>F817*G817*1</f>
        <v>1</v>
      </c>
      <c r="I817">
        <f>1</f>
        <v>1</v>
      </c>
      <c r="J8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816)&amp;"|",All_Questions_Q20_F_wrapped)),1,0),0))</f>
        <v>1</v>
      </c>
    </row>
    <row r="818">
      <c r="A818" t="n">
        <v>817</v>
      </c>
      <c r="B818" t="n">
        <v>28.9</v>
      </c>
      <c r="C818" t="n">
        <v>24.6</v>
      </c>
      <c r="D818" t="n">
        <v>22.9</v>
      </c>
      <c r="E818">
        <f>1</f>
        <v>1</v>
      </c>
      <c r="F818">
        <f>IF(OR(F_Custom1_Q="(None)",F_Custom1_Q="",ISBLANK(F_Custom1_Q),F_Custom1_V="(All)",F_Custom1_V="",ISBLANK(F_Custom1_V)),1,IFERROR(IF(ISNUMBER(SEARCH("|"&amp;INDEX(INDIRECT(F_Custom1_resolved_column),817)&amp;"|",F_Custom1_wrapped)),1,0),0))</f>
        <v>1</v>
      </c>
      <c r="G818">
        <f>IF(OR(F_Custom2_Q="(None)",F_Custom2_Q="",ISBLANK(F_Custom2_Q),F_Custom2_V="(All)",F_Custom2_V="",ISBLANK(F_Custom2_V)),1,IFERROR(IF(ISNUMBER(SEARCH("|"&amp;INDEX(INDIRECT(F_Custom2_resolved_column),817)&amp;"|",F_Custom2_wrapped)),1,0),0))</f>
        <v>1</v>
      </c>
      <c r="H818">
        <f>F818*G818*1</f>
        <v>1</v>
      </c>
      <c r="I818">
        <f>1</f>
        <v>1</v>
      </c>
      <c r="J8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817)&amp;"|",All_Questions_Q20_F_wrapped)),1,0),0))</f>
        <v>1</v>
      </c>
    </row>
    <row r="819">
      <c r="A819" t="n">
        <v>818</v>
      </c>
      <c r="B819" t="n">
        <v>28.9</v>
      </c>
      <c r="C819" t="n">
        <v>24.6</v>
      </c>
      <c r="D819" t="n">
        <v>22.9</v>
      </c>
      <c r="E819">
        <f>1</f>
        <v>1</v>
      </c>
      <c r="F819">
        <f>IF(OR(F_Custom1_Q="(None)",F_Custom1_Q="",ISBLANK(F_Custom1_Q),F_Custom1_V="(All)",F_Custom1_V="",ISBLANK(F_Custom1_V)),1,IFERROR(IF(ISNUMBER(SEARCH("|"&amp;INDEX(INDIRECT(F_Custom1_resolved_column),818)&amp;"|",F_Custom1_wrapped)),1,0),0))</f>
        <v>1</v>
      </c>
      <c r="G819">
        <f>IF(OR(F_Custom2_Q="(None)",F_Custom2_Q="",ISBLANK(F_Custom2_Q),F_Custom2_V="(All)",F_Custom2_V="",ISBLANK(F_Custom2_V)),1,IFERROR(IF(ISNUMBER(SEARCH("|"&amp;INDEX(INDIRECT(F_Custom2_resolved_column),818)&amp;"|",F_Custom2_wrapped)),1,0),0))</f>
        <v>1</v>
      </c>
      <c r="H819">
        <f>F819*G819*1</f>
        <v>1</v>
      </c>
      <c r="I819">
        <f>1</f>
        <v>1</v>
      </c>
      <c r="J8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818)&amp;"|",All_Questions_Q20_F_wrapped)),1,0),0))</f>
        <v>1</v>
      </c>
    </row>
    <row r="820">
      <c r="A820" t="n">
        <v>819</v>
      </c>
      <c r="B820" t="n">
        <v>28.9</v>
      </c>
      <c r="C820" t="n">
        <v>24.6</v>
      </c>
      <c r="D820" t="n">
        <v>22.9</v>
      </c>
      <c r="E820">
        <f>1</f>
        <v>1</v>
      </c>
      <c r="F820">
        <f>IF(OR(F_Custom1_Q="(None)",F_Custom1_Q="",ISBLANK(F_Custom1_Q),F_Custom1_V="(All)",F_Custom1_V="",ISBLANK(F_Custom1_V)),1,IFERROR(IF(ISNUMBER(SEARCH("|"&amp;INDEX(INDIRECT(F_Custom1_resolved_column),819)&amp;"|",F_Custom1_wrapped)),1,0),0))</f>
        <v>1</v>
      </c>
      <c r="G820">
        <f>IF(OR(F_Custom2_Q="(None)",F_Custom2_Q="",ISBLANK(F_Custom2_Q),F_Custom2_V="(All)",F_Custom2_V="",ISBLANK(F_Custom2_V)),1,IFERROR(IF(ISNUMBER(SEARCH("|"&amp;INDEX(INDIRECT(F_Custom2_resolved_column),819)&amp;"|",F_Custom2_wrapped)),1,0),0))</f>
        <v>1</v>
      </c>
      <c r="H820">
        <f>F820*G820*1</f>
        <v>1</v>
      </c>
      <c r="I820">
        <f>1</f>
        <v>1</v>
      </c>
      <c r="J8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819)&amp;"|",All_Questions_Q20_F_wrapped)),1,0),0))</f>
        <v>1</v>
      </c>
    </row>
    <row r="821">
      <c r="A821" t="n">
        <v>820</v>
      </c>
      <c r="B821" t="n">
        <v>28.9</v>
      </c>
      <c r="C821" t="n">
        <v>24.6</v>
      </c>
      <c r="D821" t="n">
        <v>22.9</v>
      </c>
      <c r="E821">
        <f>1</f>
        <v>1</v>
      </c>
      <c r="F821">
        <f>IF(OR(F_Custom1_Q="(None)",F_Custom1_Q="",ISBLANK(F_Custom1_Q),F_Custom1_V="(All)",F_Custom1_V="",ISBLANK(F_Custom1_V)),1,IFERROR(IF(ISNUMBER(SEARCH("|"&amp;INDEX(INDIRECT(F_Custom1_resolved_column),820)&amp;"|",F_Custom1_wrapped)),1,0),0))</f>
        <v>1</v>
      </c>
      <c r="G821">
        <f>IF(OR(F_Custom2_Q="(None)",F_Custom2_Q="",ISBLANK(F_Custom2_Q),F_Custom2_V="(All)",F_Custom2_V="",ISBLANK(F_Custom2_V)),1,IFERROR(IF(ISNUMBER(SEARCH("|"&amp;INDEX(INDIRECT(F_Custom2_resolved_column),820)&amp;"|",F_Custom2_wrapped)),1,0),0))</f>
        <v>1</v>
      </c>
      <c r="H821">
        <f>F821*G821*1</f>
        <v>1</v>
      </c>
      <c r="I821">
        <f>1</f>
        <v>1</v>
      </c>
      <c r="J8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820)&amp;"|",All_Questions_Q20_F_wrapped)),1,0),0))</f>
        <v>1</v>
      </c>
    </row>
    <row r="822">
      <c r="A822" t="n">
        <v>821</v>
      </c>
      <c r="B822" t="n">
        <v>28.9</v>
      </c>
      <c r="C822" t="n">
        <v>24.6</v>
      </c>
      <c r="D822" t="n">
        <v>22.9</v>
      </c>
      <c r="E822">
        <f>1</f>
        <v>1</v>
      </c>
      <c r="F822">
        <f>IF(OR(F_Custom1_Q="(None)",F_Custom1_Q="",ISBLANK(F_Custom1_Q),F_Custom1_V="(All)",F_Custom1_V="",ISBLANK(F_Custom1_V)),1,IFERROR(IF(ISNUMBER(SEARCH("|"&amp;INDEX(INDIRECT(F_Custom1_resolved_column),821)&amp;"|",F_Custom1_wrapped)),1,0),0))</f>
        <v>1</v>
      </c>
      <c r="G822">
        <f>IF(OR(F_Custom2_Q="(None)",F_Custom2_Q="",ISBLANK(F_Custom2_Q),F_Custom2_V="(All)",F_Custom2_V="",ISBLANK(F_Custom2_V)),1,IFERROR(IF(ISNUMBER(SEARCH("|"&amp;INDEX(INDIRECT(F_Custom2_resolved_column),821)&amp;"|",F_Custom2_wrapped)),1,0),0))</f>
        <v>1</v>
      </c>
      <c r="H822">
        <f>F822*G822*1</f>
        <v>1</v>
      </c>
      <c r="I822">
        <f>1</f>
        <v>1</v>
      </c>
      <c r="J8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821)&amp;"|",All_Questions_Q20_F_wrapped)),1,0),0))</f>
        <v>1</v>
      </c>
    </row>
    <row r="823">
      <c r="A823" t="n">
        <v>822</v>
      </c>
      <c r="B823" t="n">
        <v>28.9</v>
      </c>
      <c r="C823" t="n">
        <v>24.6</v>
      </c>
      <c r="D823" t="n">
        <v>22.9</v>
      </c>
      <c r="E823">
        <f>1</f>
        <v>1</v>
      </c>
      <c r="F823">
        <f>IF(OR(F_Custom1_Q="(None)",F_Custom1_Q="",ISBLANK(F_Custom1_Q),F_Custom1_V="(All)",F_Custom1_V="",ISBLANK(F_Custom1_V)),1,IFERROR(IF(ISNUMBER(SEARCH("|"&amp;INDEX(INDIRECT(F_Custom1_resolved_column),822)&amp;"|",F_Custom1_wrapped)),1,0),0))</f>
        <v>1</v>
      </c>
      <c r="G823">
        <f>IF(OR(F_Custom2_Q="(None)",F_Custom2_Q="",ISBLANK(F_Custom2_Q),F_Custom2_V="(All)",F_Custom2_V="",ISBLANK(F_Custom2_V)),1,IFERROR(IF(ISNUMBER(SEARCH("|"&amp;INDEX(INDIRECT(F_Custom2_resolved_column),822)&amp;"|",F_Custom2_wrapped)),1,0),0))</f>
        <v>1</v>
      </c>
      <c r="H823">
        <f>F823*G823*1</f>
        <v>1</v>
      </c>
      <c r="I823">
        <f>1</f>
        <v>1</v>
      </c>
      <c r="J8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822)&amp;"|",All_Questions_Q20_F_wrapped)),1,0),0))</f>
        <v>1</v>
      </c>
    </row>
    <row r="824">
      <c r="A824" t="n">
        <v>823</v>
      </c>
      <c r="B824" t="n">
        <v>28.9</v>
      </c>
      <c r="C824" t="n">
        <v>24.6</v>
      </c>
      <c r="D824" t="n">
        <v>22.9</v>
      </c>
      <c r="E824">
        <f>1</f>
        <v>1</v>
      </c>
      <c r="F824">
        <f>IF(OR(F_Custom1_Q="(None)",F_Custom1_Q="",ISBLANK(F_Custom1_Q),F_Custom1_V="(All)",F_Custom1_V="",ISBLANK(F_Custom1_V)),1,IFERROR(IF(ISNUMBER(SEARCH("|"&amp;INDEX(INDIRECT(F_Custom1_resolved_column),823)&amp;"|",F_Custom1_wrapped)),1,0),0))</f>
        <v>1</v>
      </c>
      <c r="G824">
        <f>IF(OR(F_Custom2_Q="(None)",F_Custom2_Q="",ISBLANK(F_Custom2_Q),F_Custom2_V="(All)",F_Custom2_V="",ISBLANK(F_Custom2_V)),1,IFERROR(IF(ISNUMBER(SEARCH("|"&amp;INDEX(INDIRECT(F_Custom2_resolved_column),823)&amp;"|",F_Custom2_wrapped)),1,0),0))</f>
        <v>1</v>
      </c>
      <c r="H824">
        <f>F824*G824*1</f>
        <v>1</v>
      </c>
      <c r="I824">
        <f>1</f>
        <v>1</v>
      </c>
      <c r="J8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823)&amp;"|",All_Questions_Q20_F_wrapped)),1,0),0))</f>
        <v>1</v>
      </c>
    </row>
    <row r="825">
      <c r="A825" t="n">
        <v>824</v>
      </c>
      <c r="B825" t="n">
        <v>28.9</v>
      </c>
      <c r="C825" t="n">
        <v>24.6</v>
      </c>
      <c r="D825" t="n">
        <v>22.9</v>
      </c>
      <c r="E825">
        <f>1</f>
        <v>1</v>
      </c>
      <c r="F825">
        <f>IF(OR(F_Custom1_Q="(None)",F_Custom1_Q="",ISBLANK(F_Custom1_Q),F_Custom1_V="(All)",F_Custom1_V="",ISBLANK(F_Custom1_V)),1,IFERROR(IF(ISNUMBER(SEARCH("|"&amp;INDEX(INDIRECT(F_Custom1_resolved_column),824)&amp;"|",F_Custom1_wrapped)),1,0),0))</f>
        <v>1</v>
      </c>
      <c r="G825">
        <f>IF(OR(F_Custom2_Q="(None)",F_Custom2_Q="",ISBLANK(F_Custom2_Q),F_Custom2_V="(All)",F_Custom2_V="",ISBLANK(F_Custom2_V)),1,IFERROR(IF(ISNUMBER(SEARCH("|"&amp;INDEX(INDIRECT(F_Custom2_resolved_column),824)&amp;"|",F_Custom2_wrapped)),1,0),0))</f>
        <v>1</v>
      </c>
      <c r="H825">
        <f>F825*G825*1</f>
        <v>1</v>
      </c>
      <c r="I825">
        <f>1</f>
        <v>1</v>
      </c>
      <c r="J8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824)&amp;"|",All_Questions_Q20_F_wrapped)),1,0),0))</f>
        <v>1</v>
      </c>
    </row>
    <row r="826">
      <c r="A826" t="n">
        <v>825</v>
      </c>
      <c r="B826" t="n">
        <v>28.9</v>
      </c>
      <c r="C826" t="n">
        <v>24.6</v>
      </c>
      <c r="D826" t="n">
        <v>22.9</v>
      </c>
      <c r="E826">
        <f>1</f>
        <v>1</v>
      </c>
      <c r="F826">
        <f>IF(OR(F_Custom1_Q="(None)",F_Custom1_Q="",ISBLANK(F_Custom1_Q),F_Custom1_V="(All)",F_Custom1_V="",ISBLANK(F_Custom1_V)),1,IFERROR(IF(ISNUMBER(SEARCH("|"&amp;INDEX(INDIRECT(F_Custom1_resolved_column),825)&amp;"|",F_Custom1_wrapped)),1,0),0))</f>
        <v>1</v>
      </c>
      <c r="G826">
        <f>IF(OR(F_Custom2_Q="(None)",F_Custom2_Q="",ISBLANK(F_Custom2_Q),F_Custom2_V="(All)",F_Custom2_V="",ISBLANK(F_Custom2_V)),1,IFERROR(IF(ISNUMBER(SEARCH("|"&amp;INDEX(INDIRECT(F_Custom2_resolved_column),825)&amp;"|",F_Custom2_wrapped)),1,0),0))</f>
        <v>1</v>
      </c>
      <c r="H826">
        <f>F826*G826*1</f>
        <v>1</v>
      </c>
      <c r="I826">
        <f>1</f>
        <v>1</v>
      </c>
      <c r="J8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825)&amp;"|",All_Questions_Q20_F_wrapped)),1,0),0))</f>
        <v>1</v>
      </c>
    </row>
    <row r="827">
      <c r="A827" t="n">
        <v>826</v>
      </c>
      <c r="B827" t="n">
        <v>28.9</v>
      </c>
      <c r="C827" t="n">
        <v>24.6</v>
      </c>
      <c r="D827" t="n">
        <v>22.9</v>
      </c>
      <c r="E827">
        <f>1</f>
        <v>1</v>
      </c>
      <c r="F827">
        <f>IF(OR(F_Custom1_Q="(None)",F_Custom1_Q="",ISBLANK(F_Custom1_Q),F_Custom1_V="(All)",F_Custom1_V="",ISBLANK(F_Custom1_V)),1,IFERROR(IF(ISNUMBER(SEARCH("|"&amp;INDEX(INDIRECT(F_Custom1_resolved_column),826)&amp;"|",F_Custom1_wrapped)),1,0),0))</f>
        <v>1</v>
      </c>
      <c r="G827">
        <f>IF(OR(F_Custom2_Q="(None)",F_Custom2_Q="",ISBLANK(F_Custom2_Q),F_Custom2_V="(All)",F_Custom2_V="",ISBLANK(F_Custom2_V)),1,IFERROR(IF(ISNUMBER(SEARCH("|"&amp;INDEX(INDIRECT(F_Custom2_resolved_column),826)&amp;"|",F_Custom2_wrapped)),1,0),0))</f>
        <v>1</v>
      </c>
      <c r="H827">
        <f>F827*G827*1</f>
        <v>1</v>
      </c>
      <c r="I827">
        <f>1</f>
        <v>1</v>
      </c>
      <c r="J8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826)&amp;"|",All_Questions_Q20_F_wrapped)),1,0),0))</f>
        <v>1</v>
      </c>
    </row>
    <row r="828">
      <c r="A828" t="n">
        <v>827</v>
      </c>
      <c r="B828" t="n">
        <v>28.9</v>
      </c>
      <c r="C828" t="n">
        <v>24.6</v>
      </c>
      <c r="D828" t="n">
        <v>22.9</v>
      </c>
      <c r="E828">
        <f>1</f>
        <v>1</v>
      </c>
      <c r="F828">
        <f>IF(OR(F_Custom1_Q="(None)",F_Custom1_Q="",ISBLANK(F_Custom1_Q),F_Custom1_V="(All)",F_Custom1_V="",ISBLANK(F_Custom1_V)),1,IFERROR(IF(ISNUMBER(SEARCH("|"&amp;INDEX(INDIRECT(F_Custom1_resolved_column),827)&amp;"|",F_Custom1_wrapped)),1,0),0))</f>
        <v>1</v>
      </c>
      <c r="G828">
        <f>IF(OR(F_Custom2_Q="(None)",F_Custom2_Q="",ISBLANK(F_Custom2_Q),F_Custom2_V="(All)",F_Custom2_V="",ISBLANK(F_Custom2_V)),1,IFERROR(IF(ISNUMBER(SEARCH("|"&amp;INDEX(INDIRECT(F_Custom2_resolved_column),827)&amp;"|",F_Custom2_wrapped)),1,0),0))</f>
        <v>1</v>
      </c>
      <c r="H828">
        <f>F828*G828*1</f>
        <v>1</v>
      </c>
      <c r="I828">
        <f>1</f>
        <v>1</v>
      </c>
      <c r="J8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827)&amp;"|",All_Questions_Q20_F_wrapped)),1,0),0))</f>
        <v>1</v>
      </c>
    </row>
    <row r="829">
      <c r="A829" t="n">
        <v>828</v>
      </c>
      <c r="B829" t="n">
        <v>28.9</v>
      </c>
      <c r="C829" t="n">
        <v>24.6</v>
      </c>
      <c r="D829" t="n">
        <v>22.9</v>
      </c>
      <c r="E829">
        <f>1</f>
        <v>1</v>
      </c>
      <c r="F829">
        <f>IF(OR(F_Custom1_Q="(None)",F_Custom1_Q="",ISBLANK(F_Custom1_Q),F_Custom1_V="(All)",F_Custom1_V="",ISBLANK(F_Custom1_V)),1,IFERROR(IF(ISNUMBER(SEARCH("|"&amp;INDEX(INDIRECT(F_Custom1_resolved_column),828)&amp;"|",F_Custom1_wrapped)),1,0),0))</f>
        <v>1</v>
      </c>
      <c r="G829">
        <f>IF(OR(F_Custom2_Q="(None)",F_Custom2_Q="",ISBLANK(F_Custom2_Q),F_Custom2_V="(All)",F_Custom2_V="",ISBLANK(F_Custom2_V)),1,IFERROR(IF(ISNUMBER(SEARCH("|"&amp;INDEX(INDIRECT(F_Custom2_resolved_column),828)&amp;"|",F_Custom2_wrapped)),1,0),0))</f>
        <v>1</v>
      </c>
      <c r="H829">
        <f>F829*G829*1</f>
        <v>1</v>
      </c>
      <c r="I829">
        <f>1</f>
        <v>1</v>
      </c>
      <c r="J8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828)&amp;"|",All_Questions_Q20_F_wrapped)),1,0),0))</f>
        <v>1</v>
      </c>
    </row>
    <row r="830">
      <c r="A830" t="n">
        <v>829</v>
      </c>
      <c r="B830" t="n">
        <v>28.9</v>
      </c>
      <c r="C830" t="n">
        <v>24.6</v>
      </c>
      <c r="D830" t="n">
        <v>22.9</v>
      </c>
      <c r="E830">
        <f>1</f>
        <v>1</v>
      </c>
      <c r="F830">
        <f>IF(OR(F_Custom1_Q="(None)",F_Custom1_Q="",ISBLANK(F_Custom1_Q),F_Custom1_V="(All)",F_Custom1_V="",ISBLANK(F_Custom1_V)),1,IFERROR(IF(ISNUMBER(SEARCH("|"&amp;INDEX(INDIRECT(F_Custom1_resolved_column),829)&amp;"|",F_Custom1_wrapped)),1,0),0))</f>
        <v>1</v>
      </c>
      <c r="G830">
        <f>IF(OR(F_Custom2_Q="(None)",F_Custom2_Q="",ISBLANK(F_Custom2_Q),F_Custom2_V="(All)",F_Custom2_V="",ISBLANK(F_Custom2_V)),1,IFERROR(IF(ISNUMBER(SEARCH("|"&amp;INDEX(INDIRECT(F_Custom2_resolved_column),829)&amp;"|",F_Custom2_wrapped)),1,0),0))</f>
        <v>1</v>
      </c>
      <c r="H830">
        <f>F830*G830*1</f>
        <v>1</v>
      </c>
      <c r="I830">
        <f>1</f>
        <v>1</v>
      </c>
      <c r="J8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829)&amp;"|",All_Questions_Q20_F_wrapped)),1,0),0))</f>
        <v>1</v>
      </c>
    </row>
    <row r="831">
      <c r="A831" t="n">
        <v>830</v>
      </c>
      <c r="B831" t="n">
        <v>28.9</v>
      </c>
      <c r="C831" t="n">
        <v>24.6</v>
      </c>
      <c r="D831" t="n">
        <v>22.9</v>
      </c>
      <c r="E831">
        <f>1</f>
        <v>1</v>
      </c>
      <c r="F831">
        <f>IF(OR(F_Custom1_Q="(None)",F_Custom1_Q="",ISBLANK(F_Custom1_Q),F_Custom1_V="(All)",F_Custom1_V="",ISBLANK(F_Custom1_V)),1,IFERROR(IF(ISNUMBER(SEARCH("|"&amp;INDEX(INDIRECT(F_Custom1_resolved_column),830)&amp;"|",F_Custom1_wrapped)),1,0),0))</f>
        <v>1</v>
      </c>
      <c r="G831">
        <f>IF(OR(F_Custom2_Q="(None)",F_Custom2_Q="",ISBLANK(F_Custom2_Q),F_Custom2_V="(All)",F_Custom2_V="",ISBLANK(F_Custom2_V)),1,IFERROR(IF(ISNUMBER(SEARCH("|"&amp;INDEX(INDIRECT(F_Custom2_resolved_column),830)&amp;"|",F_Custom2_wrapped)),1,0),0))</f>
        <v>1</v>
      </c>
      <c r="H831">
        <f>F831*G831*1</f>
        <v>1</v>
      </c>
      <c r="I831">
        <f>1</f>
        <v>1</v>
      </c>
      <c r="J8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830)&amp;"|",All_Questions_Q20_F_wrapped)),1,0),0))</f>
        <v>1</v>
      </c>
    </row>
    <row r="832">
      <c r="A832" t="n">
        <v>831</v>
      </c>
      <c r="B832" t="n">
        <v>28.9</v>
      </c>
      <c r="C832" t="n">
        <v>24.6</v>
      </c>
      <c r="D832" t="n">
        <v>22.9</v>
      </c>
      <c r="E832">
        <f>1</f>
        <v>1</v>
      </c>
      <c r="F832">
        <f>IF(OR(F_Custom1_Q="(None)",F_Custom1_Q="",ISBLANK(F_Custom1_Q),F_Custom1_V="(All)",F_Custom1_V="",ISBLANK(F_Custom1_V)),1,IFERROR(IF(ISNUMBER(SEARCH("|"&amp;INDEX(INDIRECT(F_Custom1_resolved_column),831)&amp;"|",F_Custom1_wrapped)),1,0),0))</f>
        <v>1</v>
      </c>
      <c r="G832">
        <f>IF(OR(F_Custom2_Q="(None)",F_Custom2_Q="",ISBLANK(F_Custom2_Q),F_Custom2_V="(All)",F_Custom2_V="",ISBLANK(F_Custom2_V)),1,IFERROR(IF(ISNUMBER(SEARCH("|"&amp;INDEX(INDIRECT(F_Custom2_resolved_column),831)&amp;"|",F_Custom2_wrapped)),1,0),0))</f>
        <v>1</v>
      </c>
      <c r="H832">
        <f>F832*G832*1</f>
        <v>1</v>
      </c>
      <c r="I832">
        <f>1</f>
        <v>1</v>
      </c>
      <c r="J8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831)&amp;"|",All_Questions_Q20_F_wrapped)),1,0),0))</f>
        <v>1</v>
      </c>
    </row>
    <row r="833">
      <c r="A833" t="n">
        <v>832</v>
      </c>
      <c r="B833" t="n">
        <v>28.9</v>
      </c>
      <c r="C833" t="n">
        <v>24.6</v>
      </c>
      <c r="D833" t="n">
        <v>22.9</v>
      </c>
      <c r="E833">
        <f>1</f>
        <v>1</v>
      </c>
      <c r="F833">
        <f>IF(OR(F_Custom1_Q="(None)",F_Custom1_Q="",ISBLANK(F_Custom1_Q),F_Custom1_V="(All)",F_Custom1_V="",ISBLANK(F_Custom1_V)),1,IFERROR(IF(ISNUMBER(SEARCH("|"&amp;INDEX(INDIRECT(F_Custom1_resolved_column),832)&amp;"|",F_Custom1_wrapped)),1,0),0))</f>
        <v>1</v>
      </c>
      <c r="G833">
        <f>IF(OR(F_Custom2_Q="(None)",F_Custom2_Q="",ISBLANK(F_Custom2_Q),F_Custom2_V="(All)",F_Custom2_V="",ISBLANK(F_Custom2_V)),1,IFERROR(IF(ISNUMBER(SEARCH("|"&amp;INDEX(INDIRECT(F_Custom2_resolved_column),832)&amp;"|",F_Custom2_wrapped)),1,0),0))</f>
        <v>1</v>
      </c>
      <c r="H833">
        <f>F833*G833*1</f>
        <v>1</v>
      </c>
      <c r="I833">
        <f>1</f>
        <v>1</v>
      </c>
      <c r="J8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832)&amp;"|",All_Questions_Q20_F_wrapped)),1,0),0))</f>
        <v>1</v>
      </c>
    </row>
    <row r="834">
      <c r="A834" t="n">
        <v>833</v>
      </c>
      <c r="B834" t="n">
        <v>28.9</v>
      </c>
      <c r="C834" t="n">
        <v>24.6</v>
      </c>
      <c r="D834" t="n">
        <v>22.9</v>
      </c>
      <c r="E834">
        <f>1</f>
        <v>1</v>
      </c>
      <c r="F834">
        <f>IF(OR(F_Custom1_Q="(None)",F_Custom1_Q="",ISBLANK(F_Custom1_Q),F_Custom1_V="(All)",F_Custom1_V="",ISBLANK(F_Custom1_V)),1,IFERROR(IF(ISNUMBER(SEARCH("|"&amp;INDEX(INDIRECT(F_Custom1_resolved_column),833)&amp;"|",F_Custom1_wrapped)),1,0),0))</f>
        <v>1</v>
      </c>
      <c r="G834">
        <f>IF(OR(F_Custom2_Q="(None)",F_Custom2_Q="",ISBLANK(F_Custom2_Q),F_Custom2_V="(All)",F_Custom2_V="",ISBLANK(F_Custom2_V)),1,IFERROR(IF(ISNUMBER(SEARCH("|"&amp;INDEX(INDIRECT(F_Custom2_resolved_column),833)&amp;"|",F_Custom2_wrapped)),1,0),0))</f>
        <v>1</v>
      </c>
      <c r="H834">
        <f>F834*G834*1</f>
        <v>1</v>
      </c>
      <c r="I834">
        <f>1</f>
        <v>1</v>
      </c>
      <c r="J8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833)&amp;"|",All_Questions_Q20_F_wrapped)),1,0),0))</f>
        <v>1</v>
      </c>
    </row>
    <row r="835">
      <c r="A835" t="n">
        <v>834</v>
      </c>
      <c r="B835" t="n">
        <v>28.9</v>
      </c>
      <c r="C835" t="n">
        <v>24.6</v>
      </c>
      <c r="D835" t="n">
        <v>22.9</v>
      </c>
      <c r="E835">
        <f>1</f>
        <v>1</v>
      </c>
      <c r="F835">
        <f>IF(OR(F_Custom1_Q="(None)",F_Custom1_Q="",ISBLANK(F_Custom1_Q),F_Custom1_V="(All)",F_Custom1_V="",ISBLANK(F_Custom1_V)),1,IFERROR(IF(ISNUMBER(SEARCH("|"&amp;INDEX(INDIRECT(F_Custom1_resolved_column),834)&amp;"|",F_Custom1_wrapped)),1,0),0))</f>
        <v>1</v>
      </c>
      <c r="G835">
        <f>IF(OR(F_Custom2_Q="(None)",F_Custom2_Q="",ISBLANK(F_Custom2_Q),F_Custom2_V="(All)",F_Custom2_V="",ISBLANK(F_Custom2_V)),1,IFERROR(IF(ISNUMBER(SEARCH("|"&amp;INDEX(INDIRECT(F_Custom2_resolved_column),834)&amp;"|",F_Custom2_wrapped)),1,0),0))</f>
        <v>1</v>
      </c>
      <c r="H835">
        <f>F835*G835*1</f>
        <v>1</v>
      </c>
      <c r="I835">
        <f>1</f>
        <v>1</v>
      </c>
      <c r="J8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834)&amp;"|",All_Questions_Q20_F_wrapped)),1,0),0))</f>
        <v>1</v>
      </c>
    </row>
    <row r="836">
      <c r="A836" t="n">
        <v>835</v>
      </c>
      <c r="B836" t="n">
        <v>28.9</v>
      </c>
      <c r="C836" t="n">
        <v>24.6</v>
      </c>
      <c r="D836" t="n">
        <v>22.9</v>
      </c>
      <c r="E836">
        <f>1</f>
        <v>1</v>
      </c>
      <c r="F836">
        <f>IF(OR(F_Custom1_Q="(None)",F_Custom1_Q="",ISBLANK(F_Custom1_Q),F_Custom1_V="(All)",F_Custom1_V="",ISBLANK(F_Custom1_V)),1,IFERROR(IF(ISNUMBER(SEARCH("|"&amp;INDEX(INDIRECT(F_Custom1_resolved_column),835)&amp;"|",F_Custom1_wrapped)),1,0),0))</f>
        <v>1</v>
      </c>
      <c r="G836">
        <f>IF(OR(F_Custom2_Q="(None)",F_Custom2_Q="",ISBLANK(F_Custom2_Q),F_Custom2_V="(All)",F_Custom2_V="",ISBLANK(F_Custom2_V)),1,IFERROR(IF(ISNUMBER(SEARCH("|"&amp;INDEX(INDIRECT(F_Custom2_resolved_column),835)&amp;"|",F_Custom2_wrapped)),1,0),0))</f>
        <v>1</v>
      </c>
      <c r="H836">
        <f>F836*G836*1</f>
        <v>1</v>
      </c>
      <c r="I836">
        <f>1</f>
        <v>1</v>
      </c>
      <c r="J8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835)&amp;"|",All_Questions_Q20_F_wrapped)),1,0),0))</f>
        <v>1</v>
      </c>
    </row>
    <row r="837">
      <c r="A837" t="n">
        <v>836</v>
      </c>
      <c r="B837" t="n">
        <v>28.9</v>
      </c>
      <c r="C837" t="n">
        <v>24.6</v>
      </c>
      <c r="D837" t="n">
        <v>22.9</v>
      </c>
      <c r="E837">
        <f>1</f>
        <v>1</v>
      </c>
      <c r="F837">
        <f>IF(OR(F_Custom1_Q="(None)",F_Custom1_Q="",ISBLANK(F_Custom1_Q),F_Custom1_V="(All)",F_Custom1_V="",ISBLANK(F_Custom1_V)),1,IFERROR(IF(ISNUMBER(SEARCH("|"&amp;INDEX(INDIRECT(F_Custom1_resolved_column),836)&amp;"|",F_Custom1_wrapped)),1,0),0))</f>
        <v>1</v>
      </c>
      <c r="G837">
        <f>IF(OR(F_Custom2_Q="(None)",F_Custom2_Q="",ISBLANK(F_Custom2_Q),F_Custom2_V="(All)",F_Custom2_V="",ISBLANK(F_Custom2_V)),1,IFERROR(IF(ISNUMBER(SEARCH("|"&amp;INDEX(INDIRECT(F_Custom2_resolved_column),836)&amp;"|",F_Custom2_wrapped)),1,0),0))</f>
        <v>1</v>
      </c>
      <c r="H837">
        <f>F837*G837*1</f>
        <v>1</v>
      </c>
      <c r="I837">
        <f>1</f>
        <v>1</v>
      </c>
      <c r="J8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836)&amp;"|",All_Questions_Q20_F_wrapped)),1,0),0))</f>
        <v>1</v>
      </c>
    </row>
    <row r="838">
      <c r="A838" t="n">
        <v>837</v>
      </c>
      <c r="B838" t="n">
        <v>28.9</v>
      </c>
      <c r="C838" t="n">
        <v>24.6</v>
      </c>
      <c r="D838" t="n">
        <v>22.9</v>
      </c>
      <c r="E838">
        <f>1</f>
        <v>1</v>
      </c>
      <c r="F838">
        <f>IF(OR(F_Custom1_Q="(None)",F_Custom1_Q="",ISBLANK(F_Custom1_Q),F_Custom1_V="(All)",F_Custom1_V="",ISBLANK(F_Custom1_V)),1,IFERROR(IF(ISNUMBER(SEARCH("|"&amp;INDEX(INDIRECT(F_Custom1_resolved_column),837)&amp;"|",F_Custom1_wrapped)),1,0),0))</f>
        <v>1</v>
      </c>
      <c r="G838">
        <f>IF(OR(F_Custom2_Q="(None)",F_Custom2_Q="",ISBLANK(F_Custom2_Q),F_Custom2_V="(All)",F_Custom2_V="",ISBLANK(F_Custom2_V)),1,IFERROR(IF(ISNUMBER(SEARCH("|"&amp;INDEX(INDIRECT(F_Custom2_resolved_column),837)&amp;"|",F_Custom2_wrapped)),1,0),0))</f>
        <v>1</v>
      </c>
      <c r="H838">
        <f>F838*G838*1</f>
        <v>1</v>
      </c>
      <c r="I838">
        <f>1</f>
        <v>1</v>
      </c>
      <c r="J8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837)&amp;"|",All_Questions_Q20_F_wrapped)),1,0),0))</f>
        <v>1</v>
      </c>
    </row>
    <row r="839">
      <c r="A839" t="n">
        <v>838</v>
      </c>
      <c r="B839" t="n">
        <v>28.9</v>
      </c>
      <c r="C839" t="n">
        <v>24.6</v>
      </c>
      <c r="D839" t="n">
        <v>22.9</v>
      </c>
      <c r="E839">
        <f>1</f>
        <v>1</v>
      </c>
      <c r="F839">
        <f>IF(OR(F_Custom1_Q="(None)",F_Custom1_Q="",ISBLANK(F_Custom1_Q),F_Custom1_V="(All)",F_Custom1_V="",ISBLANK(F_Custom1_V)),1,IFERROR(IF(ISNUMBER(SEARCH("|"&amp;INDEX(INDIRECT(F_Custom1_resolved_column),838)&amp;"|",F_Custom1_wrapped)),1,0),0))</f>
        <v>1</v>
      </c>
      <c r="G839">
        <f>IF(OR(F_Custom2_Q="(None)",F_Custom2_Q="",ISBLANK(F_Custom2_Q),F_Custom2_V="(All)",F_Custom2_V="",ISBLANK(F_Custom2_V)),1,IFERROR(IF(ISNUMBER(SEARCH("|"&amp;INDEX(INDIRECT(F_Custom2_resolved_column),838)&amp;"|",F_Custom2_wrapped)),1,0),0))</f>
        <v>1</v>
      </c>
      <c r="H839">
        <f>F839*G839*1</f>
        <v>1</v>
      </c>
      <c r="I839">
        <f>1</f>
        <v>1</v>
      </c>
      <c r="J8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838)&amp;"|",All_Questions_Q20_F_wrapped)),1,0),0))</f>
        <v>1</v>
      </c>
    </row>
    <row r="840">
      <c r="A840" t="n">
        <v>839</v>
      </c>
      <c r="B840" t="n">
        <v>28.9</v>
      </c>
      <c r="C840" t="n">
        <v>24.6</v>
      </c>
      <c r="D840" t="n">
        <v>22.9</v>
      </c>
      <c r="E840">
        <f>1</f>
        <v>1</v>
      </c>
      <c r="F840">
        <f>IF(OR(F_Custom1_Q="(None)",F_Custom1_Q="",ISBLANK(F_Custom1_Q),F_Custom1_V="(All)",F_Custom1_V="",ISBLANK(F_Custom1_V)),1,IFERROR(IF(ISNUMBER(SEARCH("|"&amp;INDEX(INDIRECT(F_Custom1_resolved_column),839)&amp;"|",F_Custom1_wrapped)),1,0),0))</f>
        <v>1</v>
      </c>
      <c r="G840">
        <f>IF(OR(F_Custom2_Q="(None)",F_Custom2_Q="",ISBLANK(F_Custom2_Q),F_Custom2_V="(All)",F_Custom2_V="",ISBLANK(F_Custom2_V)),1,IFERROR(IF(ISNUMBER(SEARCH("|"&amp;INDEX(INDIRECT(F_Custom2_resolved_column),839)&amp;"|",F_Custom2_wrapped)),1,0),0))</f>
        <v>1</v>
      </c>
      <c r="H840">
        <f>F840*G840*1</f>
        <v>1</v>
      </c>
      <c r="I840">
        <f>1</f>
        <v>1</v>
      </c>
      <c r="J8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839)&amp;"|",All_Questions_Q20_F_wrapped)),1,0),0))</f>
        <v>1</v>
      </c>
    </row>
    <row r="841">
      <c r="A841" t="n">
        <v>840</v>
      </c>
      <c r="B841" t="n">
        <v>28.9</v>
      </c>
      <c r="C841" t="n">
        <v>24.6</v>
      </c>
      <c r="D841" t="n">
        <v>22.9</v>
      </c>
      <c r="E841">
        <f>1</f>
        <v>1</v>
      </c>
      <c r="F841">
        <f>IF(OR(F_Custom1_Q="(None)",F_Custom1_Q="",ISBLANK(F_Custom1_Q),F_Custom1_V="(All)",F_Custom1_V="",ISBLANK(F_Custom1_V)),1,IFERROR(IF(ISNUMBER(SEARCH("|"&amp;INDEX(INDIRECT(F_Custom1_resolved_column),840)&amp;"|",F_Custom1_wrapped)),1,0),0))</f>
        <v>1</v>
      </c>
      <c r="G841">
        <f>IF(OR(F_Custom2_Q="(None)",F_Custom2_Q="",ISBLANK(F_Custom2_Q),F_Custom2_V="(All)",F_Custom2_V="",ISBLANK(F_Custom2_V)),1,IFERROR(IF(ISNUMBER(SEARCH("|"&amp;INDEX(INDIRECT(F_Custom2_resolved_column),840)&amp;"|",F_Custom2_wrapped)),1,0),0))</f>
        <v>1</v>
      </c>
      <c r="H841">
        <f>F841*G841*1</f>
        <v>1</v>
      </c>
      <c r="I841">
        <f>1</f>
        <v>1</v>
      </c>
      <c r="J8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840)&amp;"|",All_Questions_Q20_F_wrapped)),1,0),0))</f>
        <v>1</v>
      </c>
    </row>
    <row r="842">
      <c r="A842" t="n">
        <v>841</v>
      </c>
      <c r="B842" t="n">
        <v>28.9</v>
      </c>
      <c r="C842" t="n">
        <v>24.6</v>
      </c>
      <c r="D842" t="n">
        <v>22.9</v>
      </c>
      <c r="E842">
        <f>1</f>
        <v>1</v>
      </c>
      <c r="F842">
        <f>IF(OR(F_Custom1_Q="(None)",F_Custom1_Q="",ISBLANK(F_Custom1_Q),F_Custom1_V="(All)",F_Custom1_V="",ISBLANK(F_Custom1_V)),1,IFERROR(IF(ISNUMBER(SEARCH("|"&amp;INDEX(INDIRECT(F_Custom1_resolved_column),841)&amp;"|",F_Custom1_wrapped)),1,0),0))</f>
        <v>1</v>
      </c>
      <c r="G842">
        <f>IF(OR(F_Custom2_Q="(None)",F_Custom2_Q="",ISBLANK(F_Custom2_Q),F_Custom2_V="(All)",F_Custom2_V="",ISBLANK(F_Custom2_V)),1,IFERROR(IF(ISNUMBER(SEARCH("|"&amp;INDEX(INDIRECT(F_Custom2_resolved_column),841)&amp;"|",F_Custom2_wrapped)),1,0),0))</f>
        <v>1</v>
      </c>
      <c r="H842">
        <f>F842*G842*1</f>
        <v>1</v>
      </c>
      <c r="I842">
        <f>1</f>
        <v>1</v>
      </c>
      <c r="J8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841)&amp;"|",All_Questions_Q20_F_wrapped)),1,0),0))</f>
        <v>1</v>
      </c>
    </row>
    <row r="843">
      <c r="A843" t="n">
        <v>842</v>
      </c>
      <c r="B843" t="n">
        <v>28.9</v>
      </c>
      <c r="C843" t="n">
        <v>24.6</v>
      </c>
      <c r="D843" t="n">
        <v>22.9</v>
      </c>
      <c r="E843">
        <f>1</f>
        <v>1</v>
      </c>
      <c r="F843">
        <f>IF(OR(F_Custom1_Q="(None)",F_Custom1_Q="",ISBLANK(F_Custom1_Q),F_Custom1_V="(All)",F_Custom1_V="",ISBLANK(F_Custom1_V)),1,IFERROR(IF(ISNUMBER(SEARCH("|"&amp;INDEX(INDIRECT(F_Custom1_resolved_column),842)&amp;"|",F_Custom1_wrapped)),1,0),0))</f>
        <v>1</v>
      </c>
      <c r="G843">
        <f>IF(OR(F_Custom2_Q="(None)",F_Custom2_Q="",ISBLANK(F_Custom2_Q),F_Custom2_V="(All)",F_Custom2_V="",ISBLANK(F_Custom2_V)),1,IFERROR(IF(ISNUMBER(SEARCH("|"&amp;INDEX(INDIRECT(F_Custom2_resolved_column),842)&amp;"|",F_Custom2_wrapped)),1,0),0))</f>
        <v>1</v>
      </c>
      <c r="H843">
        <f>F843*G843*1</f>
        <v>1</v>
      </c>
      <c r="I843">
        <f>1</f>
        <v>1</v>
      </c>
      <c r="J8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842)&amp;"|",All_Questions_Q20_F_wrapped)),1,0),0))</f>
        <v>1</v>
      </c>
    </row>
    <row r="844">
      <c r="A844" t="n">
        <v>843</v>
      </c>
      <c r="B844" t="n">
        <v>28.9</v>
      </c>
      <c r="C844" t="n">
        <v>24.6</v>
      </c>
      <c r="D844" t="n">
        <v>22.9</v>
      </c>
      <c r="E844">
        <f>1</f>
        <v>1</v>
      </c>
      <c r="F844">
        <f>IF(OR(F_Custom1_Q="(None)",F_Custom1_Q="",ISBLANK(F_Custom1_Q),F_Custom1_V="(All)",F_Custom1_V="",ISBLANK(F_Custom1_V)),1,IFERROR(IF(ISNUMBER(SEARCH("|"&amp;INDEX(INDIRECT(F_Custom1_resolved_column),843)&amp;"|",F_Custom1_wrapped)),1,0),0))</f>
        <v>1</v>
      </c>
      <c r="G844">
        <f>IF(OR(F_Custom2_Q="(None)",F_Custom2_Q="",ISBLANK(F_Custom2_Q),F_Custom2_V="(All)",F_Custom2_V="",ISBLANK(F_Custom2_V)),1,IFERROR(IF(ISNUMBER(SEARCH("|"&amp;INDEX(INDIRECT(F_Custom2_resolved_column),843)&amp;"|",F_Custom2_wrapped)),1,0),0))</f>
        <v>1</v>
      </c>
      <c r="H844">
        <f>F844*G844*1</f>
        <v>1</v>
      </c>
      <c r="I844">
        <f>1</f>
        <v>1</v>
      </c>
      <c r="J8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843)&amp;"|",All_Questions_Q20_F_wrapped)),1,0),0))</f>
        <v>1</v>
      </c>
    </row>
    <row r="845">
      <c r="A845" t="n">
        <v>844</v>
      </c>
      <c r="B845" t="n">
        <v>28.9</v>
      </c>
      <c r="C845" t="n">
        <v>24.6</v>
      </c>
      <c r="D845" t="n">
        <v>22.9</v>
      </c>
      <c r="E845">
        <f>1</f>
        <v>1</v>
      </c>
      <c r="F845">
        <f>IF(OR(F_Custom1_Q="(None)",F_Custom1_Q="",ISBLANK(F_Custom1_Q),F_Custom1_V="(All)",F_Custom1_V="",ISBLANK(F_Custom1_V)),1,IFERROR(IF(ISNUMBER(SEARCH("|"&amp;INDEX(INDIRECT(F_Custom1_resolved_column),844)&amp;"|",F_Custom1_wrapped)),1,0),0))</f>
        <v>1</v>
      </c>
      <c r="G845">
        <f>IF(OR(F_Custom2_Q="(None)",F_Custom2_Q="",ISBLANK(F_Custom2_Q),F_Custom2_V="(All)",F_Custom2_V="",ISBLANK(F_Custom2_V)),1,IFERROR(IF(ISNUMBER(SEARCH("|"&amp;INDEX(INDIRECT(F_Custom2_resolved_column),844)&amp;"|",F_Custom2_wrapped)),1,0),0))</f>
        <v>1</v>
      </c>
      <c r="H845">
        <f>F845*G845*1</f>
        <v>1</v>
      </c>
      <c r="I845">
        <f>1</f>
        <v>1</v>
      </c>
      <c r="J8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844)&amp;"|",All_Questions_Q20_F_wrapped)),1,0),0))</f>
        <v>1</v>
      </c>
    </row>
    <row r="846">
      <c r="A846" t="n">
        <v>845</v>
      </c>
      <c r="B846" t="n">
        <v>28.9</v>
      </c>
      <c r="C846" t="n">
        <v>24.6</v>
      </c>
      <c r="D846" t="n">
        <v>22.9</v>
      </c>
      <c r="E846">
        <f>1</f>
        <v>1</v>
      </c>
      <c r="F846">
        <f>IF(OR(F_Custom1_Q="(None)",F_Custom1_Q="",ISBLANK(F_Custom1_Q),F_Custom1_V="(All)",F_Custom1_V="",ISBLANK(F_Custom1_V)),1,IFERROR(IF(ISNUMBER(SEARCH("|"&amp;INDEX(INDIRECT(F_Custom1_resolved_column),845)&amp;"|",F_Custom1_wrapped)),1,0),0))</f>
        <v>1</v>
      </c>
      <c r="G846">
        <f>IF(OR(F_Custom2_Q="(None)",F_Custom2_Q="",ISBLANK(F_Custom2_Q),F_Custom2_V="(All)",F_Custom2_V="",ISBLANK(F_Custom2_V)),1,IFERROR(IF(ISNUMBER(SEARCH("|"&amp;INDEX(INDIRECT(F_Custom2_resolved_column),845)&amp;"|",F_Custom2_wrapped)),1,0),0))</f>
        <v>1</v>
      </c>
      <c r="H846">
        <f>F846*G846*1</f>
        <v>1</v>
      </c>
      <c r="I846">
        <f>1</f>
        <v>1</v>
      </c>
      <c r="J8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845)&amp;"|",All_Questions_Q20_F_wrapped)),1,0),0))</f>
        <v>1</v>
      </c>
    </row>
    <row r="847">
      <c r="A847" t="n">
        <v>846</v>
      </c>
      <c r="B847" t="n">
        <v>28.9</v>
      </c>
      <c r="C847" t="n">
        <v>24.6</v>
      </c>
      <c r="D847" t="n">
        <v>22.9</v>
      </c>
      <c r="E847">
        <f>1</f>
        <v>1</v>
      </c>
      <c r="F847">
        <f>IF(OR(F_Custom1_Q="(None)",F_Custom1_Q="",ISBLANK(F_Custom1_Q),F_Custom1_V="(All)",F_Custom1_V="",ISBLANK(F_Custom1_V)),1,IFERROR(IF(ISNUMBER(SEARCH("|"&amp;INDEX(INDIRECT(F_Custom1_resolved_column),846)&amp;"|",F_Custom1_wrapped)),1,0),0))</f>
        <v>1</v>
      </c>
      <c r="G847">
        <f>IF(OR(F_Custom2_Q="(None)",F_Custom2_Q="",ISBLANK(F_Custom2_Q),F_Custom2_V="(All)",F_Custom2_V="",ISBLANK(F_Custom2_V)),1,IFERROR(IF(ISNUMBER(SEARCH("|"&amp;INDEX(INDIRECT(F_Custom2_resolved_column),846)&amp;"|",F_Custom2_wrapped)),1,0),0))</f>
        <v>1</v>
      </c>
      <c r="H847">
        <f>F847*G847*1</f>
        <v>1</v>
      </c>
      <c r="I847">
        <f>1</f>
        <v>1</v>
      </c>
      <c r="J8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846)&amp;"|",All_Questions_Q20_F_wrapped)),1,0),0))</f>
        <v>1</v>
      </c>
    </row>
    <row r="848">
      <c r="A848" t="n">
        <v>847</v>
      </c>
      <c r="B848" t="n">
        <v>28.9</v>
      </c>
      <c r="C848" t="n">
        <v>24.6</v>
      </c>
      <c r="D848" t="n">
        <v>22.9</v>
      </c>
      <c r="E848">
        <f>1</f>
        <v>1</v>
      </c>
      <c r="F848">
        <f>IF(OR(F_Custom1_Q="(None)",F_Custom1_Q="",ISBLANK(F_Custom1_Q),F_Custom1_V="(All)",F_Custom1_V="",ISBLANK(F_Custom1_V)),1,IFERROR(IF(ISNUMBER(SEARCH("|"&amp;INDEX(INDIRECT(F_Custom1_resolved_column),847)&amp;"|",F_Custom1_wrapped)),1,0),0))</f>
        <v>1</v>
      </c>
      <c r="G848">
        <f>IF(OR(F_Custom2_Q="(None)",F_Custom2_Q="",ISBLANK(F_Custom2_Q),F_Custom2_V="(All)",F_Custom2_V="",ISBLANK(F_Custom2_V)),1,IFERROR(IF(ISNUMBER(SEARCH("|"&amp;INDEX(INDIRECT(F_Custom2_resolved_column),847)&amp;"|",F_Custom2_wrapped)),1,0),0))</f>
        <v>1</v>
      </c>
      <c r="H848">
        <f>F848*G848*1</f>
        <v>1</v>
      </c>
      <c r="I848">
        <f>1</f>
        <v>1</v>
      </c>
      <c r="J8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847)&amp;"|",All_Questions_Q20_F_wrapped)),1,0),0))</f>
        <v>1</v>
      </c>
    </row>
    <row r="849">
      <c r="A849" t="n">
        <v>848</v>
      </c>
      <c r="B849" t="n">
        <v>28.9</v>
      </c>
      <c r="C849" t="n">
        <v>24.6</v>
      </c>
      <c r="D849" t="n">
        <v>22.9</v>
      </c>
      <c r="E849">
        <f>1</f>
        <v>1</v>
      </c>
      <c r="F849">
        <f>IF(OR(F_Custom1_Q="(None)",F_Custom1_Q="",ISBLANK(F_Custom1_Q),F_Custom1_V="(All)",F_Custom1_V="",ISBLANK(F_Custom1_V)),1,IFERROR(IF(ISNUMBER(SEARCH("|"&amp;INDEX(INDIRECT(F_Custom1_resolved_column),848)&amp;"|",F_Custom1_wrapped)),1,0),0))</f>
        <v>1</v>
      </c>
      <c r="G849">
        <f>IF(OR(F_Custom2_Q="(None)",F_Custom2_Q="",ISBLANK(F_Custom2_Q),F_Custom2_V="(All)",F_Custom2_V="",ISBLANK(F_Custom2_V)),1,IFERROR(IF(ISNUMBER(SEARCH("|"&amp;INDEX(INDIRECT(F_Custom2_resolved_column),848)&amp;"|",F_Custom2_wrapped)),1,0),0))</f>
        <v>1</v>
      </c>
      <c r="H849">
        <f>F849*G849*1</f>
        <v>1</v>
      </c>
      <c r="I849">
        <f>1</f>
        <v>1</v>
      </c>
      <c r="J8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848)&amp;"|",All_Questions_Q20_F_wrapped)),1,0),0))</f>
        <v>1</v>
      </c>
    </row>
    <row r="850">
      <c r="A850" t="n">
        <v>849</v>
      </c>
      <c r="B850" t="n">
        <v>28.9</v>
      </c>
      <c r="C850" t="n">
        <v>24.6</v>
      </c>
      <c r="D850" t="n">
        <v>22.9</v>
      </c>
      <c r="E850">
        <f>1</f>
        <v>1</v>
      </c>
      <c r="F850">
        <f>IF(OR(F_Custom1_Q="(None)",F_Custom1_Q="",ISBLANK(F_Custom1_Q),F_Custom1_V="(All)",F_Custom1_V="",ISBLANK(F_Custom1_V)),1,IFERROR(IF(ISNUMBER(SEARCH("|"&amp;INDEX(INDIRECT(F_Custom1_resolved_column),849)&amp;"|",F_Custom1_wrapped)),1,0),0))</f>
        <v>1</v>
      </c>
      <c r="G850">
        <f>IF(OR(F_Custom2_Q="(None)",F_Custom2_Q="",ISBLANK(F_Custom2_Q),F_Custom2_V="(All)",F_Custom2_V="",ISBLANK(F_Custom2_V)),1,IFERROR(IF(ISNUMBER(SEARCH("|"&amp;INDEX(INDIRECT(F_Custom2_resolved_column),849)&amp;"|",F_Custom2_wrapped)),1,0),0))</f>
        <v>1</v>
      </c>
      <c r="H850">
        <f>F850*G850*1</f>
        <v>1</v>
      </c>
      <c r="I850">
        <f>1</f>
        <v>1</v>
      </c>
      <c r="J8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849)&amp;"|",All_Questions_Q20_F_wrapped)),1,0),0))</f>
        <v>1</v>
      </c>
    </row>
    <row r="851">
      <c r="A851" t="n">
        <v>850</v>
      </c>
      <c r="B851" t="n">
        <v>28.9</v>
      </c>
      <c r="C851" t="n">
        <v>24.6</v>
      </c>
      <c r="D851" t="n">
        <v>22.9</v>
      </c>
      <c r="E851">
        <f>1</f>
        <v>1</v>
      </c>
      <c r="F851">
        <f>IF(OR(F_Custom1_Q="(None)",F_Custom1_Q="",ISBLANK(F_Custom1_Q),F_Custom1_V="(All)",F_Custom1_V="",ISBLANK(F_Custom1_V)),1,IFERROR(IF(ISNUMBER(SEARCH("|"&amp;INDEX(INDIRECT(F_Custom1_resolved_column),850)&amp;"|",F_Custom1_wrapped)),1,0),0))</f>
        <v>1</v>
      </c>
      <c r="G851">
        <f>IF(OR(F_Custom2_Q="(None)",F_Custom2_Q="",ISBLANK(F_Custom2_Q),F_Custom2_V="(All)",F_Custom2_V="",ISBLANK(F_Custom2_V)),1,IFERROR(IF(ISNUMBER(SEARCH("|"&amp;INDEX(INDIRECT(F_Custom2_resolved_column),850)&amp;"|",F_Custom2_wrapped)),1,0),0))</f>
        <v>1</v>
      </c>
      <c r="H851">
        <f>F851*G851*1</f>
        <v>1</v>
      </c>
      <c r="I851">
        <f>1</f>
        <v>1</v>
      </c>
      <c r="J8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850)&amp;"|",All_Questions_Q20_F_wrapped)),1,0),0))</f>
        <v>1</v>
      </c>
    </row>
    <row r="852">
      <c r="A852" t="n">
        <v>851</v>
      </c>
      <c r="B852" t="n">
        <v>28.9</v>
      </c>
      <c r="C852" t="n">
        <v>24.6</v>
      </c>
      <c r="D852" t="n">
        <v>22.9</v>
      </c>
      <c r="E852">
        <f>1</f>
        <v>1</v>
      </c>
      <c r="F852">
        <f>IF(OR(F_Custom1_Q="(None)",F_Custom1_Q="",ISBLANK(F_Custom1_Q),F_Custom1_V="(All)",F_Custom1_V="",ISBLANK(F_Custom1_V)),1,IFERROR(IF(ISNUMBER(SEARCH("|"&amp;INDEX(INDIRECT(F_Custom1_resolved_column),851)&amp;"|",F_Custom1_wrapped)),1,0),0))</f>
        <v>1</v>
      </c>
      <c r="G852">
        <f>IF(OR(F_Custom2_Q="(None)",F_Custom2_Q="",ISBLANK(F_Custom2_Q),F_Custom2_V="(All)",F_Custom2_V="",ISBLANK(F_Custom2_V)),1,IFERROR(IF(ISNUMBER(SEARCH("|"&amp;INDEX(INDIRECT(F_Custom2_resolved_column),851)&amp;"|",F_Custom2_wrapped)),1,0),0))</f>
        <v>1</v>
      </c>
      <c r="H852">
        <f>F852*G852*1</f>
        <v>1</v>
      </c>
      <c r="I852">
        <f>1</f>
        <v>1</v>
      </c>
      <c r="J8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851)&amp;"|",All_Questions_Q20_F_wrapped)),1,0),0))</f>
        <v>1</v>
      </c>
    </row>
    <row r="853">
      <c r="A853" t="n">
        <v>852</v>
      </c>
      <c r="B853" t="n">
        <v>28.9</v>
      </c>
      <c r="C853" t="n">
        <v>24.6</v>
      </c>
      <c r="D853" t="n">
        <v>22.9</v>
      </c>
      <c r="E853">
        <f>1</f>
        <v>1</v>
      </c>
      <c r="F853">
        <f>IF(OR(F_Custom1_Q="(None)",F_Custom1_Q="",ISBLANK(F_Custom1_Q),F_Custom1_V="(All)",F_Custom1_V="",ISBLANK(F_Custom1_V)),1,IFERROR(IF(ISNUMBER(SEARCH("|"&amp;INDEX(INDIRECT(F_Custom1_resolved_column),852)&amp;"|",F_Custom1_wrapped)),1,0),0))</f>
        <v>1</v>
      </c>
      <c r="G853">
        <f>IF(OR(F_Custom2_Q="(None)",F_Custom2_Q="",ISBLANK(F_Custom2_Q),F_Custom2_V="(All)",F_Custom2_V="",ISBLANK(F_Custom2_V)),1,IFERROR(IF(ISNUMBER(SEARCH("|"&amp;INDEX(INDIRECT(F_Custom2_resolved_column),852)&amp;"|",F_Custom2_wrapped)),1,0),0))</f>
        <v>1</v>
      </c>
      <c r="H853">
        <f>F853*G853*1</f>
        <v>1</v>
      </c>
      <c r="I853">
        <f>1</f>
        <v>1</v>
      </c>
      <c r="J8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852)&amp;"|",All_Questions_Q20_F_wrapped)),1,0),0))</f>
        <v>1</v>
      </c>
    </row>
    <row r="854">
      <c r="A854" t="n">
        <v>853</v>
      </c>
      <c r="B854" t="n">
        <v>28.9</v>
      </c>
      <c r="C854" t="n">
        <v>24.6</v>
      </c>
      <c r="D854" t="n">
        <v>22.9</v>
      </c>
      <c r="E854">
        <f>1</f>
        <v>1</v>
      </c>
      <c r="F854">
        <f>IF(OR(F_Custom1_Q="(None)",F_Custom1_Q="",ISBLANK(F_Custom1_Q),F_Custom1_V="(All)",F_Custom1_V="",ISBLANK(F_Custom1_V)),1,IFERROR(IF(ISNUMBER(SEARCH("|"&amp;INDEX(INDIRECT(F_Custom1_resolved_column),853)&amp;"|",F_Custom1_wrapped)),1,0),0))</f>
        <v>1</v>
      </c>
      <c r="G854">
        <f>IF(OR(F_Custom2_Q="(None)",F_Custom2_Q="",ISBLANK(F_Custom2_Q),F_Custom2_V="(All)",F_Custom2_V="",ISBLANK(F_Custom2_V)),1,IFERROR(IF(ISNUMBER(SEARCH("|"&amp;INDEX(INDIRECT(F_Custom2_resolved_column),853)&amp;"|",F_Custom2_wrapped)),1,0),0))</f>
        <v>1</v>
      </c>
      <c r="H854">
        <f>F854*G854*1</f>
        <v>1</v>
      </c>
      <c r="I854">
        <f>1</f>
        <v>1</v>
      </c>
      <c r="J8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853)&amp;"|",All_Questions_Q20_F_wrapped)),1,0),0))</f>
        <v>1</v>
      </c>
    </row>
    <row r="855">
      <c r="A855" t="n">
        <v>854</v>
      </c>
      <c r="B855" t="n">
        <v>28.9</v>
      </c>
      <c r="C855" t="n">
        <v>24.6</v>
      </c>
      <c r="D855" t="n">
        <v>22.9</v>
      </c>
      <c r="E855">
        <f>1</f>
        <v>1</v>
      </c>
      <c r="F855">
        <f>IF(OR(F_Custom1_Q="(None)",F_Custom1_Q="",ISBLANK(F_Custom1_Q),F_Custom1_V="(All)",F_Custom1_V="",ISBLANK(F_Custom1_V)),1,IFERROR(IF(ISNUMBER(SEARCH("|"&amp;INDEX(INDIRECT(F_Custom1_resolved_column),854)&amp;"|",F_Custom1_wrapped)),1,0),0))</f>
        <v>1</v>
      </c>
      <c r="G855">
        <f>IF(OR(F_Custom2_Q="(None)",F_Custom2_Q="",ISBLANK(F_Custom2_Q),F_Custom2_V="(All)",F_Custom2_V="",ISBLANK(F_Custom2_V)),1,IFERROR(IF(ISNUMBER(SEARCH("|"&amp;INDEX(INDIRECT(F_Custom2_resolved_column),854)&amp;"|",F_Custom2_wrapped)),1,0),0))</f>
        <v>1</v>
      </c>
      <c r="H855">
        <f>F855*G855*1</f>
        <v>1</v>
      </c>
      <c r="I855">
        <f>1</f>
        <v>1</v>
      </c>
      <c r="J8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854)&amp;"|",All_Questions_Q20_F_wrapped)),1,0),0))</f>
        <v>1</v>
      </c>
    </row>
    <row r="856">
      <c r="A856" t="n">
        <v>855</v>
      </c>
      <c r="B856" t="n">
        <v>28.9</v>
      </c>
      <c r="C856" t="n">
        <v>24.6</v>
      </c>
      <c r="D856" t="n">
        <v>22.9</v>
      </c>
      <c r="E856">
        <f>1</f>
        <v>1</v>
      </c>
      <c r="F856">
        <f>IF(OR(F_Custom1_Q="(None)",F_Custom1_Q="",ISBLANK(F_Custom1_Q),F_Custom1_V="(All)",F_Custom1_V="",ISBLANK(F_Custom1_V)),1,IFERROR(IF(ISNUMBER(SEARCH("|"&amp;INDEX(INDIRECT(F_Custom1_resolved_column),855)&amp;"|",F_Custom1_wrapped)),1,0),0))</f>
        <v>1</v>
      </c>
      <c r="G856">
        <f>IF(OR(F_Custom2_Q="(None)",F_Custom2_Q="",ISBLANK(F_Custom2_Q),F_Custom2_V="(All)",F_Custom2_V="",ISBLANK(F_Custom2_V)),1,IFERROR(IF(ISNUMBER(SEARCH("|"&amp;INDEX(INDIRECT(F_Custom2_resolved_column),855)&amp;"|",F_Custom2_wrapped)),1,0),0))</f>
        <v>1</v>
      </c>
      <c r="H856">
        <f>F856*G856*1</f>
        <v>1</v>
      </c>
      <c r="I856">
        <f>1</f>
        <v>1</v>
      </c>
      <c r="J8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855)&amp;"|",All_Questions_Q20_F_wrapped)),1,0),0))</f>
        <v>1</v>
      </c>
    </row>
    <row r="857">
      <c r="A857" t="n">
        <v>856</v>
      </c>
      <c r="B857" t="n">
        <v>28.9</v>
      </c>
      <c r="C857" t="n">
        <v>24.6</v>
      </c>
      <c r="D857" t="n">
        <v>22.9</v>
      </c>
      <c r="E857">
        <f>1</f>
        <v>1</v>
      </c>
      <c r="F857">
        <f>IF(OR(F_Custom1_Q="(None)",F_Custom1_Q="",ISBLANK(F_Custom1_Q),F_Custom1_V="(All)",F_Custom1_V="",ISBLANK(F_Custom1_V)),1,IFERROR(IF(ISNUMBER(SEARCH("|"&amp;INDEX(INDIRECT(F_Custom1_resolved_column),856)&amp;"|",F_Custom1_wrapped)),1,0),0))</f>
        <v>1</v>
      </c>
      <c r="G857">
        <f>IF(OR(F_Custom2_Q="(None)",F_Custom2_Q="",ISBLANK(F_Custom2_Q),F_Custom2_V="(All)",F_Custom2_V="",ISBLANK(F_Custom2_V)),1,IFERROR(IF(ISNUMBER(SEARCH("|"&amp;INDEX(INDIRECT(F_Custom2_resolved_column),856)&amp;"|",F_Custom2_wrapped)),1,0),0))</f>
        <v>1</v>
      </c>
      <c r="H857">
        <f>F857*G857*1</f>
        <v>1</v>
      </c>
      <c r="I857">
        <f>1</f>
        <v>1</v>
      </c>
      <c r="J8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856)&amp;"|",All_Questions_Q20_F_wrapped)),1,0),0))</f>
        <v>1</v>
      </c>
    </row>
    <row r="858">
      <c r="A858" t="n">
        <v>857</v>
      </c>
      <c r="B858" t="n">
        <v>28.9</v>
      </c>
      <c r="C858" t="n">
        <v>24.6</v>
      </c>
      <c r="D858" t="n">
        <v>22.9</v>
      </c>
      <c r="E858">
        <f>1</f>
        <v>1</v>
      </c>
      <c r="F858">
        <f>IF(OR(F_Custom1_Q="(None)",F_Custom1_Q="",ISBLANK(F_Custom1_Q),F_Custom1_V="(All)",F_Custom1_V="",ISBLANK(F_Custom1_V)),1,IFERROR(IF(ISNUMBER(SEARCH("|"&amp;INDEX(INDIRECT(F_Custom1_resolved_column),857)&amp;"|",F_Custom1_wrapped)),1,0),0))</f>
        <v>1</v>
      </c>
      <c r="G858">
        <f>IF(OR(F_Custom2_Q="(None)",F_Custom2_Q="",ISBLANK(F_Custom2_Q),F_Custom2_V="(All)",F_Custom2_V="",ISBLANK(F_Custom2_V)),1,IFERROR(IF(ISNUMBER(SEARCH("|"&amp;INDEX(INDIRECT(F_Custom2_resolved_column),857)&amp;"|",F_Custom2_wrapped)),1,0),0))</f>
        <v>1</v>
      </c>
      <c r="H858">
        <f>F858*G858*1</f>
        <v>1</v>
      </c>
      <c r="I858">
        <f>1</f>
        <v>1</v>
      </c>
      <c r="J8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857)&amp;"|",All_Questions_Q20_F_wrapped)),1,0),0))</f>
        <v>1</v>
      </c>
    </row>
    <row r="859">
      <c r="A859" t="n">
        <v>858</v>
      </c>
      <c r="B859" t="n">
        <v>28.9</v>
      </c>
      <c r="C859" t="n">
        <v>24.6</v>
      </c>
      <c r="D859" t="n">
        <v>22.9</v>
      </c>
      <c r="E859">
        <f>1</f>
        <v>1</v>
      </c>
      <c r="F859">
        <f>IF(OR(F_Custom1_Q="(None)",F_Custom1_Q="",ISBLANK(F_Custom1_Q),F_Custom1_V="(All)",F_Custom1_V="",ISBLANK(F_Custom1_V)),1,IFERROR(IF(ISNUMBER(SEARCH("|"&amp;INDEX(INDIRECT(F_Custom1_resolved_column),858)&amp;"|",F_Custom1_wrapped)),1,0),0))</f>
        <v>1</v>
      </c>
      <c r="G859">
        <f>IF(OR(F_Custom2_Q="(None)",F_Custom2_Q="",ISBLANK(F_Custom2_Q),F_Custom2_V="(All)",F_Custom2_V="",ISBLANK(F_Custom2_V)),1,IFERROR(IF(ISNUMBER(SEARCH("|"&amp;INDEX(INDIRECT(F_Custom2_resolved_column),858)&amp;"|",F_Custom2_wrapped)),1,0),0))</f>
        <v>1</v>
      </c>
      <c r="H859">
        <f>F859*G859*1</f>
        <v>1</v>
      </c>
      <c r="I859">
        <f>1</f>
        <v>1</v>
      </c>
      <c r="J8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858)&amp;"|",All_Questions_Q20_F_wrapped)),1,0),0))</f>
        <v>1</v>
      </c>
    </row>
    <row r="860">
      <c r="A860" t="n">
        <v>859</v>
      </c>
      <c r="B860" t="n">
        <v>28.9</v>
      </c>
      <c r="C860" t="n">
        <v>24.6</v>
      </c>
      <c r="D860" t="n">
        <v>22.9</v>
      </c>
      <c r="E860">
        <f>1</f>
        <v>1</v>
      </c>
      <c r="F860">
        <f>IF(OR(F_Custom1_Q="(None)",F_Custom1_Q="",ISBLANK(F_Custom1_Q),F_Custom1_V="(All)",F_Custom1_V="",ISBLANK(F_Custom1_V)),1,IFERROR(IF(ISNUMBER(SEARCH("|"&amp;INDEX(INDIRECT(F_Custom1_resolved_column),859)&amp;"|",F_Custom1_wrapped)),1,0),0))</f>
        <v>1</v>
      </c>
      <c r="G860">
        <f>IF(OR(F_Custom2_Q="(None)",F_Custom2_Q="",ISBLANK(F_Custom2_Q),F_Custom2_V="(All)",F_Custom2_V="",ISBLANK(F_Custom2_V)),1,IFERROR(IF(ISNUMBER(SEARCH("|"&amp;INDEX(INDIRECT(F_Custom2_resolved_column),859)&amp;"|",F_Custom2_wrapped)),1,0),0))</f>
        <v>1</v>
      </c>
      <c r="H860">
        <f>F860*G860*1</f>
        <v>1</v>
      </c>
      <c r="I860">
        <f>1</f>
        <v>1</v>
      </c>
      <c r="J8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859)&amp;"|",All_Questions_Q20_F_wrapped)),1,0),0))</f>
        <v>1</v>
      </c>
    </row>
    <row r="861">
      <c r="A861" t="n">
        <v>860</v>
      </c>
      <c r="B861" t="n">
        <v>28.9</v>
      </c>
      <c r="C861" t="n">
        <v>24.6</v>
      </c>
      <c r="D861" t="n">
        <v>22.9</v>
      </c>
      <c r="E861">
        <f>1</f>
        <v>1</v>
      </c>
      <c r="F861">
        <f>IF(OR(F_Custom1_Q="(None)",F_Custom1_Q="",ISBLANK(F_Custom1_Q),F_Custom1_V="(All)",F_Custom1_V="",ISBLANK(F_Custom1_V)),1,IFERROR(IF(ISNUMBER(SEARCH("|"&amp;INDEX(INDIRECT(F_Custom1_resolved_column),860)&amp;"|",F_Custom1_wrapped)),1,0),0))</f>
        <v>1</v>
      </c>
      <c r="G861">
        <f>IF(OR(F_Custom2_Q="(None)",F_Custom2_Q="",ISBLANK(F_Custom2_Q),F_Custom2_V="(All)",F_Custom2_V="",ISBLANK(F_Custom2_V)),1,IFERROR(IF(ISNUMBER(SEARCH("|"&amp;INDEX(INDIRECT(F_Custom2_resolved_column),860)&amp;"|",F_Custom2_wrapped)),1,0),0))</f>
        <v>1</v>
      </c>
      <c r="H861">
        <f>F861*G861*1</f>
        <v>1</v>
      </c>
      <c r="I861">
        <f>1</f>
        <v>1</v>
      </c>
      <c r="J8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860)&amp;"|",All_Questions_Q20_F_wrapped)),1,0),0))</f>
        <v>1</v>
      </c>
    </row>
    <row r="862">
      <c r="A862" t="n">
        <v>861</v>
      </c>
      <c r="B862" t="n">
        <v>28.9</v>
      </c>
      <c r="C862" t="n">
        <v>24.6</v>
      </c>
      <c r="D862" t="n">
        <v>22.9</v>
      </c>
      <c r="E862">
        <f>1</f>
        <v>1</v>
      </c>
      <c r="F862">
        <f>IF(OR(F_Custom1_Q="(None)",F_Custom1_Q="",ISBLANK(F_Custom1_Q),F_Custom1_V="(All)",F_Custom1_V="",ISBLANK(F_Custom1_V)),1,IFERROR(IF(ISNUMBER(SEARCH("|"&amp;INDEX(INDIRECT(F_Custom1_resolved_column),861)&amp;"|",F_Custom1_wrapped)),1,0),0))</f>
        <v>1</v>
      </c>
      <c r="G862">
        <f>IF(OR(F_Custom2_Q="(None)",F_Custom2_Q="",ISBLANK(F_Custom2_Q),F_Custom2_V="(All)",F_Custom2_V="",ISBLANK(F_Custom2_V)),1,IFERROR(IF(ISNUMBER(SEARCH("|"&amp;INDEX(INDIRECT(F_Custom2_resolved_column),861)&amp;"|",F_Custom2_wrapped)),1,0),0))</f>
        <v>1</v>
      </c>
      <c r="H862">
        <f>F862*G862*1</f>
        <v>1</v>
      </c>
      <c r="I862">
        <f>1</f>
        <v>1</v>
      </c>
      <c r="J8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861)&amp;"|",All_Questions_Q20_F_wrapped)),1,0),0))</f>
        <v>1</v>
      </c>
    </row>
    <row r="863">
      <c r="A863" t="n">
        <v>862</v>
      </c>
      <c r="B863" t="n">
        <v>28.9</v>
      </c>
      <c r="C863" t="n">
        <v>24.6</v>
      </c>
      <c r="D863" t="n">
        <v>22.9</v>
      </c>
      <c r="E863">
        <f>1</f>
        <v>1</v>
      </c>
      <c r="F863">
        <f>IF(OR(F_Custom1_Q="(None)",F_Custom1_Q="",ISBLANK(F_Custom1_Q),F_Custom1_V="(All)",F_Custom1_V="",ISBLANK(F_Custom1_V)),1,IFERROR(IF(ISNUMBER(SEARCH("|"&amp;INDEX(INDIRECT(F_Custom1_resolved_column),862)&amp;"|",F_Custom1_wrapped)),1,0),0))</f>
        <v>1</v>
      </c>
      <c r="G863">
        <f>IF(OR(F_Custom2_Q="(None)",F_Custom2_Q="",ISBLANK(F_Custom2_Q),F_Custom2_V="(All)",F_Custom2_V="",ISBLANK(F_Custom2_V)),1,IFERROR(IF(ISNUMBER(SEARCH("|"&amp;INDEX(INDIRECT(F_Custom2_resolved_column),862)&amp;"|",F_Custom2_wrapped)),1,0),0))</f>
        <v>1</v>
      </c>
      <c r="H863">
        <f>F863*G863*1</f>
        <v>1</v>
      </c>
      <c r="I863">
        <f>1</f>
        <v>1</v>
      </c>
      <c r="J8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862)&amp;"|",All_Questions_Q20_F_wrapped)),1,0),0))</f>
        <v>1</v>
      </c>
    </row>
    <row r="864">
      <c r="A864" t="n">
        <v>863</v>
      </c>
      <c r="B864" t="n">
        <v>28.9</v>
      </c>
      <c r="C864" t="n">
        <v>24.6</v>
      </c>
      <c r="D864" t="n">
        <v>22.9</v>
      </c>
      <c r="E864">
        <f>1</f>
        <v>1</v>
      </c>
      <c r="F864">
        <f>IF(OR(F_Custom1_Q="(None)",F_Custom1_Q="",ISBLANK(F_Custom1_Q),F_Custom1_V="(All)",F_Custom1_V="",ISBLANK(F_Custom1_V)),1,IFERROR(IF(ISNUMBER(SEARCH("|"&amp;INDEX(INDIRECT(F_Custom1_resolved_column),863)&amp;"|",F_Custom1_wrapped)),1,0),0))</f>
        <v>1</v>
      </c>
      <c r="G864">
        <f>IF(OR(F_Custom2_Q="(None)",F_Custom2_Q="",ISBLANK(F_Custom2_Q),F_Custom2_V="(All)",F_Custom2_V="",ISBLANK(F_Custom2_V)),1,IFERROR(IF(ISNUMBER(SEARCH("|"&amp;INDEX(INDIRECT(F_Custom2_resolved_column),863)&amp;"|",F_Custom2_wrapped)),1,0),0))</f>
        <v>1</v>
      </c>
      <c r="H864">
        <f>F864*G864*1</f>
        <v>1</v>
      </c>
      <c r="I864">
        <f>1</f>
        <v>1</v>
      </c>
      <c r="J8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863)&amp;"|",All_Questions_Q20_F_wrapped)),1,0),0))</f>
        <v>1</v>
      </c>
    </row>
    <row r="865">
      <c r="A865" t="n">
        <v>864</v>
      </c>
      <c r="B865" t="n">
        <v>28.9</v>
      </c>
      <c r="C865" t="n">
        <v>24.6</v>
      </c>
      <c r="D865" t="n">
        <v>22.9</v>
      </c>
      <c r="E865">
        <f>1</f>
        <v>1</v>
      </c>
      <c r="F865">
        <f>IF(OR(F_Custom1_Q="(None)",F_Custom1_Q="",ISBLANK(F_Custom1_Q),F_Custom1_V="(All)",F_Custom1_V="",ISBLANK(F_Custom1_V)),1,IFERROR(IF(ISNUMBER(SEARCH("|"&amp;INDEX(INDIRECT(F_Custom1_resolved_column),864)&amp;"|",F_Custom1_wrapped)),1,0),0))</f>
        <v>1</v>
      </c>
      <c r="G865">
        <f>IF(OR(F_Custom2_Q="(None)",F_Custom2_Q="",ISBLANK(F_Custom2_Q),F_Custom2_V="(All)",F_Custom2_V="",ISBLANK(F_Custom2_V)),1,IFERROR(IF(ISNUMBER(SEARCH("|"&amp;INDEX(INDIRECT(F_Custom2_resolved_column),864)&amp;"|",F_Custom2_wrapped)),1,0),0))</f>
        <v>1</v>
      </c>
      <c r="H865">
        <f>F865*G865*1</f>
        <v>1</v>
      </c>
      <c r="I865">
        <f>1</f>
        <v>1</v>
      </c>
      <c r="J8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864)&amp;"|",All_Questions_Q20_F_wrapped)),1,0),0))</f>
        <v>1</v>
      </c>
    </row>
    <row r="866">
      <c r="A866" t="n">
        <v>865</v>
      </c>
      <c r="B866" t="n">
        <v>28.9</v>
      </c>
      <c r="C866" t="n">
        <v>24.6</v>
      </c>
      <c r="D866" t="n">
        <v>22.9</v>
      </c>
      <c r="E866">
        <f>1</f>
        <v>1</v>
      </c>
      <c r="F866">
        <f>IF(OR(F_Custom1_Q="(None)",F_Custom1_Q="",ISBLANK(F_Custom1_Q),F_Custom1_V="(All)",F_Custom1_V="",ISBLANK(F_Custom1_V)),1,IFERROR(IF(ISNUMBER(SEARCH("|"&amp;INDEX(INDIRECT(F_Custom1_resolved_column),865)&amp;"|",F_Custom1_wrapped)),1,0),0))</f>
        <v>1</v>
      </c>
      <c r="G866">
        <f>IF(OR(F_Custom2_Q="(None)",F_Custom2_Q="",ISBLANK(F_Custom2_Q),F_Custom2_V="(All)",F_Custom2_V="",ISBLANK(F_Custom2_V)),1,IFERROR(IF(ISNUMBER(SEARCH("|"&amp;INDEX(INDIRECT(F_Custom2_resolved_column),865)&amp;"|",F_Custom2_wrapped)),1,0),0))</f>
        <v>1</v>
      </c>
      <c r="H866">
        <f>F866*G866*1</f>
        <v>1</v>
      </c>
      <c r="I866">
        <f>1</f>
        <v>1</v>
      </c>
      <c r="J8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865)&amp;"|",All_Questions_Q20_F_wrapped)),1,0),0))</f>
        <v>1</v>
      </c>
    </row>
    <row r="867">
      <c r="A867" t="n">
        <v>866</v>
      </c>
      <c r="B867" t="n">
        <v>28.9</v>
      </c>
      <c r="C867" t="n">
        <v>24.6</v>
      </c>
      <c r="D867" t="n">
        <v>22.9</v>
      </c>
      <c r="E867">
        <f>1</f>
        <v>1</v>
      </c>
      <c r="F867">
        <f>IF(OR(F_Custom1_Q="(None)",F_Custom1_Q="",ISBLANK(F_Custom1_Q),F_Custom1_V="(All)",F_Custom1_V="",ISBLANK(F_Custom1_V)),1,IFERROR(IF(ISNUMBER(SEARCH("|"&amp;INDEX(INDIRECT(F_Custom1_resolved_column),866)&amp;"|",F_Custom1_wrapped)),1,0),0))</f>
        <v>1</v>
      </c>
      <c r="G867">
        <f>IF(OR(F_Custom2_Q="(None)",F_Custom2_Q="",ISBLANK(F_Custom2_Q),F_Custom2_V="(All)",F_Custom2_V="",ISBLANK(F_Custom2_V)),1,IFERROR(IF(ISNUMBER(SEARCH("|"&amp;INDEX(INDIRECT(F_Custom2_resolved_column),866)&amp;"|",F_Custom2_wrapped)),1,0),0))</f>
        <v>1</v>
      </c>
      <c r="H867">
        <f>F867*G867*1</f>
        <v>1</v>
      </c>
      <c r="I867">
        <f>1</f>
        <v>1</v>
      </c>
      <c r="J8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866)&amp;"|",All_Questions_Q20_F_wrapped)),1,0),0))</f>
        <v>1</v>
      </c>
    </row>
    <row r="868">
      <c r="A868" t="n">
        <v>867</v>
      </c>
      <c r="B868" t="n">
        <v>28.9</v>
      </c>
      <c r="C868" t="n">
        <v>24.6</v>
      </c>
      <c r="D868" t="n">
        <v>22.9</v>
      </c>
      <c r="E868">
        <f>1</f>
        <v>1</v>
      </c>
      <c r="F868">
        <f>IF(OR(F_Custom1_Q="(None)",F_Custom1_Q="",ISBLANK(F_Custom1_Q),F_Custom1_V="(All)",F_Custom1_V="",ISBLANK(F_Custom1_V)),1,IFERROR(IF(ISNUMBER(SEARCH("|"&amp;INDEX(INDIRECT(F_Custom1_resolved_column),867)&amp;"|",F_Custom1_wrapped)),1,0),0))</f>
        <v>1</v>
      </c>
      <c r="G868">
        <f>IF(OR(F_Custom2_Q="(None)",F_Custom2_Q="",ISBLANK(F_Custom2_Q),F_Custom2_V="(All)",F_Custom2_V="",ISBLANK(F_Custom2_V)),1,IFERROR(IF(ISNUMBER(SEARCH("|"&amp;INDEX(INDIRECT(F_Custom2_resolved_column),867)&amp;"|",F_Custom2_wrapped)),1,0),0))</f>
        <v>1</v>
      </c>
      <c r="H868">
        <f>F868*G868*1</f>
        <v>1</v>
      </c>
      <c r="I868">
        <f>1</f>
        <v>1</v>
      </c>
      <c r="J8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867)&amp;"|",All_Questions_Q20_F_wrapped)),1,0),0))</f>
        <v>1</v>
      </c>
    </row>
    <row r="869">
      <c r="A869" t="n">
        <v>868</v>
      </c>
      <c r="B869" t="n">
        <v>28.9</v>
      </c>
      <c r="C869" t="n">
        <v>24.6</v>
      </c>
      <c r="D869" t="n">
        <v>22.9</v>
      </c>
      <c r="E869">
        <f>1</f>
        <v>1</v>
      </c>
      <c r="F869">
        <f>IF(OR(F_Custom1_Q="(None)",F_Custom1_Q="",ISBLANK(F_Custom1_Q),F_Custom1_V="(All)",F_Custom1_V="",ISBLANK(F_Custom1_V)),1,IFERROR(IF(ISNUMBER(SEARCH("|"&amp;INDEX(INDIRECT(F_Custom1_resolved_column),868)&amp;"|",F_Custom1_wrapped)),1,0),0))</f>
        <v>1</v>
      </c>
      <c r="G869">
        <f>IF(OR(F_Custom2_Q="(None)",F_Custom2_Q="",ISBLANK(F_Custom2_Q),F_Custom2_V="(All)",F_Custom2_V="",ISBLANK(F_Custom2_V)),1,IFERROR(IF(ISNUMBER(SEARCH("|"&amp;INDEX(INDIRECT(F_Custom2_resolved_column),868)&amp;"|",F_Custom2_wrapped)),1,0),0))</f>
        <v>1</v>
      </c>
      <c r="H869">
        <f>F869*G869*1</f>
        <v>1</v>
      </c>
      <c r="I869">
        <f>1</f>
        <v>1</v>
      </c>
      <c r="J8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868)&amp;"|",All_Questions_Q20_F_wrapped)),1,0),0))</f>
        <v>1</v>
      </c>
    </row>
    <row r="870">
      <c r="A870" t="n">
        <v>869</v>
      </c>
      <c r="B870" t="n">
        <v>28.9</v>
      </c>
      <c r="C870" t="n">
        <v>24.6</v>
      </c>
      <c r="D870" t="n">
        <v>22.9</v>
      </c>
      <c r="E870">
        <f>1</f>
        <v>1</v>
      </c>
      <c r="F870">
        <f>IF(OR(F_Custom1_Q="(None)",F_Custom1_Q="",ISBLANK(F_Custom1_Q),F_Custom1_V="(All)",F_Custom1_V="",ISBLANK(F_Custom1_V)),1,IFERROR(IF(ISNUMBER(SEARCH("|"&amp;INDEX(INDIRECT(F_Custom1_resolved_column),869)&amp;"|",F_Custom1_wrapped)),1,0),0))</f>
        <v>1</v>
      </c>
      <c r="G870">
        <f>IF(OR(F_Custom2_Q="(None)",F_Custom2_Q="",ISBLANK(F_Custom2_Q),F_Custom2_V="(All)",F_Custom2_V="",ISBLANK(F_Custom2_V)),1,IFERROR(IF(ISNUMBER(SEARCH("|"&amp;INDEX(INDIRECT(F_Custom2_resolved_column),869)&amp;"|",F_Custom2_wrapped)),1,0),0))</f>
        <v>1</v>
      </c>
      <c r="H870">
        <f>F870*G870*1</f>
        <v>1</v>
      </c>
      <c r="I870">
        <f>1</f>
        <v>1</v>
      </c>
      <c r="J8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869)&amp;"|",All_Questions_Q20_F_wrapped)),1,0),0))</f>
        <v>1</v>
      </c>
    </row>
    <row r="871">
      <c r="A871" t="n">
        <v>870</v>
      </c>
      <c r="B871" t="n">
        <v>28.9</v>
      </c>
      <c r="C871" t="n">
        <v>24.6</v>
      </c>
      <c r="D871" t="n">
        <v>22.9</v>
      </c>
      <c r="E871">
        <f>1</f>
        <v>1</v>
      </c>
      <c r="F871">
        <f>IF(OR(F_Custom1_Q="(None)",F_Custom1_Q="",ISBLANK(F_Custom1_Q),F_Custom1_V="(All)",F_Custom1_V="",ISBLANK(F_Custom1_V)),1,IFERROR(IF(ISNUMBER(SEARCH("|"&amp;INDEX(INDIRECT(F_Custom1_resolved_column),870)&amp;"|",F_Custom1_wrapped)),1,0),0))</f>
        <v>1</v>
      </c>
      <c r="G871">
        <f>IF(OR(F_Custom2_Q="(None)",F_Custom2_Q="",ISBLANK(F_Custom2_Q),F_Custom2_V="(All)",F_Custom2_V="",ISBLANK(F_Custom2_V)),1,IFERROR(IF(ISNUMBER(SEARCH("|"&amp;INDEX(INDIRECT(F_Custom2_resolved_column),870)&amp;"|",F_Custom2_wrapped)),1,0),0))</f>
        <v>1</v>
      </c>
      <c r="H871">
        <f>F871*G871*1</f>
        <v>1</v>
      </c>
      <c r="I871">
        <f>1</f>
        <v>1</v>
      </c>
      <c r="J8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870)&amp;"|",All_Questions_Q20_F_wrapped)),1,0),0))</f>
        <v>1</v>
      </c>
    </row>
    <row r="872">
      <c r="A872" t="n">
        <v>871</v>
      </c>
      <c r="B872" t="n">
        <v>28.9</v>
      </c>
      <c r="C872" t="n">
        <v>24.6</v>
      </c>
      <c r="D872" t="n">
        <v>22.9</v>
      </c>
      <c r="E872">
        <f>1</f>
        <v>1</v>
      </c>
      <c r="F872">
        <f>IF(OR(F_Custom1_Q="(None)",F_Custom1_Q="",ISBLANK(F_Custom1_Q),F_Custom1_V="(All)",F_Custom1_V="",ISBLANK(F_Custom1_V)),1,IFERROR(IF(ISNUMBER(SEARCH("|"&amp;INDEX(INDIRECT(F_Custom1_resolved_column),871)&amp;"|",F_Custom1_wrapped)),1,0),0))</f>
        <v>1</v>
      </c>
      <c r="G872">
        <f>IF(OR(F_Custom2_Q="(None)",F_Custom2_Q="",ISBLANK(F_Custom2_Q),F_Custom2_V="(All)",F_Custom2_V="",ISBLANK(F_Custom2_V)),1,IFERROR(IF(ISNUMBER(SEARCH("|"&amp;INDEX(INDIRECT(F_Custom2_resolved_column),871)&amp;"|",F_Custom2_wrapped)),1,0),0))</f>
        <v>1</v>
      </c>
      <c r="H872">
        <f>F872*G872*1</f>
        <v>1</v>
      </c>
      <c r="I872">
        <f>1</f>
        <v>1</v>
      </c>
      <c r="J8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871)&amp;"|",All_Questions_Q20_F_wrapped)),1,0),0))</f>
        <v>1</v>
      </c>
    </row>
    <row r="873">
      <c r="A873" t="n">
        <v>872</v>
      </c>
      <c r="B873" t="n">
        <v>28.9</v>
      </c>
      <c r="C873" t="n">
        <v>24.6</v>
      </c>
      <c r="D873" t="n">
        <v>22.9</v>
      </c>
      <c r="E873">
        <f>1</f>
        <v>1</v>
      </c>
      <c r="F873">
        <f>IF(OR(F_Custom1_Q="(None)",F_Custom1_Q="",ISBLANK(F_Custom1_Q),F_Custom1_V="(All)",F_Custom1_V="",ISBLANK(F_Custom1_V)),1,IFERROR(IF(ISNUMBER(SEARCH("|"&amp;INDEX(INDIRECT(F_Custom1_resolved_column),872)&amp;"|",F_Custom1_wrapped)),1,0),0))</f>
        <v>1</v>
      </c>
      <c r="G873">
        <f>IF(OR(F_Custom2_Q="(None)",F_Custom2_Q="",ISBLANK(F_Custom2_Q),F_Custom2_V="(All)",F_Custom2_V="",ISBLANK(F_Custom2_V)),1,IFERROR(IF(ISNUMBER(SEARCH("|"&amp;INDEX(INDIRECT(F_Custom2_resolved_column),872)&amp;"|",F_Custom2_wrapped)),1,0),0))</f>
        <v>1</v>
      </c>
      <c r="H873">
        <f>F873*G873*1</f>
        <v>1</v>
      </c>
      <c r="I873">
        <f>1</f>
        <v>1</v>
      </c>
      <c r="J8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872)&amp;"|",All_Questions_Q20_F_wrapped)),1,0),0))</f>
        <v>1</v>
      </c>
    </row>
    <row r="874">
      <c r="A874" t="n">
        <v>873</v>
      </c>
      <c r="B874" t="n">
        <v>28.9</v>
      </c>
      <c r="C874" t="n">
        <v>24.6</v>
      </c>
      <c r="D874" t="n">
        <v>22.9</v>
      </c>
      <c r="E874">
        <f>1</f>
        <v>1</v>
      </c>
      <c r="F874">
        <f>IF(OR(F_Custom1_Q="(None)",F_Custom1_Q="",ISBLANK(F_Custom1_Q),F_Custom1_V="(All)",F_Custom1_V="",ISBLANK(F_Custom1_V)),1,IFERROR(IF(ISNUMBER(SEARCH("|"&amp;INDEX(INDIRECT(F_Custom1_resolved_column),873)&amp;"|",F_Custom1_wrapped)),1,0),0))</f>
        <v>1</v>
      </c>
      <c r="G874">
        <f>IF(OR(F_Custom2_Q="(None)",F_Custom2_Q="",ISBLANK(F_Custom2_Q),F_Custom2_V="(All)",F_Custom2_V="",ISBLANK(F_Custom2_V)),1,IFERROR(IF(ISNUMBER(SEARCH("|"&amp;INDEX(INDIRECT(F_Custom2_resolved_column),873)&amp;"|",F_Custom2_wrapped)),1,0),0))</f>
        <v>1</v>
      </c>
      <c r="H874">
        <f>F874*G874*1</f>
        <v>1</v>
      </c>
      <c r="I874">
        <f>1</f>
        <v>1</v>
      </c>
      <c r="J8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873)&amp;"|",All_Questions_Q20_F_wrapped)),1,0),0))</f>
        <v>1</v>
      </c>
    </row>
    <row r="875">
      <c r="A875" t="n">
        <v>874</v>
      </c>
      <c r="B875" t="n">
        <v>28.9</v>
      </c>
      <c r="C875" t="n">
        <v>24.6</v>
      </c>
      <c r="D875" t="n">
        <v>22.9</v>
      </c>
      <c r="E875">
        <f>1</f>
        <v>1</v>
      </c>
      <c r="F875">
        <f>IF(OR(F_Custom1_Q="(None)",F_Custom1_Q="",ISBLANK(F_Custom1_Q),F_Custom1_V="(All)",F_Custom1_V="",ISBLANK(F_Custom1_V)),1,IFERROR(IF(ISNUMBER(SEARCH("|"&amp;INDEX(INDIRECT(F_Custom1_resolved_column),874)&amp;"|",F_Custom1_wrapped)),1,0),0))</f>
        <v>1</v>
      </c>
      <c r="G875">
        <f>IF(OR(F_Custom2_Q="(None)",F_Custom2_Q="",ISBLANK(F_Custom2_Q),F_Custom2_V="(All)",F_Custom2_V="",ISBLANK(F_Custom2_V)),1,IFERROR(IF(ISNUMBER(SEARCH("|"&amp;INDEX(INDIRECT(F_Custom2_resolved_column),874)&amp;"|",F_Custom2_wrapped)),1,0),0))</f>
        <v>1</v>
      </c>
      <c r="H875">
        <f>F875*G875*1</f>
        <v>1</v>
      </c>
      <c r="I875">
        <f>1</f>
        <v>1</v>
      </c>
      <c r="J8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874)&amp;"|",All_Questions_Q20_F_wrapped)),1,0),0))</f>
        <v>1</v>
      </c>
    </row>
    <row r="876">
      <c r="A876" t="n">
        <v>875</v>
      </c>
      <c r="B876" t="n">
        <v>28.9</v>
      </c>
      <c r="C876" t="n">
        <v>24.6</v>
      </c>
      <c r="D876" t="n">
        <v>22.9</v>
      </c>
      <c r="E876">
        <f>1</f>
        <v>1</v>
      </c>
      <c r="F876">
        <f>IF(OR(F_Custom1_Q="(None)",F_Custom1_Q="",ISBLANK(F_Custom1_Q),F_Custom1_V="(All)",F_Custom1_V="",ISBLANK(F_Custom1_V)),1,IFERROR(IF(ISNUMBER(SEARCH("|"&amp;INDEX(INDIRECT(F_Custom1_resolved_column),875)&amp;"|",F_Custom1_wrapped)),1,0),0))</f>
        <v>1</v>
      </c>
      <c r="G876">
        <f>IF(OR(F_Custom2_Q="(None)",F_Custom2_Q="",ISBLANK(F_Custom2_Q),F_Custom2_V="(All)",F_Custom2_V="",ISBLANK(F_Custom2_V)),1,IFERROR(IF(ISNUMBER(SEARCH("|"&amp;INDEX(INDIRECT(F_Custom2_resolved_column),875)&amp;"|",F_Custom2_wrapped)),1,0),0))</f>
        <v>1</v>
      </c>
      <c r="H876">
        <f>F876*G876*1</f>
        <v>1</v>
      </c>
      <c r="I876">
        <f>1</f>
        <v>1</v>
      </c>
      <c r="J8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875)&amp;"|",All_Questions_Q20_F_wrapped)),1,0),0))</f>
        <v>1</v>
      </c>
    </row>
    <row r="877">
      <c r="A877" t="n">
        <v>876</v>
      </c>
      <c r="B877" t="n">
        <v>28.9</v>
      </c>
      <c r="C877" t="n">
        <v>24.6</v>
      </c>
      <c r="D877" t="n">
        <v>22.9</v>
      </c>
      <c r="E877">
        <f>1</f>
        <v>1</v>
      </c>
      <c r="F877">
        <f>IF(OR(F_Custom1_Q="(None)",F_Custom1_Q="",ISBLANK(F_Custom1_Q),F_Custom1_V="(All)",F_Custom1_V="",ISBLANK(F_Custom1_V)),1,IFERROR(IF(ISNUMBER(SEARCH("|"&amp;INDEX(INDIRECT(F_Custom1_resolved_column),876)&amp;"|",F_Custom1_wrapped)),1,0),0))</f>
        <v>1</v>
      </c>
      <c r="G877">
        <f>IF(OR(F_Custom2_Q="(None)",F_Custom2_Q="",ISBLANK(F_Custom2_Q),F_Custom2_V="(All)",F_Custom2_V="",ISBLANK(F_Custom2_V)),1,IFERROR(IF(ISNUMBER(SEARCH("|"&amp;INDEX(INDIRECT(F_Custom2_resolved_column),876)&amp;"|",F_Custom2_wrapped)),1,0),0))</f>
        <v>1</v>
      </c>
      <c r="H877">
        <f>F877*G877*1</f>
        <v>1</v>
      </c>
      <c r="I877">
        <f>1</f>
        <v>1</v>
      </c>
      <c r="J8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876)&amp;"|",All_Questions_Q20_F_wrapped)),1,0),0))</f>
        <v>1</v>
      </c>
    </row>
    <row r="878">
      <c r="A878" t="n">
        <v>877</v>
      </c>
      <c r="B878" t="n">
        <v>28.9</v>
      </c>
      <c r="C878" t="n">
        <v>24.6</v>
      </c>
      <c r="D878" t="n">
        <v>22.9</v>
      </c>
      <c r="E878">
        <f>1</f>
        <v>1</v>
      </c>
      <c r="F878">
        <f>IF(OR(F_Custom1_Q="(None)",F_Custom1_Q="",ISBLANK(F_Custom1_Q),F_Custom1_V="(All)",F_Custom1_V="",ISBLANK(F_Custom1_V)),1,IFERROR(IF(ISNUMBER(SEARCH("|"&amp;INDEX(INDIRECT(F_Custom1_resolved_column),877)&amp;"|",F_Custom1_wrapped)),1,0),0))</f>
        <v>1</v>
      </c>
      <c r="G878">
        <f>IF(OR(F_Custom2_Q="(None)",F_Custom2_Q="",ISBLANK(F_Custom2_Q),F_Custom2_V="(All)",F_Custom2_V="",ISBLANK(F_Custom2_V)),1,IFERROR(IF(ISNUMBER(SEARCH("|"&amp;INDEX(INDIRECT(F_Custom2_resolved_column),877)&amp;"|",F_Custom2_wrapped)),1,0),0))</f>
        <v>1</v>
      </c>
      <c r="H878">
        <f>F878*G878*1</f>
        <v>1</v>
      </c>
      <c r="I878">
        <f>1</f>
        <v>1</v>
      </c>
      <c r="J8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877)&amp;"|",All_Questions_Q20_F_wrapped)),1,0),0))</f>
        <v>1</v>
      </c>
    </row>
    <row r="879">
      <c r="A879" t="n">
        <v>878</v>
      </c>
      <c r="B879" t="n">
        <v>28.9</v>
      </c>
      <c r="C879" t="n">
        <v>24.6</v>
      </c>
      <c r="D879" t="n">
        <v>22.9</v>
      </c>
      <c r="E879">
        <f>1</f>
        <v>1</v>
      </c>
      <c r="F879">
        <f>IF(OR(F_Custom1_Q="(None)",F_Custom1_Q="",ISBLANK(F_Custom1_Q),F_Custom1_V="(All)",F_Custom1_V="",ISBLANK(F_Custom1_V)),1,IFERROR(IF(ISNUMBER(SEARCH("|"&amp;INDEX(INDIRECT(F_Custom1_resolved_column),878)&amp;"|",F_Custom1_wrapped)),1,0),0))</f>
        <v>1</v>
      </c>
      <c r="G879">
        <f>IF(OR(F_Custom2_Q="(None)",F_Custom2_Q="",ISBLANK(F_Custom2_Q),F_Custom2_V="(All)",F_Custom2_V="",ISBLANK(F_Custom2_V)),1,IFERROR(IF(ISNUMBER(SEARCH("|"&amp;INDEX(INDIRECT(F_Custom2_resolved_column),878)&amp;"|",F_Custom2_wrapped)),1,0),0))</f>
        <v>1</v>
      </c>
      <c r="H879">
        <f>F879*G879*1</f>
        <v>1</v>
      </c>
      <c r="I879">
        <f>1</f>
        <v>1</v>
      </c>
      <c r="J8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878)&amp;"|",All_Questions_Q20_F_wrapped)),1,0),0))</f>
        <v>1</v>
      </c>
    </row>
    <row r="880">
      <c r="A880" t="n">
        <v>879</v>
      </c>
      <c r="B880" t="n">
        <v>28.9</v>
      </c>
      <c r="C880" t="n">
        <v>24.6</v>
      </c>
      <c r="D880" t="n">
        <v>22.9</v>
      </c>
      <c r="E880">
        <f>1</f>
        <v>1</v>
      </c>
      <c r="F880">
        <f>IF(OR(F_Custom1_Q="(None)",F_Custom1_Q="",ISBLANK(F_Custom1_Q),F_Custom1_V="(All)",F_Custom1_V="",ISBLANK(F_Custom1_V)),1,IFERROR(IF(ISNUMBER(SEARCH("|"&amp;INDEX(INDIRECT(F_Custom1_resolved_column),879)&amp;"|",F_Custom1_wrapped)),1,0),0))</f>
        <v>1</v>
      </c>
      <c r="G880">
        <f>IF(OR(F_Custom2_Q="(None)",F_Custom2_Q="",ISBLANK(F_Custom2_Q),F_Custom2_V="(All)",F_Custom2_V="",ISBLANK(F_Custom2_V)),1,IFERROR(IF(ISNUMBER(SEARCH("|"&amp;INDEX(INDIRECT(F_Custom2_resolved_column),879)&amp;"|",F_Custom2_wrapped)),1,0),0))</f>
        <v>1</v>
      </c>
      <c r="H880">
        <f>F880*G880*1</f>
        <v>1</v>
      </c>
      <c r="I880">
        <f>1</f>
        <v>1</v>
      </c>
      <c r="J8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879)&amp;"|",All_Questions_Q20_F_wrapped)),1,0),0))</f>
        <v>1</v>
      </c>
    </row>
    <row r="881">
      <c r="A881" t="n">
        <v>880</v>
      </c>
      <c r="B881" t="n">
        <v>28.9</v>
      </c>
      <c r="C881" t="n">
        <v>24.6</v>
      </c>
      <c r="D881" t="n">
        <v>22.9</v>
      </c>
      <c r="E881">
        <f>1</f>
        <v>1</v>
      </c>
      <c r="F881">
        <f>IF(OR(F_Custom1_Q="(None)",F_Custom1_Q="",ISBLANK(F_Custom1_Q),F_Custom1_V="(All)",F_Custom1_V="",ISBLANK(F_Custom1_V)),1,IFERROR(IF(ISNUMBER(SEARCH("|"&amp;INDEX(INDIRECT(F_Custom1_resolved_column),880)&amp;"|",F_Custom1_wrapped)),1,0),0))</f>
        <v>1</v>
      </c>
      <c r="G881">
        <f>IF(OR(F_Custom2_Q="(None)",F_Custom2_Q="",ISBLANK(F_Custom2_Q),F_Custom2_V="(All)",F_Custom2_V="",ISBLANK(F_Custom2_V)),1,IFERROR(IF(ISNUMBER(SEARCH("|"&amp;INDEX(INDIRECT(F_Custom2_resolved_column),880)&amp;"|",F_Custom2_wrapped)),1,0),0))</f>
        <v>1</v>
      </c>
      <c r="H881">
        <f>F881*G881*1</f>
        <v>1</v>
      </c>
      <c r="I881">
        <f>1</f>
        <v>1</v>
      </c>
      <c r="J8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880)&amp;"|",All_Questions_Q20_F_wrapped)),1,0),0))</f>
        <v>1</v>
      </c>
    </row>
    <row r="882">
      <c r="A882" t="n">
        <v>881</v>
      </c>
      <c r="B882" t="n">
        <v>28.9</v>
      </c>
      <c r="C882" t="n">
        <v>24.6</v>
      </c>
      <c r="D882" t="n">
        <v>22.9</v>
      </c>
      <c r="E882">
        <f>1</f>
        <v>1</v>
      </c>
      <c r="F882">
        <f>IF(OR(F_Custom1_Q="(None)",F_Custom1_Q="",ISBLANK(F_Custom1_Q),F_Custom1_V="(All)",F_Custom1_V="",ISBLANK(F_Custom1_V)),1,IFERROR(IF(ISNUMBER(SEARCH("|"&amp;INDEX(INDIRECT(F_Custom1_resolved_column),881)&amp;"|",F_Custom1_wrapped)),1,0),0))</f>
        <v>1</v>
      </c>
      <c r="G882">
        <f>IF(OR(F_Custom2_Q="(None)",F_Custom2_Q="",ISBLANK(F_Custom2_Q),F_Custom2_V="(All)",F_Custom2_V="",ISBLANK(F_Custom2_V)),1,IFERROR(IF(ISNUMBER(SEARCH("|"&amp;INDEX(INDIRECT(F_Custom2_resolved_column),881)&amp;"|",F_Custom2_wrapped)),1,0),0))</f>
        <v>1</v>
      </c>
      <c r="H882">
        <f>F882*G882*1</f>
        <v>1</v>
      </c>
      <c r="I882">
        <f>1</f>
        <v>1</v>
      </c>
      <c r="J8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881)&amp;"|",All_Questions_Q20_F_wrapped)),1,0),0))</f>
        <v>1</v>
      </c>
    </row>
    <row r="883">
      <c r="A883" t="n">
        <v>882</v>
      </c>
      <c r="B883" t="n">
        <v>28.9</v>
      </c>
      <c r="C883" t="n">
        <v>24.6</v>
      </c>
      <c r="D883" t="n">
        <v>22.9</v>
      </c>
      <c r="E883">
        <f>1</f>
        <v>1</v>
      </c>
      <c r="F883">
        <f>IF(OR(F_Custom1_Q="(None)",F_Custom1_Q="",ISBLANK(F_Custom1_Q),F_Custom1_V="(All)",F_Custom1_V="",ISBLANK(F_Custom1_V)),1,IFERROR(IF(ISNUMBER(SEARCH("|"&amp;INDEX(INDIRECT(F_Custom1_resolved_column),882)&amp;"|",F_Custom1_wrapped)),1,0),0))</f>
        <v>1</v>
      </c>
      <c r="G883">
        <f>IF(OR(F_Custom2_Q="(None)",F_Custom2_Q="",ISBLANK(F_Custom2_Q),F_Custom2_V="(All)",F_Custom2_V="",ISBLANK(F_Custom2_V)),1,IFERROR(IF(ISNUMBER(SEARCH("|"&amp;INDEX(INDIRECT(F_Custom2_resolved_column),882)&amp;"|",F_Custom2_wrapped)),1,0),0))</f>
        <v>1</v>
      </c>
      <c r="H883">
        <f>F883*G883*1</f>
        <v>1</v>
      </c>
      <c r="I883">
        <f>1</f>
        <v>1</v>
      </c>
      <c r="J8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882)&amp;"|",All_Questions_Q20_F_wrapped)),1,0),0))</f>
        <v>1</v>
      </c>
    </row>
    <row r="884">
      <c r="A884" t="n">
        <v>883</v>
      </c>
      <c r="B884" t="n">
        <v>28.9</v>
      </c>
      <c r="C884" t="n">
        <v>24.6</v>
      </c>
      <c r="D884" t="n">
        <v>22.9</v>
      </c>
      <c r="E884">
        <f>1</f>
        <v>1</v>
      </c>
      <c r="F884">
        <f>IF(OR(F_Custom1_Q="(None)",F_Custom1_Q="",ISBLANK(F_Custom1_Q),F_Custom1_V="(All)",F_Custom1_V="",ISBLANK(F_Custom1_V)),1,IFERROR(IF(ISNUMBER(SEARCH("|"&amp;INDEX(INDIRECT(F_Custom1_resolved_column),883)&amp;"|",F_Custom1_wrapped)),1,0),0))</f>
        <v>1</v>
      </c>
      <c r="G884">
        <f>IF(OR(F_Custom2_Q="(None)",F_Custom2_Q="",ISBLANK(F_Custom2_Q),F_Custom2_V="(All)",F_Custom2_V="",ISBLANK(F_Custom2_V)),1,IFERROR(IF(ISNUMBER(SEARCH("|"&amp;INDEX(INDIRECT(F_Custom2_resolved_column),883)&amp;"|",F_Custom2_wrapped)),1,0),0))</f>
        <v>1</v>
      </c>
      <c r="H884">
        <f>F884*G884*1</f>
        <v>1</v>
      </c>
      <c r="I884">
        <f>1</f>
        <v>1</v>
      </c>
      <c r="J8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883)&amp;"|",All_Questions_Q20_F_wrapped)),1,0),0))</f>
        <v>1</v>
      </c>
    </row>
    <row r="885">
      <c r="A885" t="n">
        <v>884</v>
      </c>
      <c r="B885" t="n">
        <v>28.9</v>
      </c>
      <c r="C885" t="n">
        <v>24.6</v>
      </c>
      <c r="D885" t="n">
        <v>22.9</v>
      </c>
      <c r="E885">
        <f>1</f>
        <v>1</v>
      </c>
      <c r="F885">
        <f>IF(OR(F_Custom1_Q="(None)",F_Custom1_Q="",ISBLANK(F_Custom1_Q),F_Custom1_V="(All)",F_Custom1_V="",ISBLANK(F_Custom1_V)),1,IFERROR(IF(ISNUMBER(SEARCH("|"&amp;INDEX(INDIRECT(F_Custom1_resolved_column),884)&amp;"|",F_Custom1_wrapped)),1,0),0))</f>
        <v>1</v>
      </c>
      <c r="G885">
        <f>IF(OR(F_Custom2_Q="(None)",F_Custom2_Q="",ISBLANK(F_Custom2_Q),F_Custom2_V="(All)",F_Custom2_V="",ISBLANK(F_Custom2_V)),1,IFERROR(IF(ISNUMBER(SEARCH("|"&amp;INDEX(INDIRECT(F_Custom2_resolved_column),884)&amp;"|",F_Custom2_wrapped)),1,0),0))</f>
        <v>1</v>
      </c>
      <c r="H885">
        <f>F885*G885*1</f>
        <v>1</v>
      </c>
      <c r="I885">
        <f>1</f>
        <v>1</v>
      </c>
      <c r="J8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884)&amp;"|",All_Questions_Q20_F_wrapped)),1,0),0))</f>
        <v>1</v>
      </c>
    </row>
    <row r="886">
      <c r="A886" t="n">
        <v>885</v>
      </c>
      <c r="B886" t="n">
        <v>28.9</v>
      </c>
      <c r="C886" t="n">
        <v>24.6</v>
      </c>
      <c r="D886" t="n">
        <v>22.9</v>
      </c>
      <c r="E886">
        <f>1</f>
        <v>1</v>
      </c>
      <c r="F886">
        <f>IF(OR(F_Custom1_Q="(None)",F_Custom1_Q="",ISBLANK(F_Custom1_Q),F_Custom1_V="(All)",F_Custom1_V="",ISBLANK(F_Custom1_V)),1,IFERROR(IF(ISNUMBER(SEARCH("|"&amp;INDEX(INDIRECT(F_Custom1_resolved_column),885)&amp;"|",F_Custom1_wrapped)),1,0),0))</f>
        <v>1</v>
      </c>
      <c r="G886">
        <f>IF(OR(F_Custom2_Q="(None)",F_Custom2_Q="",ISBLANK(F_Custom2_Q),F_Custom2_V="(All)",F_Custom2_V="",ISBLANK(F_Custom2_V)),1,IFERROR(IF(ISNUMBER(SEARCH("|"&amp;INDEX(INDIRECT(F_Custom2_resolved_column),885)&amp;"|",F_Custom2_wrapped)),1,0),0))</f>
        <v>1</v>
      </c>
      <c r="H886">
        <f>F886*G886*1</f>
        <v>1</v>
      </c>
      <c r="I886">
        <f>1</f>
        <v>1</v>
      </c>
      <c r="J8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885)&amp;"|",All_Questions_Q20_F_wrapped)),1,0),0))</f>
        <v>1</v>
      </c>
    </row>
    <row r="887">
      <c r="A887" t="n">
        <v>886</v>
      </c>
      <c r="B887" t="n">
        <v>28.9</v>
      </c>
      <c r="C887" t="n">
        <v>24.6</v>
      </c>
      <c r="D887" t="n">
        <v>22.9</v>
      </c>
      <c r="E887">
        <f>1</f>
        <v>1</v>
      </c>
      <c r="F887">
        <f>IF(OR(F_Custom1_Q="(None)",F_Custom1_Q="",ISBLANK(F_Custom1_Q),F_Custom1_V="(All)",F_Custom1_V="",ISBLANK(F_Custom1_V)),1,IFERROR(IF(ISNUMBER(SEARCH("|"&amp;INDEX(INDIRECT(F_Custom1_resolved_column),886)&amp;"|",F_Custom1_wrapped)),1,0),0))</f>
        <v>1</v>
      </c>
      <c r="G887">
        <f>IF(OR(F_Custom2_Q="(None)",F_Custom2_Q="",ISBLANK(F_Custom2_Q),F_Custom2_V="(All)",F_Custom2_V="",ISBLANK(F_Custom2_V)),1,IFERROR(IF(ISNUMBER(SEARCH("|"&amp;INDEX(INDIRECT(F_Custom2_resolved_column),886)&amp;"|",F_Custom2_wrapped)),1,0),0))</f>
        <v>1</v>
      </c>
      <c r="H887">
        <f>F887*G887*1</f>
        <v>1</v>
      </c>
      <c r="I887">
        <f>1</f>
        <v>1</v>
      </c>
      <c r="J8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886)&amp;"|",All_Questions_Q20_F_wrapped)),1,0),0))</f>
        <v>1</v>
      </c>
    </row>
    <row r="888">
      <c r="A888" t="n">
        <v>887</v>
      </c>
      <c r="B888" t="n">
        <v>28.9</v>
      </c>
      <c r="C888" t="n">
        <v>24.6</v>
      </c>
      <c r="D888" t="n">
        <v>22.9</v>
      </c>
      <c r="E888">
        <f>1</f>
        <v>1</v>
      </c>
      <c r="F888">
        <f>IF(OR(F_Custom1_Q="(None)",F_Custom1_Q="",ISBLANK(F_Custom1_Q),F_Custom1_V="(All)",F_Custom1_V="",ISBLANK(F_Custom1_V)),1,IFERROR(IF(ISNUMBER(SEARCH("|"&amp;INDEX(INDIRECT(F_Custom1_resolved_column),887)&amp;"|",F_Custom1_wrapped)),1,0),0))</f>
        <v>1</v>
      </c>
      <c r="G888">
        <f>IF(OR(F_Custom2_Q="(None)",F_Custom2_Q="",ISBLANK(F_Custom2_Q),F_Custom2_V="(All)",F_Custom2_V="",ISBLANK(F_Custom2_V)),1,IFERROR(IF(ISNUMBER(SEARCH("|"&amp;INDEX(INDIRECT(F_Custom2_resolved_column),887)&amp;"|",F_Custom2_wrapped)),1,0),0))</f>
        <v>1</v>
      </c>
      <c r="H888">
        <f>F888*G888*1</f>
        <v>1</v>
      </c>
      <c r="I888">
        <f>1</f>
        <v>1</v>
      </c>
      <c r="J8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887)&amp;"|",All_Questions_Q20_F_wrapped)),1,0),0))</f>
        <v>1</v>
      </c>
    </row>
    <row r="889">
      <c r="A889" t="n">
        <v>888</v>
      </c>
      <c r="B889" t="n">
        <v>28.9</v>
      </c>
      <c r="C889" t="n">
        <v>24.6</v>
      </c>
      <c r="D889" t="n">
        <v>22.9</v>
      </c>
      <c r="E889">
        <f>1</f>
        <v>1</v>
      </c>
      <c r="F889">
        <f>IF(OR(F_Custom1_Q="(None)",F_Custom1_Q="",ISBLANK(F_Custom1_Q),F_Custom1_V="(All)",F_Custom1_V="",ISBLANK(F_Custom1_V)),1,IFERROR(IF(ISNUMBER(SEARCH("|"&amp;INDEX(INDIRECT(F_Custom1_resolved_column),888)&amp;"|",F_Custom1_wrapped)),1,0),0))</f>
        <v>1</v>
      </c>
      <c r="G889">
        <f>IF(OR(F_Custom2_Q="(None)",F_Custom2_Q="",ISBLANK(F_Custom2_Q),F_Custom2_V="(All)",F_Custom2_V="",ISBLANK(F_Custom2_V)),1,IFERROR(IF(ISNUMBER(SEARCH("|"&amp;INDEX(INDIRECT(F_Custom2_resolved_column),888)&amp;"|",F_Custom2_wrapped)),1,0),0))</f>
        <v>1</v>
      </c>
      <c r="H889">
        <f>F889*G889*1</f>
        <v>1</v>
      </c>
      <c r="I889">
        <f>1</f>
        <v>1</v>
      </c>
      <c r="J8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888)&amp;"|",All_Questions_Q20_F_wrapped)),1,0),0))</f>
        <v>1</v>
      </c>
    </row>
    <row r="890">
      <c r="A890" t="n">
        <v>889</v>
      </c>
      <c r="B890" t="n">
        <v>28.9</v>
      </c>
      <c r="C890" t="n">
        <v>24.6</v>
      </c>
      <c r="D890" t="n">
        <v>22.9</v>
      </c>
      <c r="E890">
        <f>1</f>
        <v>1</v>
      </c>
      <c r="F890">
        <f>IF(OR(F_Custom1_Q="(None)",F_Custom1_Q="",ISBLANK(F_Custom1_Q),F_Custom1_V="(All)",F_Custom1_V="",ISBLANK(F_Custom1_V)),1,IFERROR(IF(ISNUMBER(SEARCH("|"&amp;INDEX(INDIRECT(F_Custom1_resolved_column),889)&amp;"|",F_Custom1_wrapped)),1,0),0))</f>
        <v>1</v>
      </c>
      <c r="G890">
        <f>IF(OR(F_Custom2_Q="(None)",F_Custom2_Q="",ISBLANK(F_Custom2_Q),F_Custom2_V="(All)",F_Custom2_V="",ISBLANK(F_Custom2_V)),1,IFERROR(IF(ISNUMBER(SEARCH("|"&amp;INDEX(INDIRECT(F_Custom2_resolved_column),889)&amp;"|",F_Custom2_wrapped)),1,0),0))</f>
        <v>1</v>
      </c>
      <c r="H890">
        <f>F890*G890*1</f>
        <v>1</v>
      </c>
      <c r="I890">
        <f>1</f>
        <v>1</v>
      </c>
      <c r="J8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889)&amp;"|",All_Questions_Q20_F_wrapped)),1,0),0))</f>
        <v>1</v>
      </c>
    </row>
    <row r="891">
      <c r="A891" t="n">
        <v>890</v>
      </c>
      <c r="B891" t="n">
        <v>28.9</v>
      </c>
      <c r="C891" t="n">
        <v>24.6</v>
      </c>
      <c r="D891" t="n">
        <v>22.9</v>
      </c>
      <c r="E891">
        <f>1</f>
        <v>1</v>
      </c>
      <c r="F891">
        <f>IF(OR(F_Custom1_Q="(None)",F_Custom1_Q="",ISBLANK(F_Custom1_Q),F_Custom1_V="(All)",F_Custom1_V="",ISBLANK(F_Custom1_V)),1,IFERROR(IF(ISNUMBER(SEARCH("|"&amp;INDEX(INDIRECT(F_Custom1_resolved_column),890)&amp;"|",F_Custom1_wrapped)),1,0),0))</f>
        <v>1</v>
      </c>
      <c r="G891">
        <f>IF(OR(F_Custom2_Q="(None)",F_Custom2_Q="",ISBLANK(F_Custom2_Q),F_Custom2_V="(All)",F_Custom2_V="",ISBLANK(F_Custom2_V)),1,IFERROR(IF(ISNUMBER(SEARCH("|"&amp;INDEX(INDIRECT(F_Custom2_resolved_column),890)&amp;"|",F_Custom2_wrapped)),1,0),0))</f>
        <v>1</v>
      </c>
      <c r="H891">
        <f>F891*G891*1</f>
        <v>1</v>
      </c>
      <c r="I891">
        <f>1</f>
        <v>1</v>
      </c>
      <c r="J8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890)&amp;"|",All_Questions_Q20_F_wrapped)),1,0),0))</f>
        <v>1</v>
      </c>
    </row>
    <row r="892">
      <c r="A892" t="n">
        <v>891</v>
      </c>
      <c r="B892" t="n">
        <v>28.9</v>
      </c>
      <c r="C892" t="n">
        <v>24.6</v>
      </c>
      <c r="D892" t="n">
        <v>22.9</v>
      </c>
      <c r="E892">
        <f>1</f>
        <v>1</v>
      </c>
      <c r="F892">
        <f>IF(OR(F_Custom1_Q="(None)",F_Custom1_Q="",ISBLANK(F_Custom1_Q),F_Custom1_V="(All)",F_Custom1_V="",ISBLANK(F_Custom1_V)),1,IFERROR(IF(ISNUMBER(SEARCH("|"&amp;INDEX(INDIRECT(F_Custom1_resolved_column),891)&amp;"|",F_Custom1_wrapped)),1,0),0))</f>
        <v>1</v>
      </c>
      <c r="G892">
        <f>IF(OR(F_Custom2_Q="(None)",F_Custom2_Q="",ISBLANK(F_Custom2_Q),F_Custom2_V="(All)",F_Custom2_V="",ISBLANK(F_Custom2_V)),1,IFERROR(IF(ISNUMBER(SEARCH("|"&amp;INDEX(INDIRECT(F_Custom2_resolved_column),891)&amp;"|",F_Custom2_wrapped)),1,0),0))</f>
        <v>1</v>
      </c>
      <c r="H892">
        <f>F892*G892*1</f>
        <v>1</v>
      </c>
      <c r="I892">
        <f>1</f>
        <v>1</v>
      </c>
      <c r="J8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891)&amp;"|",All_Questions_Q20_F_wrapped)),1,0),0))</f>
        <v>1</v>
      </c>
    </row>
    <row r="893">
      <c r="A893" t="n">
        <v>892</v>
      </c>
      <c r="B893" t="n">
        <v>28.9</v>
      </c>
      <c r="C893" t="n">
        <v>24.6</v>
      </c>
      <c r="D893" t="n">
        <v>22.9</v>
      </c>
      <c r="E893">
        <f>1</f>
        <v>1</v>
      </c>
      <c r="F893">
        <f>IF(OR(F_Custom1_Q="(None)",F_Custom1_Q="",ISBLANK(F_Custom1_Q),F_Custom1_V="(All)",F_Custom1_V="",ISBLANK(F_Custom1_V)),1,IFERROR(IF(ISNUMBER(SEARCH("|"&amp;INDEX(INDIRECT(F_Custom1_resolved_column),892)&amp;"|",F_Custom1_wrapped)),1,0),0))</f>
        <v>1</v>
      </c>
      <c r="G893">
        <f>IF(OR(F_Custom2_Q="(None)",F_Custom2_Q="",ISBLANK(F_Custom2_Q),F_Custom2_V="(All)",F_Custom2_V="",ISBLANK(F_Custom2_V)),1,IFERROR(IF(ISNUMBER(SEARCH("|"&amp;INDEX(INDIRECT(F_Custom2_resolved_column),892)&amp;"|",F_Custom2_wrapped)),1,0),0))</f>
        <v>1</v>
      </c>
      <c r="H893">
        <f>F893*G893*1</f>
        <v>1</v>
      </c>
      <c r="I893">
        <f>1</f>
        <v>1</v>
      </c>
      <c r="J8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892)&amp;"|",All_Questions_Q20_F_wrapped)),1,0),0))</f>
        <v>1</v>
      </c>
    </row>
    <row r="894">
      <c r="A894" t="n">
        <v>893</v>
      </c>
      <c r="B894" t="n">
        <v>28.9</v>
      </c>
      <c r="C894" t="n">
        <v>24.6</v>
      </c>
      <c r="D894" t="n">
        <v>22.9</v>
      </c>
      <c r="E894">
        <f>1</f>
        <v>1</v>
      </c>
      <c r="F894">
        <f>IF(OR(F_Custom1_Q="(None)",F_Custom1_Q="",ISBLANK(F_Custom1_Q),F_Custom1_V="(All)",F_Custom1_V="",ISBLANK(F_Custom1_V)),1,IFERROR(IF(ISNUMBER(SEARCH("|"&amp;INDEX(INDIRECT(F_Custom1_resolved_column),893)&amp;"|",F_Custom1_wrapped)),1,0),0))</f>
        <v>1</v>
      </c>
      <c r="G894">
        <f>IF(OR(F_Custom2_Q="(None)",F_Custom2_Q="",ISBLANK(F_Custom2_Q),F_Custom2_V="(All)",F_Custom2_V="",ISBLANK(F_Custom2_V)),1,IFERROR(IF(ISNUMBER(SEARCH("|"&amp;INDEX(INDIRECT(F_Custom2_resolved_column),893)&amp;"|",F_Custom2_wrapped)),1,0),0))</f>
        <v>1</v>
      </c>
      <c r="H894">
        <f>F894*G894*1</f>
        <v>1</v>
      </c>
      <c r="I894">
        <f>1</f>
        <v>1</v>
      </c>
      <c r="J8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893)&amp;"|",All_Questions_Q20_F_wrapped)),1,0),0))</f>
        <v>1</v>
      </c>
    </row>
    <row r="895">
      <c r="A895" t="n">
        <v>894</v>
      </c>
      <c r="B895" t="n">
        <v>28.9</v>
      </c>
      <c r="C895" t="n">
        <v>24.6</v>
      </c>
      <c r="D895" t="n">
        <v>22.9</v>
      </c>
      <c r="E895">
        <f>1</f>
        <v>1</v>
      </c>
      <c r="F895">
        <f>IF(OR(F_Custom1_Q="(None)",F_Custom1_Q="",ISBLANK(F_Custom1_Q),F_Custom1_V="(All)",F_Custom1_V="",ISBLANK(F_Custom1_V)),1,IFERROR(IF(ISNUMBER(SEARCH("|"&amp;INDEX(INDIRECT(F_Custom1_resolved_column),894)&amp;"|",F_Custom1_wrapped)),1,0),0))</f>
        <v>1</v>
      </c>
      <c r="G895">
        <f>IF(OR(F_Custom2_Q="(None)",F_Custom2_Q="",ISBLANK(F_Custom2_Q),F_Custom2_V="(All)",F_Custom2_V="",ISBLANK(F_Custom2_V)),1,IFERROR(IF(ISNUMBER(SEARCH("|"&amp;INDEX(INDIRECT(F_Custom2_resolved_column),894)&amp;"|",F_Custom2_wrapped)),1,0),0))</f>
        <v>1</v>
      </c>
      <c r="H895">
        <f>F895*G895*1</f>
        <v>1</v>
      </c>
      <c r="I895">
        <f>1</f>
        <v>1</v>
      </c>
      <c r="J8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894)&amp;"|",All_Questions_Q20_F_wrapped)),1,0),0))</f>
        <v>1</v>
      </c>
    </row>
    <row r="896">
      <c r="A896" t="n">
        <v>895</v>
      </c>
      <c r="B896" t="n">
        <v>28.9</v>
      </c>
      <c r="C896" t="n">
        <v>24.6</v>
      </c>
      <c r="D896" t="n">
        <v>22.9</v>
      </c>
      <c r="E896">
        <f>1</f>
        <v>1</v>
      </c>
      <c r="F896">
        <f>IF(OR(F_Custom1_Q="(None)",F_Custom1_Q="",ISBLANK(F_Custom1_Q),F_Custom1_V="(All)",F_Custom1_V="",ISBLANK(F_Custom1_V)),1,IFERROR(IF(ISNUMBER(SEARCH("|"&amp;INDEX(INDIRECT(F_Custom1_resolved_column),895)&amp;"|",F_Custom1_wrapped)),1,0),0))</f>
        <v>1</v>
      </c>
      <c r="G896">
        <f>IF(OR(F_Custom2_Q="(None)",F_Custom2_Q="",ISBLANK(F_Custom2_Q),F_Custom2_V="(All)",F_Custom2_V="",ISBLANK(F_Custom2_V)),1,IFERROR(IF(ISNUMBER(SEARCH("|"&amp;INDEX(INDIRECT(F_Custom2_resolved_column),895)&amp;"|",F_Custom2_wrapped)),1,0),0))</f>
        <v>1</v>
      </c>
      <c r="H896">
        <f>F896*G896*1</f>
        <v>1</v>
      </c>
      <c r="I896">
        <f>1</f>
        <v>1</v>
      </c>
      <c r="J8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895)&amp;"|",All_Questions_Q20_F_wrapped)),1,0),0))</f>
        <v>1</v>
      </c>
    </row>
    <row r="897">
      <c r="A897" t="n">
        <v>896</v>
      </c>
      <c r="B897" t="n">
        <v>28.9</v>
      </c>
      <c r="C897" t="n">
        <v>24.6</v>
      </c>
      <c r="D897" t="n">
        <v>22.9</v>
      </c>
      <c r="E897">
        <f>1</f>
        <v>1</v>
      </c>
      <c r="F897">
        <f>IF(OR(F_Custom1_Q="(None)",F_Custom1_Q="",ISBLANK(F_Custom1_Q),F_Custom1_V="(All)",F_Custom1_V="",ISBLANK(F_Custom1_V)),1,IFERROR(IF(ISNUMBER(SEARCH("|"&amp;INDEX(INDIRECT(F_Custom1_resolved_column),896)&amp;"|",F_Custom1_wrapped)),1,0),0))</f>
        <v>1</v>
      </c>
      <c r="G897">
        <f>IF(OR(F_Custom2_Q="(None)",F_Custom2_Q="",ISBLANK(F_Custom2_Q),F_Custom2_V="(All)",F_Custom2_V="",ISBLANK(F_Custom2_V)),1,IFERROR(IF(ISNUMBER(SEARCH("|"&amp;INDEX(INDIRECT(F_Custom2_resolved_column),896)&amp;"|",F_Custom2_wrapped)),1,0),0))</f>
        <v>1</v>
      </c>
      <c r="H897">
        <f>F897*G897*1</f>
        <v>1</v>
      </c>
      <c r="I897">
        <f>1</f>
        <v>1</v>
      </c>
      <c r="J8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896)&amp;"|",All_Questions_Q20_F_wrapped)),1,0),0))</f>
        <v>1</v>
      </c>
    </row>
    <row r="898">
      <c r="A898" t="n">
        <v>897</v>
      </c>
      <c r="B898" t="n">
        <v>28.9</v>
      </c>
      <c r="C898" t="n">
        <v>24.6</v>
      </c>
      <c r="D898" t="n">
        <v>22.9</v>
      </c>
      <c r="E898">
        <f>1</f>
        <v>1</v>
      </c>
      <c r="F898">
        <f>IF(OR(F_Custom1_Q="(None)",F_Custom1_Q="",ISBLANK(F_Custom1_Q),F_Custom1_V="(All)",F_Custom1_V="",ISBLANK(F_Custom1_V)),1,IFERROR(IF(ISNUMBER(SEARCH("|"&amp;INDEX(INDIRECT(F_Custom1_resolved_column),897)&amp;"|",F_Custom1_wrapped)),1,0),0))</f>
        <v>1</v>
      </c>
      <c r="G898">
        <f>IF(OR(F_Custom2_Q="(None)",F_Custom2_Q="",ISBLANK(F_Custom2_Q),F_Custom2_V="(All)",F_Custom2_V="",ISBLANK(F_Custom2_V)),1,IFERROR(IF(ISNUMBER(SEARCH("|"&amp;INDEX(INDIRECT(F_Custom2_resolved_column),897)&amp;"|",F_Custom2_wrapped)),1,0),0))</f>
        <v>1</v>
      </c>
      <c r="H898">
        <f>F898*G898*1</f>
        <v>1</v>
      </c>
      <c r="I898">
        <f>1</f>
        <v>1</v>
      </c>
      <c r="J8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897)&amp;"|",All_Questions_Q20_F_wrapped)),1,0),0))</f>
        <v>1</v>
      </c>
    </row>
    <row r="899">
      <c r="A899" t="n">
        <v>898</v>
      </c>
      <c r="B899" t="n">
        <v>28.9</v>
      </c>
      <c r="C899" t="n">
        <v>24.6</v>
      </c>
      <c r="D899" t="n">
        <v>22.9</v>
      </c>
      <c r="E899">
        <f>1</f>
        <v>1</v>
      </c>
      <c r="F899">
        <f>IF(OR(F_Custom1_Q="(None)",F_Custom1_Q="",ISBLANK(F_Custom1_Q),F_Custom1_V="(All)",F_Custom1_V="",ISBLANK(F_Custom1_V)),1,IFERROR(IF(ISNUMBER(SEARCH("|"&amp;INDEX(INDIRECT(F_Custom1_resolved_column),898)&amp;"|",F_Custom1_wrapped)),1,0),0))</f>
        <v>1</v>
      </c>
      <c r="G899">
        <f>IF(OR(F_Custom2_Q="(None)",F_Custom2_Q="",ISBLANK(F_Custom2_Q),F_Custom2_V="(All)",F_Custom2_V="",ISBLANK(F_Custom2_V)),1,IFERROR(IF(ISNUMBER(SEARCH("|"&amp;INDEX(INDIRECT(F_Custom2_resolved_column),898)&amp;"|",F_Custom2_wrapped)),1,0),0))</f>
        <v>1</v>
      </c>
      <c r="H899">
        <f>F899*G899*1</f>
        <v>1</v>
      </c>
      <c r="I899">
        <f>1</f>
        <v>1</v>
      </c>
      <c r="J8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898)&amp;"|",All_Questions_Q20_F_wrapped)),1,0),0))</f>
        <v>1</v>
      </c>
    </row>
    <row r="900">
      <c r="A900" t="n">
        <v>899</v>
      </c>
      <c r="B900" t="n">
        <v>28.9</v>
      </c>
      <c r="C900" t="n">
        <v>24.6</v>
      </c>
      <c r="D900" t="n">
        <v>22.9</v>
      </c>
      <c r="E900">
        <f>1</f>
        <v>1</v>
      </c>
      <c r="F900">
        <f>IF(OR(F_Custom1_Q="(None)",F_Custom1_Q="",ISBLANK(F_Custom1_Q),F_Custom1_V="(All)",F_Custom1_V="",ISBLANK(F_Custom1_V)),1,IFERROR(IF(ISNUMBER(SEARCH("|"&amp;INDEX(INDIRECT(F_Custom1_resolved_column),899)&amp;"|",F_Custom1_wrapped)),1,0),0))</f>
        <v>1</v>
      </c>
      <c r="G900">
        <f>IF(OR(F_Custom2_Q="(None)",F_Custom2_Q="",ISBLANK(F_Custom2_Q),F_Custom2_V="(All)",F_Custom2_V="",ISBLANK(F_Custom2_V)),1,IFERROR(IF(ISNUMBER(SEARCH("|"&amp;INDEX(INDIRECT(F_Custom2_resolved_column),899)&amp;"|",F_Custom2_wrapped)),1,0),0))</f>
        <v>1</v>
      </c>
      <c r="H900">
        <f>F900*G900*1</f>
        <v>1</v>
      </c>
      <c r="I900">
        <f>1</f>
        <v>1</v>
      </c>
      <c r="J9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899)&amp;"|",All_Questions_Q20_F_wrapped)),1,0),0))</f>
        <v>1</v>
      </c>
    </row>
    <row r="901">
      <c r="A901" t="n">
        <v>900</v>
      </c>
      <c r="B901" t="n">
        <v>28.9</v>
      </c>
      <c r="C901" t="n">
        <v>24.6</v>
      </c>
      <c r="D901" t="n">
        <v>22.9</v>
      </c>
      <c r="E901">
        <f>1</f>
        <v>1</v>
      </c>
      <c r="F901">
        <f>IF(OR(F_Custom1_Q="(None)",F_Custom1_Q="",ISBLANK(F_Custom1_Q),F_Custom1_V="(All)",F_Custom1_V="",ISBLANK(F_Custom1_V)),1,IFERROR(IF(ISNUMBER(SEARCH("|"&amp;INDEX(INDIRECT(F_Custom1_resolved_column),900)&amp;"|",F_Custom1_wrapped)),1,0),0))</f>
        <v>1</v>
      </c>
      <c r="G901">
        <f>IF(OR(F_Custom2_Q="(None)",F_Custom2_Q="",ISBLANK(F_Custom2_Q),F_Custom2_V="(All)",F_Custom2_V="",ISBLANK(F_Custom2_V)),1,IFERROR(IF(ISNUMBER(SEARCH("|"&amp;INDEX(INDIRECT(F_Custom2_resolved_column),900)&amp;"|",F_Custom2_wrapped)),1,0),0))</f>
        <v>1</v>
      </c>
      <c r="H901">
        <f>F901*G901*1</f>
        <v>1</v>
      </c>
      <c r="I901">
        <f>1</f>
        <v>1</v>
      </c>
      <c r="J9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900)&amp;"|",All_Questions_Q20_F_wrapped)),1,0),0))</f>
        <v>1</v>
      </c>
    </row>
    <row r="902">
      <c r="A902" t="n">
        <v>901</v>
      </c>
      <c r="B902" t="n">
        <v>28.9</v>
      </c>
      <c r="C902" t="n">
        <v>24.6</v>
      </c>
      <c r="D902" t="n">
        <v>22.9</v>
      </c>
      <c r="E902">
        <f>1</f>
        <v>1</v>
      </c>
      <c r="F902">
        <f>IF(OR(F_Custom1_Q="(None)",F_Custom1_Q="",ISBLANK(F_Custom1_Q),F_Custom1_V="(All)",F_Custom1_V="",ISBLANK(F_Custom1_V)),1,IFERROR(IF(ISNUMBER(SEARCH("|"&amp;INDEX(INDIRECT(F_Custom1_resolved_column),901)&amp;"|",F_Custom1_wrapped)),1,0),0))</f>
        <v>1</v>
      </c>
      <c r="G902">
        <f>IF(OR(F_Custom2_Q="(None)",F_Custom2_Q="",ISBLANK(F_Custom2_Q),F_Custom2_V="(All)",F_Custom2_V="",ISBLANK(F_Custom2_V)),1,IFERROR(IF(ISNUMBER(SEARCH("|"&amp;INDEX(INDIRECT(F_Custom2_resolved_column),901)&amp;"|",F_Custom2_wrapped)),1,0),0))</f>
        <v>1</v>
      </c>
      <c r="H902">
        <f>F902*G902*1</f>
        <v>1</v>
      </c>
      <c r="I902">
        <f>1</f>
        <v>1</v>
      </c>
      <c r="J9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901)&amp;"|",All_Questions_Q20_F_wrapped)),1,0),0))</f>
        <v>1</v>
      </c>
    </row>
    <row r="903">
      <c r="A903" t="n">
        <v>902</v>
      </c>
      <c r="B903" t="n">
        <v>28.9</v>
      </c>
      <c r="C903" t="n">
        <v>24.6</v>
      </c>
      <c r="D903" t="n">
        <v>22.9</v>
      </c>
      <c r="E903">
        <f>1</f>
        <v>1</v>
      </c>
      <c r="F903">
        <f>IF(OR(F_Custom1_Q="(None)",F_Custom1_Q="",ISBLANK(F_Custom1_Q),F_Custom1_V="(All)",F_Custom1_V="",ISBLANK(F_Custom1_V)),1,IFERROR(IF(ISNUMBER(SEARCH("|"&amp;INDEX(INDIRECT(F_Custom1_resolved_column),902)&amp;"|",F_Custom1_wrapped)),1,0),0))</f>
        <v>1</v>
      </c>
      <c r="G903">
        <f>IF(OR(F_Custom2_Q="(None)",F_Custom2_Q="",ISBLANK(F_Custom2_Q),F_Custom2_V="(All)",F_Custom2_V="",ISBLANK(F_Custom2_V)),1,IFERROR(IF(ISNUMBER(SEARCH("|"&amp;INDEX(INDIRECT(F_Custom2_resolved_column),902)&amp;"|",F_Custom2_wrapped)),1,0),0))</f>
        <v>1</v>
      </c>
      <c r="H903">
        <f>F903*G903*1</f>
        <v>1</v>
      </c>
      <c r="I903">
        <f>1</f>
        <v>1</v>
      </c>
      <c r="J9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902)&amp;"|",All_Questions_Q20_F_wrapped)),1,0),0))</f>
        <v>1</v>
      </c>
    </row>
    <row r="904">
      <c r="A904" t="n">
        <v>903</v>
      </c>
      <c r="B904" t="n">
        <v>28.9</v>
      </c>
      <c r="C904" t="n">
        <v>24.6</v>
      </c>
      <c r="D904" t="n">
        <v>22.9</v>
      </c>
      <c r="E904">
        <f>1</f>
        <v>1</v>
      </c>
      <c r="F904">
        <f>IF(OR(F_Custom1_Q="(None)",F_Custom1_Q="",ISBLANK(F_Custom1_Q),F_Custom1_V="(All)",F_Custom1_V="",ISBLANK(F_Custom1_V)),1,IFERROR(IF(ISNUMBER(SEARCH("|"&amp;INDEX(INDIRECT(F_Custom1_resolved_column),903)&amp;"|",F_Custom1_wrapped)),1,0),0))</f>
        <v>1</v>
      </c>
      <c r="G904">
        <f>IF(OR(F_Custom2_Q="(None)",F_Custom2_Q="",ISBLANK(F_Custom2_Q),F_Custom2_V="(All)",F_Custom2_V="",ISBLANK(F_Custom2_V)),1,IFERROR(IF(ISNUMBER(SEARCH("|"&amp;INDEX(INDIRECT(F_Custom2_resolved_column),903)&amp;"|",F_Custom2_wrapped)),1,0),0))</f>
        <v>1</v>
      </c>
      <c r="H904">
        <f>F904*G904*1</f>
        <v>1</v>
      </c>
      <c r="I904">
        <f>1</f>
        <v>1</v>
      </c>
      <c r="J9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903)&amp;"|",All_Questions_Q20_F_wrapped)),1,0),0))</f>
        <v>1</v>
      </c>
    </row>
    <row r="905">
      <c r="A905" t="n">
        <v>904</v>
      </c>
      <c r="B905" t="n">
        <v>28.9</v>
      </c>
      <c r="C905" t="n">
        <v>24.6</v>
      </c>
      <c r="D905" t="n">
        <v>22.9</v>
      </c>
      <c r="E905">
        <f>1</f>
        <v>1</v>
      </c>
      <c r="F905">
        <f>IF(OR(F_Custom1_Q="(None)",F_Custom1_Q="",ISBLANK(F_Custom1_Q),F_Custom1_V="(All)",F_Custom1_V="",ISBLANK(F_Custom1_V)),1,IFERROR(IF(ISNUMBER(SEARCH("|"&amp;INDEX(INDIRECT(F_Custom1_resolved_column),904)&amp;"|",F_Custom1_wrapped)),1,0),0))</f>
        <v>1</v>
      </c>
      <c r="G905">
        <f>IF(OR(F_Custom2_Q="(None)",F_Custom2_Q="",ISBLANK(F_Custom2_Q),F_Custom2_V="(All)",F_Custom2_V="",ISBLANK(F_Custom2_V)),1,IFERROR(IF(ISNUMBER(SEARCH("|"&amp;INDEX(INDIRECT(F_Custom2_resolved_column),904)&amp;"|",F_Custom2_wrapped)),1,0),0))</f>
        <v>1</v>
      </c>
      <c r="H905">
        <f>F905*G905*1</f>
        <v>1</v>
      </c>
      <c r="I905">
        <f>1</f>
        <v>1</v>
      </c>
      <c r="J9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904)&amp;"|",All_Questions_Q20_F_wrapped)),1,0),0))</f>
        <v>1</v>
      </c>
    </row>
    <row r="906">
      <c r="A906" t="n">
        <v>905</v>
      </c>
      <c r="B906" t="n">
        <v>28.9</v>
      </c>
      <c r="C906" t="n">
        <v>24.6</v>
      </c>
      <c r="D906" t="n">
        <v>22.9</v>
      </c>
      <c r="E906">
        <f>1</f>
        <v>1</v>
      </c>
      <c r="F906">
        <f>IF(OR(F_Custom1_Q="(None)",F_Custom1_Q="",ISBLANK(F_Custom1_Q),F_Custom1_V="(All)",F_Custom1_V="",ISBLANK(F_Custom1_V)),1,IFERROR(IF(ISNUMBER(SEARCH("|"&amp;INDEX(INDIRECT(F_Custom1_resolved_column),905)&amp;"|",F_Custom1_wrapped)),1,0),0))</f>
        <v>1</v>
      </c>
      <c r="G906">
        <f>IF(OR(F_Custom2_Q="(None)",F_Custom2_Q="",ISBLANK(F_Custom2_Q),F_Custom2_V="(All)",F_Custom2_V="",ISBLANK(F_Custom2_V)),1,IFERROR(IF(ISNUMBER(SEARCH("|"&amp;INDEX(INDIRECT(F_Custom2_resolved_column),905)&amp;"|",F_Custom2_wrapped)),1,0),0))</f>
        <v>1</v>
      </c>
      <c r="H906">
        <f>F906*G906*1</f>
        <v>1</v>
      </c>
      <c r="I906">
        <f>1</f>
        <v>1</v>
      </c>
      <c r="J9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905)&amp;"|",All_Questions_Q20_F_wrapped)),1,0),0))</f>
        <v>1</v>
      </c>
    </row>
    <row r="907">
      <c r="A907" t="n">
        <v>906</v>
      </c>
      <c r="B907" t="n">
        <v>28.9</v>
      </c>
      <c r="C907" t="n">
        <v>24.6</v>
      </c>
      <c r="D907" t="n">
        <v>22.9</v>
      </c>
      <c r="E907">
        <f>1</f>
        <v>1</v>
      </c>
      <c r="F907">
        <f>IF(OR(F_Custom1_Q="(None)",F_Custom1_Q="",ISBLANK(F_Custom1_Q),F_Custom1_V="(All)",F_Custom1_V="",ISBLANK(F_Custom1_V)),1,IFERROR(IF(ISNUMBER(SEARCH("|"&amp;INDEX(INDIRECT(F_Custom1_resolved_column),906)&amp;"|",F_Custom1_wrapped)),1,0),0))</f>
        <v>1</v>
      </c>
      <c r="G907">
        <f>IF(OR(F_Custom2_Q="(None)",F_Custom2_Q="",ISBLANK(F_Custom2_Q),F_Custom2_V="(All)",F_Custom2_V="",ISBLANK(F_Custom2_V)),1,IFERROR(IF(ISNUMBER(SEARCH("|"&amp;INDEX(INDIRECT(F_Custom2_resolved_column),906)&amp;"|",F_Custom2_wrapped)),1,0),0))</f>
        <v>1</v>
      </c>
      <c r="H907">
        <f>F907*G907*1</f>
        <v>1</v>
      </c>
      <c r="I907">
        <f>1</f>
        <v>1</v>
      </c>
      <c r="J9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906)&amp;"|",All_Questions_Q20_F_wrapped)),1,0),0))</f>
        <v>1</v>
      </c>
    </row>
    <row r="908">
      <c r="A908" t="n">
        <v>907</v>
      </c>
      <c r="B908" t="n">
        <v>28.9</v>
      </c>
      <c r="C908" t="n">
        <v>24.6</v>
      </c>
      <c r="D908" t="n">
        <v>22.9</v>
      </c>
      <c r="E908">
        <f>1</f>
        <v>1</v>
      </c>
      <c r="F908">
        <f>IF(OR(F_Custom1_Q="(None)",F_Custom1_Q="",ISBLANK(F_Custom1_Q),F_Custom1_V="(All)",F_Custom1_V="",ISBLANK(F_Custom1_V)),1,IFERROR(IF(ISNUMBER(SEARCH("|"&amp;INDEX(INDIRECT(F_Custom1_resolved_column),907)&amp;"|",F_Custom1_wrapped)),1,0),0))</f>
        <v>1</v>
      </c>
      <c r="G908">
        <f>IF(OR(F_Custom2_Q="(None)",F_Custom2_Q="",ISBLANK(F_Custom2_Q),F_Custom2_V="(All)",F_Custom2_V="",ISBLANK(F_Custom2_V)),1,IFERROR(IF(ISNUMBER(SEARCH("|"&amp;INDEX(INDIRECT(F_Custom2_resolved_column),907)&amp;"|",F_Custom2_wrapped)),1,0),0))</f>
        <v>1</v>
      </c>
      <c r="H908">
        <f>F908*G908*1</f>
        <v>1</v>
      </c>
      <c r="I908">
        <f>1</f>
        <v>1</v>
      </c>
      <c r="J9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907)&amp;"|",All_Questions_Q20_F_wrapped)),1,0),0))</f>
        <v>1</v>
      </c>
    </row>
    <row r="909">
      <c r="A909" t="n">
        <v>908</v>
      </c>
      <c r="B909" t="n">
        <v>28.9</v>
      </c>
      <c r="C909" t="n">
        <v>24.6</v>
      </c>
      <c r="D909" t="n">
        <v>22.9</v>
      </c>
      <c r="E909">
        <f>1</f>
        <v>1</v>
      </c>
      <c r="F909">
        <f>IF(OR(F_Custom1_Q="(None)",F_Custom1_Q="",ISBLANK(F_Custom1_Q),F_Custom1_V="(All)",F_Custom1_V="",ISBLANK(F_Custom1_V)),1,IFERROR(IF(ISNUMBER(SEARCH("|"&amp;INDEX(INDIRECT(F_Custom1_resolved_column),908)&amp;"|",F_Custom1_wrapped)),1,0),0))</f>
        <v>1</v>
      </c>
      <c r="G909">
        <f>IF(OR(F_Custom2_Q="(None)",F_Custom2_Q="",ISBLANK(F_Custom2_Q),F_Custom2_V="(All)",F_Custom2_V="",ISBLANK(F_Custom2_V)),1,IFERROR(IF(ISNUMBER(SEARCH("|"&amp;INDEX(INDIRECT(F_Custom2_resolved_column),908)&amp;"|",F_Custom2_wrapped)),1,0),0))</f>
        <v>1</v>
      </c>
      <c r="H909">
        <f>F909*G909*1</f>
        <v>1</v>
      </c>
      <c r="I909">
        <f>1</f>
        <v>1</v>
      </c>
      <c r="J9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908)&amp;"|",All_Questions_Q20_F_wrapped)),1,0),0))</f>
        <v>1</v>
      </c>
    </row>
    <row r="910">
      <c r="A910" t="n">
        <v>909</v>
      </c>
      <c r="B910" t="n">
        <v>28.9</v>
      </c>
      <c r="C910" t="n">
        <v>24.6</v>
      </c>
      <c r="D910" t="n">
        <v>22.9</v>
      </c>
      <c r="E910">
        <f>1</f>
        <v>1</v>
      </c>
      <c r="F910">
        <f>IF(OR(F_Custom1_Q="(None)",F_Custom1_Q="",ISBLANK(F_Custom1_Q),F_Custom1_V="(All)",F_Custom1_V="",ISBLANK(F_Custom1_V)),1,IFERROR(IF(ISNUMBER(SEARCH("|"&amp;INDEX(INDIRECT(F_Custom1_resolved_column),909)&amp;"|",F_Custom1_wrapped)),1,0),0))</f>
        <v>1</v>
      </c>
      <c r="G910">
        <f>IF(OR(F_Custom2_Q="(None)",F_Custom2_Q="",ISBLANK(F_Custom2_Q),F_Custom2_V="(All)",F_Custom2_V="",ISBLANK(F_Custom2_V)),1,IFERROR(IF(ISNUMBER(SEARCH("|"&amp;INDEX(INDIRECT(F_Custom2_resolved_column),909)&amp;"|",F_Custom2_wrapped)),1,0),0))</f>
        <v>1</v>
      </c>
      <c r="H910">
        <f>F910*G910*1</f>
        <v>1</v>
      </c>
      <c r="I910">
        <f>1</f>
        <v>1</v>
      </c>
      <c r="J9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909)&amp;"|",All_Questions_Q20_F_wrapped)),1,0),0))</f>
        <v>1</v>
      </c>
    </row>
    <row r="911">
      <c r="A911" t="n">
        <v>910</v>
      </c>
      <c r="B911" t="n">
        <v>28.9</v>
      </c>
      <c r="C911" t="n">
        <v>24.6</v>
      </c>
      <c r="D911" t="n">
        <v>22.9</v>
      </c>
      <c r="E911">
        <f>1</f>
        <v>1</v>
      </c>
      <c r="F911">
        <f>IF(OR(F_Custom1_Q="(None)",F_Custom1_Q="",ISBLANK(F_Custom1_Q),F_Custom1_V="(All)",F_Custom1_V="",ISBLANK(F_Custom1_V)),1,IFERROR(IF(ISNUMBER(SEARCH("|"&amp;INDEX(INDIRECT(F_Custom1_resolved_column),910)&amp;"|",F_Custom1_wrapped)),1,0),0))</f>
        <v>1</v>
      </c>
      <c r="G911">
        <f>IF(OR(F_Custom2_Q="(None)",F_Custom2_Q="",ISBLANK(F_Custom2_Q),F_Custom2_V="(All)",F_Custom2_V="",ISBLANK(F_Custom2_V)),1,IFERROR(IF(ISNUMBER(SEARCH("|"&amp;INDEX(INDIRECT(F_Custom2_resolved_column),910)&amp;"|",F_Custom2_wrapped)),1,0),0))</f>
        <v>1</v>
      </c>
      <c r="H911">
        <f>F911*G911*1</f>
        <v>1</v>
      </c>
      <c r="I911">
        <f>1</f>
        <v>1</v>
      </c>
      <c r="J9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910)&amp;"|",All_Questions_Q20_F_wrapped)),1,0),0))</f>
        <v>1</v>
      </c>
    </row>
    <row r="912">
      <c r="A912" t="n">
        <v>911</v>
      </c>
      <c r="B912" t="n">
        <v>28.9</v>
      </c>
      <c r="C912" t="n">
        <v>24.6</v>
      </c>
      <c r="D912" t="n">
        <v>22.9</v>
      </c>
      <c r="E912">
        <f>1</f>
        <v>1</v>
      </c>
      <c r="F912">
        <f>IF(OR(F_Custom1_Q="(None)",F_Custom1_Q="",ISBLANK(F_Custom1_Q),F_Custom1_V="(All)",F_Custom1_V="",ISBLANK(F_Custom1_V)),1,IFERROR(IF(ISNUMBER(SEARCH("|"&amp;INDEX(INDIRECT(F_Custom1_resolved_column),911)&amp;"|",F_Custom1_wrapped)),1,0),0))</f>
        <v>1</v>
      </c>
      <c r="G912">
        <f>IF(OR(F_Custom2_Q="(None)",F_Custom2_Q="",ISBLANK(F_Custom2_Q),F_Custom2_V="(All)",F_Custom2_V="",ISBLANK(F_Custom2_V)),1,IFERROR(IF(ISNUMBER(SEARCH("|"&amp;INDEX(INDIRECT(F_Custom2_resolved_column),911)&amp;"|",F_Custom2_wrapped)),1,0),0))</f>
        <v>1</v>
      </c>
      <c r="H912">
        <f>F912*G912*1</f>
        <v>1</v>
      </c>
      <c r="I912">
        <f>1</f>
        <v>1</v>
      </c>
      <c r="J9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911)&amp;"|",All_Questions_Q20_F_wrapped)),1,0),0))</f>
        <v>1</v>
      </c>
    </row>
    <row r="913">
      <c r="A913" t="n">
        <v>912</v>
      </c>
      <c r="B913" t="n">
        <v>28.9</v>
      </c>
      <c r="C913" t="n">
        <v>24.6</v>
      </c>
      <c r="D913" t="n">
        <v>22.9</v>
      </c>
      <c r="E913">
        <f>1</f>
        <v>1</v>
      </c>
      <c r="F913">
        <f>IF(OR(F_Custom1_Q="(None)",F_Custom1_Q="",ISBLANK(F_Custom1_Q),F_Custom1_V="(All)",F_Custom1_V="",ISBLANK(F_Custom1_V)),1,IFERROR(IF(ISNUMBER(SEARCH("|"&amp;INDEX(INDIRECT(F_Custom1_resolved_column),912)&amp;"|",F_Custom1_wrapped)),1,0),0))</f>
        <v>1</v>
      </c>
      <c r="G913">
        <f>IF(OR(F_Custom2_Q="(None)",F_Custom2_Q="",ISBLANK(F_Custom2_Q),F_Custom2_V="(All)",F_Custom2_V="",ISBLANK(F_Custom2_V)),1,IFERROR(IF(ISNUMBER(SEARCH("|"&amp;INDEX(INDIRECT(F_Custom2_resolved_column),912)&amp;"|",F_Custom2_wrapped)),1,0),0))</f>
        <v>1</v>
      </c>
      <c r="H913">
        <f>F913*G913*1</f>
        <v>1</v>
      </c>
      <c r="I913">
        <f>1</f>
        <v>1</v>
      </c>
      <c r="J9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912)&amp;"|",All_Questions_Q20_F_wrapped)),1,0),0))</f>
        <v>1</v>
      </c>
    </row>
    <row r="914">
      <c r="A914" t="n">
        <v>913</v>
      </c>
      <c r="B914" t="n">
        <v>28.9</v>
      </c>
      <c r="C914" t="n">
        <v>24.6</v>
      </c>
      <c r="D914" t="n">
        <v>22.9</v>
      </c>
      <c r="E914">
        <f>1</f>
        <v>1</v>
      </c>
      <c r="F914">
        <f>IF(OR(F_Custom1_Q="(None)",F_Custom1_Q="",ISBLANK(F_Custom1_Q),F_Custom1_V="(All)",F_Custom1_V="",ISBLANK(F_Custom1_V)),1,IFERROR(IF(ISNUMBER(SEARCH("|"&amp;INDEX(INDIRECT(F_Custom1_resolved_column),913)&amp;"|",F_Custom1_wrapped)),1,0),0))</f>
        <v>1</v>
      </c>
      <c r="G914">
        <f>IF(OR(F_Custom2_Q="(None)",F_Custom2_Q="",ISBLANK(F_Custom2_Q),F_Custom2_V="(All)",F_Custom2_V="",ISBLANK(F_Custom2_V)),1,IFERROR(IF(ISNUMBER(SEARCH("|"&amp;INDEX(INDIRECT(F_Custom2_resolved_column),913)&amp;"|",F_Custom2_wrapped)),1,0),0))</f>
        <v>1</v>
      </c>
      <c r="H914">
        <f>F914*G914*1</f>
        <v>1</v>
      </c>
      <c r="I914">
        <f>1</f>
        <v>1</v>
      </c>
      <c r="J9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913)&amp;"|",All_Questions_Q20_F_wrapped)),1,0),0))</f>
        <v>1</v>
      </c>
    </row>
    <row r="915">
      <c r="A915" t="n">
        <v>914</v>
      </c>
      <c r="B915" t="n">
        <v>28.9</v>
      </c>
      <c r="C915" t="n">
        <v>24.6</v>
      </c>
      <c r="D915" t="n">
        <v>22.9</v>
      </c>
      <c r="E915">
        <f>1</f>
        <v>1</v>
      </c>
      <c r="F915">
        <f>IF(OR(F_Custom1_Q="(None)",F_Custom1_Q="",ISBLANK(F_Custom1_Q),F_Custom1_V="(All)",F_Custom1_V="",ISBLANK(F_Custom1_V)),1,IFERROR(IF(ISNUMBER(SEARCH("|"&amp;INDEX(INDIRECT(F_Custom1_resolved_column),914)&amp;"|",F_Custom1_wrapped)),1,0),0))</f>
        <v>1</v>
      </c>
      <c r="G915">
        <f>IF(OR(F_Custom2_Q="(None)",F_Custom2_Q="",ISBLANK(F_Custom2_Q),F_Custom2_V="(All)",F_Custom2_V="",ISBLANK(F_Custom2_V)),1,IFERROR(IF(ISNUMBER(SEARCH("|"&amp;INDEX(INDIRECT(F_Custom2_resolved_column),914)&amp;"|",F_Custom2_wrapped)),1,0),0))</f>
        <v>1</v>
      </c>
      <c r="H915">
        <f>F915*G915*1</f>
        <v>1</v>
      </c>
      <c r="I915">
        <f>1</f>
        <v>1</v>
      </c>
      <c r="J9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914)&amp;"|",All_Questions_Q20_F_wrapped)),1,0),0))</f>
        <v>1</v>
      </c>
    </row>
    <row r="916">
      <c r="A916" t="n">
        <v>915</v>
      </c>
      <c r="B916" t="n">
        <v>28.9</v>
      </c>
      <c r="C916" t="n">
        <v>24.6</v>
      </c>
      <c r="D916" t="n">
        <v>22.9</v>
      </c>
      <c r="E916">
        <f>1</f>
        <v>1</v>
      </c>
      <c r="F916">
        <f>IF(OR(F_Custom1_Q="(None)",F_Custom1_Q="",ISBLANK(F_Custom1_Q),F_Custom1_V="(All)",F_Custom1_V="",ISBLANK(F_Custom1_V)),1,IFERROR(IF(ISNUMBER(SEARCH("|"&amp;INDEX(INDIRECT(F_Custom1_resolved_column),915)&amp;"|",F_Custom1_wrapped)),1,0),0))</f>
        <v>1</v>
      </c>
      <c r="G916">
        <f>IF(OR(F_Custom2_Q="(None)",F_Custom2_Q="",ISBLANK(F_Custom2_Q),F_Custom2_V="(All)",F_Custom2_V="",ISBLANK(F_Custom2_V)),1,IFERROR(IF(ISNUMBER(SEARCH("|"&amp;INDEX(INDIRECT(F_Custom2_resolved_column),915)&amp;"|",F_Custom2_wrapped)),1,0),0))</f>
        <v>1</v>
      </c>
      <c r="H916">
        <f>F916*G916*1</f>
        <v>1</v>
      </c>
      <c r="I916">
        <f>1</f>
        <v>1</v>
      </c>
      <c r="J9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915)&amp;"|",All_Questions_Q20_F_wrapped)),1,0),0))</f>
        <v>1</v>
      </c>
    </row>
    <row r="917">
      <c r="A917" t="n">
        <v>916</v>
      </c>
      <c r="B917" t="n">
        <v>28.9</v>
      </c>
      <c r="C917" t="n">
        <v>24.6</v>
      </c>
      <c r="D917" t="n">
        <v>22.9</v>
      </c>
      <c r="E917">
        <f>1</f>
        <v>1</v>
      </c>
      <c r="F917">
        <f>IF(OR(F_Custom1_Q="(None)",F_Custom1_Q="",ISBLANK(F_Custom1_Q),F_Custom1_V="(All)",F_Custom1_V="",ISBLANK(F_Custom1_V)),1,IFERROR(IF(ISNUMBER(SEARCH("|"&amp;INDEX(INDIRECT(F_Custom1_resolved_column),916)&amp;"|",F_Custom1_wrapped)),1,0),0))</f>
        <v>1</v>
      </c>
      <c r="G917">
        <f>IF(OR(F_Custom2_Q="(None)",F_Custom2_Q="",ISBLANK(F_Custom2_Q),F_Custom2_V="(All)",F_Custom2_V="",ISBLANK(F_Custom2_V)),1,IFERROR(IF(ISNUMBER(SEARCH("|"&amp;INDEX(INDIRECT(F_Custom2_resolved_column),916)&amp;"|",F_Custom2_wrapped)),1,0),0))</f>
        <v>1</v>
      </c>
      <c r="H917">
        <f>F917*G917*1</f>
        <v>1</v>
      </c>
      <c r="I917">
        <f>1</f>
        <v>1</v>
      </c>
      <c r="J9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916)&amp;"|",All_Questions_Q20_F_wrapped)),1,0),0))</f>
        <v>1</v>
      </c>
    </row>
    <row r="918">
      <c r="A918" t="n">
        <v>917</v>
      </c>
      <c r="B918" t="n">
        <v>28.9</v>
      </c>
      <c r="C918" t="n">
        <v>24.6</v>
      </c>
      <c r="D918" t="n">
        <v>22.9</v>
      </c>
      <c r="E918">
        <f>1</f>
        <v>1</v>
      </c>
      <c r="F918">
        <f>IF(OR(F_Custom1_Q="(None)",F_Custom1_Q="",ISBLANK(F_Custom1_Q),F_Custom1_V="(All)",F_Custom1_V="",ISBLANK(F_Custom1_V)),1,IFERROR(IF(ISNUMBER(SEARCH("|"&amp;INDEX(INDIRECT(F_Custom1_resolved_column),917)&amp;"|",F_Custom1_wrapped)),1,0),0))</f>
        <v>1</v>
      </c>
      <c r="G918">
        <f>IF(OR(F_Custom2_Q="(None)",F_Custom2_Q="",ISBLANK(F_Custom2_Q),F_Custom2_V="(All)",F_Custom2_V="",ISBLANK(F_Custom2_V)),1,IFERROR(IF(ISNUMBER(SEARCH("|"&amp;INDEX(INDIRECT(F_Custom2_resolved_column),917)&amp;"|",F_Custom2_wrapped)),1,0),0))</f>
        <v>1</v>
      </c>
      <c r="H918">
        <f>F918*G918*1</f>
        <v>1</v>
      </c>
      <c r="I918">
        <f>1</f>
        <v>1</v>
      </c>
      <c r="J9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917)&amp;"|",All_Questions_Q20_F_wrapped)),1,0),0))</f>
        <v>1</v>
      </c>
    </row>
    <row r="919">
      <c r="A919" t="n">
        <v>918</v>
      </c>
      <c r="B919" t="n">
        <v>28.9</v>
      </c>
      <c r="C919" t="n">
        <v>24.6</v>
      </c>
      <c r="D919" t="n">
        <v>22.9</v>
      </c>
      <c r="E919">
        <f>1</f>
        <v>1</v>
      </c>
      <c r="F919">
        <f>IF(OR(F_Custom1_Q="(None)",F_Custom1_Q="",ISBLANK(F_Custom1_Q),F_Custom1_V="(All)",F_Custom1_V="",ISBLANK(F_Custom1_V)),1,IFERROR(IF(ISNUMBER(SEARCH("|"&amp;INDEX(INDIRECT(F_Custom1_resolved_column),918)&amp;"|",F_Custom1_wrapped)),1,0),0))</f>
        <v>1</v>
      </c>
      <c r="G919">
        <f>IF(OR(F_Custom2_Q="(None)",F_Custom2_Q="",ISBLANK(F_Custom2_Q),F_Custom2_V="(All)",F_Custom2_V="",ISBLANK(F_Custom2_V)),1,IFERROR(IF(ISNUMBER(SEARCH("|"&amp;INDEX(INDIRECT(F_Custom2_resolved_column),918)&amp;"|",F_Custom2_wrapped)),1,0),0))</f>
        <v>1</v>
      </c>
      <c r="H919">
        <f>F919*G919*1</f>
        <v>1</v>
      </c>
      <c r="I919">
        <f>1</f>
        <v>1</v>
      </c>
      <c r="J9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918)&amp;"|",All_Questions_Q20_F_wrapped)),1,0),0))</f>
        <v>1</v>
      </c>
    </row>
    <row r="920">
      <c r="A920" t="n">
        <v>919</v>
      </c>
      <c r="B920" t="n">
        <v>28.9</v>
      </c>
      <c r="C920" t="n">
        <v>24.6</v>
      </c>
      <c r="D920" t="n">
        <v>22.9</v>
      </c>
      <c r="E920">
        <f>1</f>
        <v>1</v>
      </c>
      <c r="F920">
        <f>IF(OR(F_Custom1_Q="(None)",F_Custom1_Q="",ISBLANK(F_Custom1_Q),F_Custom1_V="(All)",F_Custom1_V="",ISBLANK(F_Custom1_V)),1,IFERROR(IF(ISNUMBER(SEARCH("|"&amp;INDEX(INDIRECT(F_Custom1_resolved_column),919)&amp;"|",F_Custom1_wrapped)),1,0),0))</f>
        <v>1</v>
      </c>
      <c r="G920">
        <f>IF(OR(F_Custom2_Q="(None)",F_Custom2_Q="",ISBLANK(F_Custom2_Q),F_Custom2_V="(All)",F_Custom2_V="",ISBLANK(F_Custom2_V)),1,IFERROR(IF(ISNUMBER(SEARCH("|"&amp;INDEX(INDIRECT(F_Custom2_resolved_column),919)&amp;"|",F_Custom2_wrapped)),1,0),0))</f>
        <v>1</v>
      </c>
      <c r="H920">
        <f>F920*G920*1</f>
        <v>1</v>
      </c>
      <c r="I920">
        <f>1</f>
        <v>1</v>
      </c>
      <c r="J9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919)&amp;"|",All_Questions_Q20_F_wrapped)),1,0),0))</f>
        <v>1</v>
      </c>
    </row>
    <row r="921">
      <c r="A921" t="n">
        <v>920</v>
      </c>
      <c r="B921" t="n">
        <v>28.9</v>
      </c>
      <c r="C921" t="n">
        <v>24.6</v>
      </c>
      <c r="D921" t="n">
        <v>22.9</v>
      </c>
      <c r="E921">
        <f>1</f>
        <v>1</v>
      </c>
      <c r="F921">
        <f>IF(OR(F_Custom1_Q="(None)",F_Custom1_Q="",ISBLANK(F_Custom1_Q),F_Custom1_V="(All)",F_Custom1_V="",ISBLANK(F_Custom1_V)),1,IFERROR(IF(ISNUMBER(SEARCH("|"&amp;INDEX(INDIRECT(F_Custom1_resolved_column),920)&amp;"|",F_Custom1_wrapped)),1,0),0))</f>
        <v>1</v>
      </c>
      <c r="G921">
        <f>IF(OR(F_Custom2_Q="(None)",F_Custom2_Q="",ISBLANK(F_Custom2_Q),F_Custom2_V="(All)",F_Custom2_V="",ISBLANK(F_Custom2_V)),1,IFERROR(IF(ISNUMBER(SEARCH("|"&amp;INDEX(INDIRECT(F_Custom2_resolved_column),920)&amp;"|",F_Custom2_wrapped)),1,0),0))</f>
        <v>1</v>
      </c>
      <c r="H921">
        <f>F921*G921*1</f>
        <v>1</v>
      </c>
      <c r="I921">
        <f>1</f>
        <v>1</v>
      </c>
      <c r="J9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920)&amp;"|",All_Questions_Q20_F_wrapped)),1,0),0))</f>
        <v>1</v>
      </c>
    </row>
    <row r="922">
      <c r="A922" t="n">
        <v>921</v>
      </c>
      <c r="B922" t="n">
        <v>28.9</v>
      </c>
      <c r="C922" t="n">
        <v>24.6</v>
      </c>
      <c r="D922" t="n">
        <v>22.9</v>
      </c>
      <c r="E922">
        <f>1</f>
        <v>1</v>
      </c>
      <c r="F922">
        <f>IF(OR(F_Custom1_Q="(None)",F_Custom1_Q="",ISBLANK(F_Custom1_Q),F_Custom1_V="(All)",F_Custom1_V="",ISBLANK(F_Custom1_V)),1,IFERROR(IF(ISNUMBER(SEARCH("|"&amp;INDEX(INDIRECT(F_Custom1_resolved_column),921)&amp;"|",F_Custom1_wrapped)),1,0),0))</f>
        <v>1</v>
      </c>
      <c r="G922">
        <f>IF(OR(F_Custom2_Q="(None)",F_Custom2_Q="",ISBLANK(F_Custom2_Q),F_Custom2_V="(All)",F_Custom2_V="",ISBLANK(F_Custom2_V)),1,IFERROR(IF(ISNUMBER(SEARCH("|"&amp;INDEX(INDIRECT(F_Custom2_resolved_column),921)&amp;"|",F_Custom2_wrapped)),1,0),0))</f>
        <v>1</v>
      </c>
      <c r="H922">
        <f>F922*G922*1</f>
        <v>1</v>
      </c>
      <c r="I922">
        <f>1</f>
        <v>1</v>
      </c>
      <c r="J9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921)&amp;"|",All_Questions_Q20_F_wrapped)),1,0),0))</f>
        <v>1</v>
      </c>
    </row>
    <row r="923">
      <c r="A923" t="n">
        <v>922</v>
      </c>
      <c r="B923" t="n">
        <v>28.9</v>
      </c>
      <c r="C923" t="n">
        <v>24.6</v>
      </c>
      <c r="D923" t="n">
        <v>22.9</v>
      </c>
      <c r="E923">
        <f>1</f>
        <v>1</v>
      </c>
      <c r="F923">
        <f>IF(OR(F_Custom1_Q="(None)",F_Custom1_Q="",ISBLANK(F_Custom1_Q),F_Custom1_V="(All)",F_Custom1_V="",ISBLANK(F_Custom1_V)),1,IFERROR(IF(ISNUMBER(SEARCH("|"&amp;INDEX(INDIRECT(F_Custom1_resolved_column),922)&amp;"|",F_Custom1_wrapped)),1,0),0))</f>
        <v>1</v>
      </c>
      <c r="G923">
        <f>IF(OR(F_Custom2_Q="(None)",F_Custom2_Q="",ISBLANK(F_Custom2_Q),F_Custom2_V="(All)",F_Custom2_V="",ISBLANK(F_Custom2_V)),1,IFERROR(IF(ISNUMBER(SEARCH("|"&amp;INDEX(INDIRECT(F_Custom2_resolved_column),922)&amp;"|",F_Custom2_wrapped)),1,0),0))</f>
        <v>1</v>
      </c>
      <c r="H923">
        <f>F923*G923*1</f>
        <v>1</v>
      </c>
      <c r="I923">
        <f>1</f>
        <v>1</v>
      </c>
      <c r="J9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922)&amp;"|",All_Questions_Q20_F_wrapped)),1,0),0))</f>
        <v>1</v>
      </c>
    </row>
    <row r="924">
      <c r="A924" t="n">
        <v>923</v>
      </c>
      <c r="B924" t="n">
        <v>28.9</v>
      </c>
      <c r="C924" t="n">
        <v>24.6</v>
      </c>
      <c r="D924" t="n">
        <v>22.9</v>
      </c>
      <c r="E924">
        <f>1</f>
        <v>1</v>
      </c>
      <c r="F924">
        <f>IF(OR(F_Custom1_Q="(None)",F_Custom1_Q="",ISBLANK(F_Custom1_Q),F_Custom1_V="(All)",F_Custom1_V="",ISBLANK(F_Custom1_V)),1,IFERROR(IF(ISNUMBER(SEARCH("|"&amp;INDEX(INDIRECT(F_Custom1_resolved_column),923)&amp;"|",F_Custom1_wrapped)),1,0),0))</f>
        <v>1</v>
      </c>
      <c r="G924">
        <f>IF(OR(F_Custom2_Q="(None)",F_Custom2_Q="",ISBLANK(F_Custom2_Q),F_Custom2_V="(All)",F_Custom2_V="",ISBLANK(F_Custom2_V)),1,IFERROR(IF(ISNUMBER(SEARCH("|"&amp;INDEX(INDIRECT(F_Custom2_resolved_column),923)&amp;"|",F_Custom2_wrapped)),1,0),0))</f>
        <v>1</v>
      </c>
      <c r="H924">
        <f>F924*G924*1</f>
        <v>1</v>
      </c>
      <c r="I924">
        <f>1</f>
        <v>1</v>
      </c>
      <c r="J9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923)&amp;"|",All_Questions_Q20_F_wrapped)),1,0),0))</f>
        <v>1</v>
      </c>
    </row>
    <row r="925">
      <c r="A925" t="n">
        <v>924</v>
      </c>
      <c r="B925" t="n">
        <v>28.9</v>
      </c>
      <c r="C925" t="n">
        <v>24.6</v>
      </c>
      <c r="D925" t="n">
        <v>22.9</v>
      </c>
      <c r="E925">
        <f>1</f>
        <v>1</v>
      </c>
      <c r="F925">
        <f>IF(OR(F_Custom1_Q="(None)",F_Custom1_Q="",ISBLANK(F_Custom1_Q),F_Custom1_V="(All)",F_Custom1_V="",ISBLANK(F_Custom1_V)),1,IFERROR(IF(ISNUMBER(SEARCH("|"&amp;INDEX(INDIRECT(F_Custom1_resolved_column),924)&amp;"|",F_Custom1_wrapped)),1,0),0))</f>
        <v>1</v>
      </c>
      <c r="G925">
        <f>IF(OR(F_Custom2_Q="(None)",F_Custom2_Q="",ISBLANK(F_Custom2_Q),F_Custom2_V="(All)",F_Custom2_V="",ISBLANK(F_Custom2_V)),1,IFERROR(IF(ISNUMBER(SEARCH("|"&amp;INDEX(INDIRECT(F_Custom2_resolved_column),924)&amp;"|",F_Custom2_wrapped)),1,0),0))</f>
        <v>1</v>
      </c>
      <c r="H925">
        <f>F925*G925*1</f>
        <v>1</v>
      </c>
      <c r="I925">
        <f>1</f>
        <v>1</v>
      </c>
      <c r="J9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924)&amp;"|",All_Questions_Q20_F_wrapped)),1,0),0))</f>
        <v>1</v>
      </c>
    </row>
    <row r="926">
      <c r="A926" t="n">
        <v>925</v>
      </c>
      <c r="B926" t="n">
        <v>28.9</v>
      </c>
      <c r="C926" t="n">
        <v>24.6</v>
      </c>
      <c r="D926" t="n">
        <v>22.9</v>
      </c>
      <c r="E926">
        <f>1</f>
        <v>1</v>
      </c>
      <c r="F926">
        <f>IF(OR(F_Custom1_Q="(None)",F_Custom1_Q="",ISBLANK(F_Custom1_Q),F_Custom1_V="(All)",F_Custom1_V="",ISBLANK(F_Custom1_V)),1,IFERROR(IF(ISNUMBER(SEARCH("|"&amp;INDEX(INDIRECT(F_Custom1_resolved_column),925)&amp;"|",F_Custom1_wrapped)),1,0),0))</f>
        <v>1</v>
      </c>
      <c r="G926">
        <f>IF(OR(F_Custom2_Q="(None)",F_Custom2_Q="",ISBLANK(F_Custom2_Q),F_Custom2_V="(All)",F_Custom2_V="",ISBLANK(F_Custom2_V)),1,IFERROR(IF(ISNUMBER(SEARCH("|"&amp;INDEX(INDIRECT(F_Custom2_resolved_column),925)&amp;"|",F_Custom2_wrapped)),1,0),0))</f>
        <v>1</v>
      </c>
      <c r="H926">
        <f>F926*G926*1</f>
        <v>1</v>
      </c>
      <c r="I926">
        <f>1</f>
        <v>1</v>
      </c>
      <c r="J9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925)&amp;"|",All_Questions_Q20_F_wrapped)),1,0),0))</f>
        <v>1</v>
      </c>
    </row>
    <row r="927">
      <c r="A927" t="n">
        <v>926</v>
      </c>
      <c r="B927" t="n">
        <v>28.9</v>
      </c>
      <c r="C927" t="n">
        <v>24.6</v>
      </c>
      <c r="D927" t="n">
        <v>22.9</v>
      </c>
      <c r="E927">
        <f>1</f>
        <v>1</v>
      </c>
      <c r="F927">
        <f>IF(OR(F_Custom1_Q="(None)",F_Custom1_Q="",ISBLANK(F_Custom1_Q),F_Custom1_V="(All)",F_Custom1_V="",ISBLANK(F_Custom1_V)),1,IFERROR(IF(ISNUMBER(SEARCH("|"&amp;INDEX(INDIRECT(F_Custom1_resolved_column),926)&amp;"|",F_Custom1_wrapped)),1,0),0))</f>
        <v>1</v>
      </c>
      <c r="G927">
        <f>IF(OR(F_Custom2_Q="(None)",F_Custom2_Q="",ISBLANK(F_Custom2_Q),F_Custom2_V="(All)",F_Custom2_V="",ISBLANK(F_Custom2_V)),1,IFERROR(IF(ISNUMBER(SEARCH("|"&amp;INDEX(INDIRECT(F_Custom2_resolved_column),926)&amp;"|",F_Custom2_wrapped)),1,0),0))</f>
        <v>1</v>
      </c>
      <c r="H927">
        <f>F927*G927*1</f>
        <v>1</v>
      </c>
      <c r="I927">
        <f>1</f>
        <v>1</v>
      </c>
      <c r="J9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926)&amp;"|",All_Questions_Q20_F_wrapped)),1,0),0))</f>
        <v>1</v>
      </c>
    </row>
    <row r="928">
      <c r="A928" t="n">
        <v>927</v>
      </c>
      <c r="B928" t="n">
        <v>28.9</v>
      </c>
      <c r="C928" t="n">
        <v>24.6</v>
      </c>
      <c r="D928" t="n">
        <v>22.9</v>
      </c>
      <c r="E928">
        <f>1</f>
        <v>1</v>
      </c>
      <c r="F928">
        <f>IF(OR(F_Custom1_Q="(None)",F_Custom1_Q="",ISBLANK(F_Custom1_Q),F_Custom1_V="(All)",F_Custom1_V="",ISBLANK(F_Custom1_V)),1,IFERROR(IF(ISNUMBER(SEARCH("|"&amp;INDEX(INDIRECT(F_Custom1_resolved_column),927)&amp;"|",F_Custom1_wrapped)),1,0),0))</f>
        <v>1</v>
      </c>
      <c r="G928">
        <f>IF(OR(F_Custom2_Q="(None)",F_Custom2_Q="",ISBLANK(F_Custom2_Q),F_Custom2_V="(All)",F_Custom2_V="",ISBLANK(F_Custom2_V)),1,IFERROR(IF(ISNUMBER(SEARCH("|"&amp;INDEX(INDIRECT(F_Custom2_resolved_column),927)&amp;"|",F_Custom2_wrapped)),1,0),0))</f>
        <v>1</v>
      </c>
      <c r="H928">
        <f>F928*G928*1</f>
        <v>1</v>
      </c>
      <c r="I928">
        <f>1</f>
        <v>1</v>
      </c>
      <c r="J9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927)&amp;"|",All_Questions_Q20_F_wrapped)),1,0),0))</f>
        <v>1</v>
      </c>
    </row>
    <row r="929">
      <c r="A929" t="n">
        <v>928</v>
      </c>
      <c r="B929" t="n">
        <v>28.9</v>
      </c>
      <c r="C929" t="n">
        <v>24.6</v>
      </c>
      <c r="D929" t="n">
        <v>22.9</v>
      </c>
      <c r="E929">
        <f>1</f>
        <v>1</v>
      </c>
      <c r="F929">
        <f>IF(OR(F_Custom1_Q="(None)",F_Custom1_Q="",ISBLANK(F_Custom1_Q),F_Custom1_V="(All)",F_Custom1_V="",ISBLANK(F_Custom1_V)),1,IFERROR(IF(ISNUMBER(SEARCH("|"&amp;INDEX(INDIRECT(F_Custom1_resolved_column),928)&amp;"|",F_Custom1_wrapped)),1,0),0))</f>
        <v>1</v>
      </c>
      <c r="G929">
        <f>IF(OR(F_Custom2_Q="(None)",F_Custom2_Q="",ISBLANK(F_Custom2_Q),F_Custom2_V="(All)",F_Custom2_V="",ISBLANK(F_Custom2_V)),1,IFERROR(IF(ISNUMBER(SEARCH("|"&amp;INDEX(INDIRECT(F_Custom2_resolved_column),928)&amp;"|",F_Custom2_wrapped)),1,0),0))</f>
        <v>1</v>
      </c>
      <c r="H929">
        <f>F929*G929*1</f>
        <v>1</v>
      </c>
      <c r="I929">
        <f>1</f>
        <v>1</v>
      </c>
      <c r="J9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928)&amp;"|",All_Questions_Q20_F_wrapped)),1,0),0))</f>
        <v>1</v>
      </c>
    </row>
    <row r="930">
      <c r="A930" t="n">
        <v>929</v>
      </c>
      <c r="B930" t="n">
        <v>28.9</v>
      </c>
      <c r="C930" t="n">
        <v>24.6</v>
      </c>
      <c r="D930" t="n">
        <v>22.9</v>
      </c>
      <c r="E930">
        <f>1</f>
        <v>1</v>
      </c>
      <c r="F930">
        <f>IF(OR(F_Custom1_Q="(None)",F_Custom1_Q="",ISBLANK(F_Custom1_Q),F_Custom1_V="(All)",F_Custom1_V="",ISBLANK(F_Custom1_V)),1,IFERROR(IF(ISNUMBER(SEARCH("|"&amp;INDEX(INDIRECT(F_Custom1_resolved_column),929)&amp;"|",F_Custom1_wrapped)),1,0),0))</f>
        <v>1</v>
      </c>
      <c r="G930">
        <f>IF(OR(F_Custom2_Q="(None)",F_Custom2_Q="",ISBLANK(F_Custom2_Q),F_Custom2_V="(All)",F_Custom2_V="",ISBLANK(F_Custom2_V)),1,IFERROR(IF(ISNUMBER(SEARCH("|"&amp;INDEX(INDIRECT(F_Custom2_resolved_column),929)&amp;"|",F_Custom2_wrapped)),1,0),0))</f>
        <v>1</v>
      </c>
      <c r="H930">
        <f>F930*G930*1</f>
        <v>1</v>
      </c>
      <c r="I930">
        <f>1</f>
        <v>1</v>
      </c>
      <c r="J9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929)&amp;"|",All_Questions_Q20_F_wrapped)),1,0),0))</f>
        <v>1</v>
      </c>
    </row>
    <row r="931">
      <c r="A931" t="n">
        <v>930</v>
      </c>
      <c r="B931" t="n">
        <v>28.9</v>
      </c>
      <c r="C931" t="n">
        <v>24.6</v>
      </c>
      <c r="D931" t="n">
        <v>22.9</v>
      </c>
      <c r="E931">
        <f>1</f>
        <v>1</v>
      </c>
      <c r="F931">
        <f>IF(OR(F_Custom1_Q="(None)",F_Custom1_Q="",ISBLANK(F_Custom1_Q),F_Custom1_V="(All)",F_Custom1_V="",ISBLANK(F_Custom1_V)),1,IFERROR(IF(ISNUMBER(SEARCH("|"&amp;INDEX(INDIRECT(F_Custom1_resolved_column),930)&amp;"|",F_Custom1_wrapped)),1,0),0))</f>
        <v>1</v>
      </c>
      <c r="G931">
        <f>IF(OR(F_Custom2_Q="(None)",F_Custom2_Q="",ISBLANK(F_Custom2_Q),F_Custom2_V="(All)",F_Custom2_V="",ISBLANK(F_Custom2_V)),1,IFERROR(IF(ISNUMBER(SEARCH("|"&amp;INDEX(INDIRECT(F_Custom2_resolved_column),930)&amp;"|",F_Custom2_wrapped)),1,0),0))</f>
        <v>1</v>
      </c>
      <c r="H931">
        <f>F931*G931*1</f>
        <v>1</v>
      </c>
      <c r="I931">
        <f>1</f>
        <v>1</v>
      </c>
      <c r="J9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930)&amp;"|",All_Questions_Q20_F_wrapped)),1,0),0))</f>
        <v>1</v>
      </c>
    </row>
    <row r="932">
      <c r="A932" t="n">
        <v>931</v>
      </c>
      <c r="B932" t="n">
        <v>28.9</v>
      </c>
      <c r="C932" t="n">
        <v>24.6</v>
      </c>
      <c r="D932" t="n">
        <v>22.9</v>
      </c>
      <c r="E932">
        <f>1</f>
        <v>1</v>
      </c>
      <c r="F932">
        <f>IF(OR(F_Custom1_Q="(None)",F_Custom1_Q="",ISBLANK(F_Custom1_Q),F_Custom1_V="(All)",F_Custom1_V="",ISBLANK(F_Custom1_V)),1,IFERROR(IF(ISNUMBER(SEARCH("|"&amp;INDEX(INDIRECT(F_Custom1_resolved_column),931)&amp;"|",F_Custom1_wrapped)),1,0),0))</f>
        <v>1</v>
      </c>
      <c r="G932">
        <f>IF(OR(F_Custom2_Q="(None)",F_Custom2_Q="",ISBLANK(F_Custom2_Q),F_Custom2_V="(All)",F_Custom2_V="",ISBLANK(F_Custom2_V)),1,IFERROR(IF(ISNUMBER(SEARCH("|"&amp;INDEX(INDIRECT(F_Custom2_resolved_column),931)&amp;"|",F_Custom2_wrapped)),1,0),0))</f>
        <v>1</v>
      </c>
      <c r="H932">
        <f>F932*G932*1</f>
        <v>1</v>
      </c>
      <c r="I932">
        <f>1</f>
        <v>1</v>
      </c>
      <c r="J9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931)&amp;"|",All_Questions_Q20_F_wrapped)),1,0),0))</f>
        <v>1</v>
      </c>
    </row>
    <row r="933">
      <c r="A933" t="n">
        <v>932</v>
      </c>
      <c r="B933" t="n">
        <v>28.9</v>
      </c>
      <c r="C933" t="n">
        <v>24.6</v>
      </c>
      <c r="D933" t="n">
        <v>22.9</v>
      </c>
      <c r="E933">
        <f>1</f>
        <v>1</v>
      </c>
      <c r="F933">
        <f>IF(OR(F_Custom1_Q="(None)",F_Custom1_Q="",ISBLANK(F_Custom1_Q),F_Custom1_V="(All)",F_Custom1_V="",ISBLANK(F_Custom1_V)),1,IFERROR(IF(ISNUMBER(SEARCH("|"&amp;INDEX(INDIRECT(F_Custom1_resolved_column),932)&amp;"|",F_Custom1_wrapped)),1,0),0))</f>
        <v>1</v>
      </c>
      <c r="G933">
        <f>IF(OR(F_Custom2_Q="(None)",F_Custom2_Q="",ISBLANK(F_Custom2_Q),F_Custom2_V="(All)",F_Custom2_V="",ISBLANK(F_Custom2_V)),1,IFERROR(IF(ISNUMBER(SEARCH("|"&amp;INDEX(INDIRECT(F_Custom2_resolved_column),932)&amp;"|",F_Custom2_wrapped)),1,0),0))</f>
        <v>1</v>
      </c>
      <c r="H933">
        <f>F933*G933*1</f>
        <v>1</v>
      </c>
      <c r="I933">
        <f>1</f>
        <v>1</v>
      </c>
      <c r="J9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932)&amp;"|",All_Questions_Q20_F_wrapped)),1,0),0))</f>
        <v>1</v>
      </c>
    </row>
    <row r="934">
      <c r="A934" t="n">
        <v>933</v>
      </c>
      <c r="B934" t="n">
        <v>28.9</v>
      </c>
      <c r="C934" t="n">
        <v>24.6</v>
      </c>
      <c r="D934" t="n">
        <v>22.9</v>
      </c>
      <c r="E934">
        <f>1</f>
        <v>1</v>
      </c>
      <c r="F934">
        <f>IF(OR(F_Custom1_Q="(None)",F_Custom1_Q="",ISBLANK(F_Custom1_Q),F_Custom1_V="(All)",F_Custom1_V="",ISBLANK(F_Custom1_V)),1,IFERROR(IF(ISNUMBER(SEARCH("|"&amp;INDEX(INDIRECT(F_Custom1_resolved_column),933)&amp;"|",F_Custom1_wrapped)),1,0),0))</f>
        <v>1</v>
      </c>
      <c r="G934">
        <f>IF(OR(F_Custom2_Q="(None)",F_Custom2_Q="",ISBLANK(F_Custom2_Q),F_Custom2_V="(All)",F_Custom2_V="",ISBLANK(F_Custom2_V)),1,IFERROR(IF(ISNUMBER(SEARCH("|"&amp;INDEX(INDIRECT(F_Custom2_resolved_column),933)&amp;"|",F_Custom2_wrapped)),1,0),0))</f>
        <v>1</v>
      </c>
      <c r="H934">
        <f>F934*G934*1</f>
        <v>1</v>
      </c>
      <c r="I934">
        <f>1</f>
        <v>1</v>
      </c>
      <c r="J9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933)&amp;"|",All_Questions_Q20_F_wrapped)),1,0),0))</f>
        <v>1</v>
      </c>
    </row>
    <row r="935">
      <c r="A935" t="n">
        <v>934</v>
      </c>
      <c r="B935" t="n">
        <v>28.9</v>
      </c>
      <c r="C935" t="n">
        <v>24.6</v>
      </c>
      <c r="D935" t="n">
        <v>22.9</v>
      </c>
      <c r="E935">
        <f>1</f>
        <v>1</v>
      </c>
      <c r="F935">
        <f>IF(OR(F_Custom1_Q="(None)",F_Custom1_Q="",ISBLANK(F_Custom1_Q),F_Custom1_V="(All)",F_Custom1_V="",ISBLANK(F_Custom1_V)),1,IFERROR(IF(ISNUMBER(SEARCH("|"&amp;INDEX(INDIRECT(F_Custom1_resolved_column),934)&amp;"|",F_Custom1_wrapped)),1,0),0))</f>
        <v>1</v>
      </c>
      <c r="G935">
        <f>IF(OR(F_Custom2_Q="(None)",F_Custom2_Q="",ISBLANK(F_Custom2_Q),F_Custom2_V="(All)",F_Custom2_V="",ISBLANK(F_Custom2_V)),1,IFERROR(IF(ISNUMBER(SEARCH("|"&amp;INDEX(INDIRECT(F_Custom2_resolved_column),934)&amp;"|",F_Custom2_wrapped)),1,0),0))</f>
        <v>1</v>
      </c>
      <c r="H935">
        <f>F935*G935*1</f>
        <v>1</v>
      </c>
      <c r="I935">
        <f>1</f>
        <v>1</v>
      </c>
      <c r="J9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934)&amp;"|",All_Questions_Q20_F_wrapped)),1,0),0))</f>
        <v>1</v>
      </c>
    </row>
    <row r="936">
      <c r="A936" t="n">
        <v>935</v>
      </c>
      <c r="B936" t="n">
        <v>28.9</v>
      </c>
      <c r="C936" t="n">
        <v>24.6</v>
      </c>
      <c r="D936" t="n">
        <v>22.9</v>
      </c>
      <c r="E936">
        <f>1</f>
        <v>1</v>
      </c>
      <c r="F936">
        <f>IF(OR(F_Custom1_Q="(None)",F_Custom1_Q="",ISBLANK(F_Custom1_Q),F_Custom1_V="(All)",F_Custom1_V="",ISBLANK(F_Custom1_V)),1,IFERROR(IF(ISNUMBER(SEARCH("|"&amp;INDEX(INDIRECT(F_Custom1_resolved_column),935)&amp;"|",F_Custom1_wrapped)),1,0),0))</f>
        <v>1</v>
      </c>
      <c r="G936">
        <f>IF(OR(F_Custom2_Q="(None)",F_Custom2_Q="",ISBLANK(F_Custom2_Q),F_Custom2_V="(All)",F_Custom2_V="",ISBLANK(F_Custom2_V)),1,IFERROR(IF(ISNUMBER(SEARCH("|"&amp;INDEX(INDIRECT(F_Custom2_resolved_column),935)&amp;"|",F_Custom2_wrapped)),1,0),0))</f>
        <v>1</v>
      </c>
      <c r="H936">
        <f>F936*G936*1</f>
        <v>1</v>
      </c>
      <c r="I936">
        <f>1</f>
        <v>1</v>
      </c>
      <c r="J9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935)&amp;"|",All_Questions_Q20_F_wrapped)),1,0),0))</f>
        <v>1</v>
      </c>
    </row>
    <row r="937">
      <c r="A937" t="n">
        <v>936</v>
      </c>
      <c r="B937" t="n">
        <v>28.9</v>
      </c>
      <c r="C937" t="n">
        <v>24.6</v>
      </c>
      <c r="D937" t="n">
        <v>22.9</v>
      </c>
      <c r="E937">
        <f>1</f>
        <v>1</v>
      </c>
      <c r="F937">
        <f>IF(OR(F_Custom1_Q="(None)",F_Custom1_Q="",ISBLANK(F_Custom1_Q),F_Custom1_V="(All)",F_Custom1_V="",ISBLANK(F_Custom1_V)),1,IFERROR(IF(ISNUMBER(SEARCH("|"&amp;INDEX(INDIRECT(F_Custom1_resolved_column),936)&amp;"|",F_Custom1_wrapped)),1,0),0))</f>
        <v>1</v>
      </c>
      <c r="G937">
        <f>IF(OR(F_Custom2_Q="(None)",F_Custom2_Q="",ISBLANK(F_Custom2_Q),F_Custom2_V="(All)",F_Custom2_V="",ISBLANK(F_Custom2_V)),1,IFERROR(IF(ISNUMBER(SEARCH("|"&amp;INDEX(INDIRECT(F_Custom2_resolved_column),936)&amp;"|",F_Custom2_wrapped)),1,0),0))</f>
        <v>1</v>
      </c>
      <c r="H937">
        <f>F937*G937*1</f>
        <v>1</v>
      </c>
      <c r="I937">
        <f>1</f>
        <v>1</v>
      </c>
      <c r="J9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936)&amp;"|",All_Questions_Q20_F_wrapped)),1,0),0))</f>
        <v>1</v>
      </c>
    </row>
    <row r="938">
      <c r="A938" t="n">
        <v>937</v>
      </c>
      <c r="B938" t="n">
        <v>28.9</v>
      </c>
      <c r="C938" t="n">
        <v>24.6</v>
      </c>
      <c r="D938" t="n">
        <v>22.9</v>
      </c>
      <c r="E938">
        <f>1</f>
        <v>1</v>
      </c>
      <c r="F938">
        <f>IF(OR(F_Custom1_Q="(None)",F_Custom1_Q="",ISBLANK(F_Custom1_Q),F_Custom1_V="(All)",F_Custom1_V="",ISBLANK(F_Custom1_V)),1,IFERROR(IF(ISNUMBER(SEARCH("|"&amp;INDEX(INDIRECT(F_Custom1_resolved_column),937)&amp;"|",F_Custom1_wrapped)),1,0),0))</f>
        <v>1</v>
      </c>
      <c r="G938">
        <f>IF(OR(F_Custom2_Q="(None)",F_Custom2_Q="",ISBLANK(F_Custom2_Q),F_Custom2_V="(All)",F_Custom2_V="",ISBLANK(F_Custom2_V)),1,IFERROR(IF(ISNUMBER(SEARCH("|"&amp;INDEX(INDIRECT(F_Custom2_resolved_column),937)&amp;"|",F_Custom2_wrapped)),1,0),0))</f>
        <v>1</v>
      </c>
      <c r="H938">
        <f>F938*G938*1</f>
        <v>1</v>
      </c>
      <c r="I938">
        <f>1</f>
        <v>1</v>
      </c>
      <c r="J9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937)&amp;"|",All_Questions_Q20_F_wrapped)),1,0),0))</f>
        <v>1</v>
      </c>
    </row>
    <row r="939">
      <c r="A939" t="n">
        <v>938</v>
      </c>
      <c r="B939" t="n">
        <v>28.9</v>
      </c>
      <c r="C939" t="n">
        <v>24.6</v>
      </c>
      <c r="D939" t="n">
        <v>22.9</v>
      </c>
      <c r="E939">
        <f>1</f>
        <v>1</v>
      </c>
      <c r="F939">
        <f>IF(OR(F_Custom1_Q="(None)",F_Custom1_Q="",ISBLANK(F_Custom1_Q),F_Custom1_V="(All)",F_Custom1_V="",ISBLANK(F_Custom1_V)),1,IFERROR(IF(ISNUMBER(SEARCH("|"&amp;INDEX(INDIRECT(F_Custom1_resolved_column),938)&amp;"|",F_Custom1_wrapped)),1,0),0))</f>
        <v>1</v>
      </c>
      <c r="G939">
        <f>IF(OR(F_Custom2_Q="(None)",F_Custom2_Q="",ISBLANK(F_Custom2_Q),F_Custom2_V="(All)",F_Custom2_V="",ISBLANK(F_Custom2_V)),1,IFERROR(IF(ISNUMBER(SEARCH("|"&amp;INDEX(INDIRECT(F_Custom2_resolved_column),938)&amp;"|",F_Custom2_wrapped)),1,0),0))</f>
        <v>1</v>
      </c>
      <c r="H939">
        <f>F939*G939*1</f>
        <v>1</v>
      </c>
      <c r="I939">
        <f>1</f>
        <v>1</v>
      </c>
      <c r="J9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938)&amp;"|",All_Questions_Q20_F_wrapped)),1,0),0))</f>
        <v>1</v>
      </c>
    </row>
    <row r="940">
      <c r="A940" t="n">
        <v>939</v>
      </c>
      <c r="B940" t="n">
        <v>28.9</v>
      </c>
      <c r="C940" t="n">
        <v>24.6</v>
      </c>
      <c r="D940" t="n">
        <v>22.9</v>
      </c>
      <c r="E940">
        <f>1</f>
        <v>1</v>
      </c>
      <c r="F940">
        <f>IF(OR(F_Custom1_Q="(None)",F_Custom1_Q="",ISBLANK(F_Custom1_Q),F_Custom1_V="(All)",F_Custom1_V="",ISBLANK(F_Custom1_V)),1,IFERROR(IF(ISNUMBER(SEARCH("|"&amp;INDEX(INDIRECT(F_Custom1_resolved_column),939)&amp;"|",F_Custom1_wrapped)),1,0),0))</f>
        <v>1</v>
      </c>
      <c r="G940">
        <f>IF(OR(F_Custom2_Q="(None)",F_Custom2_Q="",ISBLANK(F_Custom2_Q),F_Custom2_V="(All)",F_Custom2_V="",ISBLANK(F_Custom2_V)),1,IFERROR(IF(ISNUMBER(SEARCH("|"&amp;INDEX(INDIRECT(F_Custom2_resolved_column),939)&amp;"|",F_Custom2_wrapped)),1,0),0))</f>
        <v>1</v>
      </c>
      <c r="H940">
        <f>F940*G940*1</f>
        <v>1</v>
      </c>
      <c r="I940">
        <f>1</f>
        <v>1</v>
      </c>
      <c r="J9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939)&amp;"|",All_Questions_Q20_F_wrapped)),1,0),0))</f>
        <v>1</v>
      </c>
    </row>
    <row r="941">
      <c r="A941" t="n">
        <v>940</v>
      </c>
      <c r="B941" t="n">
        <v>28.9</v>
      </c>
      <c r="C941" t="n">
        <v>24.6</v>
      </c>
      <c r="D941" t="n">
        <v>22.9</v>
      </c>
      <c r="E941">
        <f>1</f>
        <v>1</v>
      </c>
      <c r="F941">
        <f>IF(OR(F_Custom1_Q="(None)",F_Custom1_Q="",ISBLANK(F_Custom1_Q),F_Custom1_V="(All)",F_Custom1_V="",ISBLANK(F_Custom1_V)),1,IFERROR(IF(ISNUMBER(SEARCH("|"&amp;INDEX(INDIRECT(F_Custom1_resolved_column),940)&amp;"|",F_Custom1_wrapped)),1,0),0))</f>
        <v>1</v>
      </c>
      <c r="G941">
        <f>IF(OR(F_Custom2_Q="(None)",F_Custom2_Q="",ISBLANK(F_Custom2_Q),F_Custom2_V="(All)",F_Custom2_V="",ISBLANK(F_Custom2_V)),1,IFERROR(IF(ISNUMBER(SEARCH("|"&amp;INDEX(INDIRECT(F_Custom2_resolved_column),940)&amp;"|",F_Custom2_wrapped)),1,0),0))</f>
        <v>1</v>
      </c>
      <c r="H941">
        <f>F941*G941*1</f>
        <v>1</v>
      </c>
      <c r="I941">
        <f>1</f>
        <v>1</v>
      </c>
      <c r="J9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940)&amp;"|",All_Questions_Q20_F_wrapped)),1,0),0))</f>
        <v>1</v>
      </c>
    </row>
    <row r="942">
      <c r="A942" t="n">
        <v>941</v>
      </c>
      <c r="B942" t="n">
        <v>28.9</v>
      </c>
      <c r="C942" t="n">
        <v>24.6</v>
      </c>
      <c r="D942" t="n">
        <v>22.9</v>
      </c>
      <c r="E942">
        <f>1</f>
        <v>1</v>
      </c>
      <c r="F942">
        <f>IF(OR(F_Custom1_Q="(None)",F_Custom1_Q="",ISBLANK(F_Custom1_Q),F_Custom1_V="(All)",F_Custom1_V="",ISBLANK(F_Custom1_V)),1,IFERROR(IF(ISNUMBER(SEARCH("|"&amp;INDEX(INDIRECT(F_Custom1_resolved_column),941)&amp;"|",F_Custom1_wrapped)),1,0),0))</f>
        <v>1</v>
      </c>
      <c r="G942">
        <f>IF(OR(F_Custom2_Q="(None)",F_Custom2_Q="",ISBLANK(F_Custom2_Q),F_Custom2_V="(All)",F_Custom2_V="",ISBLANK(F_Custom2_V)),1,IFERROR(IF(ISNUMBER(SEARCH("|"&amp;INDEX(INDIRECT(F_Custom2_resolved_column),941)&amp;"|",F_Custom2_wrapped)),1,0),0))</f>
        <v>1</v>
      </c>
      <c r="H942">
        <f>F942*G942*1</f>
        <v>1</v>
      </c>
      <c r="I942">
        <f>1</f>
        <v>1</v>
      </c>
      <c r="J9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941)&amp;"|",All_Questions_Q20_F_wrapped)),1,0),0))</f>
        <v>1</v>
      </c>
    </row>
    <row r="943">
      <c r="A943" t="n">
        <v>942</v>
      </c>
      <c r="B943" t="n">
        <v>28.9</v>
      </c>
      <c r="C943" t="n">
        <v>24.6</v>
      </c>
      <c r="D943" t="n">
        <v>22.9</v>
      </c>
      <c r="E943">
        <f>1</f>
        <v>1</v>
      </c>
      <c r="F943">
        <f>IF(OR(F_Custom1_Q="(None)",F_Custom1_Q="",ISBLANK(F_Custom1_Q),F_Custom1_V="(All)",F_Custom1_V="",ISBLANK(F_Custom1_V)),1,IFERROR(IF(ISNUMBER(SEARCH("|"&amp;INDEX(INDIRECT(F_Custom1_resolved_column),942)&amp;"|",F_Custom1_wrapped)),1,0),0))</f>
        <v>1</v>
      </c>
      <c r="G943">
        <f>IF(OR(F_Custom2_Q="(None)",F_Custom2_Q="",ISBLANK(F_Custom2_Q),F_Custom2_V="(All)",F_Custom2_V="",ISBLANK(F_Custom2_V)),1,IFERROR(IF(ISNUMBER(SEARCH("|"&amp;INDEX(INDIRECT(F_Custom2_resolved_column),942)&amp;"|",F_Custom2_wrapped)),1,0),0))</f>
        <v>1</v>
      </c>
      <c r="H943">
        <f>F943*G943*1</f>
        <v>1</v>
      </c>
      <c r="I943">
        <f>1</f>
        <v>1</v>
      </c>
      <c r="J9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942)&amp;"|",All_Questions_Q20_F_wrapped)),1,0),0))</f>
        <v>1</v>
      </c>
    </row>
    <row r="944">
      <c r="A944" t="n">
        <v>943</v>
      </c>
      <c r="B944" t="n">
        <v>28.9</v>
      </c>
      <c r="C944" t="n">
        <v>24.6</v>
      </c>
      <c r="D944" t="n">
        <v>22.9</v>
      </c>
      <c r="E944">
        <f>1</f>
        <v>1</v>
      </c>
      <c r="F944">
        <f>IF(OR(F_Custom1_Q="(None)",F_Custom1_Q="",ISBLANK(F_Custom1_Q),F_Custom1_V="(All)",F_Custom1_V="",ISBLANK(F_Custom1_V)),1,IFERROR(IF(ISNUMBER(SEARCH("|"&amp;INDEX(INDIRECT(F_Custom1_resolved_column),943)&amp;"|",F_Custom1_wrapped)),1,0),0))</f>
        <v>1</v>
      </c>
      <c r="G944">
        <f>IF(OR(F_Custom2_Q="(None)",F_Custom2_Q="",ISBLANK(F_Custom2_Q),F_Custom2_V="(All)",F_Custom2_V="",ISBLANK(F_Custom2_V)),1,IFERROR(IF(ISNUMBER(SEARCH("|"&amp;INDEX(INDIRECT(F_Custom2_resolved_column),943)&amp;"|",F_Custom2_wrapped)),1,0),0))</f>
        <v>1</v>
      </c>
      <c r="H944">
        <f>F944*G944*1</f>
        <v>1</v>
      </c>
      <c r="I944">
        <f>1</f>
        <v>1</v>
      </c>
      <c r="J9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943)&amp;"|",All_Questions_Q20_F_wrapped)),1,0),0))</f>
        <v>1</v>
      </c>
    </row>
    <row r="945">
      <c r="A945" t="n">
        <v>944</v>
      </c>
      <c r="B945" t="n">
        <v>28.9</v>
      </c>
      <c r="C945" t="n">
        <v>24.6</v>
      </c>
      <c r="D945" t="n">
        <v>22.9</v>
      </c>
      <c r="E945">
        <f>1</f>
        <v>1</v>
      </c>
      <c r="F945">
        <f>IF(OR(F_Custom1_Q="(None)",F_Custom1_Q="",ISBLANK(F_Custom1_Q),F_Custom1_V="(All)",F_Custom1_V="",ISBLANK(F_Custom1_V)),1,IFERROR(IF(ISNUMBER(SEARCH("|"&amp;INDEX(INDIRECT(F_Custom1_resolved_column),944)&amp;"|",F_Custom1_wrapped)),1,0),0))</f>
        <v>1</v>
      </c>
      <c r="G945">
        <f>IF(OR(F_Custom2_Q="(None)",F_Custom2_Q="",ISBLANK(F_Custom2_Q),F_Custom2_V="(All)",F_Custom2_V="",ISBLANK(F_Custom2_V)),1,IFERROR(IF(ISNUMBER(SEARCH("|"&amp;INDEX(INDIRECT(F_Custom2_resolved_column),944)&amp;"|",F_Custom2_wrapped)),1,0),0))</f>
        <v>1</v>
      </c>
      <c r="H945">
        <f>F945*G945*1</f>
        <v>1</v>
      </c>
      <c r="I945">
        <f>1</f>
        <v>1</v>
      </c>
      <c r="J9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944)&amp;"|",All_Questions_Q20_F_wrapped)),1,0),0))</f>
        <v>1</v>
      </c>
    </row>
    <row r="946">
      <c r="A946" t="n">
        <v>945</v>
      </c>
      <c r="B946" t="n">
        <v>28.9</v>
      </c>
      <c r="C946" t="n">
        <v>24.6</v>
      </c>
      <c r="D946" t="n">
        <v>22.9</v>
      </c>
      <c r="E946">
        <f>1</f>
        <v>1</v>
      </c>
      <c r="F946">
        <f>IF(OR(F_Custom1_Q="(None)",F_Custom1_Q="",ISBLANK(F_Custom1_Q),F_Custom1_V="(All)",F_Custom1_V="",ISBLANK(F_Custom1_V)),1,IFERROR(IF(ISNUMBER(SEARCH("|"&amp;INDEX(INDIRECT(F_Custom1_resolved_column),945)&amp;"|",F_Custom1_wrapped)),1,0),0))</f>
        <v>1</v>
      </c>
      <c r="G946">
        <f>IF(OR(F_Custom2_Q="(None)",F_Custom2_Q="",ISBLANK(F_Custom2_Q),F_Custom2_V="(All)",F_Custom2_V="",ISBLANK(F_Custom2_V)),1,IFERROR(IF(ISNUMBER(SEARCH("|"&amp;INDEX(INDIRECT(F_Custom2_resolved_column),945)&amp;"|",F_Custom2_wrapped)),1,0),0))</f>
        <v>1</v>
      </c>
      <c r="H946">
        <f>F946*G946*1</f>
        <v>1</v>
      </c>
      <c r="I946">
        <f>1</f>
        <v>1</v>
      </c>
      <c r="J9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945)&amp;"|",All_Questions_Q20_F_wrapped)),1,0),0))</f>
        <v>1</v>
      </c>
    </row>
    <row r="947">
      <c r="A947" t="n">
        <v>946</v>
      </c>
      <c r="B947" t="n">
        <v>28.9</v>
      </c>
      <c r="C947" t="n">
        <v>24.6</v>
      </c>
      <c r="D947" t="n">
        <v>22.9</v>
      </c>
      <c r="E947">
        <f>1</f>
        <v>1</v>
      </c>
      <c r="F947">
        <f>IF(OR(F_Custom1_Q="(None)",F_Custom1_Q="",ISBLANK(F_Custom1_Q),F_Custom1_V="(All)",F_Custom1_V="",ISBLANK(F_Custom1_V)),1,IFERROR(IF(ISNUMBER(SEARCH("|"&amp;INDEX(INDIRECT(F_Custom1_resolved_column),946)&amp;"|",F_Custom1_wrapped)),1,0),0))</f>
        <v>1</v>
      </c>
      <c r="G947">
        <f>IF(OR(F_Custom2_Q="(None)",F_Custom2_Q="",ISBLANK(F_Custom2_Q),F_Custom2_V="(All)",F_Custom2_V="",ISBLANK(F_Custom2_V)),1,IFERROR(IF(ISNUMBER(SEARCH("|"&amp;INDEX(INDIRECT(F_Custom2_resolved_column),946)&amp;"|",F_Custom2_wrapped)),1,0),0))</f>
        <v>1</v>
      </c>
      <c r="H947">
        <f>F947*G947*1</f>
        <v>1</v>
      </c>
      <c r="I947">
        <f>1</f>
        <v>1</v>
      </c>
      <c r="J9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946)&amp;"|",All_Questions_Q20_F_wrapped)),1,0),0))</f>
        <v>1</v>
      </c>
    </row>
    <row r="948">
      <c r="A948" t="n">
        <v>947</v>
      </c>
      <c r="B948" t="n">
        <v>28.9</v>
      </c>
      <c r="C948" t="n">
        <v>24.6</v>
      </c>
      <c r="D948" t="n">
        <v>22.9</v>
      </c>
      <c r="E948">
        <f>1</f>
        <v>1</v>
      </c>
      <c r="F948">
        <f>IF(OR(F_Custom1_Q="(None)",F_Custom1_Q="",ISBLANK(F_Custom1_Q),F_Custom1_V="(All)",F_Custom1_V="",ISBLANK(F_Custom1_V)),1,IFERROR(IF(ISNUMBER(SEARCH("|"&amp;INDEX(INDIRECT(F_Custom1_resolved_column),947)&amp;"|",F_Custom1_wrapped)),1,0),0))</f>
        <v>1</v>
      </c>
      <c r="G948">
        <f>IF(OR(F_Custom2_Q="(None)",F_Custom2_Q="",ISBLANK(F_Custom2_Q),F_Custom2_V="(All)",F_Custom2_V="",ISBLANK(F_Custom2_V)),1,IFERROR(IF(ISNUMBER(SEARCH("|"&amp;INDEX(INDIRECT(F_Custom2_resolved_column),947)&amp;"|",F_Custom2_wrapped)),1,0),0))</f>
        <v>1</v>
      </c>
      <c r="H948">
        <f>F948*G948*1</f>
        <v>1</v>
      </c>
      <c r="I948">
        <f>1</f>
        <v>1</v>
      </c>
      <c r="J9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947)&amp;"|",All_Questions_Q20_F_wrapped)),1,0),0))</f>
        <v>1</v>
      </c>
    </row>
    <row r="949">
      <c r="A949" t="n">
        <v>948</v>
      </c>
      <c r="B949" t="n">
        <v>28.9</v>
      </c>
      <c r="C949" t="n">
        <v>24.6</v>
      </c>
      <c r="D949" t="n">
        <v>22.9</v>
      </c>
      <c r="E949">
        <f>1</f>
        <v>1</v>
      </c>
      <c r="F949">
        <f>IF(OR(F_Custom1_Q="(None)",F_Custom1_Q="",ISBLANK(F_Custom1_Q),F_Custom1_V="(All)",F_Custom1_V="",ISBLANK(F_Custom1_V)),1,IFERROR(IF(ISNUMBER(SEARCH("|"&amp;INDEX(INDIRECT(F_Custom1_resolved_column),948)&amp;"|",F_Custom1_wrapped)),1,0),0))</f>
        <v>1</v>
      </c>
      <c r="G949">
        <f>IF(OR(F_Custom2_Q="(None)",F_Custom2_Q="",ISBLANK(F_Custom2_Q),F_Custom2_V="(All)",F_Custom2_V="",ISBLANK(F_Custom2_V)),1,IFERROR(IF(ISNUMBER(SEARCH("|"&amp;INDEX(INDIRECT(F_Custom2_resolved_column),948)&amp;"|",F_Custom2_wrapped)),1,0),0))</f>
        <v>1</v>
      </c>
      <c r="H949">
        <f>F949*G949*1</f>
        <v>1</v>
      </c>
      <c r="I949">
        <f>1</f>
        <v>1</v>
      </c>
      <c r="J9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948)&amp;"|",All_Questions_Q20_F_wrapped)),1,0),0))</f>
        <v>1</v>
      </c>
    </row>
    <row r="950">
      <c r="A950" t="n">
        <v>949</v>
      </c>
      <c r="B950" t="n">
        <v>28.9</v>
      </c>
      <c r="C950" t="n">
        <v>24.6</v>
      </c>
      <c r="D950" t="n">
        <v>22.9</v>
      </c>
      <c r="E950">
        <f>1</f>
        <v>1</v>
      </c>
      <c r="F950">
        <f>IF(OR(F_Custom1_Q="(None)",F_Custom1_Q="",ISBLANK(F_Custom1_Q),F_Custom1_V="(All)",F_Custom1_V="",ISBLANK(F_Custom1_V)),1,IFERROR(IF(ISNUMBER(SEARCH("|"&amp;INDEX(INDIRECT(F_Custom1_resolved_column),949)&amp;"|",F_Custom1_wrapped)),1,0),0))</f>
        <v>1</v>
      </c>
      <c r="G950">
        <f>IF(OR(F_Custom2_Q="(None)",F_Custom2_Q="",ISBLANK(F_Custom2_Q),F_Custom2_V="(All)",F_Custom2_V="",ISBLANK(F_Custom2_V)),1,IFERROR(IF(ISNUMBER(SEARCH("|"&amp;INDEX(INDIRECT(F_Custom2_resolved_column),949)&amp;"|",F_Custom2_wrapped)),1,0),0))</f>
        <v>1</v>
      </c>
      <c r="H950">
        <f>F950*G950*1</f>
        <v>1</v>
      </c>
      <c r="I950">
        <f>1</f>
        <v>1</v>
      </c>
      <c r="J9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949)&amp;"|",All_Questions_Q20_F_wrapped)),1,0),0))</f>
        <v>1</v>
      </c>
    </row>
    <row r="951">
      <c r="A951" t="n">
        <v>950</v>
      </c>
      <c r="B951" t="n">
        <v>28.9</v>
      </c>
      <c r="C951" t="n">
        <v>24.6</v>
      </c>
      <c r="D951" t="n">
        <v>22.9</v>
      </c>
      <c r="E951">
        <f>1</f>
        <v>1</v>
      </c>
      <c r="F951">
        <f>IF(OR(F_Custom1_Q="(None)",F_Custom1_Q="",ISBLANK(F_Custom1_Q),F_Custom1_V="(All)",F_Custom1_V="",ISBLANK(F_Custom1_V)),1,IFERROR(IF(ISNUMBER(SEARCH("|"&amp;INDEX(INDIRECT(F_Custom1_resolved_column),950)&amp;"|",F_Custom1_wrapped)),1,0),0))</f>
        <v>1</v>
      </c>
      <c r="G951">
        <f>IF(OR(F_Custom2_Q="(None)",F_Custom2_Q="",ISBLANK(F_Custom2_Q),F_Custom2_V="(All)",F_Custom2_V="",ISBLANK(F_Custom2_V)),1,IFERROR(IF(ISNUMBER(SEARCH("|"&amp;INDEX(INDIRECT(F_Custom2_resolved_column),950)&amp;"|",F_Custom2_wrapped)),1,0),0))</f>
        <v>1</v>
      </c>
      <c r="H951">
        <f>F951*G951*1</f>
        <v>1</v>
      </c>
      <c r="I951">
        <f>1</f>
        <v>1</v>
      </c>
      <c r="J9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950)&amp;"|",All_Questions_Q20_F_wrapped)),1,0),0))</f>
        <v>1</v>
      </c>
    </row>
    <row r="952">
      <c r="A952" t="n">
        <v>951</v>
      </c>
      <c r="B952" t="n">
        <v>28.9</v>
      </c>
      <c r="C952" t="n">
        <v>24.6</v>
      </c>
      <c r="D952" t="n">
        <v>22.9</v>
      </c>
      <c r="E952">
        <f>1</f>
        <v>1</v>
      </c>
      <c r="F952">
        <f>IF(OR(F_Custom1_Q="(None)",F_Custom1_Q="",ISBLANK(F_Custom1_Q),F_Custom1_V="(All)",F_Custom1_V="",ISBLANK(F_Custom1_V)),1,IFERROR(IF(ISNUMBER(SEARCH("|"&amp;INDEX(INDIRECT(F_Custom1_resolved_column),951)&amp;"|",F_Custom1_wrapped)),1,0),0))</f>
        <v>1</v>
      </c>
      <c r="G952">
        <f>IF(OR(F_Custom2_Q="(None)",F_Custom2_Q="",ISBLANK(F_Custom2_Q),F_Custom2_V="(All)",F_Custom2_V="",ISBLANK(F_Custom2_V)),1,IFERROR(IF(ISNUMBER(SEARCH("|"&amp;INDEX(INDIRECT(F_Custom2_resolved_column),951)&amp;"|",F_Custom2_wrapped)),1,0),0))</f>
        <v>1</v>
      </c>
      <c r="H952">
        <f>F952*G952*1</f>
        <v>1</v>
      </c>
      <c r="I952">
        <f>1</f>
        <v>1</v>
      </c>
      <c r="J9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951)&amp;"|",All_Questions_Q20_F_wrapped)),1,0),0))</f>
        <v>1</v>
      </c>
    </row>
    <row r="953">
      <c r="A953" t="n">
        <v>952</v>
      </c>
      <c r="B953" t="n">
        <v>28.9</v>
      </c>
      <c r="C953" t="n">
        <v>24.6</v>
      </c>
      <c r="D953" t="n">
        <v>22.9</v>
      </c>
      <c r="E953">
        <f>1</f>
        <v>1</v>
      </c>
      <c r="F953">
        <f>IF(OR(F_Custom1_Q="(None)",F_Custom1_Q="",ISBLANK(F_Custom1_Q),F_Custom1_V="(All)",F_Custom1_V="",ISBLANK(F_Custom1_V)),1,IFERROR(IF(ISNUMBER(SEARCH("|"&amp;INDEX(INDIRECT(F_Custom1_resolved_column),952)&amp;"|",F_Custom1_wrapped)),1,0),0))</f>
        <v>1</v>
      </c>
      <c r="G953">
        <f>IF(OR(F_Custom2_Q="(None)",F_Custom2_Q="",ISBLANK(F_Custom2_Q),F_Custom2_V="(All)",F_Custom2_V="",ISBLANK(F_Custom2_V)),1,IFERROR(IF(ISNUMBER(SEARCH("|"&amp;INDEX(INDIRECT(F_Custom2_resolved_column),952)&amp;"|",F_Custom2_wrapped)),1,0),0))</f>
        <v>1</v>
      </c>
      <c r="H953">
        <f>F953*G953*1</f>
        <v>1</v>
      </c>
      <c r="I953">
        <f>1</f>
        <v>1</v>
      </c>
      <c r="J9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952)&amp;"|",All_Questions_Q20_F_wrapped)),1,0),0))</f>
        <v>1</v>
      </c>
    </row>
    <row r="954">
      <c r="A954" t="n">
        <v>953</v>
      </c>
      <c r="B954" t="n">
        <v>28.9</v>
      </c>
      <c r="C954" t="n">
        <v>24.6</v>
      </c>
      <c r="D954" t="n">
        <v>22.9</v>
      </c>
      <c r="E954">
        <f>1</f>
        <v>1</v>
      </c>
      <c r="F954">
        <f>IF(OR(F_Custom1_Q="(None)",F_Custom1_Q="",ISBLANK(F_Custom1_Q),F_Custom1_V="(All)",F_Custom1_V="",ISBLANK(F_Custom1_V)),1,IFERROR(IF(ISNUMBER(SEARCH("|"&amp;INDEX(INDIRECT(F_Custom1_resolved_column),953)&amp;"|",F_Custom1_wrapped)),1,0),0))</f>
        <v>1</v>
      </c>
      <c r="G954">
        <f>IF(OR(F_Custom2_Q="(None)",F_Custom2_Q="",ISBLANK(F_Custom2_Q),F_Custom2_V="(All)",F_Custom2_V="",ISBLANK(F_Custom2_V)),1,IFERROR(IF(ISNUMBER(SEARCH("|"&amp;INDEX(INDIRECT(F_Custom2_resolved_column),953)&amp;"|",F_Custom2_wrapped)),1,0),0))</f>
        <v>1</v>
      </c>
      <c r="H954">
        <f>F954*G954*1</f>
        <v>1</v>
      </c>
      <c r="I954">
        <f>1</f>
        <v>1</v>
      </c>
      <c r="J9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953)&amp;"|",All_Questions_Q20_F_wrapped)),1,0),0))</f>
        <v>1</v>
      </c>
    </row>
    <row r="955">
      <c r="A955" t="n">
        <v>954</v>
      </c>
      <c r="B955" t="n">
        <v>28.9</v>
      </c>
      <c r="C955" t="n">
        <v>24.6</v>
      </c>
      <c r="D955" t="n">
        <v>22.9</v>
      </c>
      <c r="E955">
        <f>1</f>
        <v>1</v>
      </c>
      <c r="F955">
        <f>IF(OR(F_Custom1_Q="(None)",F_Custom1_Q="",ISBLANK(F_Custom1_Q),F_Custom1_V="(All)",F_Custom1_V="",ISBLANK(F_Custom1_V)),1,IFERROR(IF(ISNUMBER(SEARCH("|"&amp;INDEX(INDIRECT(F_Custom1_resolved_column),954)&amp;"|",F_Custom1_wrapped)),1,0),0))</f>
        <v>1</v>
      </c>
      <c r="G955">
        <f>IF(OR(F_Custom2_Q="(None)",F_Custom2_Q="",ISBLANK(F_Custom2_Q),F_Custom2_V="(All)",F_Custom2_V="",ISBLANK(F_Custom2_V)),1,IFERROR(IF(ISNUMBER(SEARCH("|"&amp;INDEX(INDIRECT(F_Custom2_resolved_column),954)&amp;"|",F_Custom2_wrapped)),1,0),0))</f>
        <v>1</v>
      </c>
      <c r="H955">
        <f>F955*G955*1</f>
        <v>1</v>
      </c>
      <c r="I955">
        <f>1</f>
        <v>1</v>
      </c>
      <c r="J9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954)&amp;"|",All_Questions_Q20_F_wrapped)),1,0),0))</f>
        <v>1</v>
      </c>
    </row>
    <row r="956">
      <c r="A956" t="n">
        <v>955</v>
      </c>
      <c r="B956" t="n">
        <v>28.9</v>
      </c>
      <c r="C956" t="n">
        <v>24.6</v>
      </c>
      <c r="D956" t="n">
        <v>22.9</v>
      </c>
      <c r="E956">
        <f>1</f>
        <v>1</v>
      </c>
      <c r="F956">
        <f>IF(OR(F_Custom1_Q="(None)",F_Custom1_Q="",ISBLANK(F_Custom1_Q),F_Custom1_V="(All)",F_Custom1_V="",ISBLANK(F_Custom1_V)),1,IFERROR(IF(ISNUMBER(SEARCH("|"&amp;INDEX(INDIRECT(F_Custom1_resolved_column),955)&amp;"|",F_Custom1_wrapped)),1,0),0))</f>
        <v>1</v>
      </c>
      <c r="G956">
        <f>IF(OR(F_Custom2_Q="(None)",F_Custom2_Q="",ISBLANK(F_Custom2_Q),F_Custom2_V="(All)",F_Custom2_V="",ISBLANK(F_Custom2_V)),1,IFERROR(IF(ISNUMBER(SEARCH("|"&amp;INDEX(INDIRECT(F_Custom2_resolved_column),955)&amp;"|",F_Custom2_wrapped)),1,0),0))</f>
        <v>1</v>
      </c>
      <c r="H956">
        <f>F956*G956*1</f>
        <v>1</v>
      </c>
      <c r="I956">
        <f>1</f>
        <v>1</v>
      </c>
      <c r="J9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955)&amp;"|",All_Questions_Q20_F_wrapped)),1,0),0))</f>
        <v>1</v>
      </c>
    </row>
    <row r="957">
      <c r="A957" t="n">
        <v>956</v>
      </c>
      <c r="B957" t="n">
        <v>28.9</v>
      </c>
      <c r="C957" t="n">
        <v>24.6</v>
      </c>
      <c r="D957" t="n">
        <v>22.9</v>
      </c>
      <c r="E957">
        <f>1</f>
        <v>1</v>
      </c>
      <c r="F957">
        <f>IF(OR(F_Custom1_Q="(None)",F_Custom1_Q="",ISBLANK(F_Custom1_Q),F_Custom1_V="(All)",F_Custom1_V="",ISBLANK(F_Custom1_V)),1,IFERROR(IF(ISNUMBER(SEARCH("|"&amp;INDEX(INDIRECT(F_Custom1_resolved_column),956)&amp;"|",F_Custom1_wrapped)),1,0),0))</f>
        <v>1</v>
      </c>
      <c r="G957">
        <f>IF(OR(F_Custom2_Q="(None)",F_Custom2_Q="",ISBLANK(F_Custom2_Q),F_Custom2_V="(All)",F_Custom2_V="",ISBLANK(F_Custom2_V)),1,IFERROR(IF(ISNUMBER(SEARCH("|"&amp;INDEX(INDIRECT(F_Custom2_resolved_column),956)&amp;"|",F_Custom2_wrapped)),1,0),0))</f>
        <v>1</v>
      </c>
      <c r="H957">
        <f>F957*G957*1</f>
        <v>1</v>
      </c>
      <c r="I957">
        <f>1</f>
        <v>1</v>
      </c>
      <c r="J9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956)&amp;"|",All_Questions_Q20_F_wrapped)),1,0),0))</f>
        <v>1</v>
      </c>
    </row>
    <row r="958">
      <c r="A958" t="n">
        <v>957</v>
      </c>
      <c r="B958" t="n">
        <v>28.9</v>
      </c>
      <c r="C958" t="n">
        <v>24.6</v>
      </c>
      <c r="D958" t="n">
        <v>22.9</v>
      </c>
      <c r="E958">
        <f>1</f>
        <v>1</v>
      </c>
      <c r="F958">
        <f>IF(OR(F_Custom1_Q="(None)",F_Custom1_Q="",ISBLANK(F_Custom1_Q),F_Custom1_V="(All)",F_Custom1_V="",ISBLANK(F_Custom1_V)),1,IFERROR(IF(ISNUMBER(SEARCH("|"&amp;INDEX(INDIRECT(F_Custom1_resolved_column),957)&amp;"|",F_Custom1_wrapped)),1,0),0))</f>
        <v>1</v>
      </c>
      <c r="G958">
        <f>IF(OR(F_Custom2_Q="(None)",F_Custom2_Q="",ISBLANK(F_Custom2_Q),F_Custom2_V="(All)",F_Custom2_V="",ISBLANK(F_Custom2_V)),1,IFERROR(IF(ISNUMBER(SEARCH("|"&amp;INDEX(INDIRECT(F_Custom2_resolved_column),957)&amp;"|",F_Custom2_wrapped)),1,0),0))</f>
        <v>1</v>
      </c>
      <c r="H958">
        <f>F958*G958*1</f>
        <v>1</v>
      </c>
      <c r="I958">
        <f>1</f>
        <v>1</v>
      </c>
      <c r="J9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957)&amp;"|",All_Questions_Q20_F_wrapped)),1,0),0))</f>
        <v>1</v>
      </c>
    </row>
    <row r="959">
      <c r="A959" t="n">
        <v>958</v>
      </c>
      <c r="B959" t="n">
        <v>28.9</v>
      </c>
      <c r="C959" t="n">
        <v>24.6</v>
      </c>
      <c r="D959" t="n">
        <v>22.9</v>
      </c>
      <c r="E959">
        <f>1</f>
        <v>1</v>
      </c>
      <c r="F959">
        <f>IF(OR(F_Custom1_Q="(None)",F_Custom1_Q="",ISBLANK(F_Custom1_Q),F_Custom1_V="(All)",F_Custom1_V="",ISBLANK(F_Custom1_V)),1,IFERROR(IF(ISNUMBER(SEARCH("|"&amp;INDEX(INDIRECT(F_Custom1_resolved_column),958)&amp;"|",F_Custom1_wrapped)),1,0),0))</f>
        <v>1</v>
      </c>
      <c r="G959">
        <f>IF(OR(F_Custom2_Q="(None)",F_Custom2_Q="",ISBLANK(F_Custom2_Q),F_Custom2_V="(All)",F_Custom2_V="",ISBLANK(F_Custom2_V)),1,IFERROR(IF(ISNUMBER(SEARCH("|"&amp;INDEX(INDIRECT(F_Custom2_resolved_column),958)&amp;"|",F_Custom2_wrapped)),1,0),0))</f>
        <v>1</v>
      </c>
      <c r="H959">
        <f>F959*G959*1</f>
        <v>1</v>
      </c>
      <c r="I959">
        <f>1</f>
        <v>1</v>
      </c>
      <c r="J9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958)&amp;"|",All_Questions_Q20_F_wrapped)),1,0),0))</f>
        <v>1</v>
      </c>
    </row>
    <row r="960">
      <c r="A960" t="n">
        <v>959</v>
      </c>
      <c r="B960" t="n">
        <v>28.9</v>
      </c>
      <c r="C960" t="n">
        <v>24.6</v>
      </c>
      <c r="D960" t="n">
        <v>22.9</v>
      </c>
      <c r="E960">
        <f>1</f>
        <v>1</v>
      </c>
      <c r="F960">
        <f>IF(OR(F_Custom1_Q="(None)",F_Custom1_Q="",ISBLANK(F_Custom1_Q),F_Custom1_V="(All)",F_Custom1_V="",ISBLANK(F_Custom1_V)),1,IFERROR(IF(ISNUMBER(SEARCH("|"&amp;INDEX(INDIRECT(F_Custom1_resolved_column),959)&amp;"|",F_Custom1_wrapped)),1,0),0))</f>
        <v>1</v>
      </c>
      <c r="G960">
        <f>IF(OR(F_Custom2_Q="(None)",F_Custom2_Q="",ISBLANK(F_Custom2_Q),F_Custom2_V="(All)",F_Custom2_V="",ISBLANK(F_Custom2_V)),1,IFERROR(IF(ISNUMBER(SEARCH("|"&amp;INDEX(INDIRECT(F_Custom2_resolved_column),959)&amp;"|",F_Custom2_wrapped)),1,0),0))</f>
        <v>1</v>
      </c>
      <c r="H960">
        <f>F960*G960*1</f>
        <v>1</v>
      </c>
      <c r="I960">
        <f>1</f>
        <v>1</v>
      </c>
      <c r="J9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959)&amp;"|",All_Questions_Q20_F_wrapped)),1,0),0))</f>
        <v>1</v>
      </c>
    </row>
    <row r="961">
      <c r="A961" t="n">
        <v>960</v>
      </c>
      <c r="B961" t="n">
        <v>28.9</v>
      </c>
      <c r="C961" t="n">
        <v>24.6</v>
      </c>
      <c r="D961" t="n">
        <v>22.9</v>
      </c>
      <c r="E961">
        <f>1</f>
        <v>1</v>
      </c>
      <c r="F961">
        <f>IF(OR(F_Custom1_Q="(None)",F_Custom1_Q="",ISBLANK(F_Custom1_Q),F_Custom1_V="(All)",F_Custom1_V="",ISBLANK(F_Custom1_V)),1,IFERROR(IF(ISNUMBER(SEARCH("|"&amp;INDEX(INDIRECT(F_Custom1_resolved_column),960)&amp;"|",F_Custom1_wrapped)),1,0),0))</f>
        <v>1</v>
      </c>
      <c r="G961">
        <f>IF(OR(F_Custom2_Q="(None)",F_Custom2_Q="",ISBLANK(F_Custom2_Q),F_Custom2_V="(All)",F_Custom2_V="",ISBLANK(F_Custom2_V)),1,IFERROR(IF(ISNUMBER(SEARCH("|"&amp;INDEX(INDIRECT(F_Custom2_resolved_column),960)&amp;"|",F_Custom2_wrapped)),1,0),0))</f>
        <v>1</v>
      </c>
      <c r="H961">
        <f>F961*G961*1</f>
        <v>1</v>
      </c>
      <c r="I961">
        <f>1</f>
        <v>1</v>
      </c>
      <c r="J9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960)&amp;"|",All_Questions_Q20_F_wrapped)),1,0),0))</f>
        <v>1</v>
      </c>
    </row>
    <row r="962">
      <c r="A962" t="n">
        <v>961</v>
      </c>
      <c r="B962" t="n">
        <v>28.9</v>
      </c>
      <c r="C962" t="n">
        <v>24.6</v>
      </c>
      <c r="D962" t="n">
        <v>22.9</v>
      </c>
      <c r="E962">
        <f>1</f>
        <v>1</v>
      </c>
      <c r="F962">
        <f>IF(OR(F_Custom1_Q="(None)",F_Custom1_Q="",ISBLANK(F_Custom1_Q),F_Custom1_V="(All)",F_Custom1_V="",ISBLANK(F_Custom1_V)),1,IFERROR(IF(ISNUMBER(SEARCH("|"&amp;INDEX(INDIRECT(F_Custom1_resolved_column),961)&amp;"|",F_Custom1_wrapped)),1,0),0))</f>
        <v>1</v>
      </c>
      <c r="G962">
        <f>IF(OR(F_Custom2_Q="(None)",F_Custom2_Q="",ISBLANK(F_Custom2_Q),F_Custom2_V="(All)",F_Custom2_V="",ISBLANK(F_Custom2_V)),1,IFERROR(IF(ISNUMBER(SEARCH("|"&amp;INDEX(INDIRECT(F_Custom2_resolved_column),961)&amp;"|",F_Custom2_wrapped)),1,0),0))</f>
        <v>1</v>
      </c>
      <c r="H962">
        <f>F962*G962*1</f>
        <v>1</v>
      </c>
      <c r="I962">
        <f>1</f>
        <v>1</v>
      </c>
      <c r="J9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961)&amp;"|",All_Questions_Q20_F_wrapped)),1,0),0))</f>
        <v>1</v>
      </c>
    </row>
    <row r="963">
      <c r="A963" t="n">
        <v>962</v>
      </c>
      <c r="B963" t="n">
        <v>28.9</v>
      </c>
      <c r="C963" t="n">
        <v>24.6</v>
      </c>
      <c r="D963" t="n">
        <v>22.9</v>
      </c>
      <c r="E963">
        <f>1</f>
        <v>1</v>
      </c>
      <c r="F963">
        <f>IF(OR(F_Custom1_Q="(None)",F_Custom1_Q="",ISBLANK(F_Custom1_Q),F_Custom1_V="(All)",F_Custom1_V="",ISBLANK(F_Custom1_V)),1,IFERROR(IF(ISNUMBER(SEARCH("|"&amp;INDEX(INDIRECT(F_Custom1_resolved_column),962)&amp;"|",F_Custom1_wrapped)),1,0),0))</f>
        <v>1</v>
      </c>
      <c r="G963">
        <f>IF(OR(F_Custom2_Q="(None)",F_Custom2_Q="",ISBLANK(F_Custom2_Q),F_Custom2_V="(All)",F_Custom2_V="",ISBLANK(F_Custom2_V)),1,IFERROR(IF(ISNUMBER(SEARCH("|"&amp;INDEX(INDIRECT(F_Custom2_resolved_column),962)&amp;"|",F_Custom2_wrapped)),1,0),0))</f>
        <v>1</v>
      </c>
      <c r="H963">
        <f>F963*G963*1</f>
        <v>1</v>
      </c>
      <c r="I963">
        <f>1</f>
        <v>1</v>
      </c>
      <c r="J9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962)&amp;"|",All_Questions_Q20_F_wrapped)),1,0),0))</f>
        <v>1</v>
      </c>
    </row>
    <row r="964">
      <c r="A964" t="n">
        <v>963</v>
      </c>
      <c r="B964" t="n">
        <v>28.9</v>
      </c>
      <c r="C964" t="n">
        <v>24.6</v>
      </c>
      <c r="D964" t="n">
        <v>22.9</v>
      </c>
      <c r="E964">
        <f>1</f>
        <v>1</v>
      </c>
      <c r="F964">
        <f>IF(OR(F_Custom1_Q="(None)",F_Custom1_Q="",ISBLANK(F_Custom1_Q),F_Custom1_V="(All)",F_Custom1_V="",ISBLANK(F_Custom1_V)),1,IFERROR(IF(ISNUMBER(SEARCH("|"&amp;INDEX(INDIRECT(F_Custom1_resolved_column),963)&amp;"|",F_Custom1_wrapped)),1,0),0))</f>
        <v>1</v>
      </c>
      <c r="G964">
        <f>IF(OR(F_Custom2_Q="(None)",F_Custom2_Q="",ISBLANK(F_Custom2_Q),F_Custom2_V="(All)",F_Custom2_V="",ISBLANK(F_Custom2_V)),1,IFERROR(IF(ISNUMBER(SEARCH("|"&amp;INDEX(INDIRECT(F_Custom2_resolved_column),963)&amp;"|",F_Custom2_wrapped)),1,0),0))</f>
        <v>1</v>
      </c>
      <c r="H964">
        <f>F964*G964*1</f>
        <v>1</v>
      </c>
      <c r="I964">
        <f>1</f>
        <v>1</v>
      </c>
      <c r="J9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963)&amp;"|",All_Questions_Q20_F_wrapped)),1,0),0))</f>
        <v>1</v>
      </c>
    </row>
    <row r="965">
      <c r="A965" t="n">
        <v>964</v>
      </c>
      <c r="B965" t="n">
        <v>28.9</v>
      </c>
      <c r="C965" t="n">
        <v>24.6</v>
      </c>
      <c r="D965" t="n">
        <v>22.9</v>
      </c>
      <c r="E965">
        <f>1</f>
        <v>1</v>
      </c>
      <c r="F965">
        <f>IF(OR(F_Custom1_Q="(None)",F_Custom1_Q="",ISBLANK(F_Custom1_Q),F_Custom1_V="(All)",F_Custom1_V="",ISBLANK(F_Custom1_V)),1,IFERROR(IF(ISNUMBER(SEARCH("|"&amp;INDEX(INDIRECT(F_Custom1_resolved_column),964)&amp;"|",F_Custom1_wrapped)),1,0),0))</f>
        <v>1</v>
      </c>
      <c r="G965">
        <f>IF(OR(F_Custom2_Q="(None)",F_Custom2_Q="",ISBLANK(F_Custom2_Q),F_Custom2_V="(All)",F_Custom2_V="",ISBLANK(F_Custom2_V)),1,IFERROR(IF(ISNUMBER(SEARCH("|"&amp;INDEX(INDIRECT(F_Custom2_resolved_column),964)&amp;"|",F_Custom2_wrapped)),1,0),0))</f>
        <v>1</v>
      </c>
      <c r="H965">
        <f>F965*G965*1</f>
        <v>1</v>
      </c>
      <c r="I965">
        <f>1</f>
        <v>1</v>
      </c>
      <c r="J9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964)&amp;"|",All_Questions_Q20_F_wrapped)),1,0),0))</f>
        <v>1</v>
      </c>
    </row>
    <row r="966">
      <c r="A966" t="n">
        <v>965</v>
      </c>
      <c r="B966" t="n">
        <v>28.9</v>
      </c>
      <c r="C966" t="n">
        <v>24.6</v>
      </c>
      <c r="D966" t="n">
        <v>22.9</v>
      </c>
      <c r="E966">
        <f>1</f>
        <v>1</v>
      </c>
      <c r="F966">
        <f>IF(OR(F_Custom1_Q="(None)",F_Custom1_Q="",ISBLANK(F_Custom1_Q),F_Custom1_V="(All)",F_Custom1_V="",ISBLANK(F_Custom1_V)),1,IFERROR(IF(ISNUMBER(SEARCH("|"&amp;INDEX(INDIRECT(F_Custom1_resolved_column),965)&amp;"|",F_Custom1_wrapped)),1,0),0))</f>
        <v>1</v>
      </c>
      <c r="G966">
        <f>IF(OR(F_Custom2_Q="(None)",F_Custom2_Q="",ISBLANK(F_Custom2_Q),F_Custom2_V="(All)",F_Custom2_V="",ISBLANK(F_Custom2_V)),1,IFERROR(IF(ISNUMBER(SEARCH("|"&amp;INDEX(INDIRECT(F_Custom2_resolved_column),965)&amp;"|",F_Custom2_wrapped)),1,0),0))</f>
        <v>1</v>
      </c>
      <c r="H966">
        <f>F966*G966*1</f>
        <v>1</v>
      </c>
      <c r="I966">
        <f>1</f>
        <v>1</v>
      </c>
      <c r="J9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965)&amp;"|",All_Questions_Q20_F_wrapped)),1,0),0))</f>
        <v>1</v>
      </c>
    </row>
    <row r="967">
      <c r="A967" t="n">
        <v>966</v>
      </c>
      <c r="B967" t="n">
        <v>28.9</v>
      </c>
      <c r="C967" t="n">
        <v>24.6</v>
      </c>
      <c r="D967" t="n">
        <v>22.9</v>
      </c>
      <c r="E967">
        <f>1</f>
        <v>1</v>
      </c>
      <c r="F967">
        <f>IF(OR(F_Custom1_Q="(None)",F_Custom1_Q="",ISBLANK(F_Custom1_Q),F_Custom1_V="(All)",F_Custom1_V="",ISBLANK(F_Custom1_V)),1,IFERROR(IF(ISNUMBER(SEARCH("|"&amp;INDEX(INDIRECT(F_Custom1_resolved_column),966)&amp;"|",F_Custom1_wrapped)),1,0),0))</f>
        <v>1</v>
      </c>
      <c r="G967">
        <f>IF(OR(F_Custom2_Q="(None)",F_Custom2_Q="",ISBLANK(F_Custom2_Q),F_Custom2_V="(All)",F_Custom2_V="",ISBLANK(F_Custom2_V)),1,IFERROR(IF(ISNUMBER(SEARCH("|"&amp;INDEX(INDIRECT(F_Custom2_resolved_column),966)&amp;"|",F_Custom2_wrapped)),1,0),0))</f>
        <v>1</v>
      </c>
      <c r="H967">
        <f>F967*G967*1</f>
        <v>1</v>
      </c>
      <c r="I967">
        <f>1</f>
        <v>1</v>
      </c>
      <c r="J9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966)&amp;"|",All_Questions_Q20_F_wrapped)),1,0),0))</f>
        <v>1</v>
      </c>
    </row>
    <row r="968">
      <c r="A968" t="n">
        <v>967</v>
      </c>
      <c r="B968" t="n">
        <v>28.9</v>
      </c>
      <c r="C968" t="n">
        <v>24.6</v>
      </c>
      <c r="D968" t="n">
        <v>22.9</v>
      </c>
      <c r="E968">
        <f>1</f>
        <v>1</v>
      </c>
      <c r="F968">
        <f>IF(OR(F_Custom1_Q="(None)",F_Custom1_Q="",ISBLANK(F_Custom1_Q),F_Custom1_V="(All)",F_Custom1_V="",ISBLANK(F_Custom1_V)),1,IFERROR(IF(ISNUMBER(SEARCH("|"&amp;INDEX(INDIRECT(F_Custom1_resolved_column),967)&amp;"|",F_Custom1_wrapped)),1,0),0))</f>
        <v>1</v>
      </c>
      <c r="G968">
        <f>IF(OR(F_Custom2_Q="(None)",F_Custom2_Q="",ISBLANK(F_Custom2_Q),F_Custom2_V="(All)",F_Custom2_V="",ISBLANK(F_Custom2_V)),1,IFERROR(IF(ISNUMBER(SEARCH("|"&amp;INDEX(INDIRECT(F_Custom2_resolved_column),967)&amp;"|",F_Custom2_wrapped)),1,0),0))</f>
        <v>1</v>
      </c>
      <c r="H968">
        <f>F968*G968*1</f>
        <v>1</v>
      </c>
      <c r="I968">
        <f>1</f>
        <v>1</v>
      </c>
      <c r="J9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967)&amp;"|",All_Questions_Q20_F_wrapped)),1,0),0))</f>
        <v>1</v>
      </c>
    </row>
    <row r="969">
      <c r="A969" t="n">
        <v>968</v>
      </c>
      <c r="B969" t="n">
        <v>28.9</v>
      </c>
      <c r="C969" t="n">
        <v>24.6</v>
      </c>
      <c r="D969" t="n">
        <v>22.9</v>
      </c>
      <c r="E969">
        <f>1</f>
        <v>1</v>
      </c>
      <c r="F969">
        <f>IF(OR(F_Custom1_Q="(None)",F_Custom1_Q="",ISBLANK(F_Custom1_Q),F_Custom1_V="(All)",F_Custom1_V="",ISBLANK(F_Custom1_V)),1,IFERROR(IF(ISNUMBER(SEARCH("|"&amp;INDEX(INDIRECT(F_Custom1_resolved_column),968)&amp;"|",F_Custom1_wrapped)),1,0),0))</f>
        <v>1</v>
      </c>
      <c r="G969">
        <f>IF(OR(F_Custom2_Q="(None)",F_Custom2_Q="",ISBLANK(F_Custom2_Q),F_Custom2_V="(All)",F_Custom2_V="",ISBLANK(F_Custom2_V)),1,IFERROR(IF(ISNUMBER(SEARCH("|"&amp;INDEX(INDIRECT(F_Custom2_resolved_column),968)&amp;"|",F_Custom2_wrapped)),1,0),0))</f>
        <v>1</v>
      </c>
      <c r="H969">
        <f>F969*G969*1</f>
        <v>1</v>
      </c>
      <c r="I969">
        <f>1</f>
        <v>1</v>
      </c>
      <c r="J9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968)&amp;"|",All_Questions_Q20_F_wrapped)),1,0),0))</f>
        <v>1</v>
      </c>
    </row>
    <row r="970">
      <c r="A970" t="n">
        <v>969</v>
      </c>
      <c r="B970" t="n">
        <v>28.9</v>
      </c>
      <c r="C970" t="n">
        <v>24.6</v>
      </c>
      <c r="D970" t="n">
        <v>22.9</v>
      </c>
      <c r="E970">
        <f>1</f>
        <v>1</v>
      </c>
      <c r="F970">
        <f>IF(OR(F_Custom1_Q="(None)",F_Custom1_Q="",ISBLANK(F_Custom1_Q),F_Custom1_V="(All)",F_Custom1_V="",ISBLANK(F_Custom1_V)),1,IFERROR(IF(ISNUMBER(SEARCH("|"&amp;INDEX(INDIRECT(F_Custom1_resolved_column),969)&amp;"|",F_Custom1_wrapped)),1,0),0))</f>
        <v>1</v>
      </c>
      <c r="G970">
        <f>IF(OR(F_Custom2_Q="(None)",F_Custom2_Q="",ISBLANK(F_Custom2_Q),F_Custom2_V="(All)",F_Custom2_V="",ISBLANK(F_Custom2_V)),1,IFERROR(IF(ISNUMBER(SEARCH("|"&amp;INDEX(INDIRECT(F_Custom2_resolved_column),969)&amp;"|",F_Custom2_wrapped)),1,0),0))</f>
        <v>1</v>
      </c>
      <c r="H970">
        <f>F970*G970*1</f>
        <v>1</v>
      </c>
      <c r="I970">
        <f>1</f>
        <v>1</v>
      </c>
      <c r="J9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969)&amp;"|",All_Questions_Q20_F_wrapped)),1,0),0))</f>
        <v>1</v>
      </c>
    </row>
    <row r="971">
      <c r="A971" t="n">
        <v>970</v>
      </c>
      <c r="B971" t="n">
        <v>28.9</v>
      </c>
      <c r="C971" t="n">
        <v>24.6</v>
      </c>
      <c r="D971" t="n">
        <v>22.9</v>
      </c>
      <c r="E971">
        <f>1</f>
        <v>1</v>
      </c>
      <c r="F971">
        <f>IF(OR(F_Custom1_Q="(None)",F_Custom1_Q="",ISBLANK(F_Custom1_Q),F_Custom1_V="(All)",F_Custom1_V="",ISBLANK(F_Custom1_V)),1,IFERROR(IF(ISNUMBER(SEARCH("|"&amp;INDEX(INDIRECT(F_Custom1_resolved_column),970)&amp;"|",F_Custom1_wrapped)),1,0),0))</f>
        <v>1</v>
      </c>
      <c r="G971">
        <f>IF(OR(F_Custom2_Q="(None)",F_Custom2_Q="",ISBLANK(F_Custom2_Q),F_Custom2_V="(All)",F_Custom2_V="",ISBLANK(F_Custom2_V)),1,IFERROR(IF(ISNUMBER(SEARCH("|"&amp;INDEX(INDIRECT(F_Custom2_resolved_column),970)&amp;"|",F_Custom2_wrapped)),1,0),0))</f>
        <v>1</v>
      </c>
      <c r="H971">
        <f>F971*G971*1</f>
        <v>1</v>
      </c>
      <c r="I971">
        <f>1</f>
        <v>1</v>
      </c>
      <c r="J9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970)&amp;"|",All_Questions_Q20_F_wrapped)),1,0),0))</f>
        <v>1</v>
      </c>
    </row>
    <row r="972">
      <c r="A972" t="n">
        <v>971</v>
      </c>
      <c r="B972" t="n">
        <v>28.9</v>
      </c>
      <c r="C972" t="n">
        <v>24.6</v>
      </c>
      <c r="D972" t="n">
        <v>22.9</v>
      </c>
      <c r="E972">
        <f>1</f>
        <v>1</v>
      </c>
      <c r="F972">
        <f>IF(OR(F_Custom1_Q="(None)",F_Custom1_Q="",ISBLANK(F_Custom1_Q),F_Custom1_V="(All)",F_Custom1_V="",ISBLANK(F_Custom1_V)),1,IFERROR(IF(ISNUMBER(SEARCH("|"&amp;INDEX(INDIRECT(F_Custom1_resolved_column),971)&amp;"|",F_Custom1_wrapped)),1,0),0))</f>
        <v>1</v>
      </c>
      <c r="G972">
        <f>IF(OR(F_Custom2_Q="(None)",F_Custom2_Q="",ISBLANK(F_Custom2_Q),F_Custom2_V="(All)",F_Custom2_V="",ISBLANK(F_Custom2_V)),1,IFERROR(IF(ISNUMBER(SEARCH("|"&amp;INDEX(INDIRECT(F_Custom2_resolved_column),971)&amp;"|",F_Custom2_wrapped)),1,0),0))</f>
        <v>1</v>
      </c>
      <c r="H972">
        <f>F972*G972*1</f>
        <v>1</v>
      </c>
      <c r="I972">
        <f>1</f>
        <v>1</v>
      </c>
      <c r="J9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971)&amp;"|",All_Questions_Q20_F_wrapped)),1,0),0))</f>
        <v>1</v>
      </c>
    </row>
    <row r="973">
      <c r="A973" t="n">
        <v>972</v>
      </c>
      <c r="B973" t="n">
        <v>28.9</v>
      </c>
      <c r="C973" t="n">
        <v>24.6</v>
      </c>
      <c r="D973" t="n">
        <v>22.9</v>
      </c>
      <c r="E973">
        <f>1</f>
        <v>1</v>
      </c>
      <c r="F973">
        <f>IF(OR(F_Custom1_Q="(None)",F_Custom1_Q="",ISBLANK(F_Custom1_Q),F_Custom1_V="(All)",F_Custom1_V="",ISBLANK(F_Custom1_V)),1,IFERROR(IF(ISNUMBER(SEARCH("|"&amp;INDEX(INDIRECT(F_Custom1_resolved_column),972)&amp;"|",F_Custom1_wrapped)),1,0),0))</f>
        <v>1</v>
      </c>
      <c r="G973">
        <f>IF(OR(F_Custom2_Q="(None)",F_Custom2_Q="",ISBLANK(F_Custom2_Q),F_Custom2_V="(All)",F_Custom2_V="",ISBLANK(F_Custom2_V)),1,IFERROR(IF(ISNUMBER(SEARCH("|"&amp;INDEX(INDIRECT(F_Custom2_resolved_column),972)&amp;"|",F_Custom2_wrapped)),1,0),0))</f>
        <v>1</v>
      </c>
      <c r="H973">
        <f>F973*G973*1</f>
        <v>1</v>
      </c>
      <c r="I973">
        <f>1</f>
        <v>1</v>
      </c>
      <c r="J9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972)&amp;"|",All_Questions_Q20_F_wrapped)),1,0),0))</f>
        <v>1</v>
      </c>
    </row>
    <row r="974">
      <c r="A974" t="n">
        <v>973</v>
      </c>
      <c r="B974" t="n">
        <v>28.9</v>
      </c>
      <c r="C974" t="n">
        <v>24.6</v>
      </c>
      <c r="D974" t="n">
        <v>22.9</v>
      </c>
      <c r="E974">
        <f>1</f>
        <v>1</v>
      </c>
      <c r="F974">
        <f>IF(OR(F_Custom1_Q="(None)",F_Custom1_Q="",ISBLANK(F_Custom1_Q),F_Custom1_V="(All)",F_Custom1_V="",ISBLANK(F_Custom1_V)),1,IFERROR(IF(ISNUMBER(SEARCH("|"&amp;INDEX(INDIRECT(F_Custom1_resolved_column),973)&amp;"|",F_Custom1_wrapped)),1,0),0))</f>
        <v>1</v>
      </c>
      <c r="G974">
        <f>IF(OR(F_Custom2_Q="(None)",F_Custom2_Q="",ISBLANK(F_Custom2_Q),F_Custom2_V="(All)",F_Custom2_V="",ISBLANK(F_Custom2_V)),1,IFERROR(IF(ISNUMBER(SEARCH("|"&amp;INDEX(INDIRECT(F_Custom2_resolved_column),973)&amp;"|",F_Custom2_wrapped)),1,0),0))</f>
        <v>1</v>
      </c>
      <c r="H974">
        <f>F974*G974*1</f>
        <v>1</v>
      </c>
      <c r="I974">
        <f>1</f>
        <v>1</v>
      </c>
      <c r="J9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973)&amp;"|",All_Questions_Q20_F_wrapped)),1,0),0))</f>
        <v>1</v>
      </c>
    </row>
    <row r="975">
      <c r="A975" t="n">
        <v>974</v>
      </c>
      <c r="B975" t="n">
        <v>28.9</v>
      </c>
      <c r="C975" t="n">
        <v>24.6</v>
      </c>
      <c r="D975" t="n">
        <v>22.9</v>
      </c>
      <c r="E975">
        <f>1</f>
        <v>1</v>
      </c>
      <c r="F975">
        <f>IF(OR(F_Custom1_Q="(None)",F_Custom1_Q="",ISBLANK(F_Custom1_Q),F_Custom1_V="(All)",F_Custom1_V="",ISBLANK(F_Custom1_V)),1,IFERROR(IF(ISNUMBER(SEARCH("|"&amp;INDEX(INDIRECT(F_Custom1_resolved_column),974)&amp;"|",F_Custom1_wrapped)),1,0),0))</f>
        <v>1</v>
      </c>
      <c r="G975">
        <f>IF(OR(F_Custom2_Q="(None)",F_Custom2_Q="",ISBLANK(F_Custom2_Q),F_Custom2_V="(All)",F_Custom2_V="",ISBLANK(F_Custom2_V)),1,IFERROR(IF(ISNUMBER(SEARCH("|"&amp;INDEX(INDIRECT(F_Custom2_resolved_column),974)&amp;"|",F_Custom2_wrapped)),1,0),0))</f>
        <v>1</v>
      </c>
      <c r="H975">
        <f>F975*G975*1</f>
        <v>1</v>
      </c>
      <c r="I975">
        <f>1</f>
        <v>1</v>
      </c>
      <c r="J9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974)&amp;"|",All_Questions_Q20_F_wrapped)),1,0),0))</f>
        <v>1</v>
      </c>
    </row>
    <row r="976">
      <c r="A976" t="n">
        <v>975</v>
      </c>
      <c r="B976" t="n">
        <v>28.9</v>
      </c>
      <c r="C976" t="n">
        <v>24.6</v>
      </c>
      <c r="D976" t="n">
        <v>22.9</v>
      </c>
      <c r="E976">
        <f>1</f>
        <v>1</v>
      </c>
      <c r="F976">
        <f>IF(OR(F_Custom1_Q="(None)",F_Custom1_Q="",ISBLANK(F_Custom1_Q),F_Custom1_V="(All)",F_Custom1_V="",ISBLANK(F_Custom1_V)),1,IFERROR(IF(ISNUMBER(SEARCH("|"&amp;INDEX(INDIRECT(F_Custom1_resolved_column),975)&amp;"|",F_Custom1_wrapped)),1,0),0))</f>
        <v>1</v>
      </c>
      <c r="G976">
        <f>IF(OR(F_Custom2_Q="(None)",F_Custom2_Q="",ISBLANK(F_Custom2_Q),F_Custom2_V="(All)",F_Custom2_V="",ISBLANK(F_Custom2_V)),1,IFERROR(IF(ISNUMBER(SEARCH("|"&amp;INDEX(INDIRECT(F_Custom2_resolved_column),975)&amp;"|",F_Custom2_wrapped)),1,0),0))</f>
        <v>1</v>
      </c>
      <c r="H976">
        <f>F976*G976*1</f>
        <v>1</v>
      </c>
      <c r="I976">
        <f>1</f>
        <v>1</v>
      </c>
      <c r="J9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975)&amp;"|",All_Questions_Q20_F_wrapped)),1,0),0))</f>
        <v>1</v>
      </c>
    </row>
    <row r="977">
      <c r="A977" t="n">
        <v>976</v>
      </c>
      <c r="B977" t="n">
        <v>28.9</v>
      </c>
      <c r="C977" t="n">
        <v>24.6</v>
      </c>
      <c r="D977" t="n">
        <v>22.9</v>
      </c>
      <c r="E977">
        <f>1</f>
        <v>1</v>
      </c>
      <c r="F977">
        <f>IF(OR(F_Custom1_Q="(None)",F_Custom1_Q="",ISBLANK(F_Custom1_Q),F_Custom1_V="(All)",F_Custom1_V="",ISBLANK(F_Custom1_V)),1,IFERROR(IF(ISNUMBER(SEARCH("|"&amp;INDEX(INDIRECT(F_Custom1_resolved_column),976)&amp;"|",F_Custom1_wrapped)),1,0),0))</f>
        <v>1</v>
      </c>
      <c r="G977">
        <f>IF(OR(F_Custom2_Q="(None)",F_Custom2_Q="",ISBLANK(F_Custom2_Q),F_Custom2_V="(All)",F_Custom2_V="",ISBLANK(F_Custom2_V)),1,IFERROR(IF(ISNUMBER(SEARCH("|"&amp;INDEX(INDIRECT(F_Custom2_resolved_column),976)&amp;"|",F_Custom2_wrapped)),1,0),0))</f>
        <v>1</v>
      </c>
      <c r="H977">
        <f>F977*G977*1</f>
        <v>1</v>
      </c>
      <c r="I977">
        <f>1</f>
        <v>1</v>
      </c>
      <c r="J9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976)&amp;"|",All_Questions_Q20_F_wrapped)),1,0),0))</f>
        <v>1</v>
      </c>
    </row>
    <row r="978">
      <c r="A978" t="n">
        <v>977</v>
      </c>
      <c r="B978" t="n">
        <v>28.9</v>
      </c>
      <c r="C978" t="n">
        <v>24.6</v>
      </c>
      <c r="D978" t="n">
        <v>22.9</v>
      </c>
      <c r="E978">
        <f>1</f>
        <v>1</v>
      </c>
      <c r="F978">
        <f>IF(OR(F_Custom1_Q="(None)",F_Custom1_Q="",ISBLANK(F_Custom1_Q),F_Custom1_V="(All)",F_Custom1_V="",ISBLANK(F_Custom1_V)),1,IFERROR(IF(ISNUMBER(SEARCH("|"&amp;INDEX(INDIRECT(F_Custom1_resolved_column),977)&amp;"|",F_Custom1_wrapped)),1,0),0))</f>
        <v>1</v>
      </c>
      <c r="G978">
        <f>IF(OR(F_Custom2_Q="(None)",F_Custom2_Q="",ISBLANK(F_Custom2_Q),F_Custom2_V="(All)",F_Custom2_V="",ISBLANK(F_Custom2_V)),1,IFERROR(IF(ISNUMBER(SEARCH("|"&amp;INDEX(INDIRECT(F_Custom2_resolved_column),977)&amp;"|",F_Custom2_wrapped)),1,0),0))</f>
        <v>1</v>
      </c>
      <c r="H978">
        <f>F978*G978*1</f>
        <v>1</v>
      </c>
      <c r="I978">
        <f>1</f>
        <v>1</v>
      </c>
      <c r="J9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977)&amp;"|",All_Questions_Q20_F_wrapped)),1,0),0))</f>
        <v>1</v>
      </c>
    </row>
    <row r="979">
      <c r="A979" t="n">
        <v>978</v>
      </c>
      <c r="B979" t="n">
        <v>28.9</v>
      </c>
      <c r="C979" t="n">
        <v>24.6</v>
      </c>
      <c r="D979" t="n">
        <v>22.9</v>
      </c>
      <c r="E979">
        <f>1</f>
        <v>1</v>
      </c>
      <c r="F979">
        <f>IF(OR(F_Custom1_Q="(None)",F_Custom1_Q="",ISBLANK(F_Custom1_Q),F_Custom1_V="(All)",F_Custom1_V="",ISBLANK(F_Custom1_V)),1,IFERROR(IF(ISNUMBER(SEARCH("|"&amp;INDEX(INDIRECT(F_Custom1_resolved_column),978)&amp;"|",F_Custom1_wrapped)),1,0),0))</f>
        <v>1</v>
      </c>
      <c r="G979">
        <f>IF(OR(F_Custom2_Q="(None)",F_Custom2_Q="",ISBLANK(F_Custom2_Q),F_Custom2_V="(All)",F_Custom2_V="",ISBLANK(F_Custom2_V)),1,IFERROR(IF(ISNUMBER(SEARCH("|"&amp;INDEX(INDIRECT(F_Custom2_resolved_column),978)&amp;"|",F_Custom2_wrapped)),1,0),0))</f>
        <v>1</v>
      </c>
      <c r="H979">
        <f>F979*G979*1</f>
        <v>1</v>
      </c>
      <c r="I979">
        <f>1</f>
        <v>1</v>
      </c>
      <c r="J9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978)&amp;"|",All_Questions_Q20_F_wrapped)),1,0),0))</f>
        <v>1</v>
      </c>
    </row>
    <row r="980">
      <c r="A980" t="n">
        <v>979</v>
      </c>
      <c r="B980" t="n">
        <v>28.9</v>
      </c>
      <c r="C980" t="n">
        <v>24.6</v>
      </c>
      <c r="D980" t="n">
        <v>22.9</v>
      </c>
      <c r="E980">
        <f>1</f>
        <v>1</v>
      </c>
      <c r="F980">
        <f>IF(OR(F_Custom1_Q="(None)",F_Custom1_Q="",ISBLANK(F_Custom1_Q),F_Custom1_V="(All)",F_Custom1_V="",ISBLANK(F_Custom1_V)),1,IFERROR(IF(ISNUMBER(SEARCH("|"&amp;INDEX(INDIRECT(F_Custom1_resolved_column),979)&amp;"|",F_Custom1_wrapped)),1,0),0))</f>
        <v>1</v>
      </c>
      <c r="G980">
        <f>IF(OR(F_Custom2_Q="(None)",F_Custom2_Q="",ISBLANK(F_Custom2_Q),F_Custom2_V="(All)",F_Custom2_V="",ISBLANK(F_Custom2_V)),1,IFERROR(IF(ISNUMBER(SEARCH("|"&amp;INDEX(INDIRECT(F_Custom2_resolved_column),979)&amp;"|",F_Custom2_wrapped)),1,0),0))</f>
        <v>1</v>
      </c>
      <c r="H980">
        <f>F980*G980*1</f>
        <v>1</v>
      </c>
      <c r="I980">
        <f>1</f>
        <v>1</v>
      </c>
      <c r="J9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979)&amp;"|",All_Questions_Q20_F_wrapped)),1,0),0))</f>
        <v>1</v>
      </c>
    </row>
    <row r="981">
      <c r="A981" t="n">
        <v>980</v>
      </c>
      <c r="B981" t="n">
        <v>28.9</v>
      </c>
      <c r="C981" t="n">
        <v>24.6</v>
      </c>
      <c r="D981" t="n">
        <v>22.9</v>
      </c>
      <c r="E981">
        <f>1</f>
        <v>1</v>
      </c>
      <c r="F981">
        <f>IF(OR(F_Custom1_Q="(None)",F_Custom1_Q="",ISBLANK(F_Custom1_Q),F_Custom1_V="(All)",F_Custom1_V="",ISBLANK(F_Custom1_V)),1,IFERROR(IF(ISNUMBER(SEARCH("|"&amp;INDEX(INDIRECT(F_Custom1_resolved_column),980)&amp;"|",F_Custom1_wrapped)),1,0),0))</f>
        <v>1</v>
      </c>
      <c r="G981">
        <f>IF(OR(F_Custom2_Q="(None)",F_Custom2_Q="",ISBLANK(F_Custom2_Q),F_Custom2_V="(All)",F_Custom2_V="",ISBLANK(F_Custom2_V)),1,IFERROR(IF(ISNUMBER(SEARCH("|"&amp;INDEX(INDIRECT(F_Custom2_resolved_column),980)&amp;"|",F_Custom2_wrapped)),1,0),0))</f>
        <v>1</v>
      </c>
      <c r="H981">
        <f>F981*G981*1</f>
        <v>1</v>
      </c>
      <c r="I981">
        <f>1</f>
        <v>1</v>
      </c>
      <c r="J9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980)&amp;"|",All_Questions_Q20_F_wrapped)),1,0),0))</f>
        <v>1</v>
      </c>
    </row>
    <row r="982">
      <c r="A982" t="n">
        <v>981</v>
      </c>
      <c r="B982" t="n">
        <v>28.9</v>
      </c>
      <c r="C982" t="n">
        <v>24.6</v>
      </c>
      <c r="D982" t="n">
        <v>22.9</v>
      </c>
      <c r="E982">
        <f>1</f>
        <v>1</v>
      </c>
      <c r="F982">
        <f>IF(OR(F_Custom1_Q="(None)",F_Custom1_Q="",ISBLANK(F_Custom1_Q),F_Custom1_V="(All)",F_Custom1_V="",ISBLANK(F_Custom1_V)),1,IFERROR(IF(ISNUMBER(SEARCH("|"&amp;INDEX(INDIRECT(F_Custom1_resolved_column),981)&amp;"|",F_Custom1_wrapped)),1,0),0))</f>
        <v>1</v>
      </c>
      <c r="G982">
        <f>IF(OR(F_Custom2_Q="(None)",F_Custom2_Q="",ISBLANK(F_Custom2_Q),F_Custom2_V="(All)",F_Custom2_V="",ISBLANK(F_Custom2_V)),1,IFERROR(IF(ISNUMBER(SEARCH("|"&amp;INDEX(INDIRECT(F_Custom2_resolved_column),981)&amp;"|",F_Custom2_wrapped)),1,0),0))</f>
        <v>1</v>
      </c>
      <c r="H982">
        <f>F982*G982*1</f>
        <v>1</v>
      </c>
      <c r="I982">
        <f>1</f>
        <v>1</v>
      </c>
      <c r="J9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981)&amp;"|",All_Questions_Q20_F_wrapped)),1,0),0))</f>
        <v>1</v>
      </c>
    </row>
    <row r="983">
      <c r="A983" t="n">
        <v>982</v>
      </c>
      <c r="B983" t="n">
        <v>28.9</v>
      </c>
      <c r="C983" t="n">
        <v>24.6</v>
      </c>
      <c r="D983" t="n">
        <v>22.9</v>
      </c>
      <c r="E983">
        <f>1</f>
        <v>1</v>
      </c>
      <c r="F983">
        <f>IF(OR(F_Custom1_Q="(None)",F_Custom1_Q="",ISBLANK(F_Custom1_Q),F_Custom1_V="(All)",F_Custom1_V="",ISBLANK(F_Custom1_V)),1,IFERROR(IF(ISNUMBER(SEARCH("|"&amp;INDEX(INDIRECT(F_Custom1_resolved_column),982)&amp;"|",F_Custom1_wrapped)),1,0),0))</f>
        <v>1</v>
      </c>
      <c r="G983">
        <f>IF(OR(F_Custom2_Q="(None)",F_Custom2_Q="",ISBLANK(F_Custom2_Q),F_Custom2_V="(All)",F_Custom2_V="",ISBLANK(F_Custom2_V)),1,IFERROR(IF(ISNUMBER(SEARCH("|"&amp;INDEX(INDIRECT(F_Custom2_resolved_column),982)&amp;"|",F_Custom2_wrapped)),1,0),0))</f>
        <v>1</v>
      </c>
      <c r="H983">
        <f>F983*G983*1</f>
        <v>1</v>
      </c>
      <c r="I983">
        <f>1</f>
        <v>1</v>
      </c>
      <c r="J9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982)&amp;"|",All_Questions_Q20_F_wrapped)),1,0),0))</f>
        <v>1</v>
      </c>
    </row>
    <row r="984">
      <c r="A984" t="n">
        <v>983</v>
      </c>
      <c r="B984" t="n">
        <v>28.9</v>
      </c>
      <c r="C984" t="n">
        <v>24.6</v>
      </c>
      <c r="D984" t="n">
        <v>22.9</v>
      </c>
      <c r="E984">
        <f>1</f>
        <v>1</v>
      </c>
      <c r="F984">
        <f>IF(OR(F_Custom1_Q="(None)",F_Custom1_Q="",ISBLANK(F_Custom1_Q),F_Custom1_V="(All)",F_Custom1_V="",ISBLANK(F_Custom1_V)),1,IFERROR(IF(ISNUMBER(SEARCH("|"&amp;INDEX(INDIRECT(F_Custom1_resolved_column),983)&amp;"|",F_Custom1_wrapped)),1,0),0))</f>
        <v>1</v>
      </c>
      <c r="G984">
        <f>IF(OR(F_Custom2_Q="(None)",F_Custom2_Q="",ISBLANK(F_Custom2_Q),F_Custom2_V="(All)",F_Custom2_V="",ISBLANK(F_Custom2_V)),1,IFERROR(IF(ISNUMBER(SEARCH("|"&amp;INDEX(INDIRECT(F_Custom2_resolved_column),983)&amp;"|",F_Custom2_wrapped)),1,0),0))</f>
        <v>1</v>
      </c>
      <c r="H984">
        <f>F984*G984*1</f>
        <v>1</v>
      </c>
      <c r="I984">
        <f>1</f>
        <v>1</v>
      </c>
      <c r="J9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983)&amp;"|",All_Questions_Q20_F_wrapped)),1,0),0))</f>
        <v>1</v>
      </c>
    </row>
    <row r="985">
      <c r="A985" t="n">
        <v>984</v>
      </c>
      <c r="B985" t="n">
        <v>28.9</v>
      </c>
      <c r="C985" t="n">
        <v>24.6</v>
      </c>
      <c r="D985" t="n">
        <v>22.9</v>
      </c>
      <c r="E985">
        <f>1</f>
        <v>1</v>
      </c>
      <c r="F985">
        <f>IF(OR(F_Custom1_Q="(None)",F_Custom1_Q="",ISBLANK(F_Custom1_Q),F_Custom1_V="(All)",F_Custom1_V="",ISBLANK(F_Custom1_V)),1,IFERROR(IF(ISNUMBER(SEARCH("|"&amp;INDEX(INDIRECT(F_Custom1_resolved_column),984)&amp;"|",F_Custom1_wrapped)),1,0),0))</f>
        <v>1</v>
      </c>
      <c r="G985">
        <f>IF(OR(F_Custom2_Q="(None)",F_Custom2_Q="",ISBLANK(F_Custom2_Q),F_Custom2_V="(All)",F_Custom2_V="",ISBLANK(F_Custom2_V)),1,IFERROR(IF(ISNUMBER(SEARCH("|"&amp;INDEX(INDIRECT(F_Custom2_resolved_column),984)&amp;"|",F_Custom2_wrapped)),1,0),0))</f>
        <v>1</v>
      </c>
      <c r="H985">
        <f>F985*G985*1</f>
        <v>1</v>
      </c>
      <c r="I985">
        <f>1</f>
        <v>1</v>
      </c>
      <c r="J9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984)&amp;"|",All_Questions_Q20_F_wrapped)),1,0),0))</f>
        <v>1</v>
      </c>
    </row>
    <row r="986">
      <c r="A986" t="n">
        <v>985</v>
      </c>
      <c r="B986" t="n">
        <v>28.9</v>
      </c>
      <c r="C986" t="n">
        <v>24.6</v>
      </c>
      <c r="D986" t="n">
        <v>22.9</v>
      </c>
      <c r="E986">
        <f>1</f>
        <v>1</v>
      </c>
      <c r="F986">
        <f>IF(OR(F_Custom1_Q="(None)",F_Custom1_Q="",ISBLANK(F_Custom1_Q),F_Custom1_V="(All)",F_Custom1_V="",ISBLANK(F_Custom1_V)),1,IFERROR(IF(ISNUMBER(SEARCH("|"&amp;INDEX(INDIRECT(F_Custom1_resolved_column),985)&amp;"|",F_Custom1_wrapped)),1,0),0))</f>
        <v>1</v>
      </c>
      <c r="G986">
        <f>IF(OR(F_Custom2_Q="(None)",F_Custom2_Q="",ISBLANK(F_Custom2_Q),F_Custom2_V="(All)",F_Custom2_V="",ISBLANK(F_Custom2_V)),1,IFERROR(IF(ISNUMBER(SEARCH("|"&amp;INDEX(INDIRECT(F_Custom2_resolved_column),985)&amp;"|",F_Custom2_wrapped)),1,0),0))</f>
        <v>1</v>
      </c>
      <c r="H986">
        <f>F986*G986*1</f>
        <v>1</v>
      </c>
      <c r="I986">
        <f>1</f>
        <v>1</v>
      </c>
      <c r="J9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985)&amp;"|",All_Questions_Q20_F_wrapped)),1,0),0))</f>
        <v>1</v>
      </c>
    </row>
    <row r="987">
      <c r="A987" t="n">
        <v>986</v>
      </c>
      <c r="B987" t="n">
        <v>28.9</v>
      </c>
      <c r="C987" t="n">
        <v>24.6</v>
      </c>
      <c r="D987" t="n">
        <v>22.9</v>
      </c>
      <c r="E987">
        <f>1</f>
        <v>1</v>
      </c>
      <c r="F987">
        <f>IF(OR(F_Custom1_Q="(None)",F_Custom1_Q="",ISBLANK(F_Custom1_Q),F_Custom1_V="(All)",F_Custom1_V="",ISBLANK(F_Custom1_V)),1,IFERROR(IF(ISNUMBER(SEARCH("|"&amp;INDEX(INDIRECT(F_Custom1_resolved_column),986)&amp;"|",F_Custom1_wrapped)),1,0),0))</f>
        <v>1</v>
      </c>
      <c r="G987">
        <f>IF(OR(F_Custom2_Q="(None)",F_Custom2_Q="",ISBLANK(F_Custom2_Q),F_Custom2_V="(All)",F_Custom2_V="",ISBLANK(F_Custom2_V)),1,IFERROR(IF(ISNUMBER(SEARCH("|"&amp;INDEX(INDIRECT(F_Custom2_resolved_column),986)&amp;"|",F_Custom2_wrapped)),1,0),0))</f>
        <v>1</v>
      </c>
      <c r="H987">
        <f>F987*G987*1</f>
        <v>1</v>
      </c>
      <c r="I987">
        <f>1</f>
        <v>1</v>
      </c>
      <c r="J9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986)&amp;"|",All_Questions_Q20_F_wrapped)),1,0),0))</f>
        <v>1</v>
      </c>
    </row>
    <row r="988">
      <c r="A988" t="n">
        <v>987</v>
      </c>
      <c r="B988" t="n">
        <v>28.9</v>
      </c>
      <c r="C988" t="n">
        <v>24.6</v>
      </c>
      <c r="D988" t="n">
        <v>22.9</v>
      </c>
      <c r="E988">
        <f>1</f>
        <v>1</v>
      </c>
      <c r="F988">
        <f>IF(OR(F_Custom1_Q="(None)",F_Custom1_Q="",ISBLANK(F_Custom1_Q),F_Custom1_V="(All)",F_Custom1_V="",ISBLANK(F_Custom1_V)),1,IFERROR(IF(ISNUMBER(SEARCH("|"&amp;INDEX(INDIRECT(F_Custom1_resolved_column),987)&amp;"|",F_Custom1_wrapped)),1,0),0))</f>
        <v>1</v>
      </c>
      <c r="G988">
        <f>IF(OR(F_Custom2_Q="(None)",F_Custom2_Q="",ISBLANK(F_Custom2_Q),F_Custom2_V="(All)",F_Custom2_V="",ISBLANK(F_Custom2_V)),1,IFERROR(IF(ISNUMBER(SEARCH("|"&amp;INDEX(INDIRECT(F_Custom2_resolved_column),987)&amp;"|",F_Custom2_wrapped)),1,0),0))</f>
        <v>1</v>
      </c>
      <c r="H988">
        <f>F988*G988*1</f>
        <v>1</v>
      </c>
      <c r="I988">
        <f>1</f>
        <v>1</v>
      </c>
      <c r="J9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987)&amp;"|",All_Questions_Q20_F_wrapped)),1,0),0))</f>
        <v>1</v>
      </c>
    </row>
    <row r="989">
      <c r="A989" t="n">
        <v>988</v>
      </c>
      <c r="B989" t="n">
        <v>28.9</v>
      </c>
      <c r="C989" t="n">
        <v>24.6</v>
      </c>
      <c r="D989" t="n">
        <v>22.9</v>
      </c>
      <c r="E989">
        <f>1</f>
        <v>1</v>
      </c>
      <c r="F989">
        <f>IF(OR(F_Custom1_Q="(None)",F_Custom1_Q="",ISBLANK(F_Custom1_Q),F_Custom1_V="(All)",F_Custom1_V="",ISBLANK(F_Custom1_V)),1,IFERROR(IF(ISNUMBER(SEARCH("|"&amp;INDEX(INDIRECT(F_Custom1_resolved_column),988)&amp;"|",F_Custom1_wrapped)),1,0),0))</f>
        <v>1</v>
      </c>
      <c r="G989">
        <f>IF(OR(F_Custom2_Q="(None)",F_Custom2_Q="",ISBLANK(F_Custom2_Q),F_Custom2_V="(All)",F_Custom2_V="",ISBLANK(F_Custom2_V)),1,IFERROR(IF(ISNUMBER(SEARCH("|"&amp;INDEX(INDIRECT(F_Custom2_resolved_column),988)&amp;"|",F_Custom2_wrapped)),1,0),0))</f>
        <v>1</v>
      </c>
      <c r="H989">
        <f>F989*G989*1</f>
        <v>1</v>
      </c>
      <c r="I989">
        <f>1</f>
        <v>1</v>
      </c>
      <c r="J9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988)&amp;"|",All_Questions_Q20_F_wrapped)),1,0),0))</f>
        <v>1</v>
      </c>
    </row>
    <row r="990">
      <c r="A990" t="n">
        <v>989</v>
      </c>
      <c r="B990" t="n">
        <v>28.9</v>
      </c>
      <c r="C990" t="n">
        <v>24.6</v>
      </c>
      <c r="D990" t="n">
        <v>22.9</v>
      </c>
      <c r="E990">
        <f>1</f>
        <v>1</v>
      </c>
      <c r="F990">
        <f>IF(OR(F_Custom1_Q="(None)",F_Custom1_Q="",ISBLANK(F_Custom1_Q),F_Custom1_V="(All)",F_Custom1_V="",ISBLANK(F_Custom1_V)),1,IFERROR(IF(ISNUMBER(SEARCH("|"&amp;INDEX(INDIRECT(F_Custom1_resolved_column),989)&amp;"|",F_Custom1_wrapped)),1,0),0))</f>
        <v>1</v>
      </c>
      <c r="G990">
        <f>IF(OR(F_Custom2_Q="(None)",F_Custom2_Q="",ISBLANK(F_Custom2_Q),F_Custom2_V="(All)",F_Custom2_V="",ISBLANK(F_Custom2_V)),1,IFERROR(IF(ISNUMBER(SEARCH("|"&amp;INDEX(INDIRECT(F_Custom2_resolved_column),989)&amp;"|",F_Custom2_wrapped)),1,0),0))</f>
        <v>1</v>
      </c>
      <c r="H990">
        <f>F990*G990*1</f>
        <v>1</v>
      </c>
      <c r="I990">
        <f>1</f>
        <v>1</v>
      </c>
      <c r="J9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989)&amp;"|",All_Questions_Q20_F_wrapped)),1,0),0))</f>
        <v>1</v>
      </c>
    </row>
    <row r="991">
      <c r="A991" t="n">
        <v>990</v>
      </c>
      <c r="B991" t="n">
        <v>28.9</v>
      </c>
      <c r="C991" t="n">
        <v>24.6</v>
      </c>
      <c r="D991" t="n">
        <v>22.9</v>
      </c>
      <c r="E991">
        <f>1</f>
        <v>1</v>
      </c>
      <c r="F991">
        <f>IF(OR(F_Custom1_Q="(None)",F_Custom1_Q="",ISBLANK(F_Custom1_Q),F_Custom1_V="(All)",F_Custom1_V="",ISBLANK(F_Custom1_V)),1,IFERROR(IF(ISNUMBER(SEARCH("|"&amp;INDEX(INDIRECT(F_Custom1_resolved_column),990)&amp;"|",F_Custom1_wrapped)),1,0),0))</f>
        <v>1</v>
      </c>
      <c r="G991">
        <f>IF(OR(F_Custom2_Q="(None)",F_Custom2_Q="",ISBLANK(F_Custom2_Q),F_Custom2_V="(All)",F_Custom2_V="",ISBLANK(F_Custom2_V)),1,IFERROR(IF(ISNUMBER(SEARCH("|"&amp;INDEX(INDIRECT(F_Custom2_resolved_column),990)&amp;"|",F_Custom2_wrapped)),1,0),0))</f>
        <v>1</v>
      </c>
      <c r="H991">
        <f>F991*G991*1</f>
        <v>1</v>
      </c>
      <c r="I991">
        <f>1</f>
        <v>1</v>
      </c>
      <c r="J9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990)&amp;"|",All_Questions_Q20_F_wrapped)),1,0),0))</f>
        <v>1</v>
      </c>
    </row>
    <row r="992">
      <c r="A992" t="n">
        <v>991</v>
      </c>
      <c r="B992" t="n">
        <v>28.9</v>
      </c>
      <c r="C992" t="n">
        <v>24.6</v>
      </c>
      <c r="D992" t="n">
        <v>22.9</v>
      </c>
      <c r="E992">
        <f>1</f>
        <v>1</v>
      </c>
      <c r="F992">
        <f>IF(OR(F_Custom1_Q="(None)",F_Custom1_Q="",ISBLANK(F_Custom1_Q),F_Custom1_V="(All)",F_Custom1_V="",ISBLANK(F_Custom1_V)),1,IFERROR(IF(ISNUMBER(SEARCH("|"&amp;INDEX(INDIRECT(F_Custom1_resolved_column),991)&amp;"|",F_Custom1_wrapped)),1,0),0))</f>
        <v>1</v>
      </c>
      <c r="G992">
        <f>IF(OR(F_Custom2_Q="(None)",F_Custom2_Q="",ISBLANK(F_Custom2_Q),F_Custom2_V="(All)",F_Custom2_V="",ISBLANK(F_Custom2_V)),1,IFERROR(IF(ISNUMBER(SEARCH("|"&amp;INDEX(INDIRECT(F_Custom2_resolved_column),991)&amp;"|",F_Custom2_wrapped)),1,0),0))</f>
        <v>1</v>
      </c>
      <c r="H992">
        <f>F992*G992*1</f>
        <v>1</v>
      </c>
      <c r="I992">
        <f>1</f>
        <v>1</v>
      </c>
      <c r="J9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991)&amp;"|",All_Questions_Q20_F_wrapped)),1,0),0))</f>
        <v>1</v>
      </c>
    </row>
    <row r="993">
      <c r="A993" t="n">
        <v>992</v>
      </c>
      <c r="B993" t="n">
        <v>28.9</v>
      </c>
      <c r="C993" t="n">
        <v>24.6</v>
      </c>
      <c r="D993" t="n">
        <v>22.9</v>
      </c>
      <c r="E993">
        <f>1</f>
        <v>1</v>
      </c>
      <c r="F993">
        <f>IF(OR(F_Custom1_Q="(None)",F_Custom1_Q="",ISBLANK(F_Custom1_Q),F_Custom1_V="(All)",F_Custom1_V="",ISBLANK(F_Custom1_V)),1,IFERROR(IF(ISNUMBER(SEARCH("|"&amp;INDEX(INDIRECT(F_Custom1_resolved_column),992)&amp;"|",F_Custom1_wrapped)),1,0),0))</f>
        <v>1</v>
      </c>
      <c r="G993">
        <f>IF(OR(F_Custom2_Q="(None)",F_Custom2_Q="",ISBLANK(F_Custom2_Q),F_Custom2_V="(All)",F_Custom2_V="",ISBLANK(F_Custom2_V)),1,IFERROR(IF(ISNUMBER(SEARCH("|"&amp;INDEX(INDIRECT(F_Custom2_resolved_column),992)&amp;"|",F_Custom2_wrapped)),1,0),0))</f>
        <v>1</v>
      </c>
      <c r="H993">
        <f>F993*G993*1</f>
        <v>1</v>
      </c>
      <c r="I993">
        <f>1</f>
        <v>1</v>
      </c>
      <c r="J9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992)&amp;"|",All_Questions_Q20_F_wrapped)),1,0),0))</f>
        <v>1</v>
      </c>
    </row>
    <row r="994">
      <c r="A994" t="n">
        <v>993</v>
      </c>
      <c r="B994" t="n">
        <v>28.9</v>
      </c>
      <c r="C994" t="n">
        <v>24.6</v>
      </c>
      <c r="D994" t="n">
        <v>22.9</v>
      </c>
      <c r="E994">
        <f>1</f>
        <v>1</v>
      </c>
      <c r="F994">
        <f>IF(OR(F_Custom1_Q="(None)",F_Custom1_Q="",ISBLANK(F_Custom1_Q),F_Custom1_V="(All)",F_Custom1_V="",ISBLANK(F_Custom1_V)),1,IFERROR(IF(ISNUMBER(SEARCH("|"&amp;INDEX(INDIRECT(F_Custom1_resolved_column),993)&amp;"|",F_Custom1_wrapped)),1,0),0))</f>
        <v>1</v>
      </c>
      <c r="G994">
        <f>IF(OR(F_Custom2_Q="(None)",F_Custom2_Q="",ISBLANK(F_Custom2_Q),F_Custom2_V="(All)",F_Custom2_V="",ISBLANK(F_Custom2_V)),1,IFERROR(IF(ISNUMBER(SEARCH("|"&amp;INDEX(INDIRECT(F_Custom2_resolved_column),993)&amp;"|",F_Custom2_wrapped)),1,0),0))</f>
        <v>1</v>
      </c>
      <c r="H994">
        <f>F994*G994*1</f>
        <v>1</v>
      </c>
      <c r="I994">
        <f>1</f>
        <v>1</v>
      </c>
      <c r="J9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993)&amp;"|",All_Questions_Q20_F_wrapped)),1,0),0))</f>
        <v>1</v>
      </c>
    </row>
    <row r="995">
      <c r="A995" t="n">
        <v>994</v>
      </c>
      <c r="B995" t="n">
        <v>28.9</v>
      </c>
      <c r="C995" t="n">
        <v>24.6</v>
      </c>
      <c r="D995" t="n">
        <v>22.9</v>
      </c>
      <c r="E995">
        <f>1</f>
        <v>1</v>
      </c>
      <c r="F995">
        <f>IF(OR(F_Custom1_Q="(None)",F_Custom1_Q="",ISBLANK(F_Custom1_Q),F_Custom1_V="(All)",F_Custom1_V="",ISBLANK(F_Custom1_V)),1,IFERROR(IF(ISNUMBER(SEARCH("|"&amp;INDEX(INDIRECT(F_Custom1_resolved_column),994)&amp;"|",F_Custom1_wrapped)),1,0),0))</f>
        <v>1</v>
      </c>
      <c r="G995">
        <f>IF(OR(F_Custom2_Q="(None)",F_Custom2_Q="",ISBLANK(F_Custom2_Q),F_Custom2_V="(All)",F_Custom2_V="",ISBLANK(F_Custom2_V)),1,IFERROR(IF(ISNUMBER(SEARCH("|"&amp;INDEX(INDIRECT(F_Custom2_resolved_column),994)&amp;"|",F_Custom2_wrapped)),1,0),0))</f>
        <v>1</v>
      </c>
      <c r="H995">
        <f>F995*G995*1</f>
        <v>1</v>
      </c>
      <c r="I995">
        <f>1</f>
        <v>1</v>
      </c>
      <c r="J9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994)&amp;"|",All_Questions_Q20_F_wrapped)),1,0),0))</f>
        <v>1</v>
      </c>
    </row>
    <row r="996">
      <c r="A996" t="n">
        <v>995</v>
      </c>
      <c r="B996" t="n">
        <v>28.9</v>
      </c>
      <c r="C996" t="n">
        <v>24.6</v>
      </c>
      <c r="D996" t="n">
        <v>22.9</v>
      </c>
      <c r="E996">
        <f>1</f>
        <v>1</v>
      </c>
      <c r="F996">
        <f>IF(OR(F_Custom1_Q="(None)",F_Custom1_Q="",ISBLANK(F_Custom1_Q),F_Custom1_V="(All)",F_Custom1_V="",ISBLANK(F_Custom1_V)),1,IFERROR(IF(ISNUMBER(SEARCH("|"&amp;INDEX(INDIRECT(F_Custom1_resolved_column),995)&amp;"|",F_Custom1_wrapped)),1,0),0))</f>
        <v>1</v>
      </c>
      <c r="G996">
        <f>IF(OR(F_Custom2_Q="(None)",F_Custom2_Q="",ISBLANK(F_Custom2_Q),F_Custom2_V="(All)",F_Custom2_V="",ISBLANK(F_Custom2_V)),1,IFERROR(IF(ISNUMBER(SEARCH("|"&amp;INDEX(INDIRECT(F_Custom2_resolved_column),995)&amp;"|",F_Custom2_wrapped)),1,0),0))</f>
        <v>1</v>
      </c>
      <c r="H996">
        <f>F996*G996*1</f>
        <v>1</v>
      </c>
      <c r="I996">
        <f>1</f>
        <v>1</v>
      </c>
      <c r="J9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995)&amp;"|",All_Questions_Q20_F_wrapped)),1,0),0))</f>
        <v>1</v>
      </c>
    </row>
    <row r="997">
      <c r="A997" t="n">
        <v>996</v>
      </c>
      <c r="B997" t="n">
        <v>28.9</v>
      </c>
      <c r="C997" t="n">
        <v>24.6</v>
      </c>
      <c r="D997" t="n">
        <v>22.9</v>
      </c>
      <c r="E997">
        <f>1</f>
        <v>1</v>
      </c>
      <c r="F997">
        <f>IF(OR(F_Custom1_Q="(None)",F_Custom1_Q="",ISBLANK(F_Custom1_Q),F_Custom1_V="(All)",F_Custom1_V="",ISBLANK(F_Custom1_V)),1,IFERROR(IF(ISNUMBER(SEARCH("|"&amp;INDEX(INDIRECT(F_Custom1_resolved_column),996)&amp;"|",F_Custom1_wrapped)),1,0),0))</f>
        <v>1</v>
      </c>
      <c r="G997">
        <f>IF(OR(F_Custom2_Q="(None)",F_Custom2_Q="",ISBLANK(F_Custom2_Q),F_Custom2_V="(All)",F_Custom2_V="",ISBLANK(F_Custom2_V)),1,IFERROR(IF(ISNUMBER(SEARCH("|"&amp;INDEX(INDIRECT(F_Custom2_resolved_column),996)&amp;"|",F_Custom2_wrapped)),1,0),0))</f>
        <v>1</v>
      </c>
      <c r="H997">
        <f>F997*G997*1</f>
        <v>1</v>
      </c>
      <c r="I997">
        <f>1</f>
        <v>1</v>
      </c>
      <c r="J9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996)&amp;"|",All_Questions_Q20_F_wrapped)),1,0),0))</f>
        <v>1</v>
      </c>
    </row>
    <row r="998">
      <c r="A998" t="n">
        <v>997</v>
      </c>
      <c r="B998" t="n">
        <v>28.9</v>
      </c>
      <c r="C998" t="n">
        <v>24.6</v>
      </c>
      <c r="D998" t="n">
        <v>22.9</v>
      </c>
      <c r="E998">
        <f>1</f>
        <v>1</v>
      </c>
      <c r="F998">
        <f>IF(OR(F_Custom1_Q="(None)",F_Custom1_Q="",ISBLANK(F_Custom1_Q),F_Custom1_V="(All)",F_Custom1_V="",ISBLANK(F_Custom1_V)),1,IFERROR(IF(ISNUMBER(SEARCH("|"&amp;INDEX(INDIRECT(F_Custom1_resolved_column),997)&amp;"|",F_Custom1_wrapped)),1,0),0))</f>
        <v>1</v>
      </c>
      <c r="G998">
        <f>IF(OR(F_Custom2_Q="(None)",F_Custom2_Q="",ISBLANK(F_Custom2_Q),F_Custom2_V="(All)",F_Custom2_V="",ISBLANK(F_Custom2_V)),1,IFERROR(IF(ISNUMBER(SEARCH("|"&amp;INDEX(INDIRECT(F_Custom2_resolved_column),997)&amp;"|",F_Custom2_wrapped)),1,0),0))</f>
        <v>1</v>
      </c>
      <c r="H998">
        <f>F998*G998*1</f>
        <v>1</v>
      </c>
      <c r="I998">
        <f>1</f>
        <v>1</v>
      </c>
      <c r="J9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997)&amp;"|",All_Questions_Q20_F_wrapped)),1,0),0))</f>
        <v>1</v>
      </c>
    </row>
    <row r="999">
      <c r="A999" t="n">
        <v>998</v>
      </c>
      <c r="B999" t="n">
        <v>28.9</v>
      </c>
      <c r="C999" t="n">
        <v>24.6</v>
      </c>
      <c r="D999" t="n">
        <v>22.9</v>
      </c>
      <c r="E999">
        <f>1</f>
        <v>1</v>
      </c>
      <c r="F999">
        <f>IF(OR(F_Custom1_Q="(None)",F_Custom1_Q="",ISBLANK(F_Custom1_Q),F_Custom1_V="(All)",F_Custom1_V="",ISBLANK(F_Custom1_V)),1,IFERROR(IF(ISNUMBER(SEARCH("|"&amp;INDEX(INDIRECT(F_Custom1_resolved_column),998)&amp;"|",F_Custom1_wrapped)),1,0),0))</f>
        <v>1</v>
      </c>
      <c r="G999">
        <f>IF(OR(F_Custom2_Q="(None)",F_Custom2_Q="",ISBLANK(F_Custom2_Q),F_Custom2_V="(All)",F_Custom2_V="",ISBLANK(F_Custom2_V)),1,IFERROR(IF(ISNUMBER(SEARCH("|"&amp;INDEX(INDIRECT(F_Custom2_resolved_column),998)&amp;"|",F_Custom2_wrapped)),1,0),0))</f>
        <v>1</v>
      </c>
      <c r="H999">
        <f>F999*G999*1</f>
        <v>1</v>
      </c>
      <c r="I999">
        <f>1</f>
        <v>1</v>
      </c>
      <c r="J9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998)&amp;"|",All_Questions_Q20_F_wrapped)),1,0),0))</f>
        <v>1</v>
      </c>
    </row>
    <row r="1000">
      <c r="A1000" t="n">
        <v>999</v>
      </c>
      <c r="B1000" t="n">
        <v>28.9</v>
      </c>
      <c r="C1000" t="n">
        <v>24.6</v>
      </c>
      <c r="D1000" t="n">
        <v>22.9</v>
      </c>
      <c r="E1000">
        <f>1</f>
        <v>1</v>
      </c>
      <c r="F1000">
        <f>IF(OR(F_Custom1_Q="(None)",F_Custom1_Q="",ISBLANK(F_Custom1_Q),F_Custom1_V="(All)",F_Custom1_V="",ISBLANK(F_Custom1_V)),1,IFERROR(IF(ISNUMBER(SEARCH("|"&amp;INDEX(INDIRECT(F_Custom1_resolved_column),999)&amp;"|",F_Custom1_wrapped)),1,0),0))</f>
        <v>1</v>
      </c>
      <c r="G1000">
        <f>IF(OR(F_Custom2_Q="(None)",F_Custom2_Q="",ISBLANK(F_Custom2_Q),F_Custom2_V="(All)",F_Custom2_V="",ISBLANK(F_Custom2_V)),1,IFERROR(IF(ISNUMBER(SEARCH("|"&amp;INDEX(INDIRECT(F_Custom2_resolved_column),999)&amp;"|",F_Custom2_wrapped)),1,0),0))</f>
        <v>1</v>
      </c>
      <c r="H1000">
        <f>F1000*G1000*1</f>
        <v>1</v>
      </c>
      <c r="I1000">
        <f>1</f>
        <v>1</v>
      </c>
      <c r="J10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999)&amp;"|",All_Questions_Q20_F_wrapped)),1,0),0))</f>
        <v>1</v>
      </c>
    </row>
    <row r="1001">
      <c r="A1001" t="n">
        <v>1000</v>
      </c>
      <c r="B1001" t="n">
        <v>28.9</v>
      </c>
      <c r="C1001" t="n">
        <v>24.6</v>
      </c>
      <c r="D1001" t="n">
        <v>22.9</v>
      </c>
      <c r="E1001">
        <f>1</f>
        <v>1</v>
      </c>
      <c r="F1001">
        <f>IF(OR(F_Custom1_Q="(None)",F_Custom1_Q="",ISBLANK(F_Custom1_Q),F_Custom1_V="(All)",F_Custom1_V="",ISBLANK(F_Custom1_V)),1,IFERROR(IF(ISNUMBER(SEARCH("|"&amp;INDEX(INDIRECT(F_Custom1_resolved_column),1000)&amp;"|",F_Custom1_wrapped)),1,0),0))</f>
        <v>1</v>
      </c>
      <c r="G1001">
        <f>IF(OR(F_Custom2_Q="(None)",F_Custom2_Q="",ISBLANK(F_Custom2_Q),F_Custom2_V="(All)",F_Custom2_V="",ISBLANK(F_Custom2_V)),1,IFERROR(IF(ISNUMBER(SEARCH("|"&amp;INDEX(INDIRECT(F_Custom2_resolved_column),1000)&amp;"|",F_Custom2_wrapped)),1,0),0))</f>
        <v>1</v>
      </c>
      <c r="H1001">
        <f>F1001*G1001*1</f>
        <v>1</v>
      </c>
      <c r="I1001">
        <f>1</f>
        <v>1</v>
      </c>
      <c r="J10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1000)&amp;"|",All_Questions_Q20_F_wrapped)),1,0),0))</f>
        <v>1</v>
      </c>
    </row>
    <row r="1002">
      <c r="A1002" t="n">
        <v>1001</v>
      </c>
      <c r="B1002" t="n">
        <v>28.9</v>
      </c>
      <c r="C1002" t="n">
        <v>24.6</v>
      </c>
      <c r="D1002" t="n">
        <v>22.9</v>
      </c>
      <c r="E1002">
        <f>1</f>
        <v>1</v>
      </c>
      <c r="F1002">
        <f>IF(OR(F_Custom1_Q="(None)",F_Custom1_Q="",ISBLANK(F_Custom1_Q),F_Custom1_V="(All)",F_Custom1_V="",ISBLANK(F_Custom1_V)),1,IFERROR(IF(ISNUMBER(SEARCH("|"&amp;INDEX(INDIRECT(F_Custom1_resolved_column),1001)&amp;"|",F_Custom1_wrapped)),1,0),0))</f>
        <v>1</v>
      </c>
      <c r="G1002">
        <f>IF(OR(F_Custom2_Q="(None)",F_Custom2_Q="",ISBLANK(F_Custom2_Q),F_Custom2_V="(All)",F_Custom2_V="",ISBLANK(F_Custom2_V)),1,IFERROR(IF(ISNUMBER(SEARCH("|"&amp;INDEX(INDIRECT(F_Custom2_resolved_column),1001)&amp;"|",F_Custom2_wrapped)),1,0),0))</f>
        <v>1</v>
      </c>
      <c r="H1002">
        <f>F1002*G1002*1</f>
        <v>1</v>
      </c>
      <c r="I1002">
        <f>1</f>
        <v>1</v>
      </c>
      <c r="J10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1001)&amp;"|",All_Questions_Q20_F_wrapped)),1,0),0))</f>
        <v>1</v>
      </c>
    </row>
    <row r="1003">
      <c r="A1003" t="n">
        <v>1002</v>
      </c>
      <c r="B1003" t="n">
        <v>28.9</v>
      </c>
      <c r="C1003" t="n">
        <v>24.6</v>
      </c>
      <c r="D1003" t="n">
        <v>22.9</v>
      </c>
      <c r="E1003">
        <f>1</f>
        <v>1</v>
      </c>
      <c r="F1003">
        <f>IF(OR(F_Custom1_Q="(None)",F_Custom1_Q="",ISBLANK(F_Custom1_Q),F_Custom1_V="(All)",F_Custom1_V="",ISBLANK(F_Custom1_V)),1,IFERROR(IF(ISNUMBER(SEARCH("|"&amp;INDEX(INDIRECT(F_Custom1_resolved_column),1002)&amp;"|",F_Custom1_wrapped)),1,0),0))</f>
        <v>1</v>
      </c>
      <c r="G1003">
        <f>IF(OR(F_Custom2_Q="(None)",F_Custom2_Q="",ISBLANK(F_Custom2_Q),F_Custom2_V="(All)",F_Custom2_V="",ISBLANK(F_Custom2_V)),1,IFERROR(IF(ISNUMBER(SEARCH("|"&amp;INDEX(INDIRECT(F_Custom2_resolved_column),1002)&amp;"|",F_Custom2_wrapped)),1,0),0))</f>
        <v>1</v>
      </c>
      <c r="H1003">
        <f>F1003*G1003*1</f>
        <v>1</v>
      </c>
      <c r="I1003">
        <f>1</f>
        <v>1</v>
      </c>
      <c r="J10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1002)&amp;"|",All_Questions_Q20_F_wrapped)),1,0),0))</f>
        <v>1</v>
      </c>
    </row>
    <row r="1004">
      <c r="A1004" t="n">
        <v>1003</v>
      </c>
      <c r="B1004" t="n">
        <v>28.9</v>
      </c>
      <c r="C1004" t="n">
        <v>24.6</v>
      </c>
      <c r="D1004" t="n">
        <v>22.9</v>
      </c>
      <c r="E1004">
        <f>1</f>
        <v>1</v>
      </c>
      <c r="F1004">
        <f>IF(OR(F_Custom1_Q="(None)",F_Custom1_Q="",ISBLANK(F_Custom1_Q),F_Custom1_V="(All)",F_Custom1_V="",ISBLANK(F_Custom1_V)),1,IFERROR(IF(ISNUMBER(SEARCH("|"&amp;INDEX(INDIRECT(F_Custom1_resolved_column),1003)&amp;"|",F_Custom1_wrapped)),1,0),0))</f>
        <v>1</v>
      </c>
      <c r="G1004">
        <f>IF(OR(F_Custom2_Q="(None)",F_Custom2_Q="",ISBLANK(F_Custom2_Q),F_Custom2_V="(All)",F_Custom2_V="",ISBLANK(F_Custom2_V)),1,IFERROR(IF(ISNUMBER(SEARCH("|"&amp;INDEX(INDIRECT(F_Custom2_resolved_column),1003)&amp;"|",F_Custom2_wrapped)),1,0),0))</f>
        <v>1</v>
      </c>
      <c r="H1004">
        <f>F1004*G1004*1</f>
        <v>1</v>
      </c>
      <c r="I1004">
        <f>1</f>
        <v>1</v>
      </c>
      <c r="J10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1003)&amp;"|",All_Questions_Q20_F_wrapped)),1,0),0))</f>
        <v>1</v>
      </c>
    </row>
    <row r="1005">
      <c r="A1005" t="n">
        <v>1004</v>
      </c>
      <c r="B1005" t="n">
        <v>28.9</v>
      </c>
      <c r="C1005" t="n">
        <v>24.6</v>
      </c>
      <c r="D1005" t="n">
        <v>22.9</v>
      </c>
      <c r="E1005">
        <f>1</f>
        <v>1</v>
      </c>
      <c r="F1005">
        <f>IF(OR(F_Custom1_Q="(None)",F_Custom1_Q="",ISBLANK(F_Custom1_Q),F_Custom1_V="(All)",F_Custom1_V="",ISBLANK(F_Custom1_V)),1,IFERROR(IF(ISNUMBER(SEARCH("|"&amp;INDEX(INDIRECT(F_Custom1_resolved_column),1004)&amp;"|",F_Custom1_wrapped)),1,0),0))</f>
        <v>1</v>
      </c>
      <c r="G1005">
        <f>IF(OR(F_Custom2_Q="(None)",F_Custom2_Q="",ISBLANK(F_Custom2_Q),F_Custom2_V="(All)",F_Custom2_V="",ISBLANK(F_Custom2_V)),1,IFERROR(IF(ISNUMBER(SEARCH("|"&amp;INDEX(INDIRECT(F_Custom2_resolved_column),1004)&amp;"|",F_Custom2_wrapped)),1,0),0))</f>
        <v>1</v>
      </c>
      <c r="H1005">
        <f>F1005*G1005*1</f>
        <v>1</v>
      </c>
      <c r="I1005">
        <f>1</f>
        <v>1</v>
      </c>
      <c r="J10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1004)&amp;"|",All_Questions_Q20_F_wrapped)),1,0),0))</f>
        <v>1</v>
      </c>
    </row>
    <row r="1006">
      <c r="A1006" t="n">
        <v>1005</v>
      </c>
      <c r="B1006" t="n">
        <v>28.9</v>
      </c>
      <c r="C1006" t="n">
        <v>24.6</v>
      </c>
      <c r="D1006" t="n">
        <v>22.9</v>
      </c>
      <c r="E1006">
        <f>1</f>
        <v>1</v>
      </c>
      <c r="F1006">
        <f>IF(OR(F_Custom1_Q="(None)",F_Custom1_Q="",ISBLANK(F_Custom1_Q),F_Custom1_V="(All)",F_Custom1_V="",ISBLANK(F_Custom1_V)),1,IFERROR(IF(ISNUMBER(SEARCH("|"&amp;INDEX(INDIRECT(F_Custom1_resolved_column),1005)&amp;"|",F_Custom1_wrapped)),1,0),0))</f>
        <v>1</v>
      </c>
      <c r="G1006">
        <f>IF(OR(F_Custom2_Q="(None)",F_Custom2_Q="",ISBLANK(F_Custom2_Q),F_Custom2_V="(All)",F_Custom2_V="",ISBLANK(F_Custom2_V)),1,IFERROR(IF(ISNUMBER(SEARCH("|"&amp;INDEX(INDIRECT(F_Custom2_resolved_column),1005)&amp;"|",F_Custom2_wrapped)),1,0),0))</f>
        <v>1</v>
      </c>
      <c r="H1006">
        <f>F1006*G1006*1</f>
        <v>1</v>
      </c>
      <c r="I1006">
        <f>1</f>
        <v>1</v>
      </c>
      <c r="J10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1005)&amp;"|",All_Questions_Q20_F_wrapped)),1,0),0))</f>
        <v>1</v>
      </c>
    </row>
    <row r="1007">
      <c r="A1007" t="n">
        <v>1006</v>
      </c>
      <c r="B1007" t="n">
        <v>28.9</v>
      </c>
      <c r="C1007" t="n">
        <v>24.6</v>
      </c>
      <c r="D1007" t="n">
        <v>22.9</v>
      </c>
      <c r="E1007">
        <f>1</f>
        <v>1</v>
      </c>
      <c r="F1007">
        <f>IF(OR(F_Custom1_Q="(None)",F_Custom1_Q="",ISBLANK(F_Custom1_Q),F_Custom1_V="(All)",F_Custom1_V="",ISBLANK(F_Custom1_V)),1,IFERROR(IF(ISNUMBER(SEARCH("|"&amp;INDEX(INDIRECT(F_Custom1_resolved_column),1006)&amp;"|",F_Custom1_wrapped)),1,0),0))</f>
        <v>1</v>
      </c>
      <c r="G1007">
        <f>IF(OR(F_Custom2_Q="(None)",F_Custom2_Q="",ISBLANK(F_Custom2_Q),F_Custom2_V="(All)",F_Custom2_V="",ISBLANK(F_Custom2_V)),1,IFERROR(IF(ISNUMBER(SEARCH("|"&amp;INDEX(INDIRECT(F_Custom2_resolved_column),1006)&amp;"|",F_Custom2_wrapped)),1,0),0))</f>
        <v>1</v>
      </c>
      <c r="H1007">
        <f>F1007*G1007*1</f>
        <v>1</v>
      </c>
      <c r="I1007">
        <f>1</f>
        <v>1</v>
      </c>
      <c r="J10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1006)&amp;"|",All_Questions_Q20_F_wrapped)),1,0),0))</f>
        <v>1</v>
      </c>
    </row>
    <row r="1008">
      <c r="A1008" t="n">
        <v>1007</v>
      </c>
      <c r="B1008" t="n">
        <v>28.9</v>
      </c>
      <c r="C1008" t="n">
        <v>24.6</v>
      </c>
      <c r="D1008" t="n">
        <v>22.9</v>
      </c>
      <c r="E1008">
        <f>1</f>
        <v>1</v>
      </c>
      <c r="F1008">
        <f>IF(OR(F_Custom1_Q="(None)",F_Custom1_Q="",ISBLANK(F_Custom1_Q),F_Custom1_V="(All)",F_Custom1_V="",ISBLANK(F_Custom1_V)),1,IFERROR(IF(ISNUMBER(SEARCH("|"&amp;INDEX(INDIRECT(F_Custom1_resolved_column),1007)&amp;"|",F_Custom1_wrapped)),1,0),0))</f>
        <v>1</v>
      </c>
      <c r="G1008">
        <f>IF(OR(F_Custom2_Q="(None)",F_Custom2_Q="",ISBLANK(F_Custom2_Q),F_Custom2_V="(All)",F_Custom2_V="",ISBLANK(F_Custom2_V)),1,IFERROR(IF(ISNUMBER(SEARCH("|"&amp;INDEX(INDIRECT(F_Custom2_resolved_column),1007)&amp;"|",F_Custom2_wrapped)),1,0),0))</f>
        <v>1</v>
      </c>
      <c r="H1008">
        <f>F1008*G1008*1</f>
        <v>1</v>
      </c>
      <c r="I1008">
        <f>1</f>
        <v>1</v>
      </c>
      <c r="J10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1007)&amp;"|",All_Questions_Q20_F_wrapped)),1,0),0))</f>
        <v>1</v>
      </c>
    </row>
    <row r="1009">
      <c r="A1009" t="n">
        <v>1008</v>
      </c>
      <c r="B1009" t="n">
        <v>28.9</v>
      </c>
      <c r="C1009" t="n">
        <v>24.6</v>
      </c>
      <c r="D1009" t="n">
        <v>22.9</v>
      </c>
      <c r="E1009">
        <f>1</f>
        <v>1</v>
      </c>
      <c r="F1009">
        <f>IF(OR(F_Custom1_Q="(None)",F_Custom1_Q="",ISBLANK(F_Custom1_Q),F_Custom1_V="(All)",F_Custom1_V="",ISBLANK(F_Custom1_V)),1,IFERROR(IF(ISNUMBER(SEARCH("|"&amp;INDEX(INDIRECT(F_Custom1_resolved_column),1008)&amp;"|",F_Custom1_wrapped)),1,0),0))</f>
        <v>1</v>
      </c>
      <c r="G1009">
        <f>IF(OR(F_Custom2_Q="(None)",F_Custom2_Q="",ISBLANK(F_Custom2_Q),F_Custom2_V="(All)",F_Custom2_V="",ISBLANK(F_Custom2_V)),1,IFERROR(IF(ISNUMBER(SEARCH("|"&amp;INDEX(INDIRECT(F_Custom2_resolved_column),1008)&amp;"|",F_Custom2_wrapped)),1,0),0))</f>
        <v>1</v>
      </c>
      <c r="H1009">
        <f>F1009*G1009*1</f>
        <v>1</v>
      </c>
      <c r="I1009">
        <f>1</f>
        <v>1</v>
      </c>
      <c r="J10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1008)&amp;"|",All_Questions_Q20_F_wrapped)),1,0),0))</f>
        <v>1</v>
      </c>
    </row>
    <row r="1010">
      <c r="A1010" t="n">
        <v>1009</v>
      </c>
      <c r="B1010" t="n">
        <v>28.9</v>
      </c>
      <c r="C1010" t="n">
        <v>24.6</v>
      </c>
      <c r="D1010" t="n">
        <v>22.9</v>
      </c>
      <c r="E1010">
        <f>1</f>
        <v>1</v>
      </c>
      <c r="F1010">
        <f>IF(OR(F_Custom1_Q="(None)",F_Custom1_Q="",ISBLANK(F_Custom1_Q),F_Custom1_V="(All)",F_Custom1_V="",ISBLANK(F_Custom1_V)),1,IFERROR(IF(ISNUMBER(SEARCH("|"&amp;INDEX(INDIRECT(F_Custom1_resolved_column),1009)&amp;"|",F_Custom1_wrapped)),1,0),0))</f>
        <v>1</v>
      </c>
      <c r="G1010">
        <f>IF(OR(F_Custom2_Q="(None)",F_Custom2_Q="",ISBLANK(F_Custom2_Q),F_Custom2_V="(All)",F_Custom2_V="",ISBLANK(F_Custom2_V)),1,IFERROR(IF(ISNUMBER(SEARCH("|"&amp;INDEX(INDIRECT(F_Custom2_resolved_column),1009)&amp;"|",F_Custom2_wrapped)),1,0),0))</f>
        <v>1</v>
      </c>
      <c r="H1010">
        <f>F1010*G1010*1</f>
        <v>1</v>
      </c>
      <c r="I1010">
        <f>1</f>
        <v>1</v>
      </c>
      <c r="J10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1009)&amp;"|",All_Questions_Q20_F_wrapped)),1,0),0))</f>
        <v>1</v>
      </c>
    </row>
    <row r="1011">
      <c r="A1011" t="n">
        <v>1010</v>
      </c>
      <c r="B1011" t="n">
        <v>28.9</v>
      </c>
      <c r="C1011" t="n">
        <v>24.6</v>
      </c>
      <c r="D1011" t="n">
        <v>22.9</v>
      </c>
      <c r="E1011">
        <f>1</f>
        <v>1</v>
      </c>
      <c r="F1011">
        <f>IF(OR(F_Custom1_Q="(None)",F_Custom1_Q="",ISBLANK(F_Custom1_Q),F_Custom1_V="(All)",F_Custom1_V="",ISBLANK(F_Custom1_V)),1,IFERROR(IF(ISNUMBER(SEARCH("|"&amp;INDEX(INDIRECT(F_Custom1_resolved_column),1010)&amp;"|",F_Custom1_wrapped)),1,0),0))</f>
        <v>1</v>
      </c>
      <c r="G1011">
        <f>IF(OR(F_Custom2_Q="(None)",F_Custom2_Q="",ISBLANK(F_Custom2_Q),F_Custom2_V="(All)",F_Custom2_V="",ISBLANK(F_Custom2_V)),1,IFERROR(IF(ISNUMBER(SEARCH("|"&amp;INDEX(INDIRECT(F_Custom2_resolved_column),1010)&amp;"|",F_Custom2_wrapped)),1,0),0))</f>
        <v>1</v>
      </c>
      <c r="H1011">
        <f>F1011*G1011*1</f>
        <v>1</v>
      </c>
      <c r="I1011">
        <f>1</f>
        <v>1</v>
      </c>
      <c r="J10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1010)&amp;"|",All_Questions_Q20_F_wrapped)),1,0),0))</f>
        <v>1</v>
      </c>
    </row>
    <row r="1012">
      <c r="A1012" t="n">
        <v>1011</v>
      </c>
      <c r="B1012" t="n">
        <v>28.9</v>
      </c>
      <c r="C1012" t="n">
        <v>24.6</v>
      </c>
      <c r="D1012" t="n">
        <v>22.9</v>
      </c>
      <c r="E1012">
        <f>1</f>
        <v>1</v>
      </c>
      <c r="F1012">
        <f>IF(OR(F_Custom1_Q="(None)",F_Custom1_Q="",ISBLANK(F_Custom1_Q),F_Custom1_V="(All)",F_Custom1_V="",ISBLANK(F_Custom1_V)),1,IFERROR(IF(ISNUMBER(SEARCH("|"&amp;INDEX(INDIRECT(F_Custom1_resolved_column),1011)&amp;"|",F_Custom1_wrapped)),1,0),0))</f>
        <v>1</v>
      </c>
      <c r="G1012">
        <f>IF(OR(F_Custom2_Q="(None)",F_Custom2_Q="",ISBLANK(F_Custom2_Q),F_Custom2_V="(All)",F_Custom2_V="",ISBLANK(F_Custom2_V)),1,IFERROR(IF(ISNUMBER(SEARCH("|"&amp;INDEX(INDIRECT(F_Custom2_resolved_column),1011)&amp;"|",F_Custom2_wrapped)),1,0),0))</f>
        <v>1</v>
      </c>
      <c r="H1012">
        <f>F1012*G1012*1</f>
        <v>1</v>
      </c>
      <c r="I1012">
        <f>1</f>
        <v>1</v>
      </c>
      <c r="J10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1011)&amp;"|",All_Questions_Q20_F_wrapped)),1,0),0))</f>
        <v>1</v>
      </c>
    </row>
    <row r="1013">
      <c r="A1013" t="n">
        <v>1012</v>
      </c>
      <c r="B1013" t="n">
        <v>28.9</v>
      </c>
      <c r="C1013" t="n">
        <v>24.6</v>
      </c>
      <c r="D1013" t="n">
        <v>22.9</v>
      </c>
      <c r="E1013">
        <f>1</f>
        <v>1</v>
      </c>
      <c r="F1013">
        <f>IF(OR(F_Custom1_Q="(None)",F_Custom1_Q="",ISBLANK(F_Custom1_Q),F_Custom1_V="(All)",F_Custom1_V="",ISBLANK(F_Custom1_V)),1,IFERROR(IF(ISNUMBER(SEARCH("|"&amp;INDEX(INDIRECT(F_Custom1_resolved_column),1012)&amp;"|",F_Custom1_wrapped)),1,0),0))</f>
        <v>1</v>
      </c>
      <c r="G1013">
        <f>IF(OR(F_Custom2_Q="(None)",F_Custom2_Q="",ISBLANK(F_Custom2_Q),F_Custom2_V="(All)",F_Custom2_V="",ISBLANK(F_Custom2_V)),1,IFERROR(IF(ISNUMBER(SEARCH("|"&amp;INDEX(INDIRECT(F_Custom2_resolved_column),1012)&amp;"|",F_Custom2_wrapped)),1,0),0))</f>
        <v>1</v>
      </c>
      <c r="H1013">
        <f>F1013*G1013*1</f>
        <v>1</v>
      </c>
      <c r="I1013">
        <f>1</f>
        <v>1</v>
      </c>
      <c r="J10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1012)&amp;"|",All_Questions_Q20_F_wrapped)),1,0),0))</f>
        <v>1</v>
      </c>
    </row>
    <row r="1014">
      <c r="A1014" t="n">
        <v>1013</v>
      </c>
      <c r="B1014" t="n">
        <v>28.9</v>
      </c>
      <c r="C1014" t="n">
        <v>24.6</v>
      </c>
      <c r="D1014" t="n">
        <v>22.9</v>
      </c>
      <c r="E1014">
        <f>1</f>
        <v>1</v>
      </c>
      <c r="F1014">
        <f>IF(OR(F_Custom1_Q="(None)",F_Custom1_Q="",ISBLANK(F_Custom1_Q),F_Custom1_V="(All)",F_Custom1_V="",ISBLANK(F_Custom1_V)),1,IFERROR(IF(ISNUMBER(SEARCH("|"&amp;INDEX(INDIRECT(F_Custom1_resolved_column),1013)&amp;"|",F_Custom1_wrapped)),1,0),0))</f>
        <v>1</v>
      </c>
      <c r="G1014">
        <f>IF(OR(F_Custom2_Q="(None)",F_Custom2_Q="",ISBLANK(F_Custom2_Q),F_Custom2_V="(All)",F_Custom2_V="",ISBLANK(F_Custom2_V)),1,IFERROR(IF(ISNUMBER(SEARCH("|"&amp;INDEX(INDIRECT(F_Custom2_resolved_column),1013)&amp;"|",F_Custom2_wrapped)),1,0),0))</f>
        <v>1</v>
      </c>
      <c r="H1014">
        <f>F1014*G1014*1</f>
        <v>1</v>
      </c>
      <c r="I1014">
        <f>1</f>
        <v>1</v>
      </c>
      <c r="J10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1013)&amp;"|",All_Questions_Q20_F_wrapped)),1,0),0))</f>
        <v>1</v>
      </c>
    </row>
    <row r="1015">
      <c r="A1015" t="n">
        <v>1014</v>
      </c>
      <c r="B1015" t="n">
        <v>28.9</v>
      </c>
      <c r="C1015" t="n">
        <v>24.6</v>
      </c>
      <c r="D1015" t="n">
        <v>22.9</v>
      </c>
      <c r="E1015">
        <f>1</f>
        <v>1</v>
      </c>
      <c r="F1015">
        <f>IF(OR(F_Custom1_Q="(None)",F_Custom1_Q="",ISBLANK(F_Custom1_Q),F_Custom1_V="(All)",F_Custom1_V="",ISBLANK(F_Custom1_V)),1,IFERROR(IF(ISNUMBER(SEARCH("|"&amp;INDEX(INDIRECT(F_Custom1_resolved_column),1014)&amp;"|",F_Custom1_wrapped)),1,0),0))</f>
        <v>1</v>
      </c>
      <c r="G1015">
        <f>IF(OR(F_Custom2_Q="(None)",F_Custom2_Q="",ISBLANK(F_Custom2_Q),F_Custom2_V="(All)",F_Custom2_V="",ISBLANK(F_Custom2_V)),1,IFERROR(IF(ISNUMBER(SEARCH("|"&amp;INDEX(INDIRECT(F_Custom2_resolved_column),1014)&amp;"|",F_Custom2_wrapped)),1,0),0))</f>
        <v>1</v>
      </c>
      <c r="H1015">
        <f>F1015*G1015*1</f>
        <v>1</v>
      </c>
      <c r="I1015">
        <f>1</f>
        <v>1</v>
      </c>
      <c r="J10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1014)&amp;"|",All_Questions_Q20_F_wrapped)),1,0),0))</f>
        <v>1</v>
      </c>
    </row>
    <row r="1016">
      <c r="A1016" t="n">
        <v>1015</v>
      </c>
      <c r="B1016" t="n">
        <v>28.9</v>
      </c>
      <c r="C1016" t="n">
        <v>24.6</v>
      </c>
      <c r="D1016" t="n">
        <v>22.9</v>
      </c>
      <c r="E1016">
        <f>1</f>
        <v>1</v>
      </c>
      <c r="F1016">
        <f>IF(OR(F_Custom1_Q="(None)",F_Custom1_Q="",ISBLANK(F_Custom1_Q),F_Custom1_V="(All)",F_Custom1_V="",ISBLANK(F_Custom1_V)),1,IFERROR(IF(ISNUMBER(SEARCH("|"&amp;INDEX(INDIRECT(F_Custom1_resolved_column),1015)&amp;"|",F_Custom1_wrapped)),1,0),0))</f>
        <v>1</v>
      </c>
      <c r="G1016">
        <f>IF(OR(F_Custom2_Q="(None)",F_Custom2_Q="",ISBLANK(F_Custom2_Q),F_Custom2_V="(All)",F_Custom2_V="",ISBLANK(F_Custom2_V)),1,IFERROR(IF(ISNUMBER(SEARCH("|"&amp;INDEX(INDIRECT(F_Custom2_resolved_column),1015)&amp;"|",F_Custom2_wrapped)),1,0),0))</f>
        <v>1</v>
      </c>
      <c r="H1016">
        <f>F1016*G1016*1</f>
        <v>1</v>
      </c>
      <c r="I1016">
        <f>1</f>
        <v>1</v>
      </c>
      <c r="J10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1015)&amp;"|",All_Questions_Q20_F_wrapped)),1,0),0))</f>
        <v>1</v>
      </c>
    </row>
    <row r="1017">
      <c r="A1017" t="n">
        <v>1016</v>
      </c>
      <c r="B1017" t="n">
        <v>28.9</v>
      </c>
      <c r="C1017" t="n">
        <v>24.6</v>
      </c>
      <c r="D1017" t="n">
        <v>22.9</v>
      </c>
      <c r="E1017">
        <f>1</f>
        <v>1</v>
      </c>
      <c r="F1017">
        <f>IF(OR(F_Custom1_Q="(None)",F_Custom1_Q="",ISBLANK(F_Custom1_Q),F_Custom1_V="(All)",F_Custom1_V="",ISBLANK(F_Custom1_V)),1,IFERROR(IF(ISNUMBER(SEARCH("|"&amp;INDEX(INDIRECT(F_Custom1_resolved_column),1016)&amp;"|",F_Custom1_wrapped)),1,0),0))</f>
        <v>1</v>
      </c>
      <c r="G1017">
        <f>IF(OR(F_Custom2_Q="(None)",F_Custom2_Q="",ISBLANK(F_Custom2_Q),F_Custom2_V="(All)",F_Custom2_V="",ISBLANK(F_Custom2_V)),1,IFERROR(IF(ISNUMBER(SEARCH("|"&amp;INDEX(INDIRECT(F_Custom2_resolved_column),1016)&amp;"|",F_Custom2_wrapped)),1,0),0))</f>
        <v>1</v>
      </c>
      <c r="H1017">
        <f>F1017*G1017*1</f>
        <v>1</v>
      </c>
      <c r="I1017">
        <f>1</f>
        <v>1</v>
      </c>
      <c r="J10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1016)&amp;"|",All_Questions_Q20_F_wrapped)),1,0),0))</f>
        <v>1</v>
      </c>
    </row>
    <row r="1018">
      <c r="A1018" t="n">
        <v>1017</v>
      </c>
      <c r="B1018" t="n">
        <v>28.9</v>
      </c>
      <c r="C1018" t="n">
        <v>24.6</v>
      </c>
      <c r="D1018" t="n">
        <v>22.9</v>
      </c>
      <c r="E1018">
        <f>1</f>
        <v>1</v>
      </c>
      <c r="F1018">
        <f>IF(OR(F_Custom1_Q="(None)",F_Custom1_Q="",ISBLANK(F_Custom1_Q),F_Custom1_V="(All)",F_Custom1_V="",ISBLANK(F_Custom1_V)),1,IFERROR(IF(ISNUMBER(SEARCH("|"&amp;INDEX(INDIRECT(F_Custom1_resolved_column),1017)&amp;"|",F_Custom1_wrapped)),1,0),0))</f>
        <v>1</v>
      </c>
      <c r="G1018">
        <f>IF(OR(F_Custom2_Q="(None)",F_Custom2_Q="",ISBLANK(F_Custom2_Q),F_Custom2_V="(All)",F_Custom2_V="",ISBLANK(F_Custom2_V)),1,IFERROR(IF(ISNUMBER(SEARCH("|"&amp;INDEX(INDIRECT(F_Custom2_resolved_column),1017)&amp;"|",F_Custom2_wrapped)),1,0),0))</f>
        <v>1</v>
      </c>
      <c r="H1018">
        <f>F1018*G1018*1</f>
        <v>1</v>
      </c>
      <c r="I1018">
        <f>1</f>
        <v>1</v>
      </c>
      <c r="J10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1017)&amp;"|",All_Questions_Q20_F_wrapped)),1,0),0))</f>
        <v>1</v>
      </c>
    </row>
    <row r="1019">
      <c r="A1019" t="n">
        <v>1018</v>
      </c>
      <c r="B1019" t="n">
        <v>28.9</v>
      </c>
      <c r="C1019" t="n">
        <v>24.6</v>
      </c>
      <c r="D1019" t="n">
        <v>22.9</v>
      </c>
      <c r="E1019">
        <f>1</f>
        <v>1</v>
      </c>
      <c r="F1019">
        <f>IF(OR(F_Custom1_Q="(None)",F_Custom1_Q="",ISBLANK(F_Custom1_Q),F_Custom1_V="(All)",F_Custom1_V="",ISBLANK(F_Custom1_V)),1,IFERROR(IF(ISNUMBER(SEARCH("|"&amp;INDEX(INDIRECT(F_Custom1_resolved_column),1018)&amp;"|",F_Custom1_wrapped)),1,0),0))</f>
        <v>1</v>
      </c>
      <c r="G1019">
        <f>IF(OR(F_Custom2_Q="(None)",F_Custom2_Q="",ISBLANK(F_Custom2_Q),F_Custom2_V="(All)",F_Custom2_V="",ISBLANK(F_Custom2_V)),1,IFERROR(IF(ISNUMBER(SEARCH("|"&amp;INDEX(INDIRECT(F_Custom2_resolved_column),1018)&amp;"|",F_Custom2_wrapped)),1,0),0))</f>
        <v>1</v>
      </c>
      <c r="H1019">
        <f>F1019*G1019*1</f>
        <v>1</v>
      </c>
      <c r="I1019">
        <f>1</f>
        <v>1</v>
      </c>
      <c r="J10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1018)&amp;"|",All_Questions_Q20_F_wrapped)),1,0),0))</f>
        <v>1</v>
      </c>
    </row>
    <row r="1020">
      <c r="A1020" t="n">
        <v>1019</v>
      </c>
      <c r="B1020" t="n">
        <v>28.9</v>
      </c>
      <c r="C1020" t="n">
        <v>24.6</v>
      </c>
      <c r="D1020" t="n">
        <v>22.9</v>
      </c>
      <c r="E1020">
        <f>1</f>
        <v>1</v>
      </c>
      <c r="F1020">
        <f>IF(OR(F_Custom1_Q="(None)",F_Custom1_Q="",ISBLANK(F_Custom1_Q),F_Custom1_V="(All)",F_Custom1_V="",ISBLANK(F_Custom1_V)),1,IFERROR(IF(ISNUMBER(SEARCH("|"&amp;INDEX(INDIRECT(F_Custom1_resolved_column),1019)&amp;"|",F_Custom1_wrapped)),1,0),0))</f>
        <v>1</v>
      </c>
      <c r="G1020">
        <f>IF(OR(F_Custom2_Q="(None)",F_Custom2_Q="",ISBLANK(F_Custom2_Q),F_Custom2_V="(All)",F_Custom2_V="",ISBLANK(F_Custom2_V)),1,IFERROR(IF(ISNUMBER(SEARCH("|"&amp;INDEX(INDIRECT(F_Custom2_resolved_column),1019)&amp;"|",F_Custom2_wrapped)),1,0),0))</f>
        <v>1</v>
      </c>
      <c r="H1020">
        <f>F1020*G1020*1</f>
        <v>1</v>
      </c>
      <c r="I1020">
        <f>1</f>
        <v>1</v>
      </c>
      <c r="J10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1019)&amp;"|",All_Questions_Q20_F_wrapped)),1,0),0))</f>
        <v>1</v>
      </c>
    </row>
    <row r="1021">
      <c r="A1021" t="n">
        <v>1020</v>
      </c>
      <c r="B1021" t="n">
        <v>28.9</v>
      </c>
      <c r="C1021" t="n">
        <v>24.6</v>
      </c>
      <c r="D1021" t="n">
        <v>22.9</v>
      </c>
      <c r="E1021">
        <f>1</f>
        <v>1</v>
      </c>
      <c r="F1021">
        <f>IF(OR(F_Custom1_Q="(None)",F_Custom1_Q="",ISBLANK(F_Custom1_Q),F_Custom1_V="(All)",F_Custom1_V="",ISBLANK(F_Custom1_V)),1,IFERROR(IF(ISNUMBER(SEARCH("|"&amp;INDEX(INDIRECT(F_Custom1_resolved_column),1020)&amp;"|",F_Custom1_wrapped)),1,0),0))</f>
        <v>1</v>
      </c>
      <c r="G1021">
        <f>IF(OR(F_Custom2_Q="(None)",F_Custom2_Q="",ISBLANK(F_Custom2_Q),F_Custom2_V="(All)",F_Custom2_V="",ISBLANK(F_Custom2_V)),1,IFERROR(IF(ISNUMBER(SEARCH("|"&amp;INDEX(INDIRECT(F_Custom2_resolved_column),1020)&amp;"|",F_Custom2_wrapped)),1,0),0))</f>
        <v>1</v>
      </c>
      <c r="H1021">
        <f>F1021*G1021*1</f>
        <v>1</v>
      </c>
      <c r="I1021">
        <f>1</f>
        <v>1</v>
      </c>
      <c r="J10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1020)&amp;"|",All_Questions_Q20_F_wrapped)),1,0),0))</f>
        <v>1</v>
      </c>
    </row>
    <row r="1022">
      <c r="A1022" t="n">
        <v>1021</v>
      </c>
      <c r="B1022" t="n">
        <v>28.9</v>
      </c>
      <c r="C1022" t="n">
        <v>24.6</v>
      </c>
      <c r="D1022" t="n">
        <v>22.9</v>
      </c>
      <c r="E1022">
        <f>1</f>
        <v>1</v>
      </c>
      <c r="F1022">
        <f>IF(OR(F_Custom1_Q="(None)",F_Custom1_Q="",ISBLANK(F_Custom1_Q),F_Custom1_V="(All)",F_Custom1_V="",ISBLANK(F_Custom1_V)),1,IFERROR(IF(ISNUMBER(SEARCH("|"&amp;INDEX(INDIRECT(F_Custom1_resolved_column),1021)&amp;"|",F_Custom1_wrapped)),1,0),0))</f>
        <v>1</v>
      </c>
      <c r="G1022">
        <f>IF(OR(F_Custom2_Q="(None)",F_Custom2_Q="",ISBLANK(F_Custom2_Q),F_Custom2_V="(All)",F_Custom2_V="",ISBLANK(F_Custom2_V)),1,IFERROR(IF(ISNUMBER(SEARCH("|"&amp;INDEX(INDIRECT(F_Custom2_resolved_column),1021)&amp;"|",F_Custom2_wrapped)),1,0),0))</f>
        <v>1</v>
      </c>
      <c r="H1022">
        <f>F1022*G1022*1</f>
        <v>1</v>
      </c>
      <c r="I1022">
        <f>1</f>
        <v>1</v>
      </c>
      <c r="J10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1021)&amp;"|",All_Questions_Q20_F_wrapped)),1,0),0))</f>
        <v>1</v>
      </c>
    </row>
    <row r="1023">
      <c r="A1023" t="n">
        <v>1022</v>
      </c>
      <c r="B1023" t="n">
        <v>28.9</v>
      </c>
      <c r="C1023" t="n">
        <v>24.6</v>
      </c>
      <c r="D1023" t="n">
        <v>22.9</v>
      </c>
      <c r="E1023">
        <f>1</f>
        <v>1</v>
      </c>
      <c r="F1023">
        <f>IF(OR(F_Custom1_Q="(None)",F_Custom1_Q="",ISBLANK(F_Custom1_Q),F_Custom1_V="(All)",F_Custom1_V="",ISBLANK(F_Custom1_V)),1,IFERROR(IF(ISNUMBER(SEARCH("|"&amp;INDEX(INDIRECT(F_Custom1_resolved_column),1022)&amp;"|",F_Custom1_wrapped)),1,0),0))</f>
        <v>1</v>
      </c>
      <c r="G1023">
        <f>IF(OR(F_Custom2_Q="(None)",F_Custom2_Q="",ISBLANK(F_Custom2_Q),F_Custom2_V="(All)",F_Custom2_V="",ISBLANK(F_Custom2_V)),1,IFERROR(IF(ISNUMBER(SEARCH("|"&amp;INDEX(INDIRECT(F_Custom2_resolved_column),1022)&amp;"|",F_Custom2_wrapped)),1,0),0))</f>
        <v>1</v>
      </c>
      <c r="H1023">
        <f>F1023*G1023*1</f>
        <v>1</v>
      </c>
      <c r="I1023">
        <f>1</f>
        <v>1</v>
      </c>
      <c r="J10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1022)&amp;"|",All_Questions_Q20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Q20r1_options</t>
        </is>
      </c>
      <c r="G1" t="inlineStr">
        <is>
          <t>Q20r2_options</t>
        </is>
      </c>
      <c r="H1" t="inlineStr">
        <is>
          <t>Q20r3_options</t>
        </is>
      </c>
      <c r="I1" t="inlineStr">
        <is>
          <t>Q20r1_local_options</t>
        </is>
      </c>
      <c r="J1" t="inlineStr">
        <is>
          <t>Q20r2_local_options</t>
        </is>
      </c>
      <c r="K1" t="inlineStr">
        <is>
          <t>Q20r3_local_options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respondent_id_data</t>
        </is>
      </c>
      <c r="D2" t="inlineStr">
        <is>
          <t>None_options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(Inherit)</t>
        </is>
      </c>
      <c r="J2" t="inlineStr">
        <is>
          <t>(Inherit)</t>
        </is>
      </c>
      <c r="K2" t="inlineStr">
        <is>
          <t>(Inherit)</t>
        </is>
      </c>
    </row>
    <row r="3">
      <c r="B3" t="inlineStr">
        <is>
          <t>(None)</t>
        </is>
      </c>
      <c r="F3" t="inlineStr">
        <is>
          <t>28.9</t>
        </is>
      </c>
      <c r="G3" t="inlineStr">
        <is>
          <t>24.6</t>
        </is>
      </c>
      <c r="H3" t="inlineStr">
        <is>
          <t>22.9</t>
        </is>
      </c>
      <c r="I3" t="inlineStr">
        <is>
          <t>(All)</t>
        </is>
      </c>
      <c r="J3" t="inlineStr">
        <is>
          <t>(All)</t>
        </is>
      </c>
      <c r="K3" t="inlineStr">
        <is>
          <t>(All)</t>
        </is>
      </c>
    </row>
    <row r="4">
      <c r="I4" t="inlineStr">
        <is>
          <t>28.9</t>
        </is>
      </c>
      <c r="J4" t="inlineStr">
        <is>
          <t>24.6</t>
        </is>
      </c>
      <c r="K4" t="inlineStr">
        <is>
          <t>22.9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XLOOKUP(F_Custom1_Q,All_Questions,All_Questions_Data_Names,"respondent_id_data")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XLOOKUP(F_Custom2_Q,All_Questions,All_Questions_Data_Names,"respondent_id_data")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=INDIRECT(XLOOKUP(F_Custom1_Q,All_Questions,All_Questions_Options_Names,"None_options"))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=INDIRECT(XLOOKUP(F_Custom2_Q,All_Questions,All_Questions_Options_Names,"None_options"))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1022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6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7" customWidth="1" min="3" max="3"/>
    <col width="20" customWidth="1" min="4" max="4"/>
    <col width="21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[Q20]</t>
        </is>
      </c>
      <c r="B2" t="inlineStr">
        <is>
          <t>Q20</t>
        </is>
      </c>
      <c r="C2" t="inlineStr">
        <is>
          <t>Allocate growth by source</t>
        </is>
      </c>
      <c r="D2" t="inlineStr">
        <is>
          <t>NUMERIC_ALLOCATION</t>
        </is>
      </c>
      <c r="E2" t="inlineStr">
        <is>
          <t>Q20r1, Q20r2, Q20r3</t>
        </is>
      </c>
      <c r="F2" t="n">
        <v>3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0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Q20</t>
        </is>
      </c>
      <c r="B2" t="inlineStr">
        <is>
          <t>Q20</t>
        </is>
      </c>
      <c r="C2" t="inlineStr">
        <is>
          <t>NUMERIC_ALLOCATION</t>
        </is>
      </c>
      <c r="D2" t="inlineStr">
        <is>
          <t>All Questions</t>
        </is>
      </c>
      <c r="E2" s="6" t="inlineStr">
        <is>
          <t>All Questions</t>
        </is>
      </c>
      <c r="F2" t="n">
        <v>1022</v>
      </c>
      <c r="G2" t="n">
        <v>0</v>
      </c>
      <c r="H2" s="7" t="n">
        <v>0</v>
      </c>
      <c r="I2" t="inlineStr"/>
    </row>
  </sheetData>
  <hyperlinks>
    <hyperlink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N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XLOOKUP(All_Questions_F_Custom1_Q_resolved,All_Questions,All_Questions_Data_Names,"respondent_id_data")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XLOOKUP(All_Questions_F_Custom2_Q_resolved,All_Questions,All_Questions_Data_Names,"respondent_id_data")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Q20 - Growth Allocation By Source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XLOOKUP(All_Questions_Q20_F_Q,All_Questions,All_Questions_Data_Names,"respondent_id_data")</f>
        <v>respondent_id_data</v>
      </c>
      <c r="G13" t="str">
        <f>"|" &amp; SUBSTITUTE(All_Questions_Q20_F_V,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Mean</t>
        </is>
      </c>
      <c r="C16" s="4" t="inlineStr">
        <is>
          <t>Median</t>
        </is>
      </c>
      <c r="D16" s="4" t="inlineStr">
        <is>
          <t>Denominator</t>
        </is>
      </c>
    </row>
    <row r="17">
      <c r="A17" t="inlineStr">
        <is>
          <t>Existing customers - net retention</t>
        </is>
      </c>
      <c r="B17" s="14">
        <f>IFERROR(AVERAGEIFS(Q20r1_data,passes_workbook_filters_data,1,passes_workbook_custom_filters_data,1,All_Questions_passes_local_filters_data,1,All_Questions_Q20_F_passes_per_q_filter_data,1),0)</f>
        <v>28.9</v>
      </c>
      <c r="C17" s="14" t="n">
        <v>27</v>
      </c>
      <c r="D17">
        <f>COUNTIFS(Q20r1_data,"&lt;&gt;",passes_workbook_filters_data,1,passes_workbook_custom_filters_data,1,All_Questions_passes_local_filters_data,1,All_Questions_Q20_F_passes_per_q_filter_data,1)</f>
        <v>1022</v>
      </c>
    </row>
    <row r="18">
      <c r="A18" t="inlineStr">
        <is>
          <t>Existing customers - cross-sell / up-sell</t>
        </is>
      </c>
      <c r="B18" s="14">
        <f>IFERROR(AVERAGEIFS(Q20r2_data,passes_workbook_filters_data,1,passes_workbook_custom_filters_data,1,All_Questions_passes_local_filters_data,1,All_Questions_Q20_F_passes_per_q_filter_data,1),0)</f>
        <v>24.6</v>
      </c>
      <c r="C18" s="14" t="n">
        <v>22</v>
      </c>
      <c r="D18">
        <f>COUNTIFS(Q20r2_data,"&lt;&gt;",passes_workbook_filters_data,1,passes_workbook_custom_filters_data,1,All_Questions_passes_local_filters_data,1,All_Questions_Q20_F_passes_per_q_filter_data,1)</f>
        <v>1022</v>
      </c>
    </row>
    <row r="19">
      <c r="A19" t="inlineStr">
        <is>
          <t>New customers - existing geographies</t>
        </is>
      </c>
      <c r="B19" s="14">
        <f>IFERROR(AVERAGEIFS(Q20r3_data,passes_workbook_filters_data,1,passes_workbook_custom_filters_data,1,All_Questions_passes_local_filters_data,1,All_Questions_Q20_F_passes_per_q_filter_data,1),0)</f>
        <v>22.9</v>
      </c>
      <c r="C19" s="14" t="n">
        <v>20</v>
      </c>
      <c r="D19">
        <f>COUNTIFS(Q20r3_data,"&lt;&gt;",passes_workbook_filters_data,1,passes_workbook_custom_filters_data,1,All_Questions_passes_local_filters_data,1,All_Questions_Q20_F_passes_per_q_filter_data,1)</f>
        <v>1022</v>
      </c>
    </row>
    <row r="20">
      <c r="A20" s="15" t="inlineStr">
        <is>
          <t>Total respondents</t>
        </is>
      </c>
      <c r="B20" s="15" t="n">
        <v>1022</v>
      </c>
      <c r="C20" s="15" t="n"/>
      <c r="D20" s="15" t="n"/>
    </row>
  </sheetData>
  <mergeCells count="1">
    <mergeCell ref="A1:J1"/>
  </mergeCells>
  <conditionalFormatting sqref="B17:B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=INDIRECT(XLOOKUP(All_Questions_F_Custom1_Q_resolved,All_Questions,All_Questions_Options_Names,"None_options"))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=INDIRECT(XLOOKUP(All_Questions_F_Custom2_Q_resolved,All_Questions,All_Questions_Options_Names,"None_options"))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=INDIRECT(XLOOKUP(All_Questions_Q20_F_Q,All_Questions,All_Questions_Options_Names,"None_options"))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  <legacyDrawing r:id="anysvml"/>
  <tableParts count="1">
    <tablePart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7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3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SC_Q20</t>
        </is>
      </c>
      <c r="B2" t="inlineStr">
        <is>
          <t>numeric_allocation_mean</t>
        </is>
      </c>
      <c r="C2" t="inlineStr">
        <is>
          <t>Q20</t>
        </is>
      </c>
      <c r="D2" t="inlineStr">
        <is>
          <t>Q20r1</t>
        </is>
      </c>
      <c r="E2" t="inlineStr"/>
      <c r="F2" t="n">
        <v>100</v>
      </c>
      <c r="G2" t="n">
        <v>1022</v>
      </c>
      <c r="H2" t="inlineStr">
        <is>
          <t>numeric_allocation_mean formula</t>
        </is>
      </c>
      <c r="I2" t="n">
        <v>28.9</v>
      </c>
      <c r="J2" t="n">
        <v>1022</v>
      </c>
      <c r="K2" t="n">
        <v>0</v>
      </c>
      <c r="L2" t="inlineStr">
        <is>
          <t>2026-05-04T12:00:00+00:00</t>
        </is>
      </c>
    </row>
    <row r="3">
      <c r="A3" t="inlineStr">
        <is>
          <t>SC_Q20</t>
        </is>
      </c>
      <c r="B3" t="inlineStr">
        <is>
          <t>numeric_allocation_median</t>
        </is>
      </c>
      <c r="C3" t="inlineStr">
        <is>
          <t>Q20</t>
        </is>
      </c>
      <c r="D3" t="inlineStr">
        <is>
          <t>Q20r1</t>
        </is>
      </c>
      <c r="E3" t="inlineStr"/>
      <c r="F3" t="n">
        <v>100</v>
      </c>
      <c r="G3" t="n">
        <v>1022</v>
      </c>
      <c r="H3" t="inlineStr">
        <is>
          <t>numeric_allocation_median formula</t>
        </is>
      </c>
      <c r="I3" t="n">
        <v>27</v>
      </c>
      <c r="J3" t="n">
        <v>1022</v>
      </c>
      <c r="K3" t="n">
        <v>0</v>
      </c>
      <c r="L3" t="inlineStr">
        <is>
          <t>2026-05-04T12:00:00+00:00</t>
        </is>
      </c>
    </row>
    <row r="4">
      <c r="A4" t="inlineStr">
        <is>
          <t>SC_Q20</t>
        </is>
      </c>
      <c r="B4" t="inlineStr">
        <is>
          <t>numeric_allocation_mean</t>
        </is>
      </c>
      <c r="C4" t="inlineStr">
        <is>
          <t>Q20</t>
        </is>
      </c>
      <c r="D4" t="inlineStr">
        <is>
          <t>Q20r2</t>
        </is>
      </c>
      <c r="E4" t="inlineStr"/>
      <c r="F4" t="n">
        <v>100</v>
      </c>
      <c r="G4" t="n">
        <v>1022</v>
      </c>
      <c r="H4" t="inlineStr">
        <is>
          <t>numeric_allocation_mean formula</t>
        </is>
      </c>
      <c r="I4" t="n">
        <v>24.6</v>
      </c>
      <c r="J4" t="n">
        <v>1022</v>
      </c>
      <c r="K4" t="n">
        <v>0</v>
      </c>
      <c r="L4" t="inlineStr">
        <is>
          <t>2026-05-04T12:00:00+00:00</t>
        </is>
      </c>
    </row>
    <row r="5">
      <c r="A5" t="inlineStr">
        <is>
          <t>SC_Q20</t>
        </is>
      </c>
      <c r="B5" t="inlineStr">
        <is>
          <t>numeric_allocation_median</t>
        </is>
      </c>
      <c r="C5" t="inlineStr">
        <is>
          <t>Q20</t>
        </is>
      </c>
      <c r="D5" t="inlineStr">
        <is>
          <t>Q20r2</t>
        </is>
      </c>
      <c r="E5" t="inlineStr"/>
      <c r="F5" t="n">
        <v>100</v>
      </c>
      <c r="G5" t="n">
        <v>1022</v>
      </c>
      <c r="H5" t="inlineStr">
        <is>
          <t>numeric_allocation_median formula</t>
        </is>
      </c>
      <c r="I5" t="n">
        <v>22</v>
      </c>
      <c r="J5" t="n">
        <v>1022</v>
      </c>
      <c r="K5" t="n">
        <v>0</v>
      </c>
      <c r="L5" t="inlineStr">
        <is>
          <t>2026-05-04T12:00:00+00:00</t>
        </is>
      </c>
    </row>
    <row r="6">
      <c r="A6" t="inlineStr">
        <is>
          <t>SC_Q20</t>
        </is>
      </c>
      <c r="B6" t="inlineStr">
        <is>
          <t>numeric_allocation_mean</t>
        </is>
      </c>
      <c r="C6" t="inlineStr">
        <is>
          <t>Q20</t>
        </is>
      </c>
      <c r="D6" t="inlineStr">
        <is>
          <t>Q20r3</t>
        </is>
      </c>
      <c r="E6" t="inlineStr"/>
      <c r="F6" t="n">
        <v>100</v>
      </c>
      <c r="G6" t="n">
        <v>1022</v>
      </c>
      <c r="H6" t="inlineStr">
        <is>
          <t>numeric_allocation_mean formula</t>
        </is>
      </c>
      <c r="I6" t="n">
        <v>22.9</v>
      </c>
      <c r="J6" t="n">
        <v>1022</v>
      </c>
      <c r="K6" t="n">
        <v>0</v>
      </c>
      <c r="L6" t="inlineStr">
        <is>
          <t>2026-05-04T12:00:00+00:00</t>
        </is>
      </c>
    </row>
    <row r="7">
      <c r="A7" t="inlineStr">
        <is>
          <t>SC_Q20</t>
        </is>
      </c>
      <c r="B7" t="inlineStr">
        <is>
          <t>numeric_allocation_median</t>
        </is>
      </c>
      <c r="C7" t="inlineStr">
        <is>
          <t>Q20</t>
        </is>
      </c>
      <c r="D7" t="inlineStr">
        <is>
          <t>Q20r3</t>
        </is>
      </c>
      <c r="E7" t="inlineStr"/>
      <c r="F7" t="n">
        <v>100</v>
      </c>
      <c r="G7" t="n">
        <v>1022</v>
      </c>
      <c r="H7" t="inlineStr">
        <is>
          <t>numeric_allocation_median formula</t>
        </is>
      </c>
      <c r="I7" t="n">
        <v>20</v>
      </c>
      <c r="J7" t="n">
        <v>1022</v>
      </c>
      <c r="K7" t="n">
        <v>0</v>
      </c>
      <c r="L7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2026-05-17T13:39:18Z</dcterms:created>
  <dcterms:modified xmlns:dcterms="http://purl.org/dc/terms/" xmlns:xsi="http://www.w3.org/2001/XMLSchema-instance" xsi:type="dcterms:W3CDTF">2026-05-17T13:39:18Z</dcterms:modified>
</cp:coreProperties>
</file>