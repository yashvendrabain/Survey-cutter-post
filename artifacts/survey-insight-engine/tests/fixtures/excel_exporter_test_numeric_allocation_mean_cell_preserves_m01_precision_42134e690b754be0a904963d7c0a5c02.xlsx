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G20" i="7"/>
  <c r="H20" i="7"/>
  <c r="I20" i="7"/>
  <c r="J20" i="7"/>
  <c r="K20" i="7"/>
  <c r="L20" i="7"/>
  <c r="M20" i="7"/>
  <c r="N20" i="7"/>
  <c r="O20" i="7"/>
  <c r="P20" i="7"/>
  <c r="Q20" i="7"/>
  <c r="R20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S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F20" s="4" t="inlineStr">
        <is>
          <t>Option</t>
        </is>
      </c>
      <c r="G20" s="2" t="str">
        <f>IF(All_Questions_Q6_CT="(None)","",IFERROR(INDEX(INDIRECT(IFERROR(INDEX(Cross_Tab_Questions_Options_Names,MATCH(All_Questions_Q6_CT,Cross_Tab_Questions,0)),"'_Options'!$E$2:$E$2")),2),""))</f>
        <v/>
      </c>
      <c r="H20" s="2" t="str">
        <f>IF(All_Questions_Q6_CT="(None)","",IFERROR(INDEX(INDIRECT(IFERROR(INDEX(Cross_Tab_Questions_Options_Names,MATCH(All_Questions_Q6_CT,Cross_Tab_Questions,0)),"'_Options'!$E$2:$E$2")),3),""))</f>
        <v/>
      </c>
      <c r="I20" s="2" t="str">
        <f>IF(All_Questions_Q6_CT="(None)","",IFERROR(INDEX(INDIRECT(IFERROR(INDEX(Cross_Tab_Questions_Options_Names,MATCH(All_Questions_Q6_CT,Cross_Tab_Questions,0)),"'_Options'!$E$2:$E$2")),4),""))</f>
        <v/>
      </c>
      <c r="J20" s="2" t="str">
        <f>IF(All_Questions_Q6_CT="(None)","",IFERROR(INDEX(INDIRECT(IFERROR(INDEX(Cross_Tab_Questions_Options_Names,MATCH(All_Questions_Q6_CT,Cross_Tab_Questions,0)),"'_Options'!$E$2:$E$2")),5),""))</f>
        <v/>
      </c>
      <c r="K20" s="2" t="str">
        <f>IF(All_Questions_Q6_CT="(None)","",IFERROR(INDEX(INDIRECT(IFERROR(INDEX(Cross_Tab_Questions_Options_Names,MATCH(All_Questions_Q6_CT,Cross_Tab_Questions,0)),"'_Options'!$E$2:$E$2")),6),""))</f>
        <v/>
      </c>
      <c r="L20" s="2" t="str">
        <f>IF(All_Questions_Q6_CT="(None)","",IFERROR(INDEX(INDIRECT(IFERROR(INDEX(Cross_Tab_Questions_Options_Names,MATCH(All_Questions_Q6_CT,Cross_Tab_Questions,0)),"'_Options'!$E$2:$E$2")),7),""))</f>
        <v/>
      </c>
      <c r="M20" s="2" t="str">
        <f>IF(All_Questions_Q6_CT="(None)","",IFERROR(INDEX(INDIRECT(IFERROR(INDEX(Cross_Tab_Questions_Options_Names,MATCH(All_Questions_Q6_CT,Cross_Tab_Questions,0)),"'_Options'!$E$2:$E$2")),8),""))</f>
        <v/>
      </c>
      <c r="N20" s="2" t="str">
        <f>IF(All_Questions_Q6_CT="(None)","",IFERROR(INDEX(INDIRECT(IFERROR(INDEX(Cross_Tab_Questions_Options_Names,MATCH(All_Questions_Q6_CT,Cross_Tab_Questions,0)),"'_Options'!$E$2:$E$2")),9),""))</f>
        <v/>
      </c>
      <c r="O20" s="2" t="str">
        <f>IF(All_Questions_Q6_CT="(None)","",IFERROR(INDEX(INDIRECT(IFERROR(INDEX(Cross_Tab_Questions_Options_Names,MATCH(All_Questions_Q6_CT,Cross_Tab_Questions,0)),"'_Options'!$E$2:$E$2")),10),""))</f>
        <v/>
      </c>
      <c r="P20" s="2" t="str">
        <f>IF(All_Questions_Q6_CT="(None)","",IFERROR(INDEX(INDIRECT(IFERROR(INDEX(Cross_Tab_Questions_Options_Names,MATCH(All_Questions_Q6_CT,Cross_Tab_Questions,0)),"'_Options'!$E$2:$E$2")),11),""))</f>
        <v/>
      </c>
      <c r="Q20" s="2" t="str">
        <f>IF(All_Questions_Q6_CT="(None)","",IFERROR(INDEX(INDIRECT(IFERROR(INDEX(Cross_Tab_Questions_Options_Names,MATCH(All_Questions_Q6_CT,Cross_Tab_Questions,0)),"'_Options'!$E$2:$E$2")),12),""))</f>
        <v/>
      </c>
      <c r="R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S20" s="4" t="inlineStr">
        <is>
          <t>Total</t>
        </is>
      </c>
    </row>
    <row r="21">
      <c r="F21" s="4" t="inlineStr"/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  <c r="O21" s="4" t="inlineStr">
        <is>
          <t>Mean</t>
        </is>
      </c>
      <c r="P21" s="4" t="inlineStr">
        <is>
          <t>Mean</t>
        </is>
      </c>
      <c r="Q21" s="4" t="inlineStr">
        <is>
          <t>Mean</t>
        </is>
      </c>
      <c r="R21" s="4" t="inlineStr">
        <is>
          <t>Mean</t>
        </is>
      </c>
      <c r="S21" s="4" t="inlineStr">
        <is>
          <t>Mean</t>
        </is>
      </c>
    </row>
    <row r="22">
      <c r="F22" t="inlineStr">
        <is>
          <t>CRM &amp; sales tools</t>
        </is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26.3695</v>
      </c>
      <c r="O22" s="14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26.3695</v>
      </c>
      <c r="P22" s="14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26.3695</v>
      </c>
      <c r="Q22" s="14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26.3695</v>
      </c>
      <c r="R22" s="14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26.3695</v>
      </c>
      <c r="S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F23" s="4" t="inlineStr">
        <is>
          <t>Total respondents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G$20</t>
        </is>
      </c>
      <c r="H2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2" t="n">
        <v>26.3695</v>
      </c>
      <c r="J2" t="n">
        <v>0</v>
      </c>
      <c r="K2" t="n">
        <v>0</v>
      </c>
      <c r="L2" t="inlineStr">
        <is>
          <t>2026-06-08T13:45:59.541697+00:00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H$20</t>
        </is>
      </c>
      <c r="H3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3" t="n">
        <v>26.3695</v>
      </c>
      <c r="J3" t="n">
        <v>0</v>
      </c>
      <c r="K3" t="n">
        <v>0</v>
      </c>
      <c r="L3" t="inlineStr">
        <is>
          <t>2026-06-08T13:45:59.541925+00:00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I$20</t>
        </is>
      </c>
      <c r="H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4" t="n">
        <v>26.3695</v>
      </c>
      <c r="J4" t="n">
        <v>0</v>
      </c>
      <c r="K4" t="n">
        <v>0</v>
      </c>
      <c r="L4" t="inlineStr">
        <is>
          <t>2026-06-08T13:45:59.542143+00:00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J$20</t>
        </is>
      </c>
      <c r="H5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5" t="n">
        <v>26.3695</v>
      </c>
      <c r="J5" t="n">
        <v>0</v>
      </c>
      <c r="K5" t="n">
        <v>0</v>
      </c>
      <c r="L5" t="inlineStr">
        <is>
          <t>2026-06-08T13:45:59.542361+00:00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K$20</t>
        </is>
      </c>
      <c r="H6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6" t="n">
        <v>26.3695</v>
      </c>
      <c r="J6" t="n">
        <v>0</v>
      </c>
      <c r="K6" t="n">
        <v>0</v>
      </c>
      <c r="L6" t="inlineStr">
        <is>
          <t>2026-06-08T13:45:59.542557+00:00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L$20</t>
        </is>
      </c>
      <c r="H7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7" t="n">
        <v>26.3695</v>
      </c>
      <c r="J7" t="n">
        <v>0</v>
      </c>
      <c r="K7" t="n">
        <v>0</v>
      </c>
      <c r="L7" t="inlineStr">
        <is>
          <t>2026-06-08T13:45:59.542747+00:00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M$20</t>
        </is>
      </c>
      <c r="H8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8" t="n">
        <v>26.3695</v>
      </c>
      <c r="J8" t="n">
        <v>0</v>
      </c>
      <c r="K8" t="n">
        <v>0</v>
      </c>
      <c r="L8" t="inlineStr">
        <is>
          <t>2026-06-08T13:45:59.542929+00:00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N$20</t>
        </is>
      </c>
      <c r="H9">
        <f>IF(OR(All_Questions_Q6_CT="(None)",N$20=""),"",IF(N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N$20),"")))</f>
        <v>0</v>
      </c>
      <c r="I9" t="n">
        <v>26.3695</v>
      </c>
      <c r="J9" t="n">
        <v>0</v>
      </c>
      <c r="K9" t="n">
        <v>0</v>
      </c>
      <c r="L9" t="inlineStr">
        <is>
          <t>2026-06-08T13:45:59.543141+00:00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O$20</t>
        </is>
      </c>
      <c r="H10">
        <f>IF(OR(All_Questions_Q6_CT="(None)",O$20=""),"",IF(O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O$20),"")))</f>
        <v>0</v>
      </c>
      <c r="I10" t="n">
        <v>26.3695</v>
      </c>
      <c r="J10" t="n">
        <v>0</v>
      </c>
      <c r="K10" t="n">
        <v>0</v>
      </c>
      <c r="L10" t="inlineStr">
        <is>
          <t>2026-06-08T13:45:59.543356+00:00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P$20</t>
        </is>
      </c>
      <c r="H11">
        <f>IF(OR(All_Questions_Q6_CT="(None)",P$20=""),"",IF(P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P$20),"")))</f>
        <v>0</v>
      </c>
      <c r="I11" t="n">
        <v>26.3695</v>
      </c>
      <c r="J11" t="n">
        <v>0</v>
      </c>
      <c r="K11" t="n">
        <v>0</v>
      </c>
      <c r="L11" t="inlineStr">
        <is>
          <t>2026-06-08T13:45:59.543552+00:00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Q$20</t>
        </is>
      </c>
      <c r="H12">
        <f>IF(OR(All_Questions_Q6_CT="(None)",Q$20=""),"",IF(Q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Q$20),"")))</f>
        <v>0</v>
      </c>
      <c r="I12" t="n">
        <v>26.3695</v>
      </c>
      <c r="J12" t="n">
        <v>0</v>
      </c>
      <c r="K12" t="n">
        <v>0</v>
      </c>
      <c r="L12" t="inlineStr">
        <is>
          <t>2026-06-08T13:45:59.543737+00:00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R$20</t>
        </is>
      </c>
      <c r="H13">
        <f>IF(OR(All_Questions_Q6_CT="(None)",R$20=""),"",IF(R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R$20),"")))</f>
        <v>0</v>
      </c>
      <c r="I13" t="n">
        <v>26.3695</v>
      </c>
      <c r="J13" t="n">
        <v>0</v>
      </c>
      <c r="K13" t="n">
        <v>0</v>
      </c>
      <c r="L13" t="inlineStr">
        <is>
          <t>2026-06-08T13:45:59.544025+00:00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2026-06-08T13:45:58Z</dcterms:created>
  <dcterms:modified xmlns:dcterms="http://purl.org/dc/terms/" xmlns:xsi="http://www.w3.org/2001/XMLSchema-instance" xsi:type="dcterms:W3CDTF">2026-06-08T13:45:59Z</dcterms:modified>
</cp:coreProperties>
</file>