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None_options">'_Options'!$C$2:$C$2</definedName>
    <definedName name="Q_SS_EXPORT_options">'_Options'!$D$2:$D$4</definedName>
    <definedName name="Q_SS_EXPORT_local_options">'_Options'!$P$2:$P$5</definedName>
    <definedName name="Q_MS_EXPORTr1_options">'_Options'!$E$2:$E$3</definedName>
    <definedName name="Q_MS_EXPORTr1_local_options">'_Options'!$Q$2:$Q$4</definedName>
    <definedName name="Q_MS_EXPORTr2_options">'_Options'!$F$2:$F$3</definedName>
    <definedName name="Q_MS_EXPORTr2_local_options">'_Options'!$R$2:$R$4</definedName>
    <definedName name="Q_NUM_EXPORT_options">'_Options'!$G$2:$G$3</definedName>
    <definedName name="Q_NUM_EXPORT_local_options">'_Options'!$S$2:$S$4</definedName>
    <definedName name="Q_GRID_EXPORTr1_options">'_Options'!$H$2:$H$3</definedName>
    <definedName name="Q_GRID_EXPORTr1_local_options">'_Options'!$T$2:$T$4</definedName>
    <definedName name="Q_GRID_EXPORTr2_options">'_Options'!$I$2:$I$3</definedName>
    <definedName name="Q_GRID_EXPORTr2_local_options">'_Options'!$U$2:$U$4</definedName>
    <definedName name="Q_VERY_LONG_SINGLE_SELECT_EXPOR_options">'_Options'!$J$2:$J$4</definedName>
    <definedName name="Q_VERY_LONG_SINGLE_SELECT_EXPOR_local_options">'_Options'!$V$2:$V$5</definedName>
    <definedName name="Q_SEG_1_options">'_Options'!$K$2:$K$5</definedName>
    <definedName name="Q_SEG_1_local_options">'_Options'!$W$2:$W$6</definedName>
    <definedName name="Q_TGT_1_options">'_Options'!$L$2:$L$6</definedName>
    <definedName name="Q_TGT_1_local_options">'_Options'!$X$2:$X$7</definedName>
    <definedName name="Q_NUM_3_options">'_Options'!$M$2:$M$2</definedName>
    <definedName name="Q_NUM_3_local_options">'_Options'!$Y$2:$Y$3</definedName>
    <definedName name="Q_EXP_1_options">'_Options'!$N$2:$N$2</definedName>
    <definedName name="Q_EXP_1_local_options">'_Options'!$Z$2:$Z$3</definedName>
    <definedName name="Q_REAL_1_options">'_Options'!$O$2:$O$2</definedName>
    <definedName name="Q_REAL_1_local_options">'_Options'!$AA$2:$AA$3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Q_SEG_1_options</t>
        </is>
      </c>
      <c r="L1" t="inlineStr">
        <is>
          <t>Q_TGT_1_options</t>
        </is>
      </c>
      <c r="M1" t="inlineStr">
        <is>
          <t>Q_NUM_3_options</t>
        </is>
      </c>
      <c r="N1" t="inlineStr">
        <is>
          <t>Q_EXP_1_options</t>
        </is>
      </c>
      <c r="O1" t="inlineStr">
        <is>
          <t>Q_REAL_1_options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Q_SEG_1_local_options</t>
        </is>
      </c>
      <c r="X1" t="inlineStr">
        <is>
          <t>Q_TGT_1_local_options</t>
        </is>
      </c>
      <c r="Y1" t="inlineStr">
        <is>
          <t>Q_NUM_3_local_options</t>
        </is>
      </c>
      <c r="Z1" t="inlineStr">
        <is>
          <t>Q_EXP_1_local_options</t>
        </is>
      </c>
      <c r="AA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Segment 1</t>
        </is>
      </c>
      <c r="L3" t="inlineStr">
        <is>
          <t>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Segment 2</t>
        </is>
      </c>
      <c r="L4" t="inlineStr">
        <is>
          <t>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Segment 1</t>
        </is>
      </c>
      <c r="X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Segment 3</t>
        </is>
      </c>
      <c r="L5" t="inlineStr">
        <is>
          <t>C</t>
        </is>
      </c>
      <c r="P5" t="inlineStr">
        <is>
          <t>No</t>
        </is>
      </c>
      <c r="V5" t="inlineStr">
        <is>
          <t>B</t>
        </is>
      </c>
      <c r="W5" t="inlineStr">
        <is>
          <t>Segment 2</t>
        </is>
      </c>
      <c r="X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  <c r="L6" t="inlineStr">
        <is>
          <t>D</t>
        </is>
      </c>
      <c r="W6" t="inlineStr">
        <is>
          <t>Segment 3</t>
        </is>
      </c>
      <c r="X6" t="inlineStr">
        <is>
          <t>C</t>
        </is>
      </c>
    </row>
    <row r="7">
      <c r="A7" t="inlineStr">
        <is>
          <t>Q_GRID_EXPORTr1</t>
        </is>
      </c>
      <c r="B7" t="inlineStr">
        <is>
          <t>Q_NUM_EXPORT</t>
        </is>
      </c>
      <c r="X7" t="inlineStr">
        <is>
          <t>D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A10" t="inlineStr">
        <is>
          <t>Q_SEG_1</t>
        </is>
      </c>
      <c r="B10" t="inlineStr">
        <is>
          <t>Q_VERY_LONG_SINGLE_SELECT_EXPOR</t>
        </is>
      </c>
    </row>
    <row r="11">
      <c r="A11" t="inlineStr">
        <is>
          <t>Q_TGT_1</t>
        </is>
      </c>
      <c r="B11" t="inlineStr">
        <is>
          <t>Q_SEG_1</t>
        </is>
      </c>
    </row>
    <row r="12">
      <c r="A12" t="inlineStr">
        <is>
          <t>Q_NUM_3</t>
        </is>
      </c>
      <c r="B12" t="inlineStr">
        <is>
          <t>Q_TGT_1</t>
        </is>
      </c>
    </row>
    <row r="13">
      <c r="A13" t="inlineStr">
        <is>
          <t>Q_EXP_1</t>
        </is>
      </c>
      <c r="B13" t="inlineStr">
        <is>
          <t>Q_NUM_3</t>
        </is>
      </c>
    </row>
    <row r="14">
      <c r="A14" t="inlineStr">
        <is>
          <t>Q_REAL_1</t>
        </is>
      </c>
      <c r="B14" t="inlineStr">
        <is>
          <t>Q_EXP_1</t>
        </is>
      </c>
    </row>
    <row r="15">
      <c r="B15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IF(F_Custom1_Q="(None)","respondent_id_data",F_Custom1_Q &amp; "_data")</f>
        <v/>
      </c>
      <c r="F6">
        <f>"|" &amp; SUBSTITUTE(F_Custom1_V, ", ", "|") &amp; "|"</f>
        <v/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>
        <f>IF(F_Custom2_Q="(None)","respondent_id_data",F_Custom2_Q &amp; "_data")</f>
        <v/>
      </c>
      <c r="F7">
        <f>"|" &amp; SUBSTITUTE(F_Custom2_V, ", ", "|") &amp; "|"</f>
        <v/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"|" &amp; SUBSTITUTE(All_Questions_F_Custom1_V_resolved, ", ", "|") &amp; "|"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"|" &amp; SUBSTITUTE(All_Questions_F_Custom2_V_resolved, ", ", "|") &amp; "|"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IF(All_Questions_Q_SS_EXPORT_F_Q="(None)","respondent_id_data",All_Questions_Q_SS_EXPORT_F_Q &amp; "_data")</f>
        <v/>
      </c>
      <c r="G13">
        <f>"|" &amp; SUBSTITUTE(All_Questions_Q_SS_EXPORT_F_V, ", ", "|") &amp; "|"</f>
        <v/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IFERROR(INDEX(INDIRECT(All_Questions_Q_SS_EXPORT_CT &amp; "_options"),2),"")</f>
        <v/>
      </c>
      <c r="H16">
        <f>IFERROR(INDEX(INDIRECT(All_Questions_Q_SS_EXPORT_CT &amp; "_options"),3),"")</f>
        <v/>
      </c>
      <c r="I16">
        <f>IFERROR(INDEX(INDIRECT(All_Questions_Q_SS_EXPORT_CT &amp; "_options"),4),"")</f>
        <v/>
      </c>
      <c r="J16">
        <f>IFERROR(INDEX(INDIRECT(All_Questions_Q_SS_EXPORT_CT &amp; "_options"),5),"")</f>
        <v/>
      </c>
      <c r="K16">
        <f>IFERROR(INDEX(INDIRECT(All_Questions_Q_SS_EXPORT_CT &amp; "_options"),6),"")</f>
        <v/>
      </c>
      <c r="L16">
        <f>IFERROR(INDEX(INDIRECT(All_Questions_Q_SS_EXPORT_CT &amp; "_options"),7),"")</f>
        <v/>
      </c>
      <c r="M16">
        <f>IFERROR(INDEX(INDIRECT(All_Questions_Q_SS_EXPORT_CT &amp; "_options"),8),"")</f>
        <v/>
      </c>
      <c r="N16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)</f>
        <v/>
      </c>
      <c r="C17" s="7">
        <f>IFERROR(B17/SUBTOTAL(9,B17:B18),0)</f>
        <v/>
      </c>
      <c r="D17" s="14">
        <f>SUBTOTAL(9,B17:B18)</f>
        <v/>
      </c>
      <c r="F17" t="inlineStr">
        <is>
          <t>Yes</t>
        </is>
      </c>
      <c r="G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"_data")=G$16)))</f>
        <v/>
      </c>
      <c r="H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"_data")=H$16)))</f>
        <v/>
      </c>
      <c r="I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"_data")=I$16)))</f>
        <v/>
      </c>
      <c r="J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"_data")=J$16)))</f>
        <v/>
      </c>
      <c r="K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"_data")=K$16)))</f>
        <v/>
      </c>
      <c r="L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"_data")=L$16)))</f>
        <v/>
      </c>
      <c r="M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"_data")=M$16)))</f>
        <v/>
      </c>
      <c r="N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"_data")=N$16)))</f>
        <v/>
      </c>
      <c r="O17">
        <f>SUM(G17:N17)</f>
        <v/>
      </c>
    </row>
    <row r="18">
      <c r="A18" t="inlineStr">
        <is>
          <t>No</t>
        </is>
      </c>
      <c r="B1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)</f>
        <v/>
      </c>
      <c r="C18" s="7">
        <f>IFERROR(B18/SUBTOTAL(9,B17:B18),0)</f>
        <v/>
      </c>
      <c r="D18" s="14">
        <f>SUBTOTAL(9,B17:B18)</f>
        <v/>
      </c>
      <c r="F18" t="inlineStr">
        <is>
          <t>No</t>
        </is>
      </c>
      <c r="G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"_data")=G$16)))</f>
        <v/>
      </c>
      <c r="H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"_data")=H$16)))</f>
        <v/>
      </c>
      <c r="I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"_data")=I$16)))</f>
        <v/>
      </c>
      <c r="J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"_data")=J$16)))</f>
        <v/>
      </c>
      <c r="K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"_data")=K$16)))</f>
        <v/>
      </c>
      <c r="L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"_data")=L$16)))</f>
        <v/>
      </c>
      <c r="M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"_data")=M$16)))</f>
        <v/>
      </c>
      <c r="N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"_data")=N$16)))</f>
        <v/>
      </c>
      <c r="O18">
        <f>SUM(G18:N18)</f>
        <v/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IF(All_Questions_Q_MS_EXPORT_F_Q="(None)","respondent_id_data",All_Questions_Q_MS_EXPORT_F_Q &amp; "_data")</f>
        <v/>
      </c>
      <c r="G22">
        <f>"|" &amp; SUBSTITUTE(All_Questions_Q_MS_EXPORT_F_V, ", ", "|") &amp; "|"</f>
        <v/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>
        <f>IFERROR(INDEX(INDIRECT(All_Questions_Q_MS_EXPORT_CT &amp; "_options"),2),"")</f>
        <v/>
      </c>
      <c r="H25">
        <f>IFERROR(INDEX(INDIRECT(All_Questions_Q_MS_EXPORT_CT &amp; "_options"),3),"")</f>
        <v/>
      </c>
      <c r="I25">
        <f>IFERROR(INDEX(INDIRECT(All_Questions_Q_MS_EXPORT_CT &amp; "_options"),4),"")</f>
        <v/>
      </c>
      <c r="J25">
        <f>IFERROR(INDEX(INDIRECT(All_Questions_Q_MS_EXPORT_CT &amp; "_options"),5),"")</f>
        <v/>
      </c>
      <c r="K25">
        <f>IFERROR(INDEX(INDIRECT(All_Questions_Q_MS_EXPORT_CT &amp; "_options"),6),"")</f>
        <v/>
      </c>
      <c r="L25">
        <f>IFERROR(INDEX(INDIRECT(All_Questions_Q_MS_EXPORT_CT &amp; "_options"),7),"")</f>
        <v/>
      </c>
      <c r="M25">
        <f>IFERROR(INDEX(INDIRECT(All_Questions_Q_MS_EXPORT_CT &amp; "_options"),8),"")</f>
        <v/>
      </c>
      <c r="N25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)</f>
        <v/>
      </c>
      <c r="C26" s="7">
        <f>IFERROR(B26/SUBTOTAL(9,B26:B27),0)</f>
        <v/>
      </c>
      <c r="D26" s="14">
        <f>SUBTOTAL(9,B26:B27)</f>
        <v/>
      </c>
      <c r="F26" t="inlineStr">
        <is>
          <t>First</t>
        </is>
      </c>
      <c r="G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"_data")=G$25)))</f>
        <v/>
      </c>
      <c r="H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"_data")=H$25)))</f>
        <v/>
      </c>
      <c r="I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"_data")=I$25)))</f>
        <v/>
      </c>
      <c r="J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"_data")=J$25)))</f>
        <v/>
      </c>
      <c r="K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"_data")=K$25)))</f>
        <v/>
      </c>
      <c r="L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"_data")=L$25)))</f>
        <v/>
      </c>
      <c r="M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"_data")=M$25)))</f>
        <v/>
      </c>
      <c r="N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"_data")=N$25)))</f>
        <v/>
      </c>
      <c r="O26">
        <f>SUM(G26:N26)</f>
        <v/>
      </c>
    </row>
    <row r="27">
      <c r="A27" t="inlineStr">
        <is>
          <t>Second</t>
        </is>
      </c>
      <c r="B2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)</f>
        <v/>
      </c>
      <c r="C27" s="7">
        <f>IFERROR(B27/SUBTOTAL(9,B26:B27),0)</f>
        <v/>
      </c>
      <c r="D27" s="14">
        <f>SUBTOTAL(9,B26:B27)</f>
        <v/>
      </c>
      <c r="F27" t="inlineStr">
        <is>
          <t>Second</t>
        </is>
      </c>
      <c r="G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"_data")=G$25)))</f>
        <v/>
      </c>
      <c r="H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"_data")=H$25)))</f>
        <v/>
      </c>
      <c r="I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"_data")=I$25)))</f>
        <v/>
      </c>
      <c r="J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"_data")=J$25)))</f>
        <v/>
      </c>
      <c r="K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"_data")=K$25)))</f>
        <v/>
      </c>
      <c r="L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"_data")=L$25)))</f>
        <v/>
      </c>
      <c r="M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"_data")=M$25)))</f>
        <v/>
      </c>
      <c r="N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"_data")=N$25)))</f>
        <v/>
      </c>
      <c r="O27">
        <f>SUM(G27:N27)</f>
        <v/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>
        <f>IF(All_Questions_Q_NUM_EXPORT_F_Q="(None)","respondent_id_data",All_Questions_Q_NUM_EXPORT_F_Q &amp; "_data")</f>
        <v/>
      </c>
      <c r="G31">
        <f>"|" &amp; SUBSTITUTE(All_Questions_Q_NUM_EXPORT_F_V, ", ", "|") &amp; "|"</f>
        <v/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*Q_NUM_EXPORT_data)/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0)</f>
        <v/>
      </c>
      <c r="D35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6">
      <c r="A36" t="inlineStr">
        <is>
          <t>Min</t>
        </is>
      </c>
      <c r="B36">
        <f>IFERROR(AGGREGATE(15,6,Q_NUM_EXPORT_data/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1),0)</f>
        <v/>
      </c>
      <c r="D3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7">
      <c r="A37" t="inlineStr">
        <is>
          <t>Max</t>
        </is>
      </c>
      <c r="B37">
        <f>IFERROR(AGGREGATE(14,6,Q_NUM_EXPORT_data/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1),0)</f>
        <v/>
      </c>
      <c r="D3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>
        <f>IF(All_Questions_Q_GRID_EXPORT_F_Q="(None)","respondent_id_data",All_Questions_Q_GRID_EXPORT_F_Q &amp; "_data")</f>
        <v/>
      </c>
      <c r="G43">
        <f>"|" &amp; SUBSTITUTE(All_Questions_Q_GRID_EXPORT_F_V, ", ", "|") &amp; "|"</f>
        <v/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>
        <f>IFERROR(INDEX(INDIRECT(All_Questions_Q_GRID_EXPORT_CT &amp; "_options"),2),"")</f>
        <v/>
      </c>
      <c r="H46">
        <f>IFERROR(INDEX(INDIRECT(All_Questions_Q_GRID_EXPORT_CT &amp; "_options"),3),"")</f>
        <v/>
      </c>
      <c r="I46">
        <f>IFERROR(INDEX(INDIRECT(All_Questions_Q_GRID_EXPORT_CT &amp; "_options"),4),"")</f>
        <v/>
      </c>
      <c r="J46">
        <f>IFERROR(INDEX(INDIRECT(All_Questions_Q_GRID_EXPORT_CT &amp; "_options"),5),"")</f>
        <v/>
      </c>
      <c r="K46">
        <f>IFERROR(INDEX(INDIRECT(All_Questions_Q_GRID_EXPORT_CT &amp; "_options"),6),"")</f>
        <v/>
      </c>
      <c r="L46">
        <f>IFERROR(INDEX(INDIRECT(All_Questions_Q_GRID_EXPORT_CT &amp; "_options"),7),"")</f>
        <v/>
      </c>
      <c r="M46">
        <f>IFERROR(INDEX(INDIRECT(All_Questions_Q_GRID_EXPORT_CT &amp; "_options"),8),"")</f>
        <v/>
      </c>
      <c r="N46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)</f>
        <v/>
      </c>
      <c r="C47" s="7">
        <f>IFERROR(B47/SUBTOTAL(9,B47:B48),0)</f>
        <v/>
      </c>
      <c r="D47" s="14">
        <f>SUBTOTAL(9,B47:B48)</f>
        <v/>
      </c>
      <c r="F47" t="inlineStr">
        <is>
          <t>Grid first row</t>
        </is>
      </c>
      <c r="G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"_data")=G$46)))</f>
        <v/>
      </c>
      <c r="H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"_data")=H$46)))</f>
        <v/>
      </c>
      <c r="I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"_data")=I$46)))</f>
        <v/>
      </c>
      <c r="J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"_data")=J$46)))</f>
        <v/>
      </c>
      <c r="K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"_data")=K$46)))</f>
        <v/>
      </c>
      <c r="L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"_data")=L$46)))</f>
        <v/>
      </c>
      <c r="M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"_data")=M$46)))</f>
        <v/>
      </c>
      <c r="N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"_data")=N$46)))</f>
        <v/>
      </c>
      <c r="O47">
        <f>SUM(G47:N47)</f>
        <v/>
      </c>
    </row>
    <row r="48">
      <c r="A48" t="inlineStr">
        <is>
          <t>Grid second row</t>
        </is>
      </c>
      <c r="B4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)</f>
        <v/>
      </c>
      <c r="C48" s="7">
        <f>IFERROR(B48/SUBTOTAL(9,B47:B48),0)</f>
        <v/>
      </c>
      <c r="D48" s="14">
        <f>SUBTOTAL(9,B47:B48)</f>
        <v/>
      </c>
      <c r="F48" t="inlineStr">
        <is>
          <t>Grid second row</t>
        </is>
      </c>
      <c r="G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"_data")=G$46)))</f>
        <v/>
      </c>
      <c r="H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"_data")=H$46)))</f>
        <v/>
      </c>
      <c r="I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"_data")=I$46)))</f>
        <v/>
      </c>
      <c r="J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"_data")=J$46)))</f>
        <v/>
      </c>
      <c r="K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"_data")=K$46)))</f>
        <v/>
      </c>
      <c r="L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"_data")=L$46)))</f>
        <v/>
      </c>
      <c r="M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"_data")=M$46)))</f>
        <v/>
      </c>
      <c r="N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"_data")=N$46)))</f>
        <v/>
      </c>
      <c r="O48">
        <f>SUM(G48:N48)</f>
        <v/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>
        <f>IF(All_Questions_Q_VERY_LONG_SINGLE_SELECT_EXPORT_NAME_F_Q="(None)","respondent_id_data",All_Questions_Q_VERY_LONG_SINGLE_SELECT_EXPORT_NAME_F_Q &amp; "_data")</f>
        <v/>
      </c>
      <c r="G52">
        <f>"|" &amp; SUBSTITUTE(All_Questions_Q_VERY_LONG_SINGLE_SELECT_EXPORT_NAME_F_V, ", ", "|") &amp; "|"</f>
        <v/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>
        <f>IFERROR(INDEX(INDIRECT(All_Questions_Q_VERY_LONG_SINGLE_SELECT_EXPORT_NAME_CT &amp; "_options"),2),"")</f>
        <v/>
      </c>
      <c r="H55">
        <f>IFERROR(INDEX(INDIRECT(All_Questions_Q_VERY_LONG_SINGLE_SELECT_EXPORT_NAME_CT &amp; "_options"),3),"")</f>
        <v/>
      </c>
      <c r="I55">
        <f>IFERROR(INDEX(INDIRECT(All_Questions_Q_VERY_LONG_SINGLE_SELECT_EXPORT_NAME_CT &amp; "_options"),4),"")</f>
        <v/>
      </c>
      <c r="J55">
        <f>IFERROR(INDEX(INDIRECT(All_Questions_Q_VERY_LONG_SINGLE_SELECT_EXPORT_NAME_CT &amp; "_options"),5),"")</f>
        <v/>
      </c>
      <c r="K55">
        <f>IFERROR(INDEX(INDIRECT(All_Questions_Q_VERY_LONG_SINGLE_SELECT_EXPORT_NAME_CT &amp; "_options"),6),"")</f>
        <v/>
      </c>
      <c r="L55">
        <f>IFERROR(INDEX(INDIRECT(All_Questions_Q_VERY_LONG_SINGLE_SELECT_EXPORT_NAME_CT &amp; "_options"),7),"")</f>
        <v/>
      </c>
      <c r="M55">
        <f>IFERROR(INDEX(INDIRECT(All_Questions_Q_VERY_LONG_SINGLE_SELECT_EXPORT_NAME_CT &amp; "_options"),8),"")</f>
        <v/>
      </c>
      <c r="N55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)</f>
        <v/>
      </c>
      <c r="C56" s="7">
        <f>IFERROR(B56/SUBTOTAL(9,B56:B57),0)</f>
        <v/>
      </c>
      <c r="D56" s="14">
        <f>SUBTOTAL(9,B56:B57)</f>
        <v/>
      </c>
      <c r="F56" t="inlineStr">
        <is>
          <t>A</t>
        </is>
      </c>
      <c r="G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"_data")=G$55)))</f>
        <v/>
      </c>
      <c r="H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"_data")=H$55)))</f>
        <v/>
      </c>
      <c r="I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"_data")=I$55)))</f>
        <v/>
      </c>
      <c r="J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"_data")=J$55)))</f>
        <v/>
      </c>
      <c r="K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"_data")=K$55)))</f>
        <v/>
      </c>
      <c r="L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"_data")=L$55)))</f>
        <v/>
      </c>
      <c r="M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"_data")=M$55)))</f>
        <v/>
      </c>
      <c r="N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"_data")=N$55)))</f>
        <v/>
      </c>
      <c r="O56">
        <f>SUM(G56:N56)</f>
        <v/>
      </c>
    </row>
    <row r="57">
      <c r="A57" t="inlineStr">
        <is>
          <t>B</t>
        </is>
      </c>
      <c r="B5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)</f>
        <v/>
      </c>
      <c r="C57" s="7">
        <f>IFERROR(B57/SUBTOTAL(9,B56:B57),0)</f>
        <v/>
      </c>
      <c r="D57" s="14">
        <f>SUBTOTAL(9,B56:B57)</f>
        <v/>
      </c>
      <c r="F57" t="inlineStr">
        <is>
          <t>B</t>
        </is>
      </c>
      <c r="G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"_data")=G$55)))</f>
        <v/>
      </c>
      <c r="H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"_data")=H$55)))</f>
        <v/>
      </c>
      <c r="I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"_data")=I$55)))</f>
        <v/>
      </c>
      <c r="J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"_data")=J$55)))</f>
        <v/>
      </c>
      <c r="K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"_data")=K$55)))</f>
        <v/>
      </c>
      <c r="L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"_data")=L$55)))</f>
        <v/>
      </c>
      <c r="M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"_data")=M$55)))</f>
        <v/>
      </c>
      <c r="N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"_data")=N$55)))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2026-05-14T09:03:11.024851+00:00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2026-05-14T09:03:11.025474+00:00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2026-05-14T09:03:11.025514+00:00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2026-05-14T09:03:11.026637+00:00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2026-05-14T09:03:11.027613+00:00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2026-05-14T09:03:11.028602+00:00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2026-05-14T09:03:11.029248+00:00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2026-05-14T09:03:11.029267+00:00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2026-05-14T09:03:11.030161+00:00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2026-05-14T09:03:11.030836+00:00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2026-05-14T09:03:11.031487+00:00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2026-05-14T09:03:11.031581+00:00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2026-05-14T09:03:11Z</dcterms:created>
  <dcterms:modified xmlns:dcterms="http://purl.org/dc/terms/" xmlns:xsi="http://www.w3.org/2001/XMLSchema-instance" xsi:type="dcterms:W3CDTF">2026-05-14T09:03:11Z</dcterms:modified>
</cp:coreProperties>
</file>