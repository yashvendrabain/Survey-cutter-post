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Demographics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'_Options'!$F$2:$F$2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S_EXPORT_F_Q">'Demographics'!$B14</definedName>
    <definedName name="Q_SS_EXPORT_F_V">'Demographics'!$D14</definedName>
    <definedName name="Q_SS_EXPORT_CT">'Demographics'!$F14</definedName>
    <definedName name="F_Q_SS_EXPORT">'All Questions'!$A5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MS_EXPORT_F_Q">'All Questions'!$B14</definedName>
    <definedName name="Q_MS_EXPORT_F_V">'All Questions'!$D14</definedName>
    <definedName name="Q_MS_EXPORT_CT">'All Questions'!$F14</definedName>
    <definedName name="Q_NUM_EXPORT_F_Q">'All Questions'!$B23</definedName>
    <definedName name="Q_NUM_EXPORT_F_V">'All Questions'!$D23</definedName>
    <definedName name="Q_NUM_EXPORT_CT">'All Questions'!$F23</definedName>
    <definedName name="Q_GRID_EXPORT_F_Q">'All Questions'!$B35</definedName>
    <definedName name="Q_GRID_EXPORT_F_V">'All Questions'!$D35</definedName>
    <definedName name="Q_GRID_EXPORT_CT">'All Questions'!$F35</definedName>
    <definedName name="Q_VERY_LONG_SINGLE_SELECT_EXPORT_NAME_F_Q">'All Questions'!$B44</definedName>
    <definedName name="Q_VERY_LONG_SINGLE_SELECT_EXPORT_NAME_F_V">'All Questions'!$D44</definedName>
    <definedName name="Q_VERY_LONG_SINGLE_SELECT_EXPORT_NAME_CT">'All Questions'!$F44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Demographics_16_1" displayName="T_Demographic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5_1" displayName="T_All_Questions_25_1" ref="A25:D29" headerRowCount="1">
  <autoFilter ref="A25:D2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3" t="inlineStr">
        <is>
          <t>Demographics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Demographics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Q_SS_EXPORT - Single select export question</t>
        </is>
      </c>
    </row>
    <row r="5">
      <c r="A5" t="inlineStr">
        <is>
          <t>(All)</t>
        </is>
      </c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Q_SS_EXPORT - Single select export question</t>
        </is>
      </c>
    </row>
    <row r="13">
      <c r="A13" s="8" t="inlineStr">
        <is>
          <t>Per-question filter</t>
        </is>
      </c>
      <c r="F13" s="8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</sheetData>
  <mergeCells count="2">
    <mergeCell ref="A1:J1"/>
    <mergeCell ref="A12:J12"/>
  </mergeCells>
  <dataValidations count="8">
    <dataValidation sqref="A5" showDropDown="0" showInputMessage="0" showErrorMessage="0" allowBlank="1" type="list">
      <formula1>=Q_SS_EXPORT_options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Q_SS_EXPORT - Single select export question</t>
        </is>
      </c>
    </row>
    <row r="5">
      <c r="A5" t="inlineStr">
        <is>
          <t>(All)</t>
        </is>
      </c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Q_MS_EXPORT - Multi select export question</t>
        </is>
      </c>
    </row>
    <row r="13">
      <c r="A13" s="8" t="inlineStr">
        <is>
          <t>Per-question filter</t>
        </is>
      </c>
      <c r="F13" s="8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IFERROR(INDEX(INDIRECT(Q_MS_EXPORT_CT &amp; "_options"),2),"")</f>
        <v/>
      </c>
      <c r="H16">
        <f>IFERROR(INDEX(INDIRECT(Q_MS_EXPORT_CT &amp; "_options"),3),"")</f>
        <v/>
      </c>
      <c r="I16">
        <f>IFERROR(INDEX(INDIRECT(Q_MS_EXPORT_CT &amp; "_options"),4),"")</f>
        <v/>
      </c>
      <c r="J16">
        <f>IFERROR(INDEX(INDIRECT(Q_MS_EXPORT_CT &amp; "_options"),5),"")</f>
        <v/>
      </c>
      <c r="K16">
        <f>IFERROR(INDEX(INDIRECT(Q_MS_EXPORT_CT &amp; "_options"),6),"")</f>
        <v/>
      </c>
      <c r="L16">
        <f>IFERROR(INDEX(INDIRECT(Q_MS_EXPORT_CT &amp; "_options"),7),"")</f>
        <v/>
      </c>
      <c r="M16">
        <f>IFERROR(INDEX(INDIRECT(Q_MS_EXPORT_CT &amp; "_options"),8),"")</f>
        <v/>
      </c>
      <c r="N16">
        <f>IFERROR(INDEX(INDIRECT(Q_MS_EXPORT_CT &amp; "_options"),9),"")</f>
        <v/>
      </c>
      <c r="O16" s="1" t="inlineStr">
        <is>
          <t>TOTAL</t>
        </is>
      </c>
    </row>
    <row r="17">
      <c r="A17" t="inlineStr">
        <is>
          <t>First</t>
        </is>
      </c>
      <c r="B17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17" s="4">
        <f>IFERROR(B17/SUBTOTAL(9,B17:B18),0)</f>
        <v/>
      </c>
      <c r="D17" s="11">
        <f>SUBTOTAL(9,B17:B18)</f>
        <v/>
      </c>
      <c r="F17" t="inlineStr">
        <is>
          <t>First</t>
        </is>
      </c>
      <c r="G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"_data"),G$16))</f>
        <v/>
      </c>
      <c r="H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"_data"),H$16))</f>
        <v/>
      </c>
      <c r="I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"_data"),I$16))</f>
        <v/>
      </c>
      <c r="J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"_data"),J$16))</f>
        <v/>
      </c>
      <c r="K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"_data"),K$16))</f>
        <v/>
      </c>
      <c r="L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"_data"),L$16))</f>
        <v/>
      </c>
      <c r="M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"_data"),M$16))</f>
        <v/>
      </c>
      <c r="N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"_data"),N$16))</f>
        <v/>
      </c>
      <c r="O17">
        <f>SUM(G17:N17)</f>
        <v/>
      </c>
    </row>
    <row r="18">
      <c r="A18" t="inlineStr">
        <is>
          <t>Second</t>
        </is>
      </c>
      <c r="B18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18" s="4">
        <f>IFERROR(B18/SUBTOTAL(9,B17:B18),0)</f>
        <v/>
      </c>
      <c r="D18" s="11">
        <f>SUBTOTAL(9,B17:B18)</f>
        <v/>
      </c>
      <c r="F18" t="inlineStr">
        <is>
          <t>Second</t>
        </is>
      </c>
      <c r="G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"_data"),G$16))</f>
        <v/>
      </c>
      <c r="H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"_data"),H$16))</f>
        <v/>
      </c>
      <c r="I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"_data"),I$16))</f>
        <v/>
      </c>
      <c r="J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"_data"),J$16))</f>
        <v/>
      </c>
      <c r="K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"_data"),K$16))</f>
        <v/>
      </c>
      <c r="L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"_data"),L$16))</f>
        <v/>
      </c>
      <c r="M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"_data"),M$16))</f>
        <v/>
      </c>
      <c r="N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"_data"),N$16))</f>
        <v/>
      </c>
      <c r="O18">
        <f>SUM(G18:N18)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Q_NUM_EXPORT - Numeric export question</t>
        </is>
      </c>
    </row>
    <row r="22">
      <c r="A22" s="8" t="inlineStr">
        <is>
          <t>Per-question filter</t>
        </is>
      </c>
      <c r="F22" s="8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Metric</t>
        </is>
      </c>
      <c r="B25" s="2" t="inlineStr">
        <is>
          <t>Value</t>
        </is>
      </c>
      <c r="C25" s="2" t="inlineStr">
        <is>
          <t>Note</t>
        </is>
      </c>
      <c r="D25" s="2" t="inlineStr">
        <is>
          <t>Denominator</t>
        </is>
      </c>
    </row>
    <row r="26">
      <c r="A26" t="inlineStr">
        <is>
          <t>Mean</t>
        </is>
      </c>
      <c r="B26">
        <f>IFERROR(AVERAGEIFS(Q_NUM_EXPORT_data,Q_SS_EXPORT_data,IF(F_Q_SS_EXPORT="(All)","*",F_Q_SS_EXPORT),INDIRECT(IF(F_Custom1_Q="(None)","respondent_id_data",F_Custom1_Q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26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7">
      <c r="A27" t="inlineStr">
        <is>
          <t>Min</t>
        </is>
      </c>
      <c r="B27">
        <f>IFERROR(MINIFS(Q_NUM_EXPORT_data,Q_SS_EXPORT_data,IF(F_Q_SS_EXPORT="(All)","*",F_Q_SS_EXPORT),INDIRECT(IF(F_Custom1_Q="(None)","respondent_id_data",F_Custom1_Q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27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8">
      <c r="A28" t="inlineStr">
        <is>
          <t>Max</t>
        </is>
      </c>
      <c r="B28">
        <f>IFERROR(MAXIFS(Q_NUM_EXPORT_data,Q_SS_EXPORT_data,IF(F_Q_SS_EXPORT="(All)","*",F_Q_SS_EXPORT),INDIRECT(IF(F_Custom1_Q="(None)","respondent_id_data",F_Custom1_Q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28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9">
      <c r="A29" t="inlineStr">
        <is>
          <t>Std</t>
        </is>
      </c>
      <c r="B29" t="n">
        <v>2.9</v>
      </c>
      <c r="C29" t="inlineStr">
        <is>
          <t>static baseline</t>
        </is>
      </c>
      <c r="D29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0">
      <c r="A30" s="12" t="inlineStr">
        <is>
          <t>Median not available in filtered view - see static baseline in audit log.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10" t="inlineStr">
        <is>
          <t>Q_GRID_EXPORT - Grid export question</t>
        </is>
      </c>
    </row>
    <row r="34">
      <c r="A34" s="8" t="inlineStr">
        <is>
          <t>Per-question filter</t>
        </is>
      </c>
      <c r="F34" s="8" t="inlineStr">
        <is>
          <t>Cross-tab by</t>
        </is>
      </c>
    </row>
    <row r="35">
      <c r="A35" t="inlineStr">
        <is>
          <t>Filter:</t>
        </is>
      </c>
      <c r="B35" t="inlineStr">
        <is>
          <t>(None)</t>
        </is>
      </c>
      <c r="C35" t="inlineStr">
        <is>
          <t>=</t>
        </is>
      </c>
      <c r="D35" t="inlineStr">
        <is>
          <t>(All)</t>
        </is>
      </c>
      <c r="F35" t="inlineStr">
        <is>
          <t>(None)</t>
        </is>
      </c>
    </row>
    <row r="37">
      <c r="A37" s="2" t="inlineStr">
        <is>
          <t>Option</t>
        </is>
      </c>
      <c r="B37" s="2" t="inlineStr">
        <is>
          <t>Count</t>
        </is>
      </c>
      <c r="C37" s="2" t="inlineStr">
        <is>
          <t>%</t>
        </is>
      </c>
      <c r="D37" s="2" t="inlineStr">
        <is>
          <t>Denominator</t>
        </is>
      </c>
      <c r="F37" s="1" t="inlineStr">
        <is>
          <t>Option \ Cross-tab</t>
        </is>
      </c>
      <c r="G37">
        <f>IFERROR(INDEX(INDIRECT(Q_GRID_EXPORT_CT &amp; "_options"),2),"")</f>
        <v/>
      </c>
      <c r="H37">
        <f>IFERROR(INDEX(INDIRECT(Q_GRID_EXPORT_CT &amp; "_options"),3),"")</f>
        <v/>
      </c>
      <c r="I37">
        <f>IFERROR(INDEX(INDIRECT(Q_GRID_EXPORT_CT &amp; "_options"),4),"")</f>
        <v/>
      </c>
      <c r="J37">
        <f>IFERROR(INDEX(INDIRECT(Q_GRID_EXPORT_CT &amp; "_options"),5),"")</f>
        <v/>
      </c>
      <c r="K37">
        <f>IFERROR(INDEX(INDIRECT(Q_GRID_EXPORT_CT &amp; "_options"),6),"")</f>
        <v/>
      </c>
      <c r="L37">
        <f>IFERROR(INDEX(INDIRECT(Q_GRID_EXPORT_CT &amp; "_options"),7),"")</f>
        <v/>
      </c>
      <c r="M37">
        <f>IFERROR(INDEX(INDIRECT(Q_GRID_EXPORT_CT &amp; "_options"),8),"")</f>
        <v/>
      </c>
      <c r="N37">
        <f>IFERROR(INDEX(INDIRECT(Q_GRID_EXPORT_CT &amp; "_options"),9),"")</f>
        <v/>
      </c>
      <c r="O37" s="1" t="inlineStr">
        <is>
          <t>TOTAL</t>
        </is>
      </c>
    </row>
    <row r="38">
      <c r="A38" t="inlineStr">
        <is>
          <t>Grid first row</t>
        </is>
      </c>
      <c r="B38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38" s="4">
        <f>IFERROR(B38/SUBTOTAL(9,B38:B39),0)</f>
        <v/>
      </c>
      <c r="D38" s="11">
        <f>SUBTOTAL(9,B38:B39)</f>
        <v/>
      </c>
      <c r="F38" t="inlineStr">
        <is>
          <t>Grid first row</t>
        </is>
      </c>
      <c r="G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"_data"),G$37))</f>
        <v/>
      </c>
      <c r="H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"_data"),H$37))</f>
        <v/>
      </c>
      <c r="I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"_data"),I$37))</f>
        <v/>
      </c>
      <c r="J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"_data"),J$37))</f>
        <v/>
      </c>
      <c r="K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"_data"),K$37))</f>
        <v/>
      </c>
      <c r="L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"_data"),L$37))</f>
        <v/>
      </c>
      <c r="M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"_data"),M$37))</f>
        <v/>
      </c>
      <c r="N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"_data"),N$37))</f>
        <v/>
      </c>
      <c r="O38">
        <f>SUM(G38:N38)</f>
        <v/>
      </c>
    </row>
    <row r="39">
      <c r="A39" t="inlineStr">
        <is>
          <t>Grid second row</t>
        </is>
      </c>
      <c r="B39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39" s="4">
        <f>IFERROR(B39/SUBTOTAL(9,B38:B39),0)</f>
        <v/>
      </c>
      <c r="D39" s="11">
        <f>SUBTOTAL(9,B38:B39)</f>
        <v/>
      </c>
      <c r="F39" t="inlineStr">
        <is>
          <t>Grid second row</t>
        </is>
      </c>
      <c r="G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"_data"),G$37))</f>
        <v/>
      </c>
      <c r="H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"_data"),H$37))</f>
        <v/>
      </c>
      <c r="I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"_data"),I$37))</f>
        <v/>
      </c>
      <c r="J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"_data"),J$37))</f>
        <v/>
      </c>
      <c r="K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"_data"),K$37))</f>
        <v/>
      </c>
      <c r="L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"_data"),L$37))</f>
        <v/>
      </c>
      <c r="M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"_data"),M$37))</f>
        <v/>
      </c>
      <c r="N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"_data"),N$37))</f>
        <v/>
      </c>
      <c r="O39">
        <f>SUM(G39:N39)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10" t="inlineStr">
        <is>
          <t>Q_VERY_LONG_SINGLE_SELECT_EXPORT_NAME - Long sheet name export question</t>
        </is>
      </c>
    </row>
    <row r="43">
      <c r="A43" s="8" t="inlineStr">
        <is>
          <t>Per-question filter</t>
        </is>
      </c>
      <c r="F43" s="8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IFERROR(INDEX(INDIRECT(Q_VERY_LONG_SINGLE_SELECT_EXPORT_NAME_CT &amp; "_options"),2),"")</f>
        <v/>
      </c>
      <c r="H46">
        <f>IFERROR(INDEX(INDIRECT(Q_VERY_LONG_SINGLE_SELECT_EXPORT_NAME_CT &amp; "_options"),3),"")</f>
        <v/>
      </c>
      <c r="I46">
        <f>IFERROR(INDEX(INDIRECT(Q_VERY_LONG_SINGLE_SELECT_EXPORT_NAME_CT &amp; "_options"),4),"")</f>
        <v/>
      </c>
      <c r="J46">
        <f>IFERROR(INDEX(INDIRECT(Q_VERY_LONG_SINGLE_SELECT_EXPORT_NAME_CT &amp; "_options"),5),"")</f>
        <v/>
      </c>
      <c r="K46">
        <f>IFERROR(INDEX(INDIRECT(Q_VERY_LONG_SINGLE_SELECT_EXPORT_NAME_CT &amp; "_options"),6),"")</f>
        <v/>
      </c>
      <c r="L46">
        <f>IFERROR(INDEX(INDIRECT(Q_VERY_LONG_SINGLE_SELECT_EXPORT_NAME_CT &amp; "_options"),7),"")</f>
        <v/>
      </c>
      <c r="M46">
        <f>IFERROR(INDEX(INDIRECT(Q_VERY_LONG_SINGLE_SELECT_EXPORT_NAME_CT &amp; "_options"),8),"")</f>
        <v/>
      </c>
      <c r="N46">
        <f>IFERROR(INDEX(INDIRECT(Q_VERY_LONG_SINGLE_SELECT_EXPORT_NAME_CT &amp; "_options"),9),"")</f>
        <v/>
      </c>
      <c r="O46" s="1" t="inlineStr">
        <is>
          <t>TOTAL</t>
        </is>
      </c>
    </row>
    <row r="47">
      <c r="A47" t="inlineStr">
        <is>
          <t>A</t>
        </is>
      </c>
      <c r="B47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47" s="4">
        <f>IFERROR(B47/SUBTOTAL(9,B47:B48),0)</f>
        <v/>
      </c>
      <c r="D47" s="11">
        <f>SUBTOTAL(9,B47:B48)</f>
        <v/>
      </c>
      <c r="F47" t="inlineStr">
        <is>
          <t>A</t>
        </is>
      </c>
      <c r="G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"_data"),G$46))</f>
        <v/>
      </c>
      <c r="H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"_data"),H$46))</f>
        <v/>
      </c>
      <c r="I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"_data"),I$46))</f>
        <v/>
      </c>
      <c r="J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"_data"),J$46))</f>
        <v/>
      </c>
      <c r="K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"_data"),K$46))</f>
        <v/>
      </c>
      <c r="L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"_data"),L$46))</f>
        <v/>
      </c>
      <c r="M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"_data"),M$46))</f>
        <v/>
      </c>
      <c r="N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"_data"),N$46))</f>
        <v/>
      </c>
      <c r="O47">
        <f>SUM(G47:N47)</f>
        <v/>
      </c>
    </row>
    <row r="48">
      <c r="A48" t="inlineStr">
        <is>
          <t>B</t>
        </is>
      </c>
      <c r="B48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48" s="4">
        <f>IFERROR(B48/SUBTOTAL(9,B47:B48),0)</f>
        <v/>
      </c>
      <c r="D48" s="11">
        <f>SUBTOTAL(9,B47:B48)</f>
        <v/>
      </c>
      <c r="F48" t="inlineStr">
        <is>
          <t>B</t>
        </is>
      </c>
      <c r="G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"_data"),G$46))</f>
        <v/>
      </c>
      <c r="H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"_data"),H$46))</f>
        <v/>
      </c>
      <c r="I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"_data"),I$46))</f>
        <v/>
      </c>
      <c r="J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"_data"),J$46))</f>
        <v/>
      </c>
      <c r="K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"_data"),K$46))</f>
        <v/>
      </c>
      <c r="L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"_data"),L$46))</f>
        <v/>
      </c>
      <c r="M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"_data"),M$46))</f>
        <v/>
      </c>
      <c r="N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"_data"),N$46))</f>
        <v/>
      </c>
      <c r="O48">
        <f>SUM(G48:N48)</f>
        <v/>
      </c>
    </row>
  </sheetData>
  <mergeCells count="5">
    <mergeCell ref="A1:J1"/>
    <mergeCell ref="A21:J21"/>
    <mergeCell ref="A12:J12"/>
    <mergeCell ref="A42:J42"/>
    <mergeCell ref="A33:J33"/>
  </mergeCells>
  <dataValidations count="17">
    <dataValidation sqref="A5" showDropDown="0" showInputMessage="0" showErrorMessage="0" allowBlank="1" type="list">
      <formula1>=Q_SS_EXPORT_options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=INDIRECT(IF(Q_MS_EXPORT_F_Q="(None)","None_options",Q_MS_EXPORT_F_Q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=INDIRECT(IF(Q_NUM_EXPORT_F_Q="(None)","None_options",Q_NUM_EXPORT_F_Q &amp; "_options"))</formula1>
    </dataValidation>
    <dataValidation sqref="F23" showDropDown="0" showInputMessage="0" showErrorMessage="0" allowBlank="1" type="list">
      <formula1>=All_Questions</formula1>
    </dataValidation>
    <dataValidation sqref="B35" showDropDown="0" showInputMessage="0" showErrorMessage="0" allowBlank="1" type="list">
      <formula1>=All_Questions</formula1>
    </dataValidation>
    <dataValidation sqref="D35" showDropDown="0" showInputMessage="0" showErrorMessage="0" allowBlank="1" type="list">
      <formula1>=INDIRECT(IF(Q_GRID_EXPORT_F_Q="(None)","None_options",Q_GRID_EXPORT_F_Q &amp; "_options"))</formula1>
    </dataValidation>
    <dataValidation sqref="F35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4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2026-05-13T16:01:31Z</dcterms:created>
  <dcterms:modified xmlns:dcterms="http://purl.org/dc/terms/" xmlns:xsi="http://www.w3.org/2001/XMLSchema-instance" xsi:type="dcterms:W3CDTF">2026-05-13T16:01:31Z</dcterms:modified>
</cp:coreProperties>
</file>