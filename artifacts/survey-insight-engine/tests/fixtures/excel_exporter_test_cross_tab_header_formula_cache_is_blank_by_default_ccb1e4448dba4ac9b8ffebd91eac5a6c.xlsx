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F_passes_per_q_filter_data">'_RawData'!$O$2:$O$11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F_passes_per_q_filter_data">'_RawData'!$P$2:$P$11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F_passes_per_q_filter_data">'_RawData'!$Q$2:$Q$11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F_passes_per_q_filter_data">'_RawData'!$R$2:$R$11</definedName>
    <definedName name="All_Questions_Q_VERY_LONG_SINGLE_SELECT_EXPORT_NAME_CT">'All Questions'!$C$53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2" i="7"/>
  <c r="G22" i="7"/>
  <c r="G25" i="7"/>
  <c r="H25" i="7"/>
  <c r="I25" i="7"/>
  <c r="J25" i="7"/>
  <c r="K25" i="7"/>
  <c r="L25" i="7"/>
  <c r="M25" i="7"/>
  <c r="N25" i="7"/>
  <c r="B26" i="7"/>
  <c r="C26" i="7"/>
  <c r="D26" i="7"/>
  <c r="G26" i="7"/>
  <c r="H26" i="7"/>
  <c r="I26" i="7"/>
  <c r="J26" i="7"/>
  <c r="K26" i="7"/>
  <c r="L26" i="7"/>
  <c r="M26" i="7"/>
  <c r="N26" i="7"/>
  <c r="O26" i="7"/>
  <c r="B27" i="7"/>
  <c r="C27" i="7"/>
  <c r="D27" i="7"/>
  <c r="G27" i="7"/>
  <c r="H27" i="7"/>
  <c r="I27" i="7"/>
  <c r="J27" i="7"/>
  <c r="K27" i="7"/>
  <c r="L27" i="7"/>
  <c r="M27" i="7"/>
  <c r="N27" i="7"/>
  <c r="O27" i="7"/>
  <c r="F31" i="7"/>
  <c r="G31" i="7"/>
  <c r="B35" i="7"/>
  <c r="D35" i="7"/>
  <c r="B36" i="7"/>
  <c r="D36" i="7"/>
  <c r="B37" i="7"/>
  <c r="D37" i="7"/>
  <c r="D38" i="7"/>
  <c r="F43" i="7"/>
  <c r="G43" i="7"/>
  <c r="G46" i="7"/>
  <c r="H46" i="7"/>
  <c r="I46" i="7"/>
  <c r="J46" i="7"/>
  <c r="K46" i="7"/>
  <c r="L46" i="7"/>
  <c r="M46" i="7"/>
  <c r="N46" i="7"/>
  <c r="B47" i="7"/>
  <c r="C47" i="7"/>
  <c r="D47" i="7"/>
  <c r="G47" i="7"/>
  <c r="H47" i="7"/>
  <c r="I47" i="7"/>
  <c r="J47" i="7"/>
  <c r="K47" i="7"/>
  <c r="L47" i="7"/>
  <c r="M47" i="7"/>
  <c r="N47" i="7"/>
  <c r="O47" i="7"/>
  <c r="B48" i="7"/>
  <c r="C48" i="7"/>
  <c r="D48" i="7"/>
  <c r="G48" i="7"/>
  <c r="H48" i="7"/>
  <c r="I48" i="7"/>
  <c r="J48" i="7"/>
  <c r="K48" i="7"/>
  <c r="L48" i="7"/>
  <c r="M48" i="7"/>
  <c r="N48" i="7"/>
  <c r="O48" i="7"/>
  <c r="F52" i="7"/>
  <c r="G52" i="7"/>
  <c r="G55" i="7"/>
  <c r="H55" i="7"/>
  <c r="I55" i="7"/>
  <c r="J55" i="7"/>
  <c r="K55" i="7"/>
  <c r="L55" i="7"/>
  <c r="M55" i="7"/>
  <c r="N55" i="7"/>
  <c r="B56" i="7"/>
  <c r="C56" i="7"/>
  <c r="D56" i="7"/>
  <c r="G56" i="7"/>
  <c r="H56" i="7"/>
  <c r="I56" i="7"/>
  <c r="J56" i="7"/>
  <c r="K56" i="7"/>
  <c r="L56" i="7"/>
  <c r="M56" i="7"/>
  <c r="N56" i="7"/>
  <c r="O56" i="7"/>
  <c r="B57" i="7"/>
  <c r="C57" i="7"/>
  <c r="D57" i="7"/>
  <c r="G57" i="7"/>
  <c r="H57" i="7"/>
  <c r="I57" i="7"/>
  <c r="J57" i="7"/>
  <c r="K57" i="7"/>
  <c r="L57" i="7"/>
  <c r="M57" i="7"/>
  <c r="N57" i="7"/>
  <c r="O5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IF(OR(F_Custom1_Q="(None)",F_Custom1_Q="",ISBLANK(F_Custom1_Q),F_Custom1_V="(All)",F_Custom1_V="",ISBLANK(F_Custom1_V)),1,IFERROR(IF(ISNUMBER(SEARCH("|"&amp;INDEX($A2:$H2,1,MATCH(F_Custom1_Q,$A$1:$H$1,0))&amp;"|",F_Custom1_wrapped)),1,0),0))</f>
        <v>1</v>
      </c>
      <c r="K2">
        <f>IF(OR(F_Custom2_Q="(None)",F_Custom2_Q="",ISBLANK(F_Custom2_Q),F_Custom2_V="(All)",F_Custom2_V="",ISBLANK(F_Custom2_V)),1,IFERROR(IF(ISNUMBER(SEARCH("|"&amp;INDEX($A2:$H2,1,MATCH(F_Custom2_Q,$A$1:$H$1,0))&amp;"|",F_Custom2_wrapped)),1,0),0))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2:$H2,1,MATCH(All_Questions_Q_SS_EXPORT_F_Q,$A$1:$H$1,0)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2:$H2,1,MATCH(All_Questions_Q_MS_EXPORT_F_Q,$A$1:$H$1,0)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2:$H2,1,MATCH(All_Questions_Q_NUM_EXPORT_F_Q,$A$1:$H$1,0)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2:$H2,1,MATCH(All_Questions_Q_GRID_EXPORT_F_Q,$A$1:$H$1,0)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2:$H2,1,MATCH(All_Questions_Q_VERY_LONG_SINGLE_SELECT_EXPORT_NAME_F_Q,$A$1:$H$1,0)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IF(OR(F_Custom1_Q="(None)",F_Custom1_Q="",ISBLANK(F_Custom1_Q),F_Custom1_V="(All)",F_Custom1_V="",ISBLANK(F_Custom1_V)),1,IFERROR(IF(ISNUMBER(SEARCH("|"&amp;INDEX($A3:$H3,1,MATCH(F_Custom1_Q,$A$1:$H$1,0))&amp;"|",F_Custom1_wrapped)),1,0),0))</f>
        <v>1</v>
      </c>
      <c r="K3">
        <f>IF(OR(F_Custom2_Q="(None)",F_Custom2_Q="",ISBLANK(F_Custom2_Q),F_Custom2_V="(All)",F_Custom2_V="",ISBLANK(F_Custom2_V)),1,IFERROR(IF(ISNUMBER(SEARCH("|"&amp;INDEX($A3:$H3,1,MATCH(F_Custom2_Q,$A$1:$H$1,0))&amp;"|",F_Custom2_wrapped)),1,0),0))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3:$H3,1,MATCH(All_Questions_Q_SS_EXPORT_F_Q,$A$1:$H$1,0)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3:$H3,1,MATCH(All_Questions_Q_MS_EXPORT_F_Q,$A$1:$H$1,0)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3:$H3,1,MATCH(All_Questions_Q_NUM_EXPORT_F_Q,$A$1:$H$1,0)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3:$H3,1,MATCH(All_Questions_Q_GRID_EXPORT_F_Q,$A$1:$H$1,0)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3:$H3,1,MATCH(All_Questions_Q_VERY_LONG_SINGLE_SELECT_EXPORT_NAME_F_Q,$A$1:$H$1,0)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IF(OR(F_Custom1_Q="(None)",F_Custom1_Q="",ISBLANK(F_Custom1_Q),F_Custom1_V="(All)",F_Custom1_V="",ISBLANK(F_Custom1_V)),1,IFERROR(IF(ISNUMBER(SEARCH("|"&amp;INDEX($A4:$H4,1,MATCH(F_Custom1_Q,$A$1:$H$1,0))&amp;"|",F_Custom1_wrapped)),1,0),0))</f>
        <v>1</v>
      </c>
      <c r="K4">
        <f>IF(OR(F_Custom2_Q="(None)",F_Custom2_Q="",ISBLANK(F_Custom2_Q),F_Custom2_V="(All)",F_Custom2_V="",ISBLANK(F_Custom2_V)),1,IFERROR(IF(ISNUMBER(SEARCH("|"&amp;INDEX($A4:$H4,1,MATCH(F_Custom2_Q,$A$1:$H$1,0))&amp;"|",F_Custom2_wrapped)),1,0),0))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4:$H4,1,MATCH(All_Questions_Q_SS_EXPORT_F_Q,$A$1:$H$1,0)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4:$H4,1,MATCH(All_Questions_Q_MS_EXPORT_F_Q,$A$1:$H$1,0)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4:$H4,1,MATCH(All_Questions_Q_NUM_EXPORT_F_Q,$A$1:$H$1,0)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4:$H4,1,MATCH(All_Questions_Q_GRID_EXPORT_F_Q,$A$1:$H$1,0)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4:$H4,1,MATCH(All_Questions_Q_VERY_LONG_SINGLE_SELECT_EXPORT_NAME_F_Q,$A$1:$H$1,0)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IF(OR(F_Custom1_Q="(None)",F_Custom1_Q="",ISBLANK(F_Custom1_Q),F_Custom1_V="(All)",F_Custom1_V="",ISBLANK(F_Custom1_V)),1,IFERROR(IF(ISNUMBER(SEARCH("|"&amp;INDEX($A5:$H5,1,MATCH(F_Custom1_Q,$A$1:$H$1,0))&amp;"|",F_Custom1_wrapped)),1,0),0))</f>
        <v>1</v>
      </c>
      <c r="K5">
        <f>IF(OR(F_Custom2_Q="(None)",F_Custom2_Q="",ISBLANK(F_Custom2_Q),F_Custom2_V="(All)",F_Custom2_V="",ISBLANK(F_Custom2_V)),1,IFERROR(IF(ISNUMBER(SEARCH("|"&amp;INDEX($A5:$H5,1,MATCH(F_Custom2_Q,$A$1:$H$1,0))&amp;"|",F_Custom2_wrapped)),1,0),0))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5:$H5,1,MATCH(All_Questions_Q_SS_EXPORT_F_Q,$A$1:$H$1,0)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5:$H5,1,MATCH(All_Questions_Q_MS_EXPORT_F_Q,$A$1:$H$1,0)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5:$H5,1,MATCH(All_Questions_Q_NUM_EXPORT_F_Q,$A$1:$H$1,0)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5:$H5,1,MATCH(All_Questions_Q_GRID_EXPORT_F_Q,$A$1:$H$1,0)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5:$H5,1,MATCH(All_Questions_Q_VERY_LONG_SINGLE_SELECT_EXPORT_NAME_F_Q,$A$1:$H$1,0)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IF(OR(F_Custom1_Q="(None)",F_Custom1_Q="",ISBLANK(F_Custom1_Q),F_Custom1_V="(All)",F_Custom1_V="",ISBLANK(F_Custom1_V)),1,IFERROR(IF(ISNUMBER(SEARCH("|"&amp;INDEX($A6:$H6,1,MATCH(F_Custom1_Q,$A$1:$H$1,0))&amp;"|",F_Custom1_wrapped)),1,0),0))</f>
        <v>1</v>
      </c>
      <c r="K6">
        <f>IF(OR(F_Custom2_Q="(None)",F_Custom2_Q="",ISBLANK(F_Custom2_Q),F_Custom2_V="(All)",F_Custom2_V="",ISBLANK(F_Custom2_V)),1,IFERROR(IF(ISNUMBER(SEARCH("|"&amp;INDEX($A6:$H6,1,MATCH(F_Custom2_Q,$A$1:$H$1,0))&amp;"|",F_Custom2_wrapped)),1,0),0))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6:$H6,1,MATCH(All_Questions_Q_SS_EXPORT_F_Q,$A$1:$H$1,0)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6:$H6,1,MATCH(All_Questions_Q_MS_EXPORT_F_Q,$A$1:$H$1,0)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6:$H6,1,MATCH(All_Questions_Q_NUM_EXPORT_F_Q,$A$1:$H$1,0)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6:$H6,1,MATCH(All_Questions_Q_GRID_EXPORT_F_Q,$A$1:$H$1,0)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6:$H6,1,MATCH(All_Questions_Q_VERY_LONG_SINGLE_SELECT_EXPORT_NAME_F_Q,$A$1:$H$1,0)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IF(OR(F_Custom1_Q="(None)",F_Custom1_Q="",ISBLANK(F_Custom1_Q),F_Custom1_V="(All)",F_Custom1_V="",ISBLANK(F_Custom1_V)),1,IFERROR(IF(ISNUMBER(SEARCH("|"&amp;INDEX($A7:$H7,1,MATCH(F_Custom1_Q,$A$1:$H$1,0))&amp;"|",F_Custom1_wrapped)),1,0),0))</f>
        <v>1</v>
      </c>
      <c r="K7">
        <f>IF(OR(F_Custom2_Q="(None)",F_Custom2_Q="",ISBLANK(F_Custom2_Q),F_Custom2_V="(All)",F_Custom2_V="",ISBLANK(F_Custom2_V)),1,IFERROR(IF(ISNUMBER(SEARCH("|"&amp;INDEX($A7:$H7,1,MATCH(F_Custom2_Q,$A$1:$H$1,0))&amp;"|",F_Custom2_wrapped)),1,0),0))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7:$H7,1,MATCH(All_Questions_Q_SS_EXPORT_F_Q,$A$1:$H$1,0)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7:$H7,1,MATCH(All_Questions_Q_MS_EXPORT_F_Q,$A$1:$H$1,0)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7:$H7,1,MATCH(All_Questions_Q_NUM_EXPORT_F_Q,$A$1:$H$1,0)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7:$H7,1,MATCH(All_Questions_Q_GRID_EXPORT_F_Q,$A$1:$H$1,0)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7:$H7,1,MATCH(All_Questions_Q_VERY_LONG_SINGLE_SELECT_EXPORT_NAME_F_Q,$A$1:$H$1,0)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IF(OR(F_Custom1_Q="(None)",F_Custom1_Q="",ISBLANK(F_Custom1_Q),F_Custom1_V="(All)",F_Custom1_V="",ISBLANK(F_Custom1_V)),1,IFERROR(IF(ISNUMBER(SEARCH("|"&amp;INDEX($A8:$H8,1,MATCH(F_Custom1_Q,$A$1:$H$1,0))&amp;"|",F_Custom1_wrapped)),1,0),0))</f>
        <v>1</v>
      </c>
      <c r="K8">
        <f>IF(OR(F_Custom2_Q="(None)",F_Custom2_Q="",ISBLANK(F_Custom2_Q),F_Custom2_V="(All)",F_Custom2_V="",ISBLANK(F_Custom2_V)),1,IFERROR(IF(ISNUMBER(SEARCH("|"&amp;INDEX($A8:$H8,1,MATCH(F_Custom2_Q,$A$1:$H$1,0))&amp;"|",F_Custom2_wrapped)),1,0),0))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8:$H8,1,MATCH(All_Questions_Q_SS_EXPORT_F_Q,$A$1:$H$1,0)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8:$H8,1,MATCH(All_Questions_Q_MS_EXPORT_F_Q,$A$1:$H$1,0)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8:$H8,1,MATCH(All_Questions_Q_NUM_EXPORT_F_Q,$A$1:$H$1,0)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8:$H8,1,MATCH(All_Questions_Q_GRID_EXPORT_F_Q,$A$1:$H$1,0)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8:$H8,1,MATCH(All_Questions_Q_VERY_LONG_SINGLE_SELECT_EXPORT_NAME_F_Q,$A$1:$H$1,0)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IF(OR(F_Custom1_Q="(None)",F_Custom1_Q="",ISBLANK(F_Custom1_Q),F_Custom1_V="(All)",F_Custom1_V="",ISBLANK(F_Custom1_V)),1,IFERROR(IF(ISNUMBER(SEARCH("|"&amp;INDEX($A9:$H9,1,MATCH(F_Custom1_Q,$A$1:$H$1,0))&amp;"|",F_Custom1_wrapped)),1,0),0))</f>
        <v>1</v>
      </c>
      <c r="K9">
        <f>IF(OR(F_Custom2_Q="(None)",F_Custom2_Q="",ISBLANK(F_Custom2_Q),F_Custom2_V="(All)",F_Custom2_V="",ISBLANK(F_Custom2_V)),1,IFERROR(IF(ISNUMBER(SEARCH("|"&amp;INDEX($A9:$H9,1,MATCH(F_Custom2_Q,$A$1:$H$1,0))&amp;"|",F_Custom2_wrapped)),1,0),0))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9:$H9,1,MATCH(All_Questions_Q_SS_EXPORT_F_Q,$A$1:$H$1,0)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9:$H9,1,MATCH(All_Questions_Q_MS_EXPORT_F_Q,$A$1:$H$1,0)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9:$H9,1,MATCH(All_Questions_Q_NUM_EXPORT_F_Q,$A$1:$H$1,0)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9:$H9,1,MATCH(All_Questions_Q_GRID_EXPORT_F_Q,$A$1:$H$1,0)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9:$H9,1,MATCH(All_Questions_Q_VERY_LONG_SINGLE_SELECT_EXPORT_NAME_F_Q,$A$1:$H$1,0)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IF(OR(F_Custom1_Q="(None)",F_Custom1_Q="",ISBLANK(F_Custom1_Q),F_Custom1_V="(All)",F_Custom1_V="",ISBLANK(F_Custom1_V)),1,IFERROR(IF(ISNUMBER(SEARCH("|"&amp;INDEX($A10:$H10,1,MATCH(F_Custom1_Q,$A$1:$H$1,0))&amp;"|",F_Custom1_wrapped)),1,0),0))</f>
        <v>1</v>
      </c>
      <c r="K10">
        <f>IF(OR(F_Custom2_Q="(None)",F_Custom2_Q="",ISBLANK(F_Custom2_Q),F_Custom2_V="(All)",F_Custom2_V="",ISBLANK(F_Custom2_V)),1,IFERROR(IF(ISNUMBER(SEARCH("|"&amp;INDEX($A10:$H10,1,MATCH(F_Custom2_Q,$A$1:$H$1,0))&amp;"|",F_Custom2_wrapped)),1,0),0))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10:$H10,1,MATCH(All_Questions_Q_SS_EXPORT_F_Q,$A$1:$H$1,0)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10:$H10,1,MATCH(All_Questions_Q_MS_EXPORT_F_Q,$A$1:$H$1,0)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10:$H10,1,MATCH(All_Questions_Q_NUM_EXPORT_F_Q,$A$1:$H$1,0)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10:$H10,1,MATCH(All_Questions_Q_GRID_EXPORT_F_Q,$A$1:$H$1,0)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10:$H10,1,MATCH(All_Questions_Q_VERY_LONG_SINGLE_SELECT_EXPORT_NAME_F_Q,$A$1:$H$1,0)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IF(OR(F_Custom1_Q="(None)",F_Custom1_Q="",ISBLANK(F_Custom1_Q),F_Custom1_V="(All)",F_Custom1_V="",ISBLANK(F_Custom1_V)),1,IFERROR(IF(ISNUMBER(SEARCH("|"&amp;INDEX($A11:$H11,1,MATCH(F_Custom1_Q,$A$1:$H$1,0))&amp;"|",F_Custom1_wrapped)),1,0),0))</f>
        <v>1</v>
      </c>
      <c r="K11">
        <f>IF(OR(F_Custom2_Q="(None)",F_Custom2_Q="",ISBLANK(F_Custom2_Q),F_Custom2_V="(All)",F_Custom2_V="",ISBLANK(F_Custom2_V)),1,IFERROR(IF(ISNUMBER(SEARCH("|"&amp;INDEX($A11:$H11,1,MATCH(F_Custom2_Q,$A$1:$H$1,0))&amp;"|",F_Custom2_wrapped)),1,0),0))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11:$H11,1,MATCH(All_Questions_Q_SS_EXPORT_F_Q,$A$1:$H$1,0)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11:$H11,1,MATCH(All_Questions_Q_MS_EXPORT_F_Q,$A$1:$H$1,0)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11:$H11,1,MATCH(All_Questions_Q_NUM_EXPORT_F_Q,$A$1:$H$1,0)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11:$H11,1,MATCH(All_Questions_Q_GRID_EXPORT_F_Q,$A$1:$H$1,0)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11:$H11,1,MATCH(All_Questions_Q_VERY_LONG_SINGLE_SELECT_EXPORT_NAME_F_Q,$A$1:$H$1,0)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IF(F_Custom1_Q="(None)","respondent_id_data",F_Custom1_Q &amp; "_data")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IF(F_Custom2_Q="(None)","respondent_id_data",F_Custom2_Q &amp; "_data")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IF(All_Questions_F_Custom1_Q_resolved="(None)","respondent_id_data",All_Questions_F_Custom1_Q_resolved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IF(All_Questions_F_Custom2_Q_resolved="(None)","respondent_id_data",All_Questions_F_Custom2_Q_resolved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IF(All_Questions_Q_SS_EXPORT_F_Q="(None)","respondent_id_data",All_Questions_Q_SS_EXPORT_F_Q &amp; "_data")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IFERROR(INDEX(INDIRECT(All_Questions_Q_SS_EXPORT_CT &amp; "_options"),2),"")</f>
        <v/>
      </c>
      <c r="H16" t="str">
        <f>IFERROR(INDEX(INDIRECT(All_Questions_Q_SS_EXPORT_CT &amp; "_options"),3),"")</f>
        <v/>
      </c>
      <c r="I16" t="str">
        <f>IFERROR(INDEX(INDIRECT(All_Questions_Q_SS_EXPORT_CT &amp; "_options"),4),"")</f>
        <v/>
      </c>
      <c r="J16" t="str">
        <f>IFERROR(INDEX(INDIRECT(All_Questions_Q_SS_EXPORT_CT &amp; "_options"),5),"")</f>
        <v/>
      </c>
      <c r="K16" t="str">
        <f>IFERROR(INDEX(INDIRECT(All_Questions_Q_SS_EXPORT_CT &amp; "_options"),6),"")</f>
        <v/>
      </c>
      <c r="L16" t="str">
        <f>IFERROR(INDEX(INDIRECT(All_Questions_Q_SS_EXPORT_CT &amp; "_options"),7),"")</f>
        <v/>
      </c>
      <c r="M16" t="str">
        <f>IFERROR(INDEX(INDIRECT(All_Questions_Q_SS_EXPORT_CT &amp; "_options"),8),"")</f>
        <v/>
      </c>
      <c r="N16" t="str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"_data"),N$16)</f>
        <v>0</v>
      </c>
      <c r="O18">
        <f>SUM(G18:N18)</f>
        <v>0</v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 t="str">
        <f>IF(All_Questions_Q_MS_EXPORT_F_Q="(None)","respondent_id_data",All_Questions_Q_MS_EXPORT_F_Q &amp; "_data")</f>
        <v>respondent_id_data</v>
      </c>
      <c r="G22" t="str">
        <f>"|" &amp; SUBSTITUTE(All_Questions_Q_MS_EXPORT_F_V, ", ", "|") &amp; "|"</f>
        <v>|(All)|</v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 t="str">
        <f>IFERROR(INDEX(INDIRECT(All_Questions_Q_MS_EXPORT_CT &amp; "_options"),2),"")</f>
        <v/>
      </c>
      <c r="H25" t="str">
        <f>IFERROR(INDEX(INDIRECT(All_Questions_Q_MS_EXPORT_CT &amp; "_options"),3),"")</f>
        <v/>
      </c>
      <c r="I25" t="str">
        <f>IFERROR(INDEX(INDIRECT(All_Questions_Q_MS_EXPORT_CT &amp; "_options"),4),"")</f>
        <v/>
      </c>
      <c r="J25" t="str">
        <f>IFERROR(INDEX(INDIRECT(All_Questions_Q_MS_EXPORT_CT &amp; "_options"),5),"")</f>
        <v/>
      </c>
      <c r="K25" t="str">
        <f>IFERROR(INDEX(INDIRECT(All_Questions_Q_MS_EXPORT_CT &amp; "_options"),6),"")</f>
        <v/>
      </c>
      <c r="L25" t="str">
        <f>IFERROR(INDEX(INDIRECT(All_Questions_Q_MS_EXPORT_CT &amp; "_options"),7),"")</f>
        <v/>
      </c>
      <c r="M25" t="str">
        <f>IFERROR(INDEX(INDIRECT(All_Questions_Q_MS_EXPORT_CT &amp; "_options"),8),"")</f>
        <v/>
      </c>
      <c r="N25" t="str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COUNTIFS(Q_MS_EXPORTr1_data,"Selected",passes_workbook_filters_data,1,passes_workbook_custom_filters_data,1,All_Questions_passes_local_filters_data,1,All_Questions_Q_MS_EXPORT_F_passes_per_q_filter_data,1)</f>
        <v>5</v>
      </c>
      <c r="C26" s="7">
        <f>IFERROR(B26/SUBTOTAL(9,B26:B27),0)</f>
        <v>0.7142857142857143</v>
      </c>
      <c r="D26" s="14">
        <f>SUBTOTAL(9,B26:B27)</f>
        <v>7</v>
      </c>
      <c r="F26" t="inlineStr">
        <is>
          <t>First</t>
        </is>
      </c>
      <c r="G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6">
        <f>SUM(G26:N26)</f>
        <v>0</v>
      </c>
    </row>
    <row r="27">
      <c r="A27" t="inlineStr">
        <is>
          <t>Second</t>
        </is>
      </c>
      <c r="B27">
        <f>COUNTIFS(Q_MS_EXPORTr2_data,"Selected",passes_workbook_filters_data,1,passes_workbook_custom_filters_data,1,All_Questions_passes_local_filters_data,1,All_Questions_Q_MS_EXPORT_F_passes_per_q_filter_data,1)</f>
        <v>2</v>
      </c>
      <c r="C27" s="7">
        <f>IFERROR(B27/SUBTOTAL(9,B26:B27),0)</f>
        <v>0.2857142857142857</v>
      </c>
      <c r="D27" s="14">
        <f>SUBTOTAL(9,B26:B27)</f>
        <v>7</v>
      </c>
      <c r="F27" t="inlineStr">
        <is>
          <t>Second</t>
        </is>
      </c>
      <c r="G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7">
        <f>SUM(G27:N27)</f>
        <v>0</v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IF(All_Questions_Q_NUM_EXPORT_F_Q="(None)","respondent_id_data",All_Questions_Q_NUM_EXPORT_F_Q &amp; "_data")</f>
        <v>respondent_id_data</v>
      </c>
      <c r="G31" t="str">
        <f>"|" &amp; SUBSTITUTE(All_Questions_Q_NUM_EXPORT_F_V, ", ", "|") &amp; "|"</f>
        <v>|(All)|</v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IFERROR(AVERAGEIFS(Q_NUM_EXPORT_data,passes_workbook_filters_data,1,passes_workbook_custom_filters_data,1,All_Questions_passes_local_filters_data,1,All_Questions_Q_NUM_EXPORT_F_passes_per_q_filter_data,1),0)</f>
        <v>5.5</v>
      </c>
      <c r="D35">
        <f>COUNTIFS(Q_NUM_EXPORT_data,"&lt;&gt;",passes_workbook_filters_data,1,passes_workbook_custom_filters_data,1,All_Questions_passes_local_filters_data,1,All_Questions_Q_NUM_EXPORT_F_passes_per_q_filter_data,1)</f>
        <v>10</v>
      </c>
    </row>
    <row r="36">
      <c r="A36" t="inlineStr">
        <is>
          <t>Min</t>
        </is>
      </c>
      <c r="B36">
        <f>IFERROR(MINIFS(Q_NUM_EXPORT_data,passes_workbook_filters_data,1,passes_workbook_custom_filters_data,1,All_Questions_passes_local_filters_data,1,All_Questions_Q_NUM_EXPORT_F_passes_per_q_filter_data,1),0)</f>
        <v>1.0</v>
      </c>
      <c r="D36">
        <f>COUNTIFS(Q_NUM_EXPORT_data,"&lt;&gt;",passes_workbook_filters_data,1,passes_workbook_custom_filters_data,1,All_Questions_passes_local_filters_data,1,All_Questions_Q_NUM_EXPORT_F_passes_per_q_filter_data,1)</f>
        <v>10</v>
      </c>
    </row>
    <row r="37">
      <c r="A37" t="inlineStr">
        <is>
          <t>Max</t>
        </is>
      </c>
      <c r="B37">
        <f>IFERROR(MAXIFS(Q_NUM_EXPORT_data,passes_workbook_filters_data,1,passes_workbook_custom_filters_data,1,All_Questions_passes_local_filters_data,1,All_Questions_Q_NUM_EXPORT_F_passes_per_q_filter_data,1),0)</f>
        <v>10.0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 t="str">
        <f>IF(All_Questions_Q_GRID_EXPORT_F_Q="(None)","respondent_id_data",All_Questions_Q_GRID_EXPORT_F_Q &amp; "_data")</f>
        <v>respondent_id_data</v>
      </c>
      <c r="G43" t="str">
        <f>"|" &amp; SUBSTITUTE(All_Questions_Q_GRID_EXPORT_F_V, ", ", "|") &amp; "|"</f>
        <v>|(All)|</v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 t="str">
        <f>IFERROR(INDEX(INDIRECT(All_Questions_Q_GRID_EXPORT_CT &amp; "_options"),2),"")</f>
        <v/>
      </c>
      <c r="H46" t="str">
        <f>IFERROR(INDEX(INDIRECT(All_Questions_Q_GRID_EXPORT_CT &amp; "_options"),3),"")</f>
        <v/>
      </c>
      <c r="I46" t="str">
        <f>IFERROR(INDEX(INDIRECT(All_Questions_Q_GRID_EXPORT_CT &amp; "_options"),4),"")</f>
        <v/>
      </c>
      <c r="J46" t="str">
        <f>IFERROR(INDEX(INDIRECT(All_Questions_Q_GRID_EXPORT_CT &amp; "_options"),5),"")</f>
        <v/>
      </c>
      <c r="K46" t="str">
        <f>IFERROR(INDEX(INDIRECT(All_Questions_Q_GRID_EXPORT_CT &amp; "_options"),6),"")</f>
        <v/>
      </c>
      <c r="L46" t="str">
        <f>IFERROR(INDEX(INDIRECT(All_Questions_Q_GRID_EXPORT_CT &amp; "_options"),7),"")</f>
        <v/>
      </c>
      <c r="M46" t="str">
        <f>IFERROR(INDEX(INDIRECT(All_Questions_Q_GRID_EXPORT_CT &amp; "_options"),8),"")</f>
        <v/>
      </c>
      <c r="N46" t="str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COUNTIFS(Q_GRID_EXPORTr1_data,"Selected",passes_workbook_filters_data,1,passes_workbook_custom_filters_data,1,All_Questions_passes_local_filters_data,1,All_Questions_Q_GRID_EXPORT_F_passes_per_q_filter_data,1)</f>
        <v>10</v>
      </c>
      <c r="C47" s="7">
        <f>IFERROR(B47/SUBTOTAL(9,B47:B48),0)</f>
        <v>0.5</v>
      </c>
      <c r="D47" s="14">
        <f>SUBTOTAL(9,B47:B48)</f>
        <v>20</v>
      </c>
      <c r="F47" t="inlineStr">
        <is>
          <t>Grid first row</t>
        </is>
      </c>
      <c r="G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7">
        <f>SUM(G47:N47)</f>
        <v>0</v>
      </c>
    </row>
    <row r="48">
      <c r="A48" t="inlineStr">
        <is>
          <t>Grid second row</t>
        </is>
      </c>
      <c r="B48">
        <f>COUNTIFS(Q_GRID_EXPORTr2_data,"Selected",passes_workbook_filters_data,1,passes_workbook_custom_filters_data,1,All_Questions_passes_local_filters_data,1,All_Questions_Q_GRID_EXPORT_F_passes_per_q_filter_data,1)</f>
        <v>10</v>
      </c>
      <c r="C48" s="7">
        <f>IFERROR(B48/SUBTOTAL(9,B47:B48),0)</f>
        <v>0.5</v>
      </c>
      <c r="D48" s="14">
        <f>SUBTOTAL(9,B47:B48)</f>
        <v>20</v>
      </c>
      <c r="F48" t="inlineStr">
        <is>
          <t>Grid second row</t>
        </is>
      </c>
      <c r="G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8">
        <f>SUM(G48:N48)</f>
        <v>0</v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IF(All_Questions_Q_VERY_LONG_SINGLE_SELECT_EXPORT_NAME_F_Q="(None)","respondent_id_data",All_Questions_Q_VERY_LONG_SINGLE_SELECT_EXPORT_NAME_F_Q &amp; "_data")</f>
        <v>respondent_id_data</v>
      </c>
      <c r="G52" t="str">
        <f>"|" &amp; SUBSTITUTE(All_Questions_Q_VERY_LONG_SINGLE_SELECT_EXPORT_NAME_F_V,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 t="str">
        <f>IFERROR(INDEX(INDIRECT(All_Questions_Q_VERY_LONG_SINGLE_SELECT_EXPORT_NAME_CT &amp; "_options"),2),"")</f>
        <v/>
      </c>
      <c r="H55" t="str">
        <f>IFERROR(INDEX(INDIRECT(All_Questions_Q_VERY_LONG_SINGLE_SELECT_EXPORT_NAME_CT &amp; "_options"),3),"")</f>
        <v/>
      </c>
      <c r="I55" t="str">
        <f>IFERROR(INDEX(INDIRECT(All_Questions_Q_VERY_LONG_SINGLE_SELECT_EXPORT_NAME_CT &amp; "_options"),4),"")</f>
        <v/>
      </c>
      <c r="J55" t="str">
        <f>IFERROR(INDEX(INDIRECT(All_Questions_Q_VERY_LONG_SINGLE_SELECT_EXPORT_NAME_CT &amp; "_options"),5),"")</f>
        <v/>
      </c>
      <c r="K55" t="str">
        <f>IFERROR(INDEX(INDIRECT(All_Questions_Q_VERY_LONG_SINGLE_SELECT_EXPORT_NAME_CT &amp; "_options"),6),"")</f>
        <v/>
      </c>
      <c r="L55" t="str">
        <f>IFERROR(INDEX(INDIRECT(All_Questions_Q_VERY_LONG_SINGLE_SELECT_EXPORT_NAME_CT &amp; "_options"),7),"")</f>
        <v/>
      </c>
      <c r="M55" t="str">
        <f>IFERROR(INDEX(INDIRECT(All_Questions_Q_VERY_LONG_SINGLE_SELECT_EXPORT_NAME_CT &amp; "_options"),8),"")</f>
        <v/>
      </c>
      <c r="N55" t="str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6" s="7">
        <f>IFERROR(B56/SUBTOTAL(9,B56:B57),0)</f>
        <v>0.7</v>
      </c>
      <c r="D56" s="14">
        <f>SUBTOTAL(9,B56:B57)</f>
        <v>10</v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6">
        <f>SUM(G56:N56)</f>
        <v>0</v>
      </c>
    </row>
    <row r="57">
      <c r="A57" t="inlineStr">
        <is>
          <t>B</t>
        </is>
      </c>
      <c r="B57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7" s="7">
        <f>IFERROR(B57/SUBTOTAL(9,B56:B57),0)</f>
        <v>0.3</v>
      </c>
      <c r="D57" s="14">
        <f>SUBTOTAL(9,B56:B57)</f>
        <v>10</v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7">
        <f>SUM(G57:N57)</f>
        <v>0</v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2026-05-15T06:09:11Z</dcterms:created>
  <dcterms:modified xmlns:dcterms="http://purl.org/dc/terms/" xmlns:xsi="http://www.w3.org/2001/XMLSchema-instance" xsi:type="dcterms:W3CDTF">2026-05-15T06:09:11Z</dcterms:modified>
</cp:coreProperties>
</file>