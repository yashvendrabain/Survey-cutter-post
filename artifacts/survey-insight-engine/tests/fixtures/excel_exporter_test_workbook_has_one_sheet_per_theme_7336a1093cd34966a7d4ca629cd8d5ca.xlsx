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Grid export question</t>
      </text>
    </comment>
    <comment ref="A2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IFERROR(INDEX(INDIRECT(XLOOKUP(Theme_One_Q_MS_EXPORT_CT,All_Questions,All_Questions_Options_Names,"None_options")),2),"")</f>
        <v/>
      </c>
      <c r="H26" t="str">
        <f>IFERROR(INDEX(INDIRECT(XLOOKUP(Theme_One_Q_MS_EXPORT_CT,All_Questions,All_Questions_Options_Names,"None_options")),3),"")</f>
        <v/>
      </c>
      <c r="I26" t="str">
        <f>IFERROR(INDEX(INDIRECT(XLOOKUP(Theme_One_Q_MS_EXPORT_CT,All_Questions,All_Questions_Options_Names,"None_options")),4),"")</f>
        <v/>
      </c>
      <c r="J26" t="str">
        <f>IFERROR(INDEX(INDIRECT(XLOOKUP(Theme_One_Q_MS_EXPORT_CT,All_Questions,All_Questions_Options_Names,"None_options")),5),"")</f>
        <v/>
      </c>
      <c r="K26" t="str">
        <f>IFERROR(INDEX(INDIRECT(XLOOKUP(Theme_One_Q_MS_EXPORT_CT,All_Questions,All_Questions_Options_Names,"None_options")),6),"")</f>
        <v/>
      </c>
      <c r="L26" t="str">
        <f>IFERROR(INDEX(INDIRECT(XLOOKUP(Theme_One_Q_MS_EXPORT_CT,All_Questions,All_Questions_Options_Names,"None_options")),7),"")</f>
        <v/>
      </c>
      <c r="M26" t="str">
        <f>IFERROR(INDEX(INDIRECT(XLOOKUP(Theme_One_Q_MS_EXPORT_CT,All_Questions,All_Questions_Options_Names,"None_options")),8),"")</f>
        <v/>
      </c>
      <c r="N26" t="str">
        <f>IFERROR(INDEX(INDIRECT(XLOOKUP(Theme_One_Q_MS_EXPORT_CT,All_Questions,All_Questions_Options_Names,"None_options")),9),"")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7">
        <f>(Theme_One_Q_MS_EXPORT_CT&lt;&gt;"(None)")*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</f>
        <v>0</v>
      </c>
      <c r="H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H$26)</f>
        <v>0</v>
      </c>
      <c r="I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</f>
        <v>0</v>
      </c>
      <c r="J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J$26)</f>
        <v>0</v>
      </c>
      <c r="K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</f>
        <v>0</v>
      </c>
      <c r="L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L$26)</f>
        <v>0</v>
      </c>
      <c r="M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</f>
        <v>0</v>
      </c>
      <c r="N28">
        <f>(Theme_One_Q_MS_EXPORT_CT&lt;&gt;"(None)")*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IFERROR(INDEX(INDIRECT(XLOOKUP(All_Questions_Q_GRID_EXPORT_CT,All_Questions,All_Questions_Options_Names,"None_options")),2),"")</f>
        <v/>
      </c>
      <c r="H16" t="str">
        <f>IFERROR(INDEX(INDIRECT(XLOOKUP(All_Questions_Q_GRID_EXPORT_CT,All_Questions,All_Questions_Options_Names,"None_options")),3),"")</f>
        <v/>
      </c>
      <c r="I16" t="str">
        <f>IFERROR(INDEX(INDIRECT(XLOOKUP(All_Questions_Q_GRID_EXPORT_CT,All_Questions,All_Questions_Options_Names,"None_options")),4),"")</f>
        <v/>
      </c>
      <c r="J16" t="str">
        <f>IFERROR(INDEX(INDIRECT(XLOOKUP(All_Questions_Q_GRID_EXPORT_CT,All_Questions,All_Questions_Options_Names,"None_options")),5),"")</f>
        <v/>
      </c>
      <c r="K16" t="str">
        <f>IFERROR(INDEX(INDIRECT(XLOOKUP(All_Questions_Q_GRID_EXPORT_CT,All_Questions,All_Questions_Options_Names,"None_options")),6),"")</f>
        <v/>
      </c>
      <c r="L16" t="str">
        <f>IFERROR(INDEX(INDIRECT(XLOOKUP(All_Questions_Q_GRID_EXPORT_CT,All_Questions,All_Questions_Options_Names,"None_options")),7),"")</f>
        <v/>
      </c>
      <c r="M16" t="str">
        <f>IFERROR(INDEX(INDIRECT(XLOOKUP(All_Questions_Q_GRID_EXPORT_CT,All_Questions,All_Questions_Options_Names,"None_options")),8),"")</f>
        <v/>
      </c>
      <c r="N16" t="str">
        <f>IFERROR(INDEX(INDIRECT(XLOOKUP(All_Questions_Q_GRID_EXPORT_CT,All_Questions,All_Questions_Options_Names,"None_options")),9),"")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t="inlineStr">
        <is>
          <t>Grid first row</t>
        </is>
      </c>
      <c r="G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7">
        <f>SUM(G17:N17)</f>
        <v>0</v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second row</t>
        </is>
      </c>
      <c r="G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</f>
        <v>0</v>
      </c>
      <c r="H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$16)</f>
        <v>0</v>
      </c>
      <c r="I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</f>
        <v>0</v>
      </c>
      <c r="J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$16)</f>
        <v>0</v>
      </c>
      <c r="K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</f>
        <v>0</v>
      </c>
      <c r="L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$16)</f>
        <v>0</v>
      </c>
      <c r="M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</f>
        <v>0</v>
      </c>
      <c r="N1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Name Single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IFERROR(INDEX(INDIRECT(XLOOKUP(All_Questions_Q_VERY_LONG_SINGLE_SELECT_EXPORT_NAME_CT,All_Questions,All_Questions_Options_Names,"None_options")),2),"")</f>
        <v/>
      </c>
      <c r="H26" t="str">
        <f>IFERROR(INDEX(INDIRECT(XLOOKUP(All_Questions_Q_VERY_LONG_SINGLE_SELECT_EXPORT_NAME_CT,All_Questions,All_Questions_Options_Names,"None_options")),3),"")</f>
        <v/>
      </c>
      <c r="I26" t="str">
        <f>IFERROR(INDEX(INDIRECT(XLOOKUP(All_Questions_Q_VERY_LONG_SINGLE_SELECT_EXPORT_NAME_CT,All_Questions,All_Questions_Options_Names,"None_options")),4),"")</f>
        <v/>
      </c>
      <c r="J26" t="str">
        <f>IFERROR(INDEX(INDIRECT(XLOOKUP(All_Questions_Q_VERY_LONG_SINGLE_SELECT_EXPORT_NAME_CT,All_Questions,All_Questions_Options_Names,"None_options")),5),"")</f>
        <v/>
      </c>
      <c r="K26" t="str">
        <f>IFERROR(INDEX(INDIRECT(XLOOKUP(All_Questions_Q_VERY_LONG_SINGLE_SELECT_EXPORT_NAME_CT,All_Questions,All_Questions_Options_Names,"None_options")),6),"")</f>
        <v/>
      </c>
      <c r="L26" t="str">
        <f>IFERROR(INDEX(INDIRECT(XLOOKUP(All_Questions_Q_VERY_LONG_SINGLE_SELECT_EXPORT_NAME_CT,All_Questions,All_Questions_Options_Names,"None_options")),7),"")</f>
        <v/>
      </c>
      <c r="M26" t="str">
        <f>IFERROR(INDEX(INDIRECT(XLOOKUP(All_Questions_Q_VERY_LONG_SINGLE_SELECT_EXPORT_NAME_CT,All_Questions,All_Questions_Options_Names,"None_options")),8),"")</f>
        <v/>
      </c>
      <c r="N26" t="str">
        <f>IFERROR(INDEX(INDIRECT(XLOOKUP(All_Questions_Q_VERY_LONG_SINGLE_SELECT_EXPORT_NAME_CT,All_Questions,All_Questions_Options_Names,"None_options")),9),"")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t="inlineStr">
        <is>
          <t>A</t>
        </is>
      </c>
      <c r="G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7">
        <f>SUM(G27:N27)</f>
        <v>0</v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B</t>
        </is>
      </c>
      <c r="G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</f>
        <v>0</v>
      </c>
      <c r="H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$26)</f>
        <v>0</v>
      </c>
      <c r="I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</f>
        <v>0</v>
      </c>
      <c r="J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$26)</f>
        <v>0</v>
      </c>
      <c r="K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</f>
        <v>0</v>
      </c>
      <c r="L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$26)</f>
        <v>0</v>
      </c>
      <c r="M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</f>
        <v>0</v>
      </c>
      <c r="N2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2026-05-15T22:34:25Z</dcterms:created>
  <dcterms:modified xmlns:dcterms="http://purl.org/dc/terms/" xmlns:xsi="http://www.w3.org/2001/XMLSchema-instance" xsi:type="dcterms:W3CDTF">2026-05-15T22:34:25Z</dcterms:modified>
</cp:coreProperties>
</file>