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resolved_criteria">'All Questions'!$H$24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IF(All_Questions_Q4_CT="(None)","",IFERROR(INDEX(INDIRECT(IFERROR(INDEX(Cross_Tab_Questions_Options_Names,MATCH(All_Questions_Q4_CT,Cross_Tab_Questions,0)),"'_Options'!$E$2:$E$2")),2),""))</f>
        <v/>
      </c>
      <c r="H16" s="2" t="str">
        <f>IF(All_Questions_Q4_CT="(None)","",IFERROR(INDEX(INDIRECT(IFERROR(INDEX(Cross_Tab_Questions_Options_Names,MATCH(All_Questions_Q4_CT,Cross_Tab_Questions,0)),"'_Options'!$E$2:$E$2")),3),""))</f>
        <v/>
      </c>
      <c r="I16" s="2" t="str">
        <f>IF(All_Questions_Q4_CT="(None)","",IFERROR(INDEX(INDIRECT(IFERROR(INDEX(Cross_Tab_Questions_Options_Names,MATCH(All_Questions_Q4_CT,Cross_Tab_Questions,0)),"'_Options'!$E$2:$E$2")),4),""))</f>
        <v/>
      </c>
      <c r="J16" s="2" t="str">
        <f>IF(All_Questions_Q4_CT="(None)","",IFERROR(INDEX(INDIRECT(IFERROR(INDEX(Cross_Tab_Questions_Options_Names,MATCH(All_Questions_Q4_CT,Cross_Tab_Questions,0)),"'_Options'!$E$2:$E$2")),5),""))</f>
        <v/>
      </c>
      <c r="K16" s="2" t="str">
        <f>IF(All_Questions_Q4_CT="(None)","",IFERROR(INDEX(INDIRECT(IFERROR(INDEX(Cross_Tab_Questions_Options_Names,MATCH(All_Questions_Q4_CT,Cross_Tab_Questions,0)),"'_Options'!$E$2:$E$2")),6),""))</f>
        <v/>
      </c>
      <c r="L16" s="2" t="str">
        <f>IF(All_Questions_Q4_CT="(None)","",IFERROR(INDEX(INDIRECT(IFERROR(INDEX(Cross_Tab_Questions_Options_Names,MATCH(All_Questions_Q4_CT,Cross_Tab_Questions,0)),"'_Options'!$E$2:$E$2")),7),""))</f>
        <v/>
      </c>
      <c r="M16" s="2" t="str">
        <f>IF(All_Questions_Q4_CT="(None)","",IFERROR(INDEX(INDIRECT(IFERROR(INDEX(Cross_Tab_Questions_Options_Names,MATCH(All_Questions_Q4_CT,Cross_Tab_Questions,0)),"'_Options'!$E$2:$E$2")),8),""))</f>
        <v/>
      </c>
      <c r="N16" s="2" t="str">
        <f>IF(All_Questions_Q4_CT="(None)","",IFERROR(INDEX(INDIRECT(IFERROR(INDEX(Cross_Tab_Questions_Options_Names,MATCH(All_Questions_Q4_CT,Cross_Tab_Questions,0)),"'_Options'!$E$2:$E$2")),9),""))</f>
        <v/>
      </c>
      <c r="O16" s="2" t="str">
        <f>IF(All_Questions_Q4_CT="(None)","",IFERROR(INDEX(INDIRECT(IFERROR(INDEX(Cross_Tab_Questions_Options_Names,MATCH(All_Questions_Q4_CT,Cross_Tab_Questions,0)),"'_Options'!$E$2:$E$2")),10),""))</f>
        <v/>
      </c>
      <c r="P16" s="2" t="str">
        <f>IF(All_Questions_Q4_CT="(None)","",IFERROR(INDEX(INDIRECT(IFERROR(INDEX(Cross_Tab_Questions_Options_Names,MATCH(All_Questions_Q4_CT,Cross_Tab_Questions,0)),"'_Options'!$E$2:$E$2")),11),""))</f>
        <v/>
      </c>
      <c r="Q16" s="2" t="str">
        <f>IF(All_Questions_Q4_CT="(None)","",IFERROR(INDEX(INDIRECT(IFERROR(INDEX(Cross_Tab_Questions_Options_Names,MATCH(All_Questions_Q4_CT,Cross_Tab_Questions,0)),"'_Options'!$E$2:$E$2")),12),""))</f>
        <v/>
      </c>
      <c r="R16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24" t="str">
        <f>"|" &amp; SUBSTITUTE(All_Questions_Q5_F_V, ", ", "|") &amp; "|"</f>
        <v>|(All)|</v>
      </c>
      <c r="H24" t="str">
        <f>IFERROR(INDEX(All_Questions_Value_Criteria,MATCH(All_Questions_Q5_F_Q&amp;"|"&amp;All_Questions_Q5_F_V,All_Questions_Value_Keys,0)),All_Questions_Q5_F_V)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IF(All_Questions_Q5_CT="(None)","",IFERROR(INDEX(INDIRECT(IFERROR(INDEX(Cross_Tab_Questions_Options_Names,MATCH(All_Questions_Q5_CT,Cross_Tab_Questions,0)),"'_Options'!$E$2:$E$2")),2),""))</f>
        <v/>
      </c>
      <c r="H27" s="2" t="str">
        <f>IF(All_Questions_Q5_CT="(None)","",IFERROR(INDEX(INDIRECT(IFERROR(INDEX(Cross_Tab_Questions_Options_Names,MATCH(All_Questions_Q5_CT,Cross_Tab_Questions,0)),"'_Options'!$E$2:$E$2")),3),""))</f>
        <v/>
      </c>
      <c r="I27" s="2" t="str">
        <f>IF(All_Questions_Q5_CT="(None)","",IFERROR(INDEX(INDIRECT(IFERROR(INDEX(Cross_Tab_Questions_Options_Names,MATCH(All_Questions_Q5_CT,Cross_Tab_Questions,0)),"'_Options'!$E$2:$E$2")),4),""))</f>
        <v/>
      </c>
      <c r="J27" s="2" t="str">
        <f>IF(All_Questions_Q5_CT="(None)","",IFERROR(INDEX(INDIRECT(IFERROR(INDEX(Cross_Tab_Questions_Options_Names,MATCH(All_Questions_Q5_CT,Cross_Tab_Questions,0)),"'_Options'!$E$2:$E$2")),5),""))</f>
        <v/>
      </c>
      <c r="K27" s="2" t="str">
        <f>IF(All_Questions_Q5_CT="(None)","",IFERROR(INDEX(INDIRECT(IFERROR(INDEX(Cross_Tab_Questions_Options_Names,MATCH(All_Questions_Q5_CT,Cross_Tab_Questions,0)),"'_Options'!$E$2:$E$2")),6),""))</f>
        <v/>
      </c>
      <c r="L27" s="2" t="str">
        <f>IF(All_Questions_Q5_CT="(None)","",IFERROR(INDEX(INDIRECT(IFERROR(INDEX(Cross_Tab_Questions_Options_Names,MATCH(All_Questions_Q5_CT,Cross_Tab_Questions,0)),"'_Options'!$E$2:$E$2")),7),""))</f>
        <v/>
      </c>
      <c r="M27" s="2" t="str">
        <f>IF(All_Questions_Q5_CT="(None)","",IFERROR(INDEX(INDIRECT(IFERROR(INDEX(Cross_Tab_Questions_Options_Names,MATCH(All_Questions_Q5_CT,Cross_Tab_Questions,0)),"'_Options'!$E$2:$E$2")),8),""))</f>
        <v/>
      </c>
      <c r="N27" s="2" t="str">
        <f>IF(All_Questions_Q5_CT="(None)","",IFERROR(INDEX(INDIRECT(IFERROR(INDEX(Cross_Tab_Questions_Options_Names,MATCH(All_Questions_Q5_CT,Cross_Tab_Questions,0)),"'_Options'!$E$2:$E$2")),9),""))</f>
        <v/>
      </c>
      <c r="O27" s="2" t="str">
        <f>IF(All_Questions_Q5_CT="(None)","",IFERROR(INDEX(INDIRECT(IFERROR(INDEX(Cross_Tab_Questions_Options_Names,MATCH(All_Questions_Q5_CT,Cross_Tab_Questions,0)),"'_Options'!$E$2:$E$2")),10),""))</f>
        <v/>
      </c>
      <c r="P27" s="2" t="str">
        <f>IF(All_Questions_Q5_CT="(None)","",IFERROR(INDEX(INDIRECT(IFERROR(INDEX(Cross_Tab_Questions_Options_Names,MATCH(All_Questions_Q5_CT,Cross_Tab_Questions,0)),"'_Options'!$E$2:$E$2")),11),""))</f>
        <v/>
      </c>
      <c r="Q27" s="2" t="str">
        <f>IF(All_Questions_Q5_CT="(None)","",IFERROR(INDEX(INDIRECT(IFERROR(INDEX(Cross_Tab_Questions_Options_Names,MATCH(All_Questions_Q5_CT,Cross_Tab_Questions,0)),"'_Options'!$E$2:$E$2")),12),""))</f>
        <v/>
      </c>
      <c r="R27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2026-06-08T13:45:45.682288+00:00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2026-06-08T13:45:45.682599+00:00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2026-06-08T13:45:45.682863+00:00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2026-06-08T13:45:45.683152+00:00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2026-06-08T13:45:45.683451+00:00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2026-06-08T13:45:45.683716+00:00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2026-06-08T13:45:45.683999+00:00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2026-06-08T13:45:45.684287+00:00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2026-06-08T13:45:45.684589+00:00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2026-06-08T13:45:45.684895+00:00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2026-06-08T13:45:45.685199+00:00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2026-06-08T13:45:45.685595+00:00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2026-06-08T13:45:45.686091+00:00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2026-06-08T13:45:45.686393+00:00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2026-06-08T13:45:45.686663+00:00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2026-06-08T13:45:45.687045+00:00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2026-06-08T13:45:45.687339+00:00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2026-06-08T13:45:45.687612+00:00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2026-06-08T13:45:45.687868+00:00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2026-06-08T13:45:45.688153+00:00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2026-06-08T13:45:45.688468+00:00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2026-06-08T13:45:45.688730+00:00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2026-06-08T13:45:45.689009+00:00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2026-06-08T13:45:45.689384+00:00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2026-06-08T13:45:45.727436+00:00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2026-06-08T13:45:45.727851+00:00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2026-06-08T13:45:45.728169+00:00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2026-06-08T13:45:45.728510+00:00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2026-06-08T13:45:45.728785+00:00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2026-06-08T13:45:45.729096+00:00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2026-06-08T13:45:45.729404+00:00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2026-06-08T13:45:45.729769+00:00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2026-06-08T13:45:45.730065+00:00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2026-06-08T13:45:45.730421+00:00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2026-06-08T13:45:45.730684+00:00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2026-06-08T13:45:45.731049+00:00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2026-06-08T13:45:45.731560+00:00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2026-06-08T13:45:45.731819+00:00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2026-06-08T13:45:45.732126+00:00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2026-06-08T13:45:45.732430+00:00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2026-06-08T13:45:45.732695+00:00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2026-06-08T13:45:45.732975+00:00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2026-06-08T13:45:45.733243+00:00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2026-06-08T13:45:45.733552+00:00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2026-06-08T13:45:45.733816+00:00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2026-06-08T13:45:45.734105+00:00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2026-06-08T13:45:45.734433+00:00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2026-06-08T13:45:45.734787+00:00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2026-06-08T13:45:43Z</dcterms:created>
  <dcterms:modified xmlns:dcterms="http://purl.org/dc/terms/" xmlns:xsi="http://www.w3.org/2001/XMLSchema-instance" xsi:type="dcterms:W3CDTF">2026-06-08T13:45:45Z</dcterms:modified>
</cp:coreProperties>
</file>