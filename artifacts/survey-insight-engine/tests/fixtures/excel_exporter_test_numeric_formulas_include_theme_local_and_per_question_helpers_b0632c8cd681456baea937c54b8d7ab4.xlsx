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Questions'!$C$29</definedName>
    <definedName name="All_Questions_Q_MS_EXPORT_F_V">'All Questions'!$E$29</definedName>
    <definedName name="All_Questions_Q_MS_EXPORT_F_resolved_column">'All Questions'!$F$29</definedName>
    <definedName name="All_Questions_Q_MS_EXPORT_F_wrapped">'All Questions'!$G$29</definedName>
    <definedName name="All_Questions_Q_MS_EXPORT_F_resolved_criteria">'All Questions'!$H$29</definedName>
    <definedName name="All_Questions_Q_MS_EXPORT_F_passes_per_q_filter_data">'_RawData'!$O$2:$O$11</definedName>
    <definedName name="All_Questions_Q_MS_EXPORT_CT">'All Questions'!$C$30</definedName>
    <definedName name="All_Questions_Q_NUM_EXPORT_F_Q">'All Questions'!$C$46</definedName>
    <definedName name="All_Questions_Q_NUM_EXPORT_F_V">'All Questions'!$E$46</definedName>
    <definedName name="All_Questions_Q_NUM_EXPORT_F_resolved_column">'All Questions'!$F$46</definedName>
    <definedName name="All_Questions_Q_NUM_EXPORT_F_wrapped">'All Questions'!$G$46</definedName>
    <definedName name="All_Questions_Q_NUM_EXPORT_F_resolved_criteria">'All Questions'!$H$46</definedName>
    <definedName name="All_Questions_Q_NUM_EXPORT_F_passes_per_q_filter_data">'_RawData'!$P$2:$P$11</definedName>
    <definedName name="All_Questions_Q_NUM_EXPORT_CT">'All Questions'!$C$47</definedName>
    <definedName name="All_Questions_Q_GRID_EXPORT_F_Q">'All Questions'!$C$63</definedName>
    <definedName name="All_Questions_Q_GRID_EXPORT_F_V">'All Questions'!$E$63</definedName>
    <definedName name="All_Questions_Q_GRID_EXPORT_F_resolved_column">'All Questions'!$F$63</definedName>
    <definedName name="All_Questions_Q_GRID_EXPORT_F_wrapped">'All Questions'!$G$63</definedName>
    <definedName name="All_Questions_Q_GRID_EXPORT_F_resolved_criteria">'All Questions'!$H$63</definedName>
    <definedName name="All_Questions_Q_GRID_EXPORT_F_passes_per_q_filter_data">'_RawData'!$Q$2:$Q$11</definedName>
    <definedName name="All_Questions_Q_VERY_LONG_SINGLE_SELECT_EXPORT_NAME_F_Q">'All Questions'!$C$74</definedName>
    <definedName name="All_Questions_Q_VERY_LONG_SINGLE_SELECT_EXPORT_NAME_F_V">'All Questions'!$E$74</definedName>
    <definedName name="All_Questions_Q_VERY_LONG_SINGLE_SELECT_EXPORT_NAME_F_resolved_column">'All Questions'!$F$74</definedName>
    <definedName name="All_Questions_Q_VERY_LONG_SINGLE_SELECT_EXPORT_NAME_F_wrapped">'All Questions'!$G$74</definedName>
    <definedName name="All_Questions_Q_VERY_LONG_SINGLE_SELECT_EXPORT_NAME_F_resolved_criteria">'All Questions'!$H$74</definedName>
    <definedName name="All_Questions_Q_VERY_LONG_SINGLE_SELECT_EXPORT_NAME_F_passes_per_q_filter_data">'_RawData'!$R$2:$R$11</definedName>
    <definedName name="All_Questions_Q_VERY_LONG_SINGLE_SELECT_EXPORT_NAME_CT">'All Questions'!$C$75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C17" i="7"/>
  <c r="D17" i="7"/>
  <c r="B18" i="7"/>
  <c r="C18" i="7"/>
  <c r="D18" i="7"/>
  <c r="B21" i="7"/>
  <c r="C21" i="7"/>
  <c r="D21" i="7"/>
  <c r="E21" i="7"/>
  <c r="F21" i="7"/>
  <c r="G21" i="7"/>
  <c r="H21" i="7"/>
  <c r="I21" i="7"/>
  <c r="J21" i="7"/>
  <c r="K21" i="7"/>
  <c r="L21" i="7"/>
  <c r="M21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N25" i="7"/>
  <c r="F29" i="7"/>
  <c r="G29" i="7"/>
  <c r="H29" i="7"/>
  <c r="B33" i="7"/>
  <c r="C33" i="7"/>
  <c r="D33" i="7"/>
  <c r="B34" i="7"/>
  <c r="C34" i="7"/>
  <c r="D34" i="7"/>
  <c r="B38" i="7"/>
  <c r="C38" i="7"/>
  <c r="D38" i="7"/>
  <c r="E38" i="7"/>
  <c r="F38" i="7"/>
  <c r="G38" i="7"/>
  <c r="H38" i="7"/>
  <c r="I38" i="7"/>
  <c r="J38" i="7"/>
  <c r="K38" i="7"/>
  <c r="L38" i="7"/>
  <c r="M38" i="7"/>
  <c r="B40" i="7"/>
  <c r="C40" i="7"/>
  <c r="D40" i="7"/>
  <c r="E40" i="7"/>
  <c r="F40" i="7"/>
  <c r="G40" i="7"/>
  <c r="H40" i="7"/>
  <c r="I40" i="7"/>
  <c r="J40" i="7"/>
  <c r="K40" i="7"/>
  <c r="L40" i="7"/>
  <c r="M40" i="7"/>
  <c r="N40" i="7"/>
  <c r="B41" i="7"/>
  <c r="C41" i="7"/>
  <c r="D41" i="7"/>
  <c r="E41" i="7"/>
  <c r="F41" i="7"/>
  <c r="G41" i="7"/>
  <c r="H41" i="7"/>
  <c r="I41" i="7"/>
  <c r="J41" i="7"/>
  <c r="K41" i="7"/>
  <c r="L41" i="7"/>
  <c r="M41" i="7"/>
  <c r="N41" i="7"/>
  <c r="N42" i="7"/>
  <c r="F46" i="7"/>
  <c r="G46" i="7"/>
  <c r="H46" i="7"/>
  <c r="B50" i="7"/>
  <c r="D50" i="7"/>
  <c r="B51" i="7"/>
  <c r="D51" i="7"/>
  <c r="B52" i="7"/>
  <c r="D52" i="7"/>
  <c r="D53" i="7"/>
  <c r="B56" i="7"/>
  <c r="C56" i="7"/>
  <c r="D56" i="7"/>
  <c r="E56" i="7"/>
  <c r="F56" i="7"/>
  <c r="G56" i="7"/>
  <c r="H56" i="7"/>
  <c r="I56" i="7"/>
  <c r="J56" i="7"/>
  <c r="K56" i="7"/>
  <c r="L56" i="7"/>
  <c r="M56" i="7"/>
  <c r="B58" i="7"/>
  <c r="C58" i="7"/>
  <c r="D58" i="7"/>
  <c r="E58" i="7"/>
  <c r="F58" i="7"/>
  <c r="G58" i="7"/>
  <c r="H58" i="7"/>
  <c r="I58" i="7"/>
  <c r="J58" i="7"/>
  <c r="K58" i="7"/>
  <c r="L58" i="7"/>
  <c r="M58" i="7"/>
  <c r="N58" i="7"/>
  <c r="N59" i="7"/>
  <c r="F63" i="7"/>
  <c r="G63" i="7"/>
  <c r="H63" i="7"/>
  <c r="C67" i="7"/>
  <c r="D67" i="7"/>
  <c r="E67" i="7"/>
  <c r="F67" i="7"/>
  <c r="C68" i="7"/>
  <c r="D68" i="7"/>
  <c r="E68" i="7"/>
  <c r="F68" i="7"/>
  <c r="F74" i="7"/>
  <c r="G74" i="7"/>
  <c r="H74" i="7"/>
  <c r="B78" i="7"/>
  <c r="C78" i="7"/>
  <c r="D78" i="7"/>
  <c r="B79" i="7"/>
  <c r="C79" i="7"/>
  <c r="D79" i="7"/>
  <c r="B82" i="7"/>
  <c r="C82" i="7"/>
  <c r="D82" i="7"/>
  <c r="E82" i="7"/>
  <c r="F82" i="7"/>
  <c r="G82" i="7"/>
  <c r="H82" i="7"/>
  <c r="I82" i="7"/>
  <c r="J82" i="7"/>
  <c r="K82" i="7"/>
  <c r="L82" i="7"/>
  <c r="M82" i="7"/>
  <c r="B84" i="7"/>
  <c r="C84" i="7"/>
  <c r="D84" i="7"/>
  <c r="E84" i="7"/>
  <c r="F84" i="7"/>
  <c r="G84" i="7"/>
  <c r="H84" i="7"/>
  <c r="I84" i="7"/>
  <c r="J84" i="7"/>
  <c r="K84" i="7"/>
  <c r="L84" i="7"/>
  <c r="M84" i="7"/>
  <c r="N84" i="7"/>
  <c r="B85" i="7"/>
  <c r="C85" i="7"/>
  <c r="D85" i="7"/>
  <c r="E85" i="7"/>
  <c r="F85" i="7"/>
  <c r="G85" i="7"/>
  <c r="H85" i="7"/>
  <c r="I85" i="7"/>
  <c r="J85" i="7"/>
  <c r="K85" i="7"/>
  <c r="L85" i="7"/>
  <c r="M85" i="7"/>
  <c r="N85" i="7"/>
  <c r="N86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32_1" displayName="T_All_Questions_32_1" ref="A32:D36" headerRowCount="1">
  <autoFilter ref="A32:D3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49_1" displayName="T_All_Questions_49_1" ref="A49:D54" headerRowCount="1">
  <autoFilter ref="A49:D54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7_1" displayName="T_All_Questions_77_1" ref="A77:D80" headerRowCount="1">
  <autoFilter ref="A77:D8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0"/>
    <row r="21">
      <c r="A21" s="4" t="inlineStr">
        <is>
          <t>Option</t>
        </is>
      </c>
      <c r="B21" s="2" t="str">
        <f>IF(All_Questions_Q_SS_EXPORT_CT="(None)","",IFERROR(INDEX(INDIRECT(IFERROR(INDEX(Cross_Tab_Questions_Options_Names,MATCH(All_Questions_Q_SS_EXPORT_CT,Cross_Tab_Questions,0)),"'_Options'!$E$2:$E$2")),2),""))</f>
        <v/>
      </c>
      <c r="C21" s="2" t="str">
        <f>IF(All_Questions_Q_SS_EXPORT_CT="(None)","",IFERROR(INDEX(INDIRECT(IFERROR(INDEX(Cross_Tab_Questions_Options_Names,MATCH(All_Questions_Q_SS_EXPORT_CT,Cross_Tab_Questions,0)),"'_Options'!$E$2:$E$2")),3),""))</f>
        <v/>
      </c>
      <c r="D21" s="2" t="str">
        <f>IF(All_Questions_Q_SS_EXPORT_CT="(None)","",IFERROR(INDEX(INDIRECT(IFERROR(INDEX(Cross_Tab_Questions_Options_Names,MATCH(All_Questions_Q_SS_EXPORT_CT,Cross_Tab_Questions,0)),"'_Options'!$E$2:$E$2")),4),""))</f>
        <v/>
      </c>
      <c r="E21" s="2" t="str">
        <f>IF(All_Questions_Q_SS_EXPORT_CT="(None)","",IFERROR(INDEX(INDIRECT(IFERROR(INDEX(Cross_Tab_Questions_Options_Names,MATCH(All_Questions_Q_SS_EXPORT_CT,Cross_Tab_Questions,0)),"'_Options'!$E$2:$E$2")),5),""))</f>
        <v/>
      </c>
      <c r="F21" s="2" t="str">
        <f>IF(All_Questions_Q_SS_EXPORT_CT="(None)","",IFERROR(INDEX(INDIRECT(IFERROR(INDEX(Cross_Tab_Questions_Options_Names,MATCH(All_Questions_Q_SS_EXPORT_CT,Cross_Tab_Questions,0)),"'_Options'!$E$2:$E$2")),6),""))</f>
        <v/>
      </c>
      <c r="G21" s="2" t="str">
        <f>IF(All_Questions_Q_SS_EXPORT_CT="(None)","",IFERROR(INDEX(INDIRECT(IFERROR(INDEX(Cross_Tab_Questions_Options_Names,MATCH(All_Questions_Q_SS_EXPORT_CT,Cross_Tab_Questions,0)),"'_Options'!$E$2:$E$2")),7),""))</f>
        <v/>
      </c>
      <c r="H21" s="2" t="str">
        <f>IF(All_Questions_Q_SS_EXPORT_CT="(None)","",IFERROR(INDEX(INDIRECT(IFERROR(INDEX(Cross_Tab_Questions_Options_Names,MATCH(All_Questions_Q_SS_EXPORT_CT,Cross_Tab_Questions,0)),"'_Options'!$E$2:$E$2")),8),""))</f>
        <v/>
      </c>
      <c r="I21" s="2" t="str">
        <f>IF(All_Questions_Q_SS_EXPORT_CT="(None)","",IFERROR(INDEX(INDIRECT(IFERROR(INDEX(Cross_Tab_Questions_Options_Names,MATCH(All_Questions_Q_SS_EXPORT_CT,Cross_Tab_Questions,0)),"'_Options'!$E$2:$E$2")),9),""))</f>
        <v/>
      </c>
      <c r="J21" s="2" t="str">
        <f>IF(All_Questions_Q_SS_EXPORT_CT="(None)","",IFERROR(INDEX(INDIRECT(IFERROR(INDEX(Cross_Tab_Questions_Options_Names,MATCH(All_Questions_Q_SS_EXPORT_CT,Cross_Tab_Questions,0)),"'_Options'!$E$2:$E$2")),10),""))</f>
        <v/>
      </c>
      <c r="K21" s="2" t="str">
        <f>IF(All_Questions_Q_SS_EXPORT_CT="(None)","",IFERROR(INDEX(INDIRECT(IFERROR(INDEX(Cross_Tab_Questions_Options_Names,MATCH(All_Questions_Q_SS_EXPORT_CT,Cross_Tab_Questions,0)),"'_Options'!$E$2:$E$2")),11),""))</f>
        <v/>
      </c>
      <c r="L21" s="2" t="str">
        <f>IF(All_Questions_Q_SS_EXPORT_CT="(None)","",IFERROR(INDEX(INDIRECT(IFERROR(INDEX(Cross_Tab_Questions_Options_Names,MATCH(All_Questions_Q_SS_EXPORT_CT,Cross_Tab_Questions,0)),"'_Options'!$E$2:$E$2")),12),""))</f>
        <v/>
      </c>
      <c r="M21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N21" s="4" t="inlineStr">
        <is>
          <t>Total</t>
        </is>
      </c>
    </row>
    <row r="22">
      <c r="A22" s="4" t="inlineStr"/>
      <c r="B22" s="4" t="inlineStr">
        <is>
          <t># of resp</t>
        </is>
      </c>
      <c r="C22" s="4" t="inlineStr">
        <is>
          <t># of resp</t>
        </is>
      </c>
      <c r="D22" s="4" t="inlineStr">
        <is>
          <t># of resp</t>
        </is>
      </c>
      <c r="E22" s="4" t="inlineStr">
        <is>
          <t># of resp</t>
        </is>
      </c>
      <c r="F22" s="4" t="inlineStr">
        <is>
          <t># of resp</t>
        </is>
      </c>
      <c r="G22" s="4" t="inlineStr">
        <is>
          <t># of resp</t>
        </is>
      </c>
      <c r="H22" s="4" t="inlineStr">
        <is>
          <t># of resp</t>
        </is>
      </c>
      <c r="I22" s="4" t="inlineStr">
        <is>
          <t># of resp</t>
        </is>
      </c>
      <c r="J22" s="4" t="inlineStr">
        <is>
          <t># of resp</t>
        </is>
      </c>
      <c r="K22" s="4" t="inlineStr">
        <is>
          <t># of resp</t>
        </is>
      </c>
      <c r="L22" s="4" t="inlineStr">
        <is>
          <t># of resp</t>
        </is>
      </c>
      <c r="M22" s="4" t="inlineStr">
        <is>
          <t># of resp</t>
        </is>
      </c>
      <c r="N22" s="4" t="inlineStr">
        <is>
          <t># of resp</t>
        </is>
      </c>
    </row>
    <row r="23">
      <c r="A23" t="inlineStr">
        <is>
          <t>Yes</t>
        </is>
      </c>
      <c r="B23" s="14">
        <f>IF(OR(All_Questions_Q_SS_EXPORT_CT="(None)",B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3" s="14">
        <f>IF(OR(All_Questions_Q_SS_EXPORT_CT="(None)",C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3" s="14">
        <f>IF(OR(All_Questions_Q_SS_EXPORT_CT="(None)",D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3" s="14">
        <f>IF(OR(All_Questions_Q_SS_EXPORT_CT="(None)",E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3" s="14">
        <f>IF(OR(All_Questions_Q_SS_EXPORT_CT="(None)",F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3" s="14">
        <f>IF(OR(All_Questions_Q_SS_EXPORT_CT="(None)",G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3" s="14">
        <f>IF(OR(All_Questions_Q_SS_EXPORT_CT="(None)",H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3" s="14">
        <f>IF(OR(All_Questions_Q_SS_EXPORT_CT="(None)",I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3" s="14">
        <f>IF(OR(All_Questions_Q_SS_EXPORT_CT="(None)",J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3" s="14">
        <f>IF(OR(All_Questions_Q_SS_EXPORT_CT="(None)",K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3" s="14">
        <f>IF(OR(All_Questions_Q_SS_EXPORT_CT="(None)",L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3" s="14">
        <f>IF(OR(All_Questions_Q_SS_EXPORT_CT="(None)",M$21=""),"",IF(M$21="Other",COUNTIFS(Q_SS_EXPORT_data,"Yes",passes_workbook_filters_data,1,passes_workbook_custom_filters_data,1,All_Questions_passes_local_filters_data,1,All_Questions_Q_SS_EXPORT_F_passes_per_q_filter_data,1)-SUM(B23,C23,D23,E23,F23,G23,H23,I23,J23,K23,L23)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3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4">
      <c r="A24" t="inlineStr">
        <is>
          <t>No</t>
        </is>
      </c>
      <c r="B24" s="14">
        <f>IF(OR(All_Questions_Q_SS_EXPORT_CT="(None)",B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4" s="14">
        <f>IF(OR(All_Questions_Q_SS_EXPORT_CT="(None)",C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4" s="14">
        <f>IF(OR(All_Questions_Q_SS_EXPORT_CT="(None)",D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4" s="14">
        <f>IF(OR(All_Questions_Q_SS_EXPORT_CT="(None)",E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4" s="14">
        <f>IF(OR(All_Questions_Q_SS_EXPORT_CT="(None)",F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4" s="14">
        <f>IF(OR(All_Questions_Q_SS_EXPORT_CT="(None)",G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4" s="14">
        <f>IF(OR(All_Questions_Q_SS_EXPORT_CT="(None)",H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4" s="14">
        <f>IF(OR(All_Questions_Q_SS_EXPORT_CT="(None)",I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4" s="14">
        <f>IF(OR(All_Questions_Q_SS_EXPORT_CT="(None)",J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4" s="14">
        <f>IF(OR(All_Questions_Q_SS_EXPORT_CT="(None)",K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4" s="14">
        <f>IF(OR(All_Questions_Q_SS_EXPORT_CT="(None)",L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4" s="14">
        <f>IF(OR(All_Questions_Q_SS_EXPORT_CT="(None)",M$21=""),"",IF(M$21="Other",COUNTIFS(Q_SS_EXPORT_data,"No",passes_workbook_filters_data,1,passes_workbook_custom_filters_data,1,All_Questions_passes_local_filters_data,1,All_Questions_Q_SS_EXPORT_F_passes_per_q_filter_data,1)-SUM(B24,C24,D24,E24,F24,G24,H24,I24,J24,K24,L24)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4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5">
      <c r="A25" s="4" t="inlineStr">
        <is>
          <t>Total respondents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6"/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</row>
    <row r="28">
      <c r="A28" s="12" t="inlineStr">
        <is>
          <t>Q_MS_EXPORT - Multi select export question</t>
        </is>
      </c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</row>
    <row r="29">
      <c r="A29" s="13" t="inlineStr">
        <is>
          <t>Per-question filter</t>
        </is>
      </c>
      <c r="B29" t="inlineStr">
        <is>
          <t>Filter Q</t>
        </is>
      </c>
      <c r="C29" t="inlineStr">
        <is>
          <t>(None)</t>
        </is>
      </c>
      <c r="D29" t="inlineStr">
        <is>
          <t>Value</t>
        </is>
      </c>
      <c r="E29" t="inlineStr">
        <is>
          <t>(All)</t>
        </is>
      </c>
      <c r="F29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9" t="str">
        <f>"|" &amp; SUBSTITUTE(All_Questions_Q_MS_EXPORT_F_V, ", ", "|") &amp; "|"</f>
        <v>|(All)|</v>
      </c>
      <c r="H29" t="str">
        <f>IFERROR(INDEX(All_Questions_Value_Criteria,MATCH(All_Questions_Q_MS_EXPORT_F_Q&amp;"|"&amp;All_Questions_Q_MS_EXPORT_F_V,All_Questions_Value_Keys,0)),All_Questions_Q_MS_EXPORT_F_V)</f>
        <v>(All)</v>
      </c>
    </row>
    <row r="30">
      <c r="A30" s="13" t="inlineStr">
        <is>
          <t>Cross-tab by</t>
        </is>
      </c>
      <c r="C30" t="inlineStr">
        <is>
          <t>(None)</t>
        </is>
      </c>
    </row>
    <row r="31"/>
    <row r="32">
      <c r="A32" s="4" t="inlineStr">
        <is>
          <t>Option</t>
        </is>
      </c>
      <c r="B32" s="4" t="inlineStr">
        <is>
          <t>Count</t>
        </is>
      </c>
      <c r="C32" s="4" t="inlineStr">
        <is>
          <t>%</t>
        </is>
      </c>
      <c r="D32" s="4" t="inlineStr">
        <is>
          <t>Denominator</t>
        </is>
      </c>
    </row>
    <row r="33">
      <c r="A33" t="inlineStr">
        <is>
          <t>First</t>
        </is>
      </c>
      <c r="B33">
        <f>COUNTIFS(Q_MS_EXPORTr1_data,"Selected",passes_workbook_filters_data,1,passes_workbook_custom_filters_data,1,All_Questions_passes_local_filters_data,1,All_Questions_Q_MS_EXPORT_F_passes_per_q_filter_data,1)</f>
        <v>5</v>
      </c>
      <c r="C33" s="7">
        <f>IFERROR(B33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33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4">
      <c r="A34" t="inlineStr">
        <is>
          <t>Second</t>
        </is>
      </c>
      <c r="B34">
        <f>COUNTIFS(Q_MS_EXPORTr2_data,"Selected",passes_workbook_filters_data,1,passes_workbook_custom_filters_data,1,All_Questions_passes_local_filters_data,1,All_Questions_Q_MS_EXPORT_F_passes_per_q_filter_data,1)</f>
        <v>2</v>
      </c>
      <c r="C34" s="7">
        <f>IFERROR(B34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34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5">
      <c r="A35" s="15" t="inlineStr">
        <is>
          <t>Total respondents</t>
        </is>
      </c>
      <c r="B35" s="15" t="n">
        <v>10</v>
      </c>
      <c r="C35" s="15" t="n"/>
      <c r="D35" s="15" t="n"/>
    </row>
    <row r="36">
      <c r="A36" s="4" t="inlineStr">
        <is>
          <t>Total responses</t>
        </is>
      </c>
      <c r="B36" s="4" t="n">
        <v>7</v>
      </c>
      <c r="C36" s="4" t="n"/>
      <c r="D36" s="4" t="n"/>
    </row>
    <row r="37"/>
    <row r="38">
      <c r="A38" s="4" t="inlineStr">
        <is>
          <t>Option</t>
        </is>
      </c>
      <c r="B38" s="2" t="str">
        <f>IF(All_Questions_Q_MS_EXPORT_CT="(None)","",IFERROR(INDEX(INDIRECT(IFERROR(INDEX(Cross_Tab_Questions_Options_Names,MATCH(All_Questions_Q_MS_EXPORT_CT,Cross_Tab_Questions,0)),"'_Options'!$E$2:$E$2")),2),""))</f>
        <v/>
      </c>
      <c r="C38" s="2" t="str">
        <f>IF(All_Questions_Q_MS_EXPORT_CT="(None)","",IFERROR(INDEX(INDIRECT(IFERROR(INDEX(Cross_Tab_Questions_Options_Names,MATCH(All_Questions_Q_MS_EXPORT_CT,Cross_Tab_Questions,0)),"'_Options'!$E$2:$E$2")),3),""))</f>
        <v/>
      </c>
      <c r="D38" s="2" t="str">
        <f>IF(All_Questions_Q_MS_EXPORT_CT="(None)","",IFERROR(INDEX(INDIRECT(IFERROR(INDEX(Cross_Tab_Questions_Options_Names,MATCH(All_Questions_Q_MS_EXPORT_CT,Cross_Tab_Questions,0)),"'_Options'!$E$2:$E$2")),4),""))</f>
        <v/>
      </c>
      <c r="E38" s="2" t="str">
        <f>IF(All_Questions_Q_MS_EXPORT_CT="(None)","",IFERROR(INDEX(INDIRECT(IFERROR(INDEX(Cross_Tab_Questions_Options_Names,MATCH(All_Questions_Q_MS_EXPORT_CT,Cross_Tab_Questions,0)),"'_Options'!$E$2:$E$2")),5),""))</f>
        <v/>
      </c>
      <c r="F38" s="2" t="str">
        <f>IF(All_Questions_Q_MS_EXPORT_CT="(None)","",IFERROR(INDEX(INDIRECT(IFERROR(INDEX(Cross_Tab_Questions_Options_Names,MATCH(All_Questions_Q_MS_EXPORT_CT,Cross_Tab_Questions,0)),"'_Options'!$E$2:$E$2")),6),""))</f>
        <v/>
      </c>
      <c r="G38" s="2" t="str">
        <f>IF(All_Questions_Q_MS_EXPORT_CT="(None)","",IFERROR(INDEX(INDIRECT(IFERROR(INDEX(Cross_Tab_Questions_Options_Names,MATCH(All_Questions_Q_MS_EXPORT_CT,Cross_Tab_Questions,0)),"'_Options'!$E$2:$E$2")),7),""))</f>
        <v/>
      </c>
      <c r="H38" s="2" t="str">
        <f>IF(All_Questions_Q_MS_EXPORT_CT="(None)","",IFERROR(INDEX(INDIRECT(IFERROR(INDEX(Cross_Tab_Questions_Options_Names,MATCH(All_Questions_Q_MS_EXPORT_CT,Cross_Tab_Questions,0)),"'_Options'!$E$2:$E$2")),8),""))</f>
        <v/>
      </c>
      <c r="I38" s="2" t="str">
        <f>IF(All_Questions_Q_MS_EXPORT_CT="(None)","",IFERROR(INDEX(INDIRECT(IFERROR(INDEX(Cross_Tab_Questions_Options_Names,MATCH(All_Questions_Q_MS_EXPORT_CT,Cross_Tab_Questions,0)),"'_Options'!$E$2:$E$2")),9),""))</f>
        <v/>
      </c>
      <c r="J38" s="2" t="str">
        <f>IF(All_Questions_Q_MS_EXPORT_CT="(None)","",IFERROR(INDEX(INDIRECT(IFERROR(INDEX(Cross_Tab_Questions_Options_Names,MATCH(All_Questions_Q_MS_EXPORT_CT,Cross_Tab_Questions,0)),"'_Options'!$E$2:$E$2")),10),""))</f>
        <v/>
      </c>
      <c r="K38" s="2" t="str">
        <f>IF(All_Questions_Q_MS_EXPORT_CT="(None)","",IFERROR(INDEX(INDIRECT(IFERROR(INDEX(Cross_Tab_Questions_Options_Names,MATCH(All_Questions_Q_MS_EXPORT_CT,Cross_Tab_Questions,0)),"'_Options'!$E$2:$E$2")),11),""))</f>
        <v/>
      </c>
      <c r="L38" s="2" t="str">
        <f>IF(All_Questions_Q_MS_EXPORT_CT="(None)","",IFERROR(INDEX(INDIRECT(IFERROR(INDEX(Cross_Tab_Questions_Options_Names,MATCH(All_Questions_Q_MS_EXPORT_CT,Cross_Tab_Questions,0)),"'_Options'!$E$2:$E$2")),12),""))</f>
        <v/>
      </c>
      <c r="M38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N38" s="4" t="inlineStr">
        <is>
          <t>Total</t>
        </is>
      </c>
    </row>
    <row r="39">
      <c r="A39" s="4" t="inlineStr"/>
      <c r="B39" s="4" t="inlineStr">
        <is>
          <t>% selected</t>
        </is>
      </c>
      <c r="C39" s="4" t="inlineStr">
        <is>
          <t>% selected</t>
        </is>
      </c>
      <c r="D39" s="4" t="inlineStr">
        <is>
          <t>% selected</t>
        </is>
      </c>
      <c r="E39" s="4" t="inlineStr">
        <is>
          <t>% selected</t>
        </is>
      </c>
      <c r="F39" s="4" t="inlineStr">
        <is>
          <t>% selected</t>
        </is>
      </c>
      <c r="G39" s="4" t="inlineStr">
        <is>
          <t>% selected</t>
        </is>
      </c>
      <c r="H39" s="4" t="inlineStr">
        <is>
          <t>% selected</t>
        </is>
      </c>
      <c r="I39" s="4" t="inlineStr">
        <is>
          <t>% selected</t>
        </is>
      </c>
      <c r="J39" s="4" t="inlineStr">
        <is>
          <t>% selected</t>
        </is>
      </c>
      <c r="K39" s="4" t="inlineStr">
        <is>
          <t>% selected</t>
        </is>
      </c>
      <c r="L39" s="4" t="inlineStr">
        <is>
          <t>% selected</t>
        </is>
      </c>
      <c r="M39" s="4" t="inlineStr">
        <is>
          <t>% selected</t>
        </is>
      </c>
      <c r="N39" s="4" t="inlineStr">
        <is>
          <t>% selected</t>
        </is>
      </c>
    </row>
    <row r="40">
      <c r="A40" t="inlineStr">
        <is>
          <t>First</t>
        </is>
      </c>
      <c r="B40" s="7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0.5</v>
      </c>
      <c r="C40" s="7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0.5</v>
      </c>
      <c r="D40" s="7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0.5</v>
      </c>
      <c r="E40" s="7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0.5</v>
      </c>
      <c r="F40" s="7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0.5</v>
      </c>
      <c r="G40" s="7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0.5</v>
      </c>
      <c r="H40" s="7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0.5</v>
      </c>
      <c r="I40" s="7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0.5</v>
      </c>
      <c r="J40" s="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0.5</v>
      </c>
      <c r="K40" s="7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0.5</v>
      </c>
      <c r="L40" s="7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0.5</v>
      </c>
      <c r="M40" s="7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0.5</v>
      </c>
      <c r="N40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41">
      <c r="A41" t="inlineStr">
        <is>
          <t>Second</t>
        </is>
      </c>
      <c r="B41" s="7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0.2</v>
      </c>
      <c r="C41" s="7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0.2</v>
      </c>
      <c r="D41" s="7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0.2</v>
      </c>
      <c r="E41" s="7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0.2</v>
      </c>
      <c r="F41" s="7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0.2</v>
      </c>
      <c r="G41" s="7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0.2</v>
      </c>
      <c r="H41" s="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0.2</v>
      </c>
      <c r="I41" s="7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0.2</v>
      </c>
      <c r="J41" s="7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0.2</v>
      </c>
      <c r="K41" s="7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0.2</v>
      </c>
      <c r="L41" s="7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0.2</v>
      </c>
      <c r="M41" s="7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0.2</v>
      </c>
      <c r="N41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42">
      <c r="A42" s="4" t="inlineStr">
        <is>
          <t>Total respondents</t>
        </is>
      </c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Q_NUM_EXPORT - Numeric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46" t="str">
        <f>"|" &amp; SUBSTITUTE(All_Questions_Q_NUM_EXPORT_F_V, ", ", "|") &amp; "|"</f>
        <v>|(All)|</v>
      </c>
      <c r="H46" t="str">
        <f>IFERROR(INDEX(All_Questions_Value_Criteria,MATCH(All_Questions_Q_NUM_EXPORT_F_Q&amp;"|"&amp;All_Questions_Q_NUM_EXPORT_F_V,All_Questions_Value_Keys,0)),All_Questions_Q_NUM_EXPORT_F_V)</f>
        <v>(All)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Metric</t>
        </is>
      </c>
      <c r="B49" s="4" t="inlineStr">
        <is>
          <t>Value</t>
        </is>
      </c>
      <c r="C49" s="4" t="inlineStr">
        <is>
          <t>Note</t>
        </is>
      </c>
      <c r="D49" s="4" t="inlineStr">
        <is>
          <t>Denominator</t>
        </is>
      </c>
    </row>
    <row r="50">
      <c r="A50" t="inlineStr">
        <is>
          <t>Mean</t>
        </is>
      </c>
      <c r="B50" s="16">
        <f>IFERROR(AVERAGEIFS(Q_NUM_EXPORT_data,passes_workbook_filters_data,1,passes_workbook_custom_filters_data,1,All_Questions_passes_local_filters_data,1,All_Questions_Q_NUM_EXPORT_F_passes_per_q_filter_data,1),0)</f>
        <v>5.5</v>
      </c>
      <c r="D50">
        <f>COUNTIFS(Q_NUM_EXPORT_data,"&lt;&gt;",passes_workbook_filters_data,1,passes_workbook_custom_filters_data,1,All_Questions_passes_local_filters_data,1,All_Questions_Q_NUM_EXPORT_F_passes_per_q_filter_data,1)</f>
        <v>10</v>
      </c>
    </row>
    <row r="51">
      <c r="A51" t="inlineStr">
        <is>
          <t>Min</t>
        </is>
      </c>
      <c r="B51" s="16">
        <f>IFERROR(MINIFS(Q_NUM_EXPORT_data,passes_workbook_filters_data,1,passes_workbook_custom_filters_data,1,All_Questions_passes_local_filters_data,1,All_Questions_Q_NUM_EXPORT_F_passes_per_q_filter_data,1),0)</f>
        <v>1.0</v>
      </c>
      <c r="D51">
        <f>COUNTIFS(Q_NUM_EXPORT_data,"&lt;&gt;",passes_workbook_filters_data,1,passes_workbook_custom_filters_data,1,All_Questions_passes_local_filters_data,1,All_Questions_Q_NUM_EXPORT_F_passes_per_q_filter_data,1)</f>
        <v>10</v>
      </c>
    </row>
    <row r="52">
      <c r="A52" t="inlineStr">
        <is>
          <t>Max</t>
        </is>
      </c>
      <c r="B52" s="16">
        <f>IFERROR(MAXIFS(Q_NUM_EXPORT_data,passes_workbook_filters_data,1,passes_workbook_custom_filters_data,1,All_Questions_passes_local_filters_data,1,All_Questions_Q_NUM_EXPORT_F_passes_per_q_filter_data,1),0)</f>
        <v>10.0</v>
      </c>
      <c r="D52">
        <f>COUNTIFS(Q_NUM_EXPORT_data,"&lt;&gt;",passes_workbook_filters_data,1,passes_workbook_custom_filters_data,1,All_Questions_passes_local_filters_data,1,All_Questions_Q_NUM_EXPORT_F_passes_per_q_filter_data,1)</f>
        <v>10</v>
      </c>
    </row>
    <row r="53">
      <c r="A53" t="inlineStr">
        <is>
          <t>Std</t>
        </is>
      </c>
      <c r="B53" s="16" t="n">
        <v>2.9</v>
      </c>
      <c r="C53" t="inlineStr">
        <is>
          <t>static baseline</t>
        </is>
      </c>
      <c r="D53">
        <f>COUNTIFS(Q_NUM_EXPORT_data,"&lt;&gt;",passes_workbook_filters_data,1,passes_workbook_custom_filters_data,1,All_Questions_passes_local_filters_data,1,All_Questions_Q_NUM_EXPORT_F_passes_per_q_filter_data,1)</f>
        <v>10</v>
      </c>
    </row>
    <row r="54">
      <c r="A54" t="inlineStr">
        <is>
          <t>Median</t>
        </is>
      </c>
      <c r="B54" s="16" t="n">
        <v>5.5</v>
      </c>
      <c r="C54" t="inlineStr">
        <is>
          <t>static baseline</t>
        </is>
      </c>
      <c r="D54" s="14" t="n">
        <v>10</v>
      </c>
    </row>
    <row r="55"/>
    <row r="56">
      <c r="A56" s="4" t="inlineStr">
        <is>
          <t>Option</t>
        </is>
      </c>
      <c r="B56" s="2" t="str">
        <f>IF(All_Questions_Q_NUM_EXPORT_CT="(None)","",IFERROR(INDEX(INDIRECT(IFERROR(INDEX(Cross_Tab_Questions_Options_Names,MATCH(All_Questions_Q_NUM_EXPORT_CT,Cross_Tab_Questions,0)),"'_Options'!$E$2:$E$2")),2),""))</f>
        <v/>
      </c>
      <c r="C56" s="2" t="str">
        <f>IF(All_Questions_Q_NUM_EXPORT_CT="(None)","",IFERROR(INDEX(INDIRECT(IFERROR(INDEX(Cross_Tab_Questions_Options_Names,MATCH(All_Questions_Q_NUM_EXPORT_CT,Cross_Tab_Questions,0)),"'_Options'!$E$2:$E$2")),3),""))</f>
        <v/>
      </c>
      <c r="D56" s="2" t="str">
        <f>IF(All_Questions_Q_NUM_EXPORT_CT="(None)","",IFERROR(INDEX(INDIRECT(IFERROR(INDEX(Cross_Tab_Questions_Options_Names,MATCH(All_Questions_Q_NUM_EXPORT_CT,Cross_Tab_Questions,0)),"'_Options'!$E$2:$E$2")),4),""))</f>
        <v/>
      </c>
      <c r="E56" s="2" t="str">
        <f>IF(All_Questions_Q_NUM_EXPORT_CT="(None)","",IFERROR(INDEX(INDIRECT(IFERROR(INDEX(Cross_Tab_Questions_Options_Names,MATCH(All_Questions_Q_NUM_EXPORT_CT,Cross_Tab_Questions,0)),"'_Options'!$E$2:$E$2")),5),""))</f>
        <v/>
      </c>
      <c r="F56" s="2" t="str">
        <f>IF(All_Questions_Q_NUM_EXPORT_CT="(None)","",IFERROR(INDEX(INDIRECT(IFERROR(INDEX(Cross_Tab_Questions_Options_Names,MATCH(All_Questions_Q_NUM_EXPORT_CT,Cross_Tab_Questions,0)),"'_Options'!$E$2:$E$2")),6),""))</f>
        <v/>
      </c>
      <c r="G56" s="2" t="str">
        <f>IF(All_Questions_Q_NUM_EXPORT_CT="(None)","",IFERROR(INDEX(INDIRECT(IFERROR(INDEX(Cross_Tab_Questions_Options_Names,MATCH(All_Questions_Q_NUM_EXPORT_CT,Cross_Tab_Questions,0)),"'_Options'!$E$2:$E$2")),7),""))</f>
        <v/>
      </c>
      <c r="H56" s="2" t="str">
        <f>IF(All_Questions_Q_NUM_EXPORT_CT="(None)","",IFERROR(INDEX(INDIRECT(IFERROR(INDEX(Cross_Tab_Questions_Options_Names,MATCH(All_Questions_Q_NUM_EXPORT_CT,Cross_Tab_Questions,0)),"'_Options'!$E$2:$E$2")),8),""))</f>
        <v/>
      </c>
      <c r="I56" s="2" t="str">
        <f>IF(All_Questions_Q_NUM_EXPORT_CT="(None)","",IFERROR(INDEX(INDIRECT(IFERROR(INDEX(Cross_Tab_Questions_Options_Names,MATCH(All_Questions_Q_NUM_EXPORT_CT,Cross_Tab_Questions,0)),"'_Options'!$E$2:$E$2")),9),""))</f>
        <v/>
      </c>
      <c r="J56" s="2" t="str">
        <f>IF(All_Questions_Q_NUM_EXPORT_CT="(None)","",IFERROR(INDEX(INDIRECT(IFERROR(INDEX(Cross_Tab_Questions_Options_Names,MATCH(All_Questions_Q_NUM_EXPORT_CT,Cross_Tab_Questions,0)),"'_Options'!$E$2:$E$2")),10),""))</f>
        <v/>
      </c>
      <c r="K56" s="2" t="str">
        <f>IF(All_Questions_Q_NUM_EXPORT_CT="(None)","",IFERROR(INDEX(INDIRECT(IFERROR(INDEX(Cross_Tab_Questions_Options_Names,MATCH(All_Questions_Q_NUM_EXPORT_CT,Cross_Tab_Questions,0)),"'_Options'!$E$2:$E$2")),11),""))</f>
        <v/>
      </c>
      <c r="L56" s="2" t="str">
        <f>IF(All_Questions_Q_NUM_EXPORT_CT="(None)","",IFERROR(INDEX(INDIRECT(IFERROR(INDEX(Cross_Tab_Questions_Options_Names,MATCH(All_Questions_Q_NUM_EXPORT_CT,Cross_Tab_Questions,0)),"'_Options'!$E$2:$E$2")),12),""))</f>
        <v/>
      </c>
      <c r="M56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N56" s="4" t="inlineStr">
        <is>
          <t>Total</t>
        </is>
      </c>
    </row>
    <row r="57">
      <c r="A57" s="4" t="inlineStr"/>
      <c r="B57" s="4" t="inlineStr">
        <is>
          <t>Mean</t>
        </is>
      </c>
      <c r="C57" s="4" t="inlineStr">
        <is>
          <t>Mean</t>
        </is>
      </c>
      <c r="D57" s="4" t="inlineStr">
        <is>
          <t>Mean</t>
        </is>
      </c>
      <c r="E57" s="4" t="inlineStr">
        <is>
          <t>Mean</t>
        </is>
      </c>
      <c r="F57" s="4" t="inlineStr">
        <is>
          <t>Mean</t>
        </is>
      </c>
      <c r="G57" s="4" t="inlineStr">
        <is>
          <t>Mean</t>
        </is>
      </c>
      <c r="H57" s="4" t="inlineStr">
        <is>
          <t>Mean</t>
        </is>
      </c>
      <c r="I57" s="4" t="inlineStr">
        <is>
          <t>Mean</t>
        </is>
      </c>
      <c r="J57" s="4" t="inlineStr">
        <is>
          <t>Mean</t>
        </is>
      </c>
      <c r="K57" s="4" t="inlineStr">
        <is>
          <t>Mean</t>
        </is>
      </c>
      <c r="L57" s="4" t="inlineStr">
        <is>
          <t>Mean</t>
        </is>
      </c>
      <c r="M57" s="4" t="inlineStr">
        <is>
          <t>Mean</t>
        </is>
      </c>
      <c r="N57" s="4" t="inlineStr">
        <is>
          <t>Mean</t>
        </is>
      </c>
    </row>
    <row r="58">
      <c r="A58" t="inlineStr">
        <is>
          <t>Numeric export question</t>
        </is>
      </c>
      <c r="B58" s="16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5.5</v>
      </c>
      <c r="C58" s="16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5.5</v>
      </c>
      <c r="D58" s="16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5.5</v>
      </c>
      <c r="E58" s="1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5.5</v>
      </c>
      <c r="F58" s="16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5.5</v>
      </c>
      <c r="G58" s="16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5.5</v>
      </c>
      <c r="H58" s="16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5.5</v>
      </c>
      <c r="I58" s="16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5.5</v>
      </c>
      <c r="J58" s="16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5.5</v>
      </c>
      <c r="K58" s="16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5.5</v>
      </c>
      <c r="L58" s="16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5.5</v>
      </c>
      <c r="M58" s="16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5.5</v>
      </c>
      <c r="N58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59">
      <c r="A59" s="4" t="inlineStr">
        <is>
          <t>Total respondents</t>
        </is>
      </c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60"/>
    <row r="6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</row>
    <row r="62">
      <c r="A62" s="12" t="inlineStr">
        <is>
          <t>Q_GRID_EXPORT - Grid export question</t>
        </is>
      </c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</row>
    <row r="63">
      <c r="A63" s="13" t="inlineStr">
        <is>
          <t>Per-question filter</t>
        </is>
      </c>
      <c r="B63" t="inlineStr">
        <is>
          <t>Filter Q</t>
        </is>
      </c>
      <c r="C63" t="inlineStr">
        <is>
          <t>(None)</t>
        </is>
      </c>
      <c r="D63" t="inlineStr">
        <is>
          <t>Value</t>
        </is>
      </c>
      <c r="E63" t="inlineStr">
        <is>
          <t>(All)</t>
        </is>
      </c>
      <c r="F63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63" t="str">
        <f>"|" &amp; SUBSTITUTE(All_Questions_Q_GRID_EXPORT_F_V, ", ", "|") &amp; "|"</f>
        <v>|(All)|</v>
      </c>
      <c r="H63" t="str">
        <f>IFERROR(INDEX(All_Questions_Value_Criteria,MATCH(All_Questions_Q_GRID_EXPORT_F_Q&amp;"|"&amp;All_Questions_Q_GRID_EXPORT_F_V,All_Questions_Value_Keys,0)),All_Questions_Q_GRID_EXPORT_F_V)</f>
        <v>(All)</v>
      </c>
    </row>
    <row r="64"/>
    <row r="65">
      <c r="A65" s="4" t="inlineStr">
        <is>
          <t>Sub-question ID</t>
        </is>
      </c>
      <c r="B65" s="4" t="inlineStr">
        <is>
          <t>Sub-question</t>
        </is>
      </c>
      <c r="C65" s="4" t="inlineStr">
        <is>
          <t>High</t>
        </is>
      </c>
      <c r="D65" s="2" t="n"/>
      <c r="E65" s="4" t="inlineStr">
        <is>
          <t>Low</t>
        </is>
      </c>
      <c r="F65" s="2" t="n"/>
    </row>
    <row r="66">
      <c r="A66" s="2" t="inlineStr"/>
      <c r="B66" s="2" t="inlineStr"/>
      <c r="C66" s="4" t="inlineStr">
        <is>
          <t>Count</t>
        </is>
      </c>
      <c r="D66" s="4" t="inlineStr">
        <is>
          <t>%</t>
        </is>
      </c>
      <c r="E66" s="4" t="inlineStr">
        <is>
          <t>Count</t>
        </is>
      </c>
      <c r="F66" s="4" t="inlineStr">
        <is>
          <t>%</t>
        </is>
      </c>
    </row>
    <row r="67">
      <c r="A67" s="17" t="inlineStr">
        <is>
          <t>Q_GRID_EXPORTr1</t>
        </is>
      </c>
      <c r="B67" t="inlineStr">
        <is>
          <t>Grid first row</t>
        </is>
      </c>
      <c r="C67">
        <f>COUNTIFS(Q_GRID_EXPORTr1_data,"High",passes_workbook_filters_data,1,passes_workbook_custom_filters_data,1,All_Questions_passes_local_filters_data,1,All_Questions_Q_GRID_EXPORT_F_passes_per_q_filter_data,1)</f>
        <v>6</v>
      </c>
      <c r="D67" s="7">
        <f>IFERROR(C67/10,0)</f>
        <v>0.6</v>
      </c>
      <c r="E67">
        <f>COUNTIFS(Q_GRID_EXPORTr1_data,"Low",passes_workbook_filters_data,1,passes_workbook_custom_filters_data,1,All_Questions_passes_local_filters_data,1,All_Questions_Q_GRID_EXPORT_F_passes_per_q_filter_data,1)</f>
        <v>4</v>
      </c>
      <c r="F67" s="7">
        <f>IFERROR(E67/10,0)</f>
        <v>0.4</v>
      </c>
    </row>
    <row r="68">
      <c r="A68" s="17" t="inlineStr">
        <is>
          <t>Q_GRID_EXPORTr2</t>
        </is>
      </c>
      <c r="B68" t="inlineStr">
        <is>
          <t>Grid second row</t>
        </is>
      </c>
      <c r="C68">
        <f>COUNTIFS(Q_GRID_EXPORTr2_data,"High",passes_workbook_filters_data,1,passes_workbook_custom_filters_data,1,All_Questions_passes_local_filters_data,1,All_Questions_Q_GRID_EXPORT_F_passes_per_q_filter_data,1)</f>
        <v>5</v>
      </c>
      <c r="D68" s="7">
        <f>IFERROR(C68/10,0)</f>
        <v>0.5</v>
      </c>
      <c r="E68">
        <f>COUNTIFS(Q_GRID_EXPORTr2_data,"Low",passes_workbook_filters_data,1,passes_workbook_custom_filters_data,1,All_Questions_passes_local_filters_data,1,All_Questions_Q_GRID_EXPORT_F_passes_per_q_filter_data,1)</f>
        <v>5</v>
      </c>
      <c r="F68" s="7">
        <f>IFERROR(E68/10,0)</f>
        <v>0.5</v>
      </c>
    </row>
    <row r="69">
      <c r="A69" s="15" t="inlineStr">
        <is>
          <t>Total respondents</t>
        </is>
      </c>
      <c r="B69" s="15" t="n">
        <v>10</v>
      </c>
      <c r="C69" s="15" t="n"/>
      <c r="D69" s="15" t="n"/>
      <c r="E69" s="15" t="n"/>
      <c r="F69" s="15" t="n"/>
    </row>
    <row r="70">
      <c r="A70" s="4" t="inlineStr">
        <is>
          <t>Total responses</t>
        </is>
      </c>
      <c r="B70" s="4" t="n">
        <v>20</v>
      </c>
      <c r="C70" s="4" t="n"/>
      <c r="D70" s="4" t="n"/>
      <c r="E70" s="4" t="n"/>
      <c r="F70" s="4" t="n"/>
    </row>
    <row r="71"/>
    <row r="72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</row>
    <row r="73">
      <c r="A73" s="12" t="inlineStr">
        <is>
          <t>Q_VERY_LONG_SINGLE_SELECT_EXPORT_NAME - Long sheet name export question</t>
        </is>
      </c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</row>
    <row r="74">
      <c r="A74" s="13" t="inlineStr">
        <is>
          <t>Per-question filter</t>
        </is>
      </c>
      <c r="B74" t="inlineStr">
        <is>
          <t>Filter Q</t>
        </is>
      </c>
      <c r="C74" t="inlineStr">
        <is>
          <t>(None)</t>
        </is>
      </c>
      <c r="D74" t="inlineStr">
        <is>
          <t>Value</t>
        </is>
      </c>
      <c r="E74" t="inlineStr">
        <is>
          <t>(All)</t>
        </is>
      </c>
      <c r="F74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4" t="str">
        <f>"|" &amp; SUBSTITUTE(All_Questions_Q_VERY_LONG_SINGLE_SELECT_EXPORT_NAME_F_V, ", ", "|") &amp; "|"</f>
        <v>|(All)|</v>
      </c>
      <c r="H74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5">
      <c r="A75" s="13" t="inlineStr">
        <is>
          <t>Cross-tab by</t>
        </is>
      </c>
      <c r="C75" t="inlineStr">
        <is>
          <t>(None)</t>
        </is>
      </c>
    </row>
    <row r="76"/>
    <row r="77">
      <c r="A77" s="4" t="inlineStr">
        <is>
          <t>Option</t>
        </is>
      </c>
      <c r="B77" s="4" t="inlineStr">
        <is>
          <t>Count</t>
        </is>
      </c>
      <c r="C77" s="4" t="inlineStr">
        <is>
          <t>%</t>
        </is>
      </c>
      <c r="D77" s="4" t="inlineStr">
        <is>
          <t>Denominator</t>
        </is>
      </c>
    </row>
    <row r="78">
      <c r="A78" t="inlineStr">
        <is>
          <t>A</t>
        </is>
      </c>
      <c r="B7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8" s="7">
        <f>IFERROR(B78/SUBTOTAL(9,B78:B79),0)</f>
        <v>0.7</v>
      </c>
      <c r="D78" s="14">
        <f>SUBTOTAL(9,B78:B79)</f>
        <v>10</v>
      </c>
    </row>
    <row r="79">
      <c r="A79" t="inlineStr">
        <is>
          <t>B</t>
        </is>
      </c>
      <c r="B7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9" s="7">
        <f>IFERROR(B79/SUBTOTAL(9,B78:B79),0)</f>
        <v>0.3</v>
      </c>
      <c r="D79" s="14">
        <f>SUBTOTAL(9,B78:B79)</f>
        <v>10</v>
      </c>
    </row>
    <row r="80">
      <c r="A80" s="15" t="inlineStr">
        <is>
          <t>Total respondents</t>
        </is>
      </c>
      <c r="B80" s="15" t="n">
        <v>10</v>
      </c>
      <c r="C80" s="15" t="n"/>
      <c r="D80" s="15" t="n"/>
    </row>
    <row r="81"/>
    <row r="82">
      <c r="A82" s="4" t="inlineStr">
        <is>
          <t>Option</t>
        </is>
      </c>
      <c r="B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C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D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E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F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G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H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I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J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K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L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M82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N82" s="4" t="inlineStr">
        <is>
          <t>Total</t>
        </is>
      </c>
    </row>
    <row r="83">
      <c r="A83" s="4" t="inlineStr"/>
      <c r="B83" s="4" t="inlineStr">
        <is>
          <t># of resp</t>
        </is>
      </c>
      <c r="C83" s="4" t="inlineStr">
        <is>
          <t># of resp</t>
        </is>
      </c>
      <c r="D83" s="4" t="inlineStr">
        <is>
          <t># of resp</t>
        </is>
      </c>
      <c r="E83" s="4" t="inlineStr">
        <is>
          <t># of resp</t>
        </is>
      </c>
      <c r="F83" s="4" t="inlineStr">
        <is>
          <t># of resp</t>
        </is>
      </c>
      <c r="G83" s="4" t="inlineStr">
        <is>
          <t># of resp</t>
        </is>
      </c>
      <c r="H83" s="4" t="inlineStr">
        <is>
          <t># of resp</t>
        </is>
      </c>
      <c r="I83" s="4" t="inlineStr">
        <is>
          <t># of resp</t>
        </is>
      </c>
      <c r="J83" s="4" t="inlineStr">
        <is>
          <t># of resp</t>
        </is>
      </c>
      <c r="K83" s="4" t="inlineStr">
        <is>
          <t># of resp</t>
        </is>
      </c>
      <c r="L83" s="4" t="inlineStr">
        <is>
          <t># of resp</t>
        </is>
      </c>
      <c r="M83" s="4" t="inlineStr">
        <is>
          <t># of resp</t>
        </is>
      </c>
      <c r="N83" s="4" t="inlineStr">
        <is>
          <t># of resp</t>
        </is>
      </c>
    </row>
    <row r="84">
      <c r="A84" t="inlineStr">
        <is>
          <t>A</t>
        </is>
      </c>
      <c r="B84" s="14">
        <f>IF(OR(All_Questions_Q_VERY_LONG_SINGLE_SELECT_EXPORT_NAME_CT="(None)",B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4" s="14">
        <f>IF(OR(All_Questions_Q_VERY_LONG_SINGLE_SELECT_EXPORT_NAME_CT="(None)",C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4" s="14">
        <f>IF(OR(All_Questions_Q_VERY_LONG_SINGLE_SELECT_EXPORT_NAME_CT="(None)",D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4" s="14">
        <f>IF(OR(All_Questions_Q_VERY_LONG_SINGLE_SELECT_EXPORT_NAME_CT="(None)",E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4" s="14">
        <f>IF(OR(All_Questions_Q_VERY_LONG_SINGLE_SELECT_EXPORT_NAME_CT="(None)",F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4" s="14">
        <f>IF(OR(All_Questions_Q_VERY_LONG_SINGLE_SELECT_EXPORT_NAME_CT="(None)",G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4" s="14">
        <f>IF(OR(All_Questions_Q_VERY_LONG_SINGLE_SELECT_EXPORT_NAME_CT="(None)",H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4" s="14">
        <f>IF(OR(All_Questions_Q_VERY_LONG_SINGLE_SELECT_EXPORT_NAME_CT="(None)",I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4" s="14">
        <f>IF(OR(All_Questions_Q_VERY_LONG_SINGLE_SELECT_EXPORT_NAME_CT="(None)",J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4" s="14">
        <f>IF(OR(All_Questions_Q_VERY_LONG_SINGLE_SELECT_EXPORT_NAME_CT="(None)",K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4" s="14">
        <f>IF(OR(All_Questions_Q_VERY_LONG_SINGLE_SELECT_EXPORT_NAME_CT="(None)",L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4" s="14">
        <f>IF(OR(All_Questions_Q_VERY_LONG_SINGLE_SELECT_EXPORT_NAME_CT="(None)",M$82=""),"",IF(M$82="Other",COUNTIFS(Q_VERY_LONG_SINGLE_SELECT_EXPOR_data,"A",passes_workbook_filters_data,1,passes_workbook_custom_filters_data,1,All_Questions_passes_local_filters_data,1,All_Questions_Q_VERY_LONG_SINGLE_SELECT_EXPORT_NAME_F_passes_per_q_filter_data,1)-SUM(B84,C84,D84,E84,F84,G84,H84,I84,J84,K84,L84)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4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85">
      <c r="A85" t="inlineStr">
        <is>
          <t>B</t>
        </is>
      </c>
      <c r="B85" s="14">
        <f>IF(OR(All_Questions_Q_VERY_LONG_SINGLE_SELECT_EXPORT_NAME_CT="(None)",B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5" s="14">
        <f>IF(OR(All_Questions_Q_VERY_LONG_SINGLE_SELECT_EXPORT_NAME_CT="(None)",C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5" s="14">
        <f>IF(OR(All_Questions_Q_VERY_LONG_SINGLE_SELECT_EXPORT_NAME_CT="(None)",D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5" s="14">
        <f>IF(OR(All_Questions_Q_VERY_LONG_SINGLE_SELECT_EXPORT_NAME_CT="(None)",E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5" s="14">
        <f>IF(OR(All_Questions_Q_VERY_LONG_SINGLE_SELECT_EXPORT_NAME_CT="(None)",F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5" s="14">
        <f>IF(OR(All_Questions_Q_VERY_LONG_SINGLE_SELECT_EXPORT_NAME_CT="(None)",G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5" s="14">
        <f>IF(OR(All_Questions_Q_VERY_LONG_SINGLE_SELECT_EXPORT_NAME_CT="(None)",H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5" s="14">
        <f>IF(OR(All_Questions_Q_VERY_LONG_SINGLE_SELECT_EXPORT_NAME_CT="(None)",I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5" s="14">
        <f>IF(OR(All_Questions_Q_VERY_LONG_SINGLE_SELECT_EXPORT_NAME_CT="(None)",J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5" s="14">
        <f>IF(OR(All_Questions_Q_VERY_LONG_SINGLE_SELECT_EXPORT_NAME_CT="(None)",K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5" s="14">
        <f>IF(OR(All_Questions_Q_VERY_LONG_SINGLE_SELECT_EXPORT_NAME_CT="(None)",L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5" s="14">
        <f>IF(OR(All_Questions_Q_VERY_LONG_SINGLE_SELECT_EXPORT_NAME_CT="(None)",M$82=""),"",IF(M$82="Other",COUNTIFS(Q_VERY_LONG_SINGLE_SELECT_EXPOR_data,"B",passes_workbook_filters_data,1,passes_workbook_custom_filters_data,1,All_Questions_passes_local_filters_data,1,All_Questions_Q_VERY_LONG_SINGLE_SELECT_EXPORT_NAME_F_passes_per_q_filter_data,1)-SUM(B85,C85,D85,E85,F85,G85,H85,I85,J85,K85,L85)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5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86">
      <c r="A86" s="4" t="inlineStr">
        <is>
          <t>Total respondents</t>
        </is>
      </c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C65:D65"/>
    <mergeCell ref="E65:F6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3:B2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3:C2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3:D2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3:E2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3:F2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3:G2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3:H2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3:I2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3:J2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3:K2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3:L2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3:M2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3:B3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3:C3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0:D4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40:E4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0:F4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8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58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8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8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8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8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8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8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8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8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67:D6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67:F6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8:B79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8:C79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4:B8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4:C8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84:D8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84:E8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84:F8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4:G8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4:H8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4:I8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4:J8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4:K8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4:L8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4:M8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9" showDropDown="0" showInputMessage="0" showErrorMessage="0" allowBlank="1" type="list">
      <formula1>=All_Questions</formula1>
    </dataValidation>
    <dataValidation sqref="E29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30" showDropDown="0" showInputMessage="0" showErrorMessage="0" allowBlank="1" type="list">
      <formula1>=Cross_Tab_Questions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47" showDropDown="0" showInputMessage="0" showErrorMessage="0" allowBlank="1" type="list">
      <formula1>=Cross_Tab_Questions</formula1>
    </dataValidation>
    <dataValidation sqref="C63" showDropDown="0" showInputMessage="0" showErrorMessage="0" allowBlank="1" type="list">
      <formula1>=All_Questions</formula1>
    </dataValidation>
    <dataValidation sqref="E6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74" showDropDown="0" showInputMessage="0" showErrorMessage="0" allowBlank="1" type="list">
      <formula1>=All_Questions</formula1>
    </dataValidation>
    <dataValidation sqref="E7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5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B$38</t>
        </is>
      </c>
      <c r="H9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9" t="n">
        <v>0.5</v>
      </c>
      <c r="J9" t="n">
        <v>0</v>
      </c>
      <c r="K9" t="n">
        <v>0</v>
      </c>
      <c r="L9" t="inlineStr">
        <is>
          <t>2026-06-09T11:22:53.017529+00:00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C$38</t>
        </is>
      </c>
      <c r="H10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10" t="n">
        <v>0.5</v>
      </c>
      <c r="J10" t="n">
        <v>0</v>
      </c>
      <c r="K10" t="n">
        <v>0</v>
      </c>
      <c r="L10" t="inlineStr">
        <is>
          <t>2026-06-09T11:22:53.017829+00:00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D$38</t>
        </is>
      </c>
      <c r="H11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11" t="n">
        <v>0.5</v>
      </c>
      <c r="J11" t="n">
        <v>0</v>
      </c>
      <c r="K11" t="n">
        <v>0</v>
      </c>
      <c r="L11" t="inlineStr">
        <is>
          <t>2026-06-09T11:22:53.018189+00:00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E$38</t>
        </is>
      </c>
      <c r="H12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12" t="n">
        <v>0.5</v>
      </c>
      <c r="J12" t="n">
        <v>0</v>
      </c>
      <c r="K12" t="n">
        <v>0</v>
      </c>
      <c r="L12" t="inlineStr">
        <is>
          <t>2026-06-09T11:22:53.018503+00:00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F$38</t>
        </is>
      </c>
      <c r="H13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13" t="n">
        <v>0.5</v>
      </c>
      <c r="J13" t="n">
        <v>0</v>
      </c>
      <c r="K13" t="n">
        <v>0</v>
      </c>
      <c r="L13" t="inlineStr">
        <is>
          <t>2026-06-09T11:22:53.018773+00:00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G$38</t>
        </is>
      </c>
      <c r="H14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14" t="n">
        <v>0.5</v>
      </c>
      <c r="J14" t="n">
        <v>0</v>
      </c>
      <c r="K14" t="n">
        <v>0</v>
      </c>
      <c r="L14" t="inlineStr">
        <is>
          <t>2026-06-09T11:22:53.019095+00:00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H$38</t>
        </is>
      </c>
      <c r="H15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15" t="n">
        <v>0.5</v>
      </c>
      <c r="J15" t="n">
        <v>0</v>
      </c>
      <c r="K15" t="n">
        <v>0</v>
      </c>
      <c r="L15" t="inlineStr">
        <is>
          <t>2026-06-09T11:22:53.019373+00:00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I$38</t>
        </is>
      </c>
      <c r="H16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16" t="n">
        <v>0.5</v>
      </c>
      <c r="J16" t="n">
        <v>0</v>
      </c>
      <c r="K16" t="n">
        <v>0</v>
      </c>
      <c r="L16" t="inlineStr">
        <is>
          <t>2026-06-09T11:22:53.019640+00:00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J$38</t>
        </is>
      </c>
      <c r="H1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17" t="n">
        <v>0.5</v>
      </c>
      <c r="J17" t="n">
        <v>0</v>
      </c>
      <c r="K17" t="n">
        <v>0</v>
      </c>
      <c r="L17" t="inlineStr">
        <is>
          <t>2026-06-09T11:22:53.019905+00:00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K$38</t>
        </is>
      </c>
      <c r="H18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18" t="n">
        <v>0.5</v>
      </c>
      <c r="J18" t="n">
        <v>0</v>
      </c>
      <c r="K18" t="n">
        <v>0</v>
      </c>
      <c r="L18" t="inlineStr">
        <is>
          <t>2026-06-09T11:22:53.020243+00:00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L$38</t>
        </is>
      </c>
      <c r="H19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19" t="n">
        <v>0.5</v>
      </c>
      <c r="J19" t="n">
        <v>0</v>
      </c>
      <c r="K19" t="n">
        <v>0</v>
      </c>
      <c r="L19" t="inlineStr">
        <is>
          <t>2026-06-09T11:22:53.020510+00:00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M$38</t>
        </is>
      </c>
      <c r="H20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20" t="n">
        <v>0.5</v>
      </c>
      <c r="J20" t="n">
        <v>0</v>
      </c>
      <c r="K20" t="n">
        <v>0</v>
      </c>
      <c r="L20" t="inlineStr">
        <is>
          <t>2026-06-09T11:22:53.020844+00:00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B$38</t>
        </is>
      </c>
      <c r="H21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21" t="n">
        <v>0.2</v>
      </c>
      <c r="J21" t="n">
        <v>0</v>
      </c>
      <c r="K21" t="n">
        <v>0</v>
      </c>
      <c r="L21" t="inlineStr">
        <is>
          <t>2026-06-09T11:22:53.021348+00:00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C$38</t>
        </is>
      </c>
      <c r="H22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22" t="n">
        <v>0.2</v>
      </c>
      <c r="J22" t="n">
        <v>0</v>
      </c>
      <c r="K22" t="n">
        <v>0</v>
      </c>
      <c r="L22" t="inlineStr">
        <is>
          <t>2026-06-09T11:22:53.021611+00:00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D$38</t>
        </is>
      </c>
      <c r="H23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23" t="n">
        <v>0.2</v>
      </c>
      <c r="J23" t="n">
        <v>0</v>
      </c>
      <c r="K23" t="n">
        <v>0</v>
      </c>
      <c r="L23" t="inlineStr">
        <is>
          <t>2026-06-09T11:22:53.021875+00:00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E$38</t>
        </is>
      </c>
      <c r="H24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24" t="n">
        <v>0.2</v>
      </c>
      <c r="J24" t="n">
        <v>0</v>
      </c>
      <c r="K24" t="n">
        <v>0</v>
      </c>
      <c r="L24" t="inlineStr">
        <is>
          <t>2026-06-09T11:22:53.022190+00:00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F$38</t>
        </is>
      </c>
      <c r="H25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25" t="n">
        <v>0.2</v>
      </c>
      <c r="J25" t="n">
        <v>0</v>
      </c>
      <c r="K25" t="n">
        <v>0</v>
      </c>
      <c r="L25" t="inlineStr">
        <is>
          <t>2026-06-09T11:22:53.022463+00:00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G$38</t>
        </is>
      </c>
      <c r="H26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26" t="n">
        <v>0.2</v>
      </c>
      <c r="J26" t="n">
        <v>0</v>
      </c>
      <c r="K26" t="n">
        <v>0</v>
      </c>
      <c r="L26" t="inlineStr">
        <is>
          <t>2026-06-09T11:22:53.022731+00:00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H$38</t>
        </is>
      </c>
      <c r="H2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27" t="n">
        <v>0.2</v>
      </c>
      <c r="J27" t="n">
        <v>0</v>
      </c>
      <c r="K27" t="n">
        <v>0</v>
      </c>
      <c r="L27" t="inlineStr">
        <is>
          <t>2026-06-09T11:22:53.023044+00:00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I$38</t>
        </is>
      </c>
      <c r="H28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28" t="n">
        <v>0.2</v>
      </c>
      <c r="J28" t="n">
        <v>0</v>
      </c>
      <c r="K28" t="n">
        <v>0</v>
      </c>
      <c r="L28" t="inlineStr">
        <is>
          <t>2026-06-09T11:22:53.023317+00:00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J$38</t>
        </is>
      </c>
      <c r="H29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29" t="n">
        <v>0.2</v>
      </c>
      <c r="J29" t="n">
        <v>0</v>
      </c>
      <c r="K29" t="n">
        <v>0</v>
      </c>
      <c r="L29" t="inlineStr">
        <is>
          <t>2026-06-09T11:22:53.023583+00:00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K$38</t>
        </is>
      </c>
      <c r="H30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30" t="n">
        <v>0.2</v>
      </c>
      <c r="J30" t="n">
        <v>0</v>
      </c>
      <c r="K30" t="n">
        <v>0</v>
      </c>
      <c r="L30" t="inlineStr">
        <is>
          <t>2026-06-09T11:22:53.023847+00:00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L$38</t>
        </is>
      </c>
      <c r="H31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31" t="n">
        <v>0.2</v>
      </c>
      <c r="J31" t="n">
        <v>0</v>
      </c>
      <c r="K31" t="n">
        <v>0</v>
      </c>
      <c r="L31" t="inlineStr">
        <is>
          <t>2026-06-09T11:22:53.024161+00:00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M$38</t>
        </is>
      </c>
      <c r="H32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32" t="n">
        <v>0.2</v>
      </c>
      <c r="J32" t="n">
        <v>0</v>
      </c>
      <c r="K32" t="n">
        <v>0</v>
      </c>
      <c r="L32" t="inlineStr">
        <is>
          <t>2026-06-09T11:22:53.024508+00:00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B$56</t>
        </is>
      </c>
      <c r="H33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0</v>
      </c>
      <c r="I33" t="n">
        <v>5.5</v>
      </c>
      <c r="J33" t="n">
        <v>0</v>
      </c>
      <c r="K33" t="n">
        <v>0</v>
      </c>
      <c r="L33" t="inlineStr">
        <is>
          <t>2026-06-09T11:22:53.048238+00:00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C$56</t>
        </is>
      </c>
      <c r="H34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0</v>
      </c>
      <c r="I34" t="n">
        <v>5.5</v>
      </c>
      <c r="J34" t="n">
        <v>0</v>
      </c>
      <c r="K34" t="n">
        <v>0</v>
      </c>
      <c r="L34" t="inlineStr">
        <is>
          <t>2026-06-09T11:22:53.048453+00:00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D$56</t>
        </is>
      </c>
      <c r="H35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0</v>
      </c>
      <c r="I35" t="n">
        <v>5.5</v>
      </c>
      <c r="J35" t="n">
        <v>0</v>
      </c>
      <c r="K35" t="n">
        <v>0</v>
      </c>
      <c r="L35" t="inlineStr">
        <is>
          <t>2026-06-09T11:22:53.048644+00:00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E$56</t>
        </is>
      </c>
      <c r="H3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0</v>
      </c>
      <c r="I36" t="n">
        <v>5.5</v>
      </c>
      <c r="J36" t="n">
        <v>0</v>
      </c>
      <c r="K36" t="n">
        <v>0</v>
      </c>
      <c r="L36" t="inlineStr">
        <is>
          <t>2026-06-09T11:22:53.048830+00:00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F$56</t>
        </is>
      </c>
      <c r="H37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0</v>
      </c>
      <c r="I37" t="n">
        <v>5.5</v>
      </c>
      <c r="J37" t="n">
        <v>0</v>
      </c>
      <c r="K37" t="n">
        <v>0</v>
      </c>
      <c r="L37" t="inlineStr">
        <is>
          <t>2026-06-09T11:22:53.049068+00:00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G$56</t>
        </is>
      </c>
      <c r="H38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0</v>
      </c>
      <c r="I38" t="n">
        <v>5.5</v>
      </c>
      <c r="J38" t="n">
        <v>0</v>
      </c>
      <c r="K38" t="n">
        <v>0</v>
      </c>
      <c r="L38" t="inlineStr">
        <is>
          <t>2026-06-09T11:22:53.049261+00:00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H$56</t>
        </is>
      </c>
      <c r="H39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0</v>
      </c>
      <c r="I39" t="n">
        <v>5.5</v>
      </c>
      <c r="J39" t="n">
        <v>0</v>
      </c>
      <c r="K39" t="n">
        <v>0</v>
      </c>
      <c r="L39" t="inlineStr">
        <is>
          <t>2026-06-09T11:22:53.049447+00:00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I$56</t>
        </is>
      </c>
      <c r="H40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0</v>
      </c>
      <c r="I40" t="n">
        <v>5.5</v>
      </c>
      <c r="J40" t="n">
        <v>0</v>
      </c>
      <c r="K40" t="n">
        <v>0</v>
      </c>
      <c r="L40" t="inlineStr">
        <is>
          <t>2026-06-09T11:22:53.049632+00:00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J$56</t>
        </is>
      </c>
      <c r="H41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0</v>
      </c>
      <c r="I41" t="n">
        <v>5.5</v>
      </c>
      <c r="J41" t="n">
        <v>0</v>
      </c>
      <c r="K41" t="n">
        <v>0</v>
      </c>
      <c r="L41" t="inlineStr">
        <is>
          <t>2026-06-09T11:22:53.049817+00:00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K$56</t>
        </is>
      </c>
      <c r="H42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0</v>
      </c>
      <c r="I42" t="n">
        <v>5.5</v>
      </c>
      <c r="J42" t="n">
        <v>0</v>
      </c>
      <c r="K42" t="n">
        <v>0</v>
      </c>
      <c r="L42" t="inlineStr">
        <is>
          <t>2026-06-09T11:22:53.050053+00:00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L$56</t>
        </is>
      </c>
      <c r="H43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0</v>
      </c>
      <c r="I43" t="n">
        <v>5.5</v>
      </c>
      <c r="J43" t="n">
        <v>0</v>
      </c>
      <c r="K43" t="n">
        <v>0</v>
      </c>
      <c r="L43" t="inlineStr">
        <is>
          <t>2026-06-09T11:22:53.050247+00:00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M$56</t>
        </is>
      </c>
      <c r="H44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0</v>
      </c>
      <c r="I44" t="n">
        <v>5.5</v>
      </c>
      <c r="J44" t="n">
        <v>0</v>
      </c>
      <c r="K44" t="n">
        <v>0</v>
      </c>
      <c r="L44" t="inlineStr">
        <is>
          <t>2026-06-09T11:22:53.050515+00:00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2026-06-09T11:22:52Z</dcterms:created>
  <dcterms:modified xmlns:dcterms="http://purl.org/dc/terms/" xmlns:xsi="http://www.w3.org/2001/XMLSchema-instance" xsi:type="dcterms:W3CDTF">2026-06-09T11:22:53Z</dcterms:modified>
</cp:coreProperties>
</file>