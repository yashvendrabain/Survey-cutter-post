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1_resolved_criteria">'Filters'!$G$8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ustom2_resolved_criteria">'Filters'!$G$9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1_resolved_criteria">'Demographics'!$G$8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ustom2_resolved_criteria">'Demographics'!$G$10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resolved_criteria">'Demographics'!$H$15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'Demographics'!$C$26</definedName>
    <definedName name="Demographics_Q_MS_EXPORT_F_V">'Demographics'!$E$26</definedName>
    <definedName name="Demographics_Q_MS_EXPORT_F_resolved_column">'Demographics'!$F$26</definedName>
    <definedName name="Demographics_Q_MS_EXPORT_F_wrapped">'Demographics'!$G$26</definedName>
    <definedName name="Demographics_Q_MS_EXPORT_F_resolved_criteria">'Demographics'!$H$26</definedName>
    <definedName name="Demographics_Q_MS_EXPORT_F_passes_per_q_filter_data">'_RawData'!$S$2:$S$11</definedName>
    <definedName name="Demographics_Q_MS_EXPORT_CT">'Demographics'!$C$27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1_resolved_criteria">'All Questions'!$G$8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ustom2_resolved_criteria">'All Questions'!$G$10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resolved_criteria">'All Questions'!$H$15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Questions'!$C$32</definedName>
    <definedName name="All_Questions_Q_GRID_EXPORT_F_V">'All Questions'!$E$32</definedName>
    <definedName name="All_Questions_Q_GRID_EXPORT_F_resolved_column">'All Questions'!$F$32</definedName>
    <definedName name="All_Questions_Q_GRID_EXPORT_F_wrapped">'All Questions'!$G$32</definedName>
    <definedName name="All_Questions_Q_GRID_EXPORT_F_resolved_criteria">'All Questions'!$H$32</definedName>
    <definedName name="All_Questions_Q_GRID_EXPORT_F_passes_per_q_filter_data">'_RawData'!$X$2:$X$11</definedName>
    <definedName name="All_Questions_Q_GRID_EXPORT_CT">'All Questions'!$C$33</definedName>
    <definedName name="All_Questions_Q_VERY_LONG_SINGLE_SELECT_EXPORT_NAME_F_Q">'All Questions'!$C$50</definedName>
    <definedName name="All_Questions_Q_VERY_LONG_SINGLE_SELECT_EXPORT_NAME_F_V">'All Questions'!$E$50</definedName>
    <definedName name="All_Questions_Q_VERY_LONG_SINGLE_SELECT_EXPORT_NAME_F_resolved_column">'All Questions'!$F$50</definedName>
    <definedName name="All_Questions_Q_VERY_LONG_SINGLE_SELECT_EXPORT_NAME_F_wrapped">'All Questions'!$G$50</definedName>
    <definedName name="All_Questions_Q_VERY_LONG_SINGLE_SELECT_EXPORT_NAME_F_resolved_criteria">'All Questions'!$H$50</definedName>
    <definedName name="All_Questions_Q_VERY_LONG_SINGLE_SELECT_EXPORT_NAME_F_passes_per_q_filter_data">'_RawData'!$Y$2:$Y$11</definedName>
    <definedName name="All_Questions_Q_VERY_LONG_SINGLE_SELECT_EXPORT_NAME_CT">'All Questions'!$C$51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G8" i="3"/>
  <c r="E9" i="3"/>
  <c r="F9" i="3"/>
  <c r="G9" i="3"/>
  <c r="C5" i="7"/>
  <c r="D5" i="7"/>
  <c r="C6" i="7"/>
  <c r="D6" i="7"/>
  <c r="C7" i="7"/>
  <c r="C8" i="7"/>
  <c r="D8" i="7"/>
  <c r="F8" i="7"/>
  <c r="G8" i="7"/>
  <c r="C9" i="7"/>
  <c r="C10" i="7"/>
  <c r="D10" i="7"/>
  <c r="F10" i="7"/>
  <c r="G10" i="7"/>
  <c r="F15" i="7"/>
  <c r="G15" i="7"/>
  <c r="H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6" i="7"/>
  <c r="G26" i="7"/>
  <c r="H26" i="7"/>
  <c r="G29" i="7"/>
  <c r="H29" i="7"/>
  <c r="I29" i="7"/>
  <c r="J29" i="7"/>
  <c r="K29" i="7"/>
  <c r="L29" i="7"/>
  <c r="M29" i="7"/>
  <c r="N29" i="7"/>
  <c r="O29" i="7"/>
  <c r="P29" i="7"/>
  <c r="Q29" i="7"/>
  <c r="R29" i="7"/>
  <c r="B30" i="7"/>
  <c r="C30" i="7"/>
  <c r="D30" i="7"/>
  <c r="B31" i="7"/>
  <c r="C31" i="7"/>
  <c r="D31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G32" i="7"/>
  <c r="H32" i="7"/>
  <c r="I32" i="7"/>
  <c r="J32" i="7"/>
  <c r="K32" i="7"/>
  <c r="L32" i="7"/>
  <c r="M32" i="7"/>
  <c r="N32" i="7"/>
  <c r="O32" i="7"/>
  <c r="P32" i="7"/>
  <c r="Q32" i="7"/>
  <c r="R32" i="7"/>
  <c r="S32" i="7"/>
  <c r="S33" i="7"/>
  <c r="C5" i="8"/>
  <c r="D5" i="8"/>
  <c r="C6" i="8"/>
  <c r="D6" i="8"/>
  <c r="C7" i="8"/>
  <c r="C8" i="8"/>
  <c r="D8" i="8"/>
  <c r="F8" i="8"/>
  <c r="G8" i="8"/>
  <c r="C9" i="8"/>
  <c r="C10" i="8"/>
  <c r="D10" i="8"/>
  <c r="F10" i="8"/>
  <c r="G10" i="8"/>
  <c r="F15" i="8"/>
  <c r="G15" i="8"/>
  <c r="H15" i="8"/>
  <c r="B19" i="8"/>
  <c r="D19" i="8"/>
  <c r="B20" i="8"/>
  <c r="D20" i="8"/>
  <c r="B21" i="8"/>
  <c r="D21" i="8"/>
  <c r="D22" i="8"/>
  <c r="G25" i="8"/>
  <c r="H25" i="8"/>
  <c r="I25" i="8"/>
  <c r="J25" i="8"/>
  <c r="K25" i="8"/>
  <c r="L25" i="8"/>
  <c r="M25" i="8"/>
  <c r="N25" i="8"/>
  <c r="O25" i="8"/>
  <c r="P25" i="8"/>
  <c r="Q25" i="8"/>
  <c r="R25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S28" i="8"/>
  <c r="F32" i="8"/>
  <c r="G32" i="8"/>
  <c r="H32" i="8"/>
  <c r="C37" i="8"/>
  <c r="D37" i="8"/>
  <c r="E37" i="8"/>
  <c r="F37" i="8"/>
  <c r="C38" i="8"/>
  <c r="D38" i="8"/>
  <c r="E38" i="8"/>
  <c r="F38" i="8"/>
  <c r="G42" i="8"/>
  <c r="H42" i="8"/>
  <c r="I42" i="8"/>
  <c r="J42" i="8"/>
  <c r="K42" i="8"/>
  <c r="L42" i="8"/>
  <c r="M42" i="8"/>
  <c r="N42" i="8"/>
  <c r="O42" i="8"/>
  <c r="P42" i="8"/>
  <c r="Q42" i="8"/>
  <c r="R42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S46" i="8"/>
  <c r="F50" i="8"/>
  <c r="G50" i="8"/>
  <c r="H50" i="8"/>
  <c r="G53" i="8"/>
  <c r="H53" i="8"/>
  <c r="I53" i="8"/>
  <c r="J53" i="8"/>
  <c r="K53" i="8"/>
  <c r="L53" i="8"/>
  <c r="M53" i="8"/>
  <c r="N53" i="8"/>
  <c r="O53" i="8"/>
  <c r="P53" i="8"/>
  <c r="Q53" i="8"/>
  <c r="R53" i="8"/>
  <c r="B54" i="8"/>
  <c r="C54" i="8"/>
  <c r="D54" i="8"/>
  <c r="B55" i="8"/>
  <c r="C55" i="8"/>
  <c r="D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S57" i="8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9_1" displayName="T_Demographics_29_1" ref="A29:D33" headerRowCount="1">
  <autoFilter ref="A29:D3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3" headerRowCount="1">
  <autoFilter ref="A18:D2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3_1" displayName="T_All_Questions_53_1" ref="A53:D56" headerRowCount="1">
  <autoFilter ref="A53:D5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("|" &amp; SUBSTITUTE(Demographics_Q_SS_EXPORT_F_resolved_criteria, ", ", "|") &amp; "|"))),1,0),0))*1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("|" &amp; SUBSTITUTE(Demographics_Q_MS_EXPORT_F_resolved_criteria, ", ", "|") &amp; "|"))),1,0),0))*1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("|" &amp; SUBSTITUTE(Demographics_Q_SS_EXPORT_F_resolved_criteria, ", ", "|") &amp; "|"))),1,0),0))*1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("|" &amp; SUBSTITUTE(Demographics_Q_MS_EXPORT_F_resolved_criteria, ", ", "|") &amp; "|"))),1,0),0))*1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("|" &amp; SUBSTITUTE(Demographics_Q_SS_EXPORT_F_resolved_criteria, ", ", "|") &amp; "|"))),1,0),0))*1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("|" &amp; SUBSTITUTE(Demographics_Q_MS_EXPORT_F_resolved_criteria, ", ", "|") &amp; "|"))),1,0),0))*1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("|" &amp; SUBSTITUTE(Demographics_Q_SS_EXPORT_F_resolved_criteria, ", ", "|") &amp; "|"))),1,0),0))*1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("|" &amp; SUBSTITUTE(Demographics_Q_MS_EXPORT_F_resolved_criteria, ", ", "|") &amp; "|"))),1,0),0))*1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("|" &amp; SUBSTITUTE(Demographics_Q_SS_EXPORT_F_resolved_criteria, ", ", "|") &amp; "|"))),1,0),0))*1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("|" &amp; SUBSTITUTE(Demographics_Q_MS_EXPORT_F_resolved_criteria, ", ", "|") &amp; "|"))),1,0),0))*1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("|" &amp; SUBSTITUTE(Demographics_Q_SS_EXPORT_F_resolved_criteria, ", ", "|") &amp; "|"))),1,0),0))*1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("|" &amp; SUBSTITUTE(Demographics_Q_MS_EXPORT_F_resolved_criteria, ", ", "|") &amp; "|"))),1,0),0))*1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("|" &amp; SUBSTITUTE(Demographics_Q_SS_EXPORT_F_resolved_criteria, ", ", "|") &amp; "|"))),1,0),0))*1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("|" &amp; SUBSTITUTE(Demographics_Q_MS_EXPORT_F_resolved_criteria, ", ", "|") &amp; "|"))),1,0),0))*1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("|" &amp; SUBSTITUTE(Demographics_Q_SS_EXPORT_F_resolved_criteria, ", ", "|") &amp; "|"))),1,0),0))*1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("|" &amp; SUBSTITUTE(Demographics_Q_MS_EXPORT_F_resolved_criteria, ", ", "|") &amp; "|"))),1,0),0))*1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("|" &amp; SUBSTITUTE(Demographics_Q_SS_EXPORT_F_resolved_criteria, ", ", "|") &amp; "|"))),1,0),0))*1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("|" &amp; SUBSTITUTE(Demographics_Q_MS_EXPORT_F_resolved_criteria, ", ", "|") &amp; "|"))),1,0),0))*1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("|" &amp; SUBSTITUTE(Demographics_Q_SS_EXPORT_F_resolved_criteria, ", ", "|") &amp; "|"))),1,0),0))*1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("|" &amp; SUBSTITUTE(Demographics_Q_MS_EXPORT_F_resolved_criteria, ", ", "|") &amp; "|"))),1,0),0))*1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6"/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8" t="str">
        <f>"|" &amp; SUBSTITUTE(F_Custom1_V, ", ", "|") &amp; "|"</f>
        <v>|(All)|</v>
      </c>
      <c r="G8" t="str">
        <f>IFERROR(INDEX(All_Questions_Value_Criteria,MATCH(F_Custom1_Q&amp;"|"&amp;F_Custom1_V,All_Questions_Value_Keys,0)),F_Custom1_V)</f>
        <v>(All)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9" t="str">
        <f>"|" &amp; SUBSTITUTE(F_Custom2_V, ", ", "|") &amp; "|"</f>
        <v>|(All)|</v>
      </c>
      <c r="G9" t="str">
        <f>IFERROR(INDEX(All_Questions_Value_Criteria,MATCH(F_Custom2_Q&amp;"|"&amp;F_Custom2_V,All_Questions_Value_Keys,0)),F_Custom2_V)</f>
        <v>(All)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IFERROR(INDEX(All_Questions_Value_Data_Names,MATCH(Demographics_F_Custom1_Q_resolved&amp;"|"&amp;Demographics_F_Custom1_V_resolved,All_Questions_Value_Keys,0)),IFERROR(INDEX(All_Questions_Data_Names,MATCH(Demographics_F_Custom1_Q_resolved,All_Questions,0)),"'_RawData'!$A:$A"))</f>
        <v>respondent_id_data</v>
      </c>
      <c r="G8" t="str">
        <f>IFERROR(INDEX(All_Questions_Value_Criteria,MATCH(Demographics_F_Custom1_Q_resolved&amp;"|"&amp;Demographics_F_Custom1_V_resolved,All_Questions_Value_Keys,0)),Demographics_F_Custom1_V_resolved)</f>
        <v>(All)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IFERROR(INDEX(All_Questions_Value_Data_Names,MATCH(Demographics_F_Custom2_Q_resolved&amp;"|"&amp;Demographics_F_Custom2_V_resolved,All_Questions_Value_Keys,0)),IFERROR(INDEX(All_Questions_Data_Names,MATCH(Demographics_F_Custom2_Q_resolved,All_Questions,0)),"'_RawData'!$A:$A"))</f>
        <v>respondent_id_data</v>
      </c>
      <c r="G10" t="str">
        <f>IFERROR(INDEX(All_Questions_Value_Criteria,MATCH(Demographics_F_Custom2_Q_resolved&amp;"|"&amp;Demographics_F_Custom2_V_resolved,All_Questions_Value_Keys,0)),Demographics_F_Custom2_V_resolved)</f>
        <v>(All)</v>
      </c>
    </row>
    <row r="11"/>
    <row r="12"/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IFERROR(INDEX(All_Questions_Value_Data_Names,MATCH(Demographics_Q_SS_EXPORT_F_Q&amp;"|"&amp;Demographics_Q_SS_EXPORT_F_V,All_Questions_Value_Keys,0)),IFERROR(INDEX(All_Questions_Data_Names,MATCH(Demographics_Q_SS_EXPORT_F_Q,All_Questions,0)),"'_RawData'!$A:$A"))</f>
        <v>respondent_id_data</v>
      </c>
      <c r="G15" t="str">
        <f>"|" &amp; SUBSTITUTE(Demographics_Q_SS_EXPORT_F_V, ", ", "|") &amp; "|"</f>
        <v>|(All)|</v>
      </c>
      <c r="H15" t="str">
        <f>IFERROR(INDEX(All_Questions_Value_Criteria,MATCH(Demographics_Q_SS_EXPORT_F_Q&amp;"|"&amp;Demographics_Q_SS_EXPORT_F_V,All_Questions_Value_Keys,0)),Demographics_Q_SS_EXPORT_F_V)</f>
        <v>(All)</v>
      </c>
    </row>
    <row r="16">
      <c r="A16" s="13" t="inlineStr">
        <is>
          <t>Cross-tab by</t>
        </is>
      </c>
      <c r="C16" t="inlineStr">
        <is>
          <t>(None)</t>
        </is>
      </c>
    </row>
    <row r="17"/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IF(Demographics_Q_SS_EXPORT_CT="(None)","",IFERROR(INDEX(INDIRECT(IFERROR(INDEX(Cross_Tab_Questions_Options_Names,MATCH(Demographics_Q_SS_EXPORT_CT,Cross_Tab_Questions,0)),"'_Options'!$E$2:$E$2")),2),""))</f>
        <v/>
      </c>
      <c r="H18" s="2" t="str">
        <f>IF(Demographics_Q_SS_EXPORT_CT="(None)","",IFERROR(INDEX(INDIRECT(IFERROR(INDEX(Cross_Tab_Questions_Options_Names,MATCH(Demographics_Q_SS_EXPORT_CT,Cross_Tab_Questions,0)),"'_Options'!$E$2:$E$2")),3),""))</f>
        <v/>
      </c>
      <c r="I18" s="2" t="str">
        <f>IF(Demographics_Q_SS_EXPORT_CT="(None)","",IFERROR(INDEX(INDIRECT(IFERROR(INDEX(Cross_Tab_Questions_Options_Names,MATCH(Demographics_Q_SS_EXPORT_CT,Cross_Tab_Questions,0)),"'_Options'!$E$2:$E$2")),4),""))</f>
        <v/>
      </c>
      <c r="J18" s="2" t="str">
        <f>IF(Demographics_Q_SS_EXPORT_CT="(None)","",IFERROR(INDEX(INDIRECT(IFERROR(INDEX(Cross_Tab_Questions_Options_Names,MATCH(Demographics_Q_SS_EXPORT_CT,Cross_Tab_Questions,0)),"'_Options'!$E$2:$E$2")),5),""))</f>
        <v/>
      </c>
      <c r="K18" s="2" t="str">
        <f>IF(Demographics_Q_SS_EXPORT_CT="(None)","",IFERROR(INDEX(INDIRECT(IFERROR(INDEX(Cross_Tab_Questions_Options_Names,MATCH(Demographics_Q_SS_EXPORT_CT,Cross_Tab_Questions,0)),"'_Options'!$E$2:$E$2")),6),""))</f>
        <v/>
      </c>
      <c r="L18" s="2" t="str">
        <f>IF(Demographics_Q_SS_EXPORT_CT="(None)","",IFERROR(INDEX(INDIRECT(IFERROR(INDEX(Cross_Tab_Questions_Options_Names,MATCH(Demographics_Q_SS_EXPORT_CT,Cross_Tab_Questions,0)),"'_Options'!$E$2:$E$2")),7),""))</f>
        <v/>
      </c>
      <c r="M18" s="2" t="str">
        <f>IF(Demographics_Q_SS_EXPORT_CT="(None)","",IFERROR(INDEX(INDIRECT(IFERROR(INDEX(Cross_Tab_Questions_Options_Names,MATCH(Demographics_Q_SS_EXPORT_CT,Cross_Tab_Questions,0)),"'_Options'!$E$2:$E$2")),8),""))</f>
        <v/>
      </c>
      <c r="N18" s="2" t="str">
        <f>IF(Demographics_Q_SS_EXPORT_CT="(None)","",IFERROR(INDEX(INDIRECT(IFERROR(INDEX(Cross_Tab_Questions_Options_Names,MATCH(Demographics_Q_SS_EXPORT_CT,Cross_Tab_Questions,0)),"'_Options'!$E$2:$E$2")),9),""))</f>
        <v/>
      </c>
      <c r="O18" s="2" t="str">
        <f>IF(Demographics_Q_SS_EXPORT_CT="(None)","",IFERROR(INDEX(INDIRECT(IFERROR(INDEX(Cross_Tab_Questions_Options_Names,MATCH(Demographics_Q_SS_EXPORT_CT,Cross_Tab_Questions,0)),"'_Options'!$E$2:$E$2")),10),""))</f>
        <v/>
      </c>
      <c r="P18" s="2" t="str">
        <f>IF(Demographics_Q_SS_EXPORT_CT="(None)","",IFERROR(INDEX(INDIRECT(IFERROR(INDEX(Cross_Tab_Questions_Options_Names,MATCH(Demographics_Q_SS_EXPORT_CT,Cross_Tab_Questions,0)),"'_Options'!$E$2:$E$2")),11),""))</f>
        <v/>
      </c>
      <c r="Q18" s="2" t="str">
        <f>IF(Demographics_Q_SS_EXPORT_CT="(None)","",IFERROR(INDEX(INDIRECT(IFERROR(INDEX(Cross_Tab_Questions_Options_Names,MATCH(Demographics_Q_SS_EXPORT_CT,Cross_Tab_Questions,0)),"'_Options'!$E$2:$E$2")),12),""))</f>
        <v/>
      </c>
      <c r="R18" s="2" t="str">
        <f>IF(Demographics_Q_SS_EXPORT_CT="(None)","",IF(COUNTA(INDIRECT(IFERROR(INDEX(Cross_Tab_Questions_Options_Names,MATCH(Demographics_Q_SS_EXPORT_CT,Cross_Tab_Questions,0)),"'_Options'!$E$2:$E$2")))-1&gt;11,"Other",IFERROR(INDEX(INDIRECT(IFERROR(INDEX(Cross_Tab_Questions_Options_Names,MATCH(Demographics_Q_SS_EXPORT_CT,Cross_Tab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 s="14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G$18))</f>
        <v>0</v>
      </c>
      <c r="H20" s="14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H$18))</f>
        <v>0</v>
      </c>
      <c r="I20" s="14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I$18))</f>
        <v>0</v>
      </c>
      <c r="J20" s="14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J$18))</f>
        <v>0</v>
      </c>
      <c r="K20" s="14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K$18))</f>
        <v>0</v>
      </c>
      <c r="L20" s="14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L$18))</f>
        <v>0</v>
      </c>
      <c r="M20" s="14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M$18))</f>
        <v>0</v>
      </c>
      <c r="N20" s="14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N$18))</f>
        <v>0</v>
      </c>
      <c r="O20" s="14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O$18))</f>
        <v>0</v>
      </c>
      <c r="P20" s="14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P$18))</f>
        <v>0</v>
      </c>
      <c r="Q20" s="14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Q$18))</f>
        <v>0</v>
      </c>
      <c r="R20" s="14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R$18)))</f>
        <v>0</v>
      </c>
      <c r="S20" s="14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 s="14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G$18))</f>
        <v>0</v>
      </c>
      <c r="H21" s="14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H$18))</f>
        <v>0</v>
      </c>
      <c r="I21" s="14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I$18))</f>
        <v>0</v>
      </c>
      <c r="J21" s="14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J$18))</f>
        <v>0</v>
      </c>
      <c r="K21" s="14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K$18))</f>
        <v>0</v>
      </c>
      <c r="L21" s="14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L$18))</f>
        <v>0</v>
      </c>
      <c r="M21" s="14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M$18))</f>
        <v>0</v>
      </c>
      <c r="N21" s="14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N$18))</f>
        <v>0</v>
      </c>
      <c r="O21" s="14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O$18))</f>
        <v>0</v>
      </c>
      <c r="P21" s="14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P$18))</f>
        <v>0</v>
      </c>
      <c r="Q21" s="14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Q$18))</f>
        <v>0</v>
      </c>
      <c r="R21" s="14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R$18)))</f>
        <v>0</v>
      </c>
      <c r="S21" s="14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/>
    <row r="24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</row>
    <row r="25">
      <c r="A25" s="12" t="inlineStr">
        <is>
          <t>Q_MS_EXPORT - Multi select export question</t>
        </is>
      </c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</row>
    <row r="26">
      <c r="A26" s="13" t="inlineStr">
        <is>
          <t>Per-question filter</t>
        </is>
      </c>
      <c r="B26" t="inlineStr">
        <is>
          <t>Filter Q</t>
        </is>
      </c>
      <c r="C26" t="inlineStr">
        <is>
          <t>(None)</t>
        </is>
      </c>
      <c r="D26" t="inlineStr">
        <is>
          <t>Value</t>
        </is>
      </c>
      <c r="E26" t="inlineStr">
        <is>
          <t>(All)</t>
        </is>
      </c>
      <c r="F26" t="str">
        <f>IFERROR(INDEX(All_Questions_Value_Data_Names,MATCH(Demographics_Q_MS_EXPORT_F_Q&amp;"|"&amp;Demographics_Q_MS_EXPORT_F_V,All_Questions_Value_Keys,0)),IFERROR(INDEX(All_Questions_Data_Names,MATCH(Demographics_Q_MS_EXPORT_F_Q,All_Questions,0)),"'_RawData'!$A:$A"))</f>
        <v>respondent_id_data</v>
      </c>
      <c r="G26" t="str">
        <f>"|" &amp; SUBSTITUTE(Demographics_Q_MS_EXPORT_F_V, ", ", "|") &amp; "|"</f>
        <v>|(All)|</v>
      </c>
      <c r="H26" t="str">
        <f>IFERROR(INDEX(All_Questions_Value_Criteria,MATCH(Demographics_Q_MS_EXPORT_F_Q&amp;"|"&amp;Demographics_Q_MS_EXPORT_F_V,All_Questions_Value_Keys,0)),Demographics_Q_MS_EXPORT_F_V)</f>
        <v>(All)</v>
      </c>
    </row>
    <row r="27">
      <c r="A27" s="13" t="inlineStr">
        <is>
          <t>Cross-tab by</t>
        </is>
      </c>
      <c r="C27" t="inlineStr">
        <is>
          <t>(None)</t>
        </is>
      </c>
    </row>
    <row r="28"/>
    <row r="29">
      <c r="A29" s="4" t="inlineStr">
        <is>
          <t>Option</t>
        </is>
      </c>
      <c r="B29" s="4" t="inlineStr">
        <is>
          <t>Count</t>
        </is>
      </c>
      <c r="C29" s="4" t="inlineStr">
        <is>
          <t>%</t>
        </is>
      </c>
      <c r="D29" s="4" t="inlineStr">
        <is>
          <t>Denominator</t>
        </is>
      </c>
      <c r="F29" s="4" t="inlineStr">
        <is>
          <t>Option</t>
        </is>
      </c>
      <c r="G29" s="2" t="str">
        <f>IF(Demographics_Q_MS_EXPORT_CT="(None)","",IFERROR(INDEX(INDIRECT(IFERROR(INDEX(Cross_Tab_Questions_Options_Names,MATCH(Demographics_Q_MS_EXPORT_CT,Cross_Tab_Questions,0)),"'_Options'!$E$2:$E$2")),2),""))</f>
        <v/>
      </c>
      <c r="H29" s="2" t="str">
        <f>IF(Demographics_Q_MS_EXPORT_CT="(None)","",IFERROR(INDEX(INDIRECT(IFERROR(INDEX(Cross_Tab_Questions_Options_Names,MATCH(Demographics_Q_MS_EXPORT_CT,Cross_Tab_Questions,0)),"'_Options'!$E$2:$E$2")),3),""))</f>
        <v/>
      </c>
      <c r="I29" s="2" t="str">
        <f>IF(Demographics_Q_MS_EXPORT_CT="(None)","",IFERROR(INDEX(INDIRECT(IFERROR(INDEX(Cross_Tab_Questions_Options_Names,MATCH(Demographics_Q_MS_EXPORT_CT,Cross_Tab_Questions,0)),"'_Options'!$E$2:$E$2")),4),""))</f>
        <v/>
      </c>
      <c r="J29" s="2" t="str">
        <f>IF(Demographics_Q_MS_EXPORT_CT="(None)","",IFERROR(INDEX(INDIRECT(IFERROR(INDEX(Cross_Tab_Questions_Options_Names,MATCH(Demographics_Q_MS_EXPORT_CT,Cross_Tab_Questions,0)),"'_Options'!$E$2:$E$2")),5),""))</f>
        <v/>
      </c>
      <c r="K29" s="2" t="str">
        <f>IF(Demographics_Q_MS_EXPORT_CT="(None)","",IFERROR(INDEX(INDIRECT(IFERROR(INDEX(Cross_Tab_Questions_Options_Names,MATCH(Demographics_Q_MS_EXPORT_CT,Cross_Tab_Questions,0)),"'_Options'!$E$2:$E$2")),6),""))</f>
        <v/>
      </c>
      <c r="L29" s="2" t="str">
        <f>IF(Demographics_Q_MS_EXPORT_CT="(None)","",IFERROR(INDEX(INDIRECT(IFERROR(INDEX(Cross_Tab_Questions_Options_Names,MATCH(Demographics_Q_MS_EXPORT_CT,Cross_Tab_Questions,0)),"'_Options'!$E$2:$E$2")),7),""))</f>
        <v/>
      </c>
      <c r="M29" s="2" t="str">
        <f>IF(Demographics_Q_MS_EXPORT_CT="(None)","",IFERROR(INDEX(INDIRECT(IFERROR(INDEX(Cross_Tab_Questions_Options_Names,MATCH(Demographics_Q_MS_EXPORT_CT,Cross_Tab_Questions,0)),"'_Options'!$E$2:$E$2")),8),""))</f>
        <v/>
      </c>
      <c r="N29" s="2" t="str">
        <f>IF(Demographics_Q_MS_EXPORT_CT="(None)","",IFERROR(INDEX(INDIRECT(IFERROR(INDEX(Cross_Tab_Questions_Options_Names,MATCH(Demographics_Q_MS_EXPORT_CT,Cross_Tab_Questions,0)),"'_Options'!$E$2:$E$2")),9),""))</f>
        <v/>
      </c>
      <c r="O29" s="2" t="str">
        <f>IF(Demographics_Q_MS_EXPORT_CT="(None)","",IFERROR(INDEX(INDIRECT(IFERROR(INDEX(Cross_Tab_Questions_Options_Names,MATCH(Demographics_Q_MS_EXPORT_CT,Cross_Tab_Questions,0)),"'_Options'!$E$2:$E$2")),10),""))</f>
        <v/>
      </c>
      <c r="P29" s="2" t="str">
        <f>IF(Demographics_Q_MS_EXPORT_CT="(None)","",IFERROR(INDEX(INDIRECT(IFERROR(INDEX(Cross_Tab_Questions_Options_Names,MATCH(Demographics_Q_MS_EXPORT_CT,Cross_Tab_Questions,0)),"'_Options'!$E$2:$E$2")),11),""))</f>
        <v/>
      </c>
      <c r="Q29" s="2" t="str">
        <f>IF(Demographics_Q_MS_EXPORT_CT="(None)","",IFERROR(INDEX(INDIRECT(IFERROR(INDEX(Cross_Tab_Questions_Options_Names,MATCH(Demographics_Q_MS_EXPORT_CT,Cross_Tab_Questions,0)),"'_Options'!$E$2:$E$2")),12),""))</f>
        <v/>
      </c>
      <c r="R29" s="2" t="str">
        <f>IF(Demographics_Q_MS_EXPORT_CT="(None)","",IF(COUNTA(INDIRECT(IFERROR(INDEX(Cross_Tab_Questions_Options_Names,MATCH(Demographics_Q_MS_EXPORT_CT,Cross_Tab_Questions,0)),"'_Options'!$E$2:$E$2")))-1&gt;11,"Other",IFERROR(INDEX(INDIRECT(IFERROR(INDEX(Cross_Tab_Questions_Options_Names,MATCH(Demographics_Q_MS_EXPORT_CT,Cross_Tab_Questions,0)),"'_Options'!$E$2:$E$2")),13),"")))</f>
        <v/>
      </c>
      <c r="S29" s="4" t="inlineStr">
        <is>
          <t>Total</t>
        </is>
      </c>
    </row>
    <row r="30">
      <c r="A30" t="inlineStr">
        <is>
          <t>First</t>
        </is>
      </c>
      <c r="B30">
        <f>COUNTIFS(Q_MS_EXPORTr1_data,"Selected",passes_workbook_filters_data,1,passes_workbook_custom_filters_data,1,Demographics_passes_local_filters_data,1,Demographics_Q_MS_EXPORT_F_passes_per_q_filter_data,1)</f>
        <v>5</v>
      </c>
      <c r="C30" s="7">
        <f>IFERROR(B30/SUMPRODUCT(--((--(Q_MS_EXPORTr1_data&lt;&gt;"")+--(Q_MS_EXPORTr2_data&lt;&gt;""))&gt;0),--(passes_workbook_filters_data=1),--(passes_workbook_custom_filters_data=1),--(Demographics_passes_local_filters_data=1),--(Demographics_Q_MS_EXPORT_F_passes_per_q_filter_data=1)),0)</f>
        <v>0.5</v>
      </c>
      <c r="D30" s="14">
        <f>SUMPRODUCT(--((--(Q_MS_EXPORTr1_data&lt;&gt;"")+--(Q_MS_EXPORTr2_data&lt;&gt;""))&gt;0),--(passes_workbook_filters_data=1),--(passes_workbook_custom_filters_data=1),--(Demographics_passes_local_filters_data=1),--(Demographics_Q_MS_EXPORT_F_passes_per_q_filter_data=1))</f>
        <v>10</v>
      </c>
      <c r="F30" s="4" t="inlineStr"/>
      <c r="G30" s="4" t="inlineStr">
        <is>
          <t>% selected</t>
        </is>
      </c>
      <c r="H30" s="4" t="inlineStr">
        <is>
          <t>% selected</t>
        </is>
      </c>
      <c r="I30" s="4" t="inlineStr">
        <is>
          <t>% selected</t>
        </is>
      </c>
      <c r="J30" s="4" t="inlineStr">
        <is>
          <t>% selected</t>
        </is>
      </c>
      <c r="K30" s="4" t="inlineStr">
        <is>
          <t>% selected</t>
        </is>
      </c>
      <c r="L30" s="4" t="inlineStr">
        <is>
          <t>% selected</t>
        </is>
      </c>
      <c r="M30" s="4" t="inlineStr">
        <is>
          <t>% selected</t>
        </is>
      </c>
      <c r="N30" s="4" t="inlineStr">
        <is>
          <t>% selected</t>
        </is>
      </c>
      <c r="O30" s="4" t="inlineStr">
        <is>
          <t>% selected</t>
        </is>
      </c>
      <c r="P30" s="4" t="inlineStr">
        <is>
          <t>% selected</t>
        </is>
      </c>
      <c r="Q30" s="4" t="inlineStr">
        <is>
          <t>% selected</t>
        </is>
      </c>
      <c r="R30" s="4" t="inlineStr">
        <is>
          <t>% selected</t>
        </is>
      </c>
      <c r="S30" s="4" t="inlineStr">
        <is>
          <t>% selected</t>
        </is>
      </c>
    </row>
    <row r="31">
      <c r="A31" t="inlineStr">
        <is>
          <t>Second</t>
        </is>
      </c>
      <c r="B31">
        <f>COUNTIFS(Q_MS_EXPORTr2_data,"Selected",passes_workbook_filters_data,1,passes_workbook_custom_filters_data,1,Demographics_passes_local_filters_data,1,Demographics_Q_MS_EXPORT_F_passes_per_q_filter_data,1)</f>
        <v>2</v>
      </c>
      <c r="C31" s="7">
        <f>IFERROR(B31/SUMPRODUCT(--((--(Q_MS_EXPORTr1_data&lt;&gt;"")+--(Q_MS_EXPORTr2_data&lt;&gt;""))&gt;0),--(passes_workbook_filters_data=1),--(passes_workbook_custom_filters_data=1),--(Demographics_passes_local_filters_data=1),--(Demographics_Q_MS_EXPORT_F_passes_per_q_filter_data=1)),0)</f>
        <v>0.2</v>
      </c>
      <c r="D31" s="14">
        <f>SUMPRODUCT(--((--(Q_MS_EXPORTr1_data&lt;&gt;"")+--(Q_MS_EXPORTr2_data&lt;&gt;""))&gt;0),--(passes_workbook_filters_data=1),--(passes_workbook_custom_filters_data=1),--(Demographics_passes_local_filters_data=1),--(Demographics_Q_MS_EXPORT_F_passes_per_q_filter_data=1))</f>
        <v>10</v>
      </c>
      <c r="F31" t="inlineStr">
        <is>
          <t>First</t>
        </is>
      </c>
      <c r="G31" s="7">
        <f>IF(OR(Demographics_Q_MS_EXPORT_CT="(None)",G$29=""),"",IF(G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G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G$29)),"")))</f>
        <v>0.5</v>
      </c>
      <c r="H31" s="7">
        <f>IF(OR(Demographics_Q_MS_EXPORT_CT="(None)",H$29=""),"",IF(H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H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H$29)),"")))</f>
        <v>0.5</v>
      </c>
      <c r="I31" s="7">
        <f>IF(OR(Demographics_Q_MS_EXPORT_CT="(None)",I$29=""),"",IF(I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I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I$29)),"")))</f>
        <v>0.5</v>
      </c>
      <c r="J31" s="7">
        <f>IF(OR(Demographics_Q_MS_EXPORT_CT="(None)",J$29=""),"",IF(J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J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J$29)),"")))</f>
        <v>0.5</v>
      </c>
      <c r="K31" s="7">
        <f>IF(OR(Demographics_Q_MS_EXPORT_CT="(None)",K$29=""),"",IF(K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K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K$29)),"")))</f>
        <v>0.5</v>
      </c>
      <c r="L31" s="7">
        <f>IF(OR(Demographics_Q_MS_EXPORT_CT="(None)",L$29=""),"",IF(L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L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L$29)),"")))</f>
        <v>0.5</v>
      </c>
      <c r="M31" s="7">
        <f>IF(OR(Demographics_Q_MS_EXPORT_CT="(None)",M$29=""),"",IF(M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M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M$29)),"")))</f>
        <v>0.5</v>
      </c>
      <c r="N31" s="7">
        <f>IF(OR(Demographics_Q_MS_EXPORT_CT="(None)",N$29=""),"",IF(N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N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N$29)),"")))</f>
        <v>0.5</v>
      </c>
      <c r="O31" s="7">
        <f>IF(OR(Demographics_Q_MS_EXPORT_CT="(None)",O$29=""),"",IF(O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O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O$29)),"")))</f>
        <v>0.5</v>
      </c>
      <c r="P31" s="7">
        <f>IF(OR(Demographics_Q_MS_EXPORT_CT="(None)",P$29=""),"",IF(P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P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P$29)),"")))</f>
        <v>0.5</v>
      </c>
      <c r="Q31" s="7">
        <f>IF(OR(Demographics_Q_MS_EXPORT_CT="(None)",Q$29=""),"",IF(Q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Q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Q$29)),"")))</f>
        <v>0.5</v>
      </c>
      <c r="R31" s="7">
        <f>IF(OR(Demographics_Q_MS_EXPORT_CT="(None)",R$29=""),"",IF(R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R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R$29)),"")))</f>
        <v>0.5</v>
      </c>
      <c r="S31" s="7">
        <f>IF(Demographics_Q_MS_EXPORT_CT="(None)","",IFERROR(COUNTIFS(Q_MS_EXPORTr1_data,"Selected",passes_workbook_filters_data,1,passes_workbook_custom_filters_data,1,Demographics_passes_local_filters_data,1,Demographics_Q_MS_EXPORT_F_passes_per_q_filter_data,1)/SUMPRODUCT(--((--(Q_MS_EXPORTr1_data&lt;&gt;"")+--(Q_MS_EXPORTr2_data&lt;&gt;""))&gt;0),--(passes_workbook_filters_data=1),--(passes_workbook_custom_filters_data=1),--(Demographics_passes_local_filters_data=1),--(Demographics_Q_MS_EXPORT_F_passes_per_q_filter_data=1)),""))</f>
        <v>0.5</v>
      </c>
    </row>
    <row r="32">
      <c r="A32" s="15" t="inlineStr">
        <is>
          <t>Total respondents</t>
        </is>
      </c>
      <c r="B32" s="15" t="n">
        <v>10</v>
      </c>
      <c r="C32" s="15" t="n"/>
      <c r="D32" s="15" t="n"/>
      <c r="F32" t="inlineStr">
        <is>
          <t>Second</t>
        </is>
      </c>
      <c r="G32" s="7">
        <f>IF(OR(Demographics_Q_MS_EXPORT_CT="(None)",G$29=""),"",IF(G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G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G$29)),"")))</f>
        <v>0.2</v>
      </c>
      <c r="H32" s="7">
        <f>IF(OR(Demographics_Q_MS_EXPORT_CT="(None)",H$29=""),"",IF(H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H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H$29)),"")))</f>
        <v>0.2</v>
      </c>
      <c r="I32" s="7">
        <f>IF(OR(Demographics_Q_MS_EXPORT_CT="(None)",I$29=""),"",IF(I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I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I$29)),"")))</f>
        <v>0.2</v>
      </c>
      <c r="J32" s="7">
        <f>IF(OR(Demographics_Q_MS_EXPORT_CT="(None)",J$29=""),"",IF(J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J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J$29)),"")))</f>
        <v>0.2</v>
      </c>
      <c r="K32" s="7">
        <f>IF(OR(Demographics_Q_MS_EXPORT_CT="(None)",K$29=""),"",IF(K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K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K$29)),"")))</f>
        <v>0.2</v>
      </c>
      <c r="L32" s="7">
        <f>IF(OR(Demographics_Q_MS_EXPORT_CT="(None)",L$29=""),"",IF(L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L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L$29)),"")))</f>
        <v>0.2</v>
      </c>
      <c r="M32" s="7">
        <f>IF(OR(Demographics_Q_MS_EXPORT_CT="(None)",M$29=""),"",IF(M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M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M$29)),"")))</f>
        <v>0.2</v>
      </c>
      <c r="N32" s="7">
        <f>IF(OR(Demographics_Q_MS_EXPORT_CT="(None)",N$29=""),"",IF(N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N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N$29)),"")))</f>
        <v>0.2</v>
      </c>
      <c r="O32" s="7">
        <f>IF(OR(Demographics_Q_MS_EXPORT_CT="(None)",O$29=""),"",IF(O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O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O$29)),"")))</f>
        <v>0.2</v>
      </c>
      <c r="P32" s="7">
        <f>IF(OR(Demographics_Q_MS_EXPORT_CT="(None)",P$29=""),"",IF(P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P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P$29)),"")))</f>
        <v>0.2</v>
      </c>
      <c r="Q32" s="7">
        <f>IF(OR(Demographics_Q_MS_EXPORT_CT="(None)",Q$29=""),"",IF(Q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Q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Q$29)),"")))</f>
        <v>0.2</v>
      </c>
      <c r="R32" s="7">
        <f>IF(OR(Demographics_Q_MS_EXPORT_CT="(None)",R$29=""),"",IF(R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R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R$29)),"")))</f>
        <v>0.2</v>
      </c>
      <c r="S32" s="7">
        <f>IF(Demographics_Q_MS_EXPORT_CT="(None)","",IFERROR(COUNTIFS(Q_MS_EXPORTr2_data,"Selected",passes_workbook_filters_data,1,passes_workbook_custom_filters_data,1,Demographics_passes_local_filters_data,1,Demographics_Q_MS_EXPORT_F_passes_per_q_filter_data,1)/SUMPRODUCT(--((--(Q_MS_EXPORTr1_data&lt;&gt;"")+--(Q_MS_EXPORTr2_data&lt;&gt;""))&gt;0),--(passes_workbook_filters_data=1),--(passes_workbook_custom_filters_data=1),--(Demographics_passes_local_filters_data=1),--(Demographics_Q_MS_EXPORT_F_passes_per_q_filter_data=1)),""))</f>
        <v>0.2</v>
      </c>
    </row>
    <row r="33">
      <c r="A33" s="4" t="inlineStr">
        <is>
          <t>Total responses</t>
        </is>
      </c>
      <c r="B33" s="4" t="n">
        <v>7</v>
      </c>
      <c r="C33" s="4" t="n"/>
      <c r="D33" s="4" t="n"/>
      <c r="F33" s="4" t="inlineStr">
        <is>
          <t>Total respondents</t>
        </is>
      </c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0:B3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0:C31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1:G32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1:H32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1:I3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1:J3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1:K3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1:L3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1:M3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1:N3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1:O3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1:P3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1:Q3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1:R3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=Cross_Tab_Questions</formula1>
    </dataValidation>
    <dataValidation sqref="C26" showDropDown="0" showInputMessage="0" showErrorMessage="0" allowBlank="1" type="list">
      <formula1>=All_Questions</formula1>
    </dataValidation>
    <dataValidation sqref="E26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7" showDropDown="0" showInputMessage="0" showErrorMessage="0" allowBlank="1" type="list">
      <formula1>=Cross_Tab_Questions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8" t="str">
        <f>IFERROR(INDEX(All_Questions_Value_Criteria,MATCH(All_Questions_F_Custom1_Q_resolved&amp;"|"&amp;All_Questions_F_Custom1_V_resolved,All_Questions_Value_Keys,0)),All_Questions_F_Custom1_V_resolved)</f>
        <v>(All)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10" t="str">
        <f>IFERROR(INDEX(All_Questions_Value_Criteria,MATCH(All_Questions_F_Custom2_Q_resolved&amp;"|"&amp;All_Questions_F_Custom2_V_resolved,All_Questions_Value_Keys,0)),All_Questions_F_Custom2_V_resolved)</f>
        <v>(All)</v>
      </c>
    </row>
    <row r="11"/>
    <row r="12"/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15" t="str">
        <f>"|" &amp; SUBSTITUTE(All_Questions_Q_NUM_EXPORT_F_V, ", ", "|") &amp; "|"</f>
        <v>|(All)|</v>
      </c>
      <c r="H15" t="str">
        <f>IFERROR(INDEX(All_Questions_Value_Criteria,MATCH(All_Questions_Q_NUM_EXPORT_F_Q&amp;"|"&amp;All_Questions_Q_NUM_EXPORT_F_V,All_Questions_Value_Keys,0)),All_Questions_Q_NUM_EXPORT_F_V)</f>
        <v>(All)</v>
      </c>
    </row>
    <row r="16">
      <c r="A16" s="13" t="inlineStr">
        <is>
          <t>Cross-tab by</t>
        </is>
      </c>
      <c r="C16" t="inlineStr">
        <is>
          <t>(None)</t>
        </is>
      </c>
    </row>
    <row r="17"/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 s="16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 s="16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 s="16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s="16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t="inlineStr">
        <is>
          <t>Median</t>
        </is>
      </c>
      <c r="B23" s="16" t="n">
        <v>5.5</v>
      </c>
      <c r="C23" t="inlineStr">
        <is>
          <t>static baseline</t>
        </is>
      </c>
      <c r="D23" s="14" t="n">
        <v>10</v>
      </c>
    </row>
    <row r="24"/>
    <row r="25">
      <c r="F25" s="4" t="inlineStr">
        <is>
          <t>Option</t>
        </is>
      </c>
      <c r="G25" s="2" t="str">
        <f>IF(All_Questions_Q_NUM_EXPORT_CT="(None)","",IFERROR(INDEX(INDIRECT(IFERROR(INDEX(Cross_Tab_Questions_Options_Names,MATCH(All_Questions_Q_NUM_EXPORT_CT,Cross_Tab_Questions,0)),"'_Options'!$E$2:$E$2")),2),""))</f>
        <v/>
      </c>
      <c r="H25" s="2" t="str">
        <f>IF(All_Questions_Q_NUM_EXPORT_CT="(None)","",IFERROR(INDEX(INDIRECT(IFERROR(INDEX(Cross_Tab_Questions_Options_Names,MATCH(All_Questions_Q_NUM_EXPORT_CT,Cross_Tab_Questions,0)),"'_Options'!$E$2:$E$2")),3),""))</f>
        <v/>
      </c>
      <c r="I25" s="2" t="str">
        <f>IF(All_Questions_Q_NUM_EXPORT_CT="(None)","",IFERROR(INDEX(INDIRECT(IFERROR(INDEX(Cross_Tab_Questions_Options_Names,MATCH(All_Questions_Q_NUM_EXPORT_CT,Cross_Tab_Questions,0)),"'_Options'!$E$2:$E$2")),4),""))</f>
        <v/>
      </c>
      <c r="J25" s="2" t="str">
        <f>IF(All_Questions_Q_NUM_EXPORT_CT="(None)","",IFERROR(INDEX(INDIRECT(IFERROR(INDEX(Cross_Tab_Questions_Options_Names,MATCH(All_Questions_Q_NUM_EXPORT_CT,Cross_Tab_Questions,0)),"'_Options'!$E$2:$E$2")),5),""))</f>
        <v/>
      </c>
      <c r="K25" s="2" t="str">
        <f>IF(All_Questions_Q_NUM_EXPORT_CT="(None)","",IFERROR(INDEX(INDIRECT(IFERROR(INDEX(Cross_Tab_Questions_Options_Names,MATCH(All_Questions_Q_NUM_EXPORT_CT,Cross_Tab_Questions,0)),"'_Options'!$E$2:$E$2")),6),""))</f>
        <v/>
      </c>
      <c r="L25" s="2" t="str">
        <f>IF(All_Questions_Q_NUM_EXPORT_CT="(None)","",IFERROR(INDEX(INDIRECT(IFERROR(INDEX(Cross_Tab_Questions_Options_Names,MATCH(All_Questions_Q_NUM_EXPORT_CT,Cross_Tab_Questions,0)),"'_Options'!$E$2:$E$2")),7),""))</f>
        <v/>
      </c>
      <c r="M25" s="2" t="str">
        <f>IF(All_Questions_Q_NUM_EXPORT_CT="(None)","",IFERROR(INDEX(INDIRECT(IFERROR(INDEX(Cross_Tab_Questions_Options_Names,MATCH(All_Questions_Q_NUM_EXPORT_CT,Cross_Tab_Questions,0)),"'_Options'!$E$2:$E$2")),8),""))</f>
        <v/>
      </c>
      <c r="N25" s="2" t="str">
        <f>IF(All_Questions_Q_NUM_EXPORT_CT="(None)","",IFERROR(INDEX(INDIRECT(IFERROR(INDEX(Cross_Tab_Questions_Options_Names,MATCH(All_Questions_Q_NUM_EXPORT_CT,Cross_Tab_Questions,0)),"'_Options'!$E$2:$E$2")),9),""))</f>
        <v/>
      </c>
      <c r="O2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2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2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2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25" s="4" t="inlineStr">
        <is>
          <t>Total</t>
        </is>
      </c>
    </row>
    <row r="26">
      <c r="F26" s="4" t="inlineStr"/>
      <c r="G26" s="4" t="inlineStr">
        <is>
          <t>Mean</t>
        </is>
      </c>
      <c r="H26" s="4" t="inlineStr">
        <is>
          <t>Mean</t>
        </is>
      </c>
      <c r="I26" s="4" t="inlineStr">
        <is>
          <t>Mean</t>
        </is>
      </c>
      <c r="J26" s="4" t="inlineStr">
        <is>
          <t>Mean</t>
        </is>
      </c>
      <c r="K26" s="4" t="inlineStr">
        <is>
          <t>Mean</t>
        </is>
      </c>
      <c r="L26" s="4" t="inlineStr">
        <is>
          <t>Mean</t>
        </is>
      </c>
      <c r="M26" s="4" t="inlineStr">
        <is>
          <t>Mean</t>
        </is>
      </c>
      <c r="N26" s="4" t="inlineStr">
        <is>
          <t>Mean</t>
        </is>
      </c>
      <c r="O26" s="4" t="inlineStr">
        <is>
          <t>Mean</t>
        </is>
      </c>
      <c r="P26" s="4" t="inlineStr">
        <is>
          <t>Mean</t>
        </is>
      </c>
      <c r="Q26" s="4" t="inlineStr">
        <is>
          <t>Mean</t>
        </is>
      </c>
      <c r="R26" s="4" t="inlineStr">
        <is>
          <t>Mean</t>
        </is>
      </c>
      <c r="S26" s="4" t="inlineStr">
        <is>
          <t>Mean</t>
        </is>
      </c>
    </row>
    <row r="27">
      <c r="F27" t="inlineStr">
        <is>
          <t>Numeric export question</t>
        </is>
      </c>
      <c r="G27" s="16">
        <f>IF(OR(All_Questions_Q_NUM_EXPORT_CT="(None)",G$25=""),"",IF(G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$25),"")))</f>
        <v>5.5</v>
      </c>
      <c r="H27" s="16">
        <f>IF(OR(All_Questions_Q_NUM_EXPORT_CT="(None)",H$25=""),"",IF(H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$25),"")))</f>
        <v>5.5</v>
      </c>
      <c r="I27" s="16">
        <f>IF(OR(All_Questions_Q_NUM_EXPORT_CT="(None)",I$25=""),"",IF(I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$25),"")))</f>
        <v>5.5</v>
      </c>
      <c r="J27" s="16">
        <f>IF(OR(All_Questions_Q_NUM_EXPORT_CT="(None)",J$25=""),"",IF(J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$25),"")))</f>
        <v>5.5</v>
      </c>
      <c r="K27" s="16">
        <f>IF(OR(All_Questions_Q_NUM_EXPORT_CT="(None)",K$25=""),"",IF(K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$25),"")))</f>
        <v>5.5</v>
      </c>
      <c r="L27" s="16">
        <f>IF(OR(All_Questions_Q_NUM_EXPORT_CT="(None)",L$25=""),"",IF(L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$25),"")))</f>
        <v>5.5</v>
      </c>
      <c r="M27" s="16">
        <f>IF(OR(All_Questions_Q_NUM_EXPORT_CT="(None)",M$25=""),"",IF(M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$25),"")))</f>
        <v>5.5</v>
      </c>
      <c r="N27" s="16">
        <f>IF(OR(All_Questions_Q_NUM_EXPORT_CT="(None)",N$25=""),"",IF(N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$25),"")))</f>
        <v>5.5</v>
      </c>
      <c r="O27" s="16">
        <f>IF(OR(All_Questions_Q_NUM_EXPORT_CT="(None)",O$25=""),"",IF(O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$25),"")))</f>
        <v>5.5</v>
      </c>
      <c r="P27" s="16">
        <f>IF(OR(All_Questions_Q_NUM_EXPORT_CT="(None)",P$25=""),"",IF(P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$25),"")))</f>
        <v>5.5</v>
      </c>
      <c r="Q27" s="16">
        <f>IF(OR(All_Questions_Q_NUM_EXPORT_CT="(None)",Q$25=""),"",IF(Q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$25),"")))</f>
        <v>5.5</v>
      </c>
      <c r="R27" s="16">
        <f>IF(OR(All_Questions_Q_NUM_EXPORT_CT="(None)",R$25=""),"",IF(R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$25),"")))</f>
        <v>5.5</v>
      </c>
      <c r="S2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28">
      <c r="F28" s="4" t="inlineStr">
        <is>
          <t>Total respondents</t>
        </is>
      </c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29"/>
    <row r="30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</row>
    <row r="31">
      <c r="A31" s="12" t="inlineStr">
        <is>
          <t>Q_GRID_EXPORT - Grid export question</t>
        </is>
      </c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</row>
    <row r="32">
      <c r="A32" s="13" t="inlineStr">
        <is>
          <t>Per-question filter</t>
        </is>
      </c>
      <c r="B32" t="inlineStr">
        <is>
          <t>Filter Q</t>
        </is>
      </c>
      <c r="C32" t="inlineStr">
        <is>
          <t>(None)</t>
        </is>
      </c>
      <c r="D32" t="inlineStr">
        <is>
          <t>Value</t>
        </is>
      </c>
      <c r="E32" t="inlineStr">
        <is>
          <t>(All)</t>
        </is>
      </c>
      <c r="F3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32" t="str">
        <f>"|" &amp; SUBSTITUTE(All_Questions_Q_GRID_EXPORT_F_V, ", ", "|") &amp; "|"</f>
        <v>|(All)|</v>
      </c>
      <c r="H32" t="str">
        <f>IFERROR(INDEX(All_Questions_Value_Criteria,MATCH(All_Questions_Q_GRID_EXPORT_F_Q&amp;"|"&amp;All_Questions_Q_GRID_EXPORT_F_V,All_Questions_Value_Keys,0)),All_Questions_Q_GRID_EXPORT_F_V)</f>
        <v>(All)</v>
      </c>
    </row>
    <row r="33">
      <c r="A33" s="13" t="inlineStr">
        <is>
          <t>Cross-tab by</t>
        </is>
      </c>
      <c r="C33" t="inlineStr">
        <is>
          <t>(None)</t>
        </is>
      </c>
    </row>
    <row r="34"/>
    <row r="35">
      <c r="A35" s="4" t="inlineStr">
        <is>
          <t>Sub-question ID</t>
        </is>
      </c>
      <c r="B35" s="4" t="inlineStr">
        <is>
          <t>Sub-question</t>
        </is>
      </c>
      <c r="C35" s="4" t="inlineStr">
        <is>
          <t>High</t>
        </is>
      </c>
      <c r="D35" s="2" t="n"/>
      <c r="E35" s="4" t="inlineStr">
        <is>
          <t>Low</t>
        </is>
      </c>
      <c r="F35" s="2" t="n"/>
    </row>
    <row r="36">
      <c r="A36" s="2" t="inlineStr"/>
      <c r="B36" s="2" t="inlineStr"/>
      <c r="C36" s="4" t="inlineStr">
        <is>
          <t>Count</t>
        </is>
      </c>
      <c r="D36" s="4" t="inlineStr">
        <is>
          <t>%</t>
        </is>
      </c>
      <c r="E36" s="4" t="inlineStr">
        <is>
          <t>Count</t>
        </is>
      </c>
      <c r="F36" s="4" t="inlineStr">
        <is>
          <t>%</t>
        </is>
      </c>
    </row>
    <row r="37">
      <c r="A37" s="17" t="inlineStr">
        <is>
          <t>Q_GRID_EXPORTr1</t>
        </is>
      </c>
      <c r="B37" t="inlineStr">
        <is>
          <t>Grid first row</t>
        </is>
      </c>
      <c r="C37">
        <f>COUNTIFS(Q_GRID_EXPORTr1_data,"High",passes_workbook_filters_data,1,passes_workbook_custom_filters_data,1,All_Questions_passes_local_filters_data,1,All_Questions_Q_GRID_EXPORT_F_passes_per_q_filter_data,1)</f>
        <v>6</v>
      </c>
      <c r="D37" s="7">
        <f>IFERROR(C37/10,0)</f>
        <v>0.6</v>
      </c>
      <c r="E37">
        <f>COUNTIFS(Q_GRID_EXPORTr1_data,"Low",passes_workbook_filters_data,1,passes_workbook_custom_filters_data,1,All_Questions_passes_local_filters_data,1,All_Questions_Q_GRID_EXPORT_F_passes_per_q_filter_data,1)</f>
        <v>4</v>
      </c>
      <c r="F37" s="7">
        <f>IFERROR(E37/10,0)</f>
        <v>0.4</v>
      </c>
    </row>
    <row r="38">
      <c r="A38" s="17" t="inlineStr">
        <is>
          <t>Q_GRID_EXPORTr2</t>
        </is>
      </c>
      <c r="B38" t="inlineStr">
        <is>
          <t>Grid second row</t>
        </is>
      </c>
      <c r="C38">
        <f>COUNTIFS(Q_GRID_EXPORTr2_data,"High",passes_workbook_filters_data,1,passes_workbook_custom_filters_data,1,All_Questions_passes_local_filters_data,1,All_Questions_Q_GRID_EXPORT_F_passes_per_q_filter_data,1)</f>
        <v>5</v>
      </c>
      <c r="D38" s="7">
        <f>IFERROR(C38/10,0)</f>
        <v>0.5</v>
      </c>
      <c r="E38">
        <f>COUNTIFS(Q_GRID_EXPORTr2_data,"Low",passes_workbook_filters_data,1,passes_workbook_custom_filters_data,1,All_Questions_passes_local_filters_data,1,All_Questions_Q_GRID_EXPORT_F_passes_per_q_filter_data,1)</f>
        <v>5</v>
      </c>
      <c r="F38" s="7">
        <f>IFERROR(E38/10,0)</f>
        <v>0.5</v>
      </c>
    </row>
    <row r="39">
      <c r="A39" s="15" t="inlineStr">
        <is>
          <t>Total respondents</t>
        </is>
      </c>
      <c r="B39" s="15" t="n">
        <v>10</v>
      </c>
      <c r="C39" s="15" t="n"/>
      <c r="D39" s="15" t="n"/>
      <c r="E39" s="15" t="n"/>
      <c r="F39" s="15" t="n"/>
    </row>
    <row r="40">
      <c r="A40" s="4" t="inlineStr">
        <is>
          <t>Total responses</t>
        </is>
      </c>
      <c r="B40" s="4" t="n">
        <v>20</v>
      </c>
      <c r="C40" s="4" t="n"/>
      <c r="D40" s="4" t="n"/>
      <c r="E40" s="4" t="n"/>
      <c r="F40" s="4" t="n"/>
    </row>
    <row r="41"/>
    <row r="42">
      <c r="F42" s="4" t="inlineStr">
        <is>
          <t>Option</t>
        </is>
      </c>
      <c r="G4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4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4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4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4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4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4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4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4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4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4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4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42" s="4" t="inlineStr">
        <is>
          <t>Total</t>
        </is>
      </c>
    </row>
    <row r="43">
      <c r="F43" s="4" t="inlineStr"/>
      <c r="G43" s="4" t="inlineStr">
        <is>
          <t># of resp</t>
        </is>
      </c>
      <c r="H43" s="4" t="inlineStr">
        <is>
          <t># of resp</t>
        </is>
      </c>
      <c r="I43" s="4" t="inlineStr">
        <is>
          <t># of resp</t>
        </is>
      </c>
      <c r="J43" s="4" t="inlineStr">
        <is>
          <t># of resp</t>
        </is>
      </c>
      <c r="K43" s="4" t="inlineStr">
        <is>
          <t># of resp</t>
        </is>
      </c>
      <c r="L43" s="4" t="inlineStr">
        <is>
          <t># of resp</t>
        </is>
      </c>
      <c r="M43" s="4" t="inlineStr">
        <is>
          <t># of resp</t>
        </is>
      </c>
      <c r="N43" s="4" t="inlineStr">
        <is>
          <t># of resp</t>
        </is>
      </c>
      <c r="O43" s="4" t="inlineStr">
        <is>
          <t># of resp</t>
        </is>
      </c>
      <c r="P43" s="4" t="inlineStr">
        <is>
          <t># of resp</t>
        </is>
      </c>
      <c r="Q43" s="4" t="inlineStr">
        <is>
          <t># of resp</t>
        </is>
      </c>
      <c r="R43" s="4" t="inlineStr">
        <is>
          <t># of resp</t>
        </is>
      </c>
      <c r="S43" s="4" t="inlineStr">
        <is>
          <t># of resp</t>
        </is>
      </c>
    </row>
    <row r="44">
      <c r="F44" t="inlineStr">
        <is>
          <t>Grid first row</t>
        </is>
      </c>
      <c r="G44" s="14">
        <f>IF(OR(All_Questions_Q_GRID_EXPORT_CT="(None)",G$42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$42))</f>
        <v>0</v>
      </c>
      <c r="H44" s="14">
        <f>IF(OR(All_Questions_Q_GRID_EXPORT_CT="(None)",H$42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$42))</f>
        <v>0</v>
      </c>
      <c r="I44" s="14">
        <f>IF(OR(All_Questions_Q_GRID_EXPORT_CT="(None)",I$42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$42))</f>
        <v>0</v>
      </c>
      <c r="J44" s="14">
        <f>IF(OR(All_Questions_Q_GRID_EXPORT_CT="(None)",J$42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$42))</f>
        <v>0</v>
      </c>
      <c r="K44" s="14">
        <f>IF(OR(All_Questions_Q_GRID_EXPORT_CT="(None)",K$42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$42))</f>
        <v>0</v>
      </c>
      <c r="L44" s="14">
        <f>IF(OR(All_Questions_Q_GRID_EXPORT_CT="(None)",L$42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$42))</f>
        <v>0</v>
      </c>
      <c r="M44" s="14">
        <f>IF(OR(All_Questions_Q_GRID_EXPORT_CT="(None)",M$42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$42))</f>
        <v>0</v>
      </c>
      <c r="N44" s="14">
        <f>IF(OR(All_Questions_Q_GRID_EXPORT_CT="(None)",N$42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$42))</f>
        <v>0</v>
      </c>
      <c r="O44" s="14">
        <f>IF(OR(All_Questions_Q_GRID_EXPORT_CT="(None)",O$42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$42))</f>
        <v>0</v>
      </c>
      <c r="P44" s="14">
        <f>IF(OR(All_Questions_Q_GRID_EXPORT_CT="(None)",P$42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$42))</f>
        <v>0</v>
      </c>
      <c r="Q44" s="14">
        <f>IF(OR(All_Questions_Q_GRID_EXPORT_CT="(None)",Q$42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$42))</f>
        <v>0</v>
      </c>
      <c r="R44" s="14">
        <f>IF(OR(All_Questions_Q_GRID_EXPORT_CT="(None)",R$42=""),"",IF(R$42="Other",COUNTIFS(Q_GRID_EXPORTr1_data,"Selected",passes_workbook_filters_data,1,passes_workbook_custom_filters_data,1,All_Questions_passes_local_filters_data,1,All_Questions_Q_GRID_EXPORT_F_passes_per_q_filter_data,1)-SUM(G44,H44,I44,J44,K44,L44,M44,N44,O44,P44,Q44)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$42)))</f>
        <v>0</v>
      </c>
      <c r="S4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5">
      <c r="F45" t="inlineStr">
        <is>
          <t>Grid second row</t>
        </is>
      </c>
      <c r="G45" s="14">
        <f>IF(OR(All_Questions_Q_GRID_EXPORT_CT="(None)",G$42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$42))</f>
        <v>0</v>
      </c>
      <c r="H45" s="14">
        <f>IF(OR(All_Questions_Q_GRID_EXPORT_CT="(None)",H$42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$42))</f>
        <v>0</v>
      </c>
      <c r="I45" s="14">
        <f>IF(OR(All_Questions_Q_GRID_EXPORT_CT="(None)",I$42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$42))</f>
        <v>0</v>
      </c>
      <c r="J45" s="14">
        <f>IF(OR(All_Questions_Q_GRID_EXPORT_CT="(None)",J$42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$42))</f>
        <v>0</v>
      </c>
      <c r="K45" s="14">
        <f>IF(OR(All_Questions_Q_GRID_EXPORT_CT="(None)",K$42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$42))</f>
        <v>0</v>
      </c>
      <c r="L45" s="14">
        <f>IF(OR(All_Questions_Q_GRID_EXPORT_CT="(None)",L$42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$42))</f>
        <v>0</v>
      </c>
      <c r="M45" s="14">
        <f>IF(OR(All_Questions_Q_GRID_EXPORT_CT="(None)",M$42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$42))</f>
        <v>0</v>
      </c>
      <c r="N45" s="14">
        <f>IF(OR(All_Questions_Q_GRID_EXPORT_CT="(None)",N$42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$42))</f>
        <v>0</v>
      </c>
      <c r="O45" s="14">
        <f>IF(OR(All_Questions_Q_GRID_EXPORT_CT="(None)",O$42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$42))</f>
        <v>0</v>
      </c>
      <c r="P45" s="14">
        <f>IF(OR(All_Questions_Q_GRID_EXPORT_CT="(None)",P$42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$42))</f>
        <v>0</v>
      </c>
      <c r="Q45" s="14">
        <f>IF(OR(All_Questions_Q_GRID_EXPORT_CT="(None)",Q$42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$42))</f>
        <v>0</v>
      </c>
      <c r="R45" s="14">
        <f>IF(OR(All_Questions_Q_GRID_EXPORT_CT="(None)",R$42=""),"",IF(R$42="Other",COUNTIFS(Q_GRID_EXPORTr2_data,"Selected",passes_workbook_filters_data,1,passes_workbook_custom_filters_data,1,All_Questions_passes_local_filters_data,1,All_Questions_Q_GRID_EXPORT_F_passes_per_q_filter_data,1)-SUM(G45,H45,I45,J45,K45,L45,M45,N45,O45,P45,Q45)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$42)))</f>
        <v>0</v>
      </c>
      <c r="S4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6">
      <c r="F46" s="4" t="inlineStr">
        <is>
          <t>Total respondents</t>
        </is>
      </c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7"/>
    <row r="48">
      <c r="A48" s="11" t="n"/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</row>
    <row r="49">
      <c r="A49" s="12" t="inlineStr">
        <is>
          <t>Q_VERY_LONG_SINGLE_SELECT_EXPORT_NAME - Long sheet name export question</t>
        </is>
      </c>
      <c r="B49" s="12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</row>
    <row r="50">
      <c r="A50" s="13" t="inlineStr">
        <is>
          <t>Per-question filter</t>
        </is>
      </c>
      <c r="B50" t="inlineStr">
        <is>
          <t>Filter Q</t>
        </is>
      </c>
      <c r="C50" t="inlineStr">
        <is>
          <t>(None)</t>
        </is>
      </c>
      <c r="D50" t="inlineStr">
        <is>
          <t>Value</t>
        </is>
      </c>
      <c r="E50" t="inlineStr">
        <is>
          <t>(All)</t>
        </is>
      </c>
      <c r="F5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50" t="str">
        <f>"|" &amp; SUBSTITUTE(All_Questions_Q_VERY_LONG_SINGLE_SELECT_EXPORT_NAME_F_V, ", ", "|") &amp; "|"</f>
        <v>|(All)|</v>
      </c>
      <c r="H5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51">
      <c r="A51" s="13" t="inlineStr">
        <is>
          <t>Cross-tab by</t>
        </is>
      </c>
      <c r="C51" t="inlineStr">
        <is>
          <t>(None)</t>
        </is>
      </c>
    </row>
    <row r="52"/>
    <row r="53">
      <c r="A53" s="4" t="inlineStr">
        <is>
          <t>Option</t>
        </is>
      </c>
      <c r="B53" s="4" t="inlineStr">
        <is>
          <t>Count</t>
        </is>
      </c>
      <c r="C53" s="4" t="inlineStr">
        <is>
          <t>%</t>
        </is>
      </c>
      <c r="D53" s="4" t="inlineStr">
        <is>
          <t>Denominator</t>
        </is>
      </c>
      <c r="F53" s="4" t="inlineStr">
        <is>
          <t>Option</t>
        </is>
      </c>
      <c r="G5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5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5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5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5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5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5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5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5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5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5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5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53" s="4" t="inlineStr">
        <is>
          <t>Total</t>
        </is>
      </c>
    </row>
    <row r="54">
      <c r="A54" t="inlineStr">
        <is>
          <t>A</t>
        </is>
      </c>
      <c r="B5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4" s="7">
        <f>IFERROR(B54/SUBTOTAL(9,B54:B55),0)</f>
        <v>0.7</v>
      </c>
      <c r="D54" s="14">
        <f>SUBTOTAL(9,B54:B55)</f>
        <v>10</v>
      </c>
      <c r="F54" s="4" t="inlineStr"/>
      <c r="G54" s="4" t="inlineStr">
        <is>
          <t># of resp</t>
        </is>
      </c>
      <c r="H54" s="4" t="inlineStr">
        <is>
          <t># of resp</t>
        </is>
      </c>
      <c r="I54" s="4" t="inlineStr">
        <is>
          <t># of resp</t>
        </is>
      </c>
      <c r="J54" s="4" t="inlineStr">
        <is>
          <t># of resp</t>
        </is>
      </c>
      <c r="K54" s="4" t="inlineStr">
        <is>
          <t># of resp</t>
        </is>
      </c>
      <c r="L54" s="4" t="inlineStr">
        <is>
          <t># of resp</t>
        </is>
      </c>
      <c r="M54" s="4" t="inlineStr">
        <is>
          <t># of resp</t>
        </is>
      </c>
      <c r="N54" s="4" t="inlineStr">
        <is>
          <t># of resp</t>
        </is>
      </c>
      <c r="O54" s="4" t="inlineStr">
        <is>
          <t># of resp</t>
        </is>
      </c>
      <c r="P54" s="4" t="inlineStr">
        <is>
          <t># of resp</t>
        </is>
      </c>
      <c r="Q54" s="4" t="inlineStr">
        <is>
          <t># of resp</t>
        </is>
      </c>
      <c r="R54" s="4" t="inlineStr">
        <is>
          <t># of resp</t>
        </is>
      </c>
      <c r="S54" s="4" t="inlineStr">
        <is>
          <t># of resp</t>
        </is>
      </c>
    </row>
    <row r="55">
      <c r="A55" t="inlineStr">
        <is>
          <t>B</t>
        </is>
      </c>
      <c r="B5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5" s="7">
        <f>IFERROR(B55/SUBTOTAL(9,B54:B55),0)</f>
        <v>0.3</v>
      </c>
      <c r="D55" s="14">
        <f>SUBTOTAL(9,B54:B55)</f>
        <v>10</v>
      </c>
      <c r="F55" t="inlineStr">
        <is>
          <t>A</t>
        </is>
      </c>
      <c r="G55" s="14">
        <f>IF(OR(All_Questions_Q_VERY_LONG_SINGLE_SELECT_EXPORT_NAME_CT="(None)",G$53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$53))</f>
        <v>0</v>
      </c>
      <c r="H55" s="14">
        <f>IF(OR(All_Questions_Q_VERY_LONG_SINGLE_SELECT_EXPORT_NAME_CT="(None)",H$53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$53))</f>
        <v>0</v>
      </c>
      <c r="I55" s="14">
        <f>IF(OR(All_Questions_Q_VERY_LONG_SINGLE_SELECT_EXPORT_NAME_CT="(None)",I$53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$53))</f>
        <v>0</v>
      </c>
      <c r="J55" s="14">
        <f>IF(OR(All_Questions_Q_VERY_LONG_SINGLE_SELECT_EXPORT_NAME_CT="(None)",J$53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$53))</f>
        <v>0</v>
      </c>
      <c r="K55" s="14">
        <f>IF(OR(All_Questions_Q_VERY_LONG_SINGLE_SELECT_EXPORT_NAME_CT="(None)",K$53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$53))</f>
        <v>0</v>
      </c>
      <c r="L55" s="14">
        <f>IF(OR(All_Questions_Q_VERY_LONG_SINGLE_SELECT_EXPORT_NAME_CT="(None)",L$53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$53))</f>
        <v>0</v>
      </c>
      <c r="M55" s="14">
        <f>IF(OR(All_Questions_Q_VERY_LONG_SINGLE_SELECT_EXPORT_NAME_CT="(None)",M$53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$53))</f>
        <v>0</v>
      </c>
      <c r="N55" s="14">
        <f>IF(OR(All_Questions_Q_VERY_LONG_SINGLE_SELECT_EXPORT_NAME_CT="(None)",N$53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$53))</f>
        <v>0</v>
      </c>
      <c r="O55" s="14">
        <f>IF(OR(All_Questions_Q_VERY_LONG_SINGLE_SELECT_EXPORT_NAME_CT="(None)",O$53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$53))</f>
        <v>0</v>
      </c>
      <c r="P55" s="14">
        <f>IF(OR(All_Questions_Q_VERY_LONG_SINGLE_SELECT_EXPORT_NAME_CT="(None)",P$53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$53))</f>
        <v>0</v>
      </c>
      <c r="Q55" s="14">
        <f>IF(OR(All_Questions_Q_VERY_LONG_SINGLE_SELECT_EXPORT_NAME_CT="(None)",Q$53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$53))</f>
        <v>0</v>
      </c>
      <c r="R55" s="14">
        <f>IF(OR(All_Questions_Q_VERY_LONG_SINGLE_SELECT_EXPORT_NAME_CT="(None)",R$53=""),"",IF(R$53="Other",COUNTIFS(Q_VERY_LONG_SINGLE_SELECT_EXPOR_data,"A",passes_workbook_filters_data,1,passes_workbook_custom_filters_data,1,All_Questions_passes_local_filters_data,1,All_Questions_Q_VERY_LONG_SINGLE_SELECT_EXPORT_NAME_F_passes_per_q_filter_data,1)-SUM(G55,H55,I55,J55,K55,L55,M55,N55,O55,P55,Q55)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$53)))</f>
        <v>0</v>
      </c>
      <c r="S5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6">
      <c r="A56" s="15" t="inlineStr">
        <is>
          <t>Total respondents</t>
        </is>
      </c>
      <c r="B56" s="15" t="n">
        <v>10</v>
      </c>
      <c r="C56" s="15" t="n"/>
      <c r="D56" s="15" t="n"/>
      <c r="F56" t="inlineStr">
        <is>
          <t>B</t>
        </is>
      </c>
      <c r="G56" s="14">
        <f>IF(OR(All_Questions_Q_VERY_LONG_SINGLE_SELECT_EXPORT_NAME_CT="(None)",G$53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$53))</f>
        <v>0</v>
      </c>
      <c r="H56" s="14">
        <f>IF(OR(All_Questions_Q_VERY_LONG_SINGLE_SELECT_EXPORT_NAME_CT="(None)",H$53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$53))</f>
        <v>0</v>
      </c>
      <c r="I56" s="14">
        <f>IF(OR(All_Questions_Q_VERY_LONG_SINGLE_SELECT_EXPORT_NAME_CT="(None)",I$53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$53))</f>
        <v>0</v>
      </c>
      <c r="J56" s="14">
        <f>IF(OR(All_Questions_Q_VERY_LONG_SINGLE_SELECT_EXPORT_NAME_CT="(None)",J$53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$53))</f>
        <v>0</v>
      </c>
      <c r="K56" s="14">
        <f>IF(OR(All_Questions_Q_VERY_LONG_SINGLE_SELECT_EXPORT_NAME_CT="(None)",K$53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$53))</f>
        <v>0</v>
      </c>
      <c r="L56" s="14">
        <f>IF(OR(All_Questions_Q_VERY_LONG_SINGLE_SELECT_EXPORT_NAME_CT="(None)",L$53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$53))</f>
        <v>0</v>
      </c>
      <c r="M56" s="14">
        <f>IF(OR(All_Questions_Q_VERY_LONG_SINGLE_SELECT_EXPORT_NAME_CT="(None)",M$53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$53))</f>
        <v>0</v>
      </c>
      <c r="N56" s="14">
        <f>IF(OR(All_Questions_Q_VERY_LONG_SINGLE_SELECT_EXPORT_NAME_CT="(None)",N$53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$53))</f>
        <v>0</v>
      </c>
      <c r="O56" s="14">
        <f>IF(OR(All_Questions_Q_VERY_LONG_SINGLE_SELECT_EXPORT_NAME_CT="(None)",O$53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$53))</f>
        <v>0</v>
      </c>
      <c r="P56" s="14">
        <f>IF(OR(All_Questions_Q_VERY_LONG_SINGLE_SELECT_EXPORT_NAME_CT="(None)",P$53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$53))</f>
        <v>0</v>
      </c>
      <c r="Q56" s="14">
        <f>IF(OR(All_Questions_Q_VERY_LONG_SINGLE_SELECT_EXPORT_NAME_CT="(None)",Q$53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$53))</f>
        <v>0</v>
      </c>
      <c r="R56" s="14">
        <f>IF(OR(All_Questions_Q_VERY_LONG_SINGLE_SELECT_EXPORT_NAME_CT="(None)",R$53=""),"",IF(R$53="Other",COUNTIFS(Q_VERY_LONG_SINGLE_SELECT_EXPOR_data,"B",passes_workbook_filters_data,1,passes_workbook_custom_filters_data,1,All_Questions_passes_local_filters_data,1,All_Questions_Q_VERY_LONG_SINGLE_SELECT_EXPORT_NAME_F_passes_per_q_filter_data,1)-SUM(G56,H56,I56,J56,K56,L56,M56,N56,O56,P56,Q56)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$53)))</f>
        <v>0</v>
      </c>
      <c r="S5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7">
      <c r="F57" s="4" t="inlineStr">
        <is>
          <t>Total respondents</t>
        </is>
      </c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35:F35"/>
    <mergeCell ref="A1:J1"/>
    <mergeCell ref="C35:D35"/>
  </mergeCells>
  <conditionalFormatting sqref="G2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7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7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7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7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7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7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7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7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7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7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37:D38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37:F38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4:G45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4:H45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4:I45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4:J45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4:K4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4:L4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4:M4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4:N4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4:O4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4:P4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4:Q4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4:R4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4:B5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4:C5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5:G56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5:H56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5:I56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5:J56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5:K56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5:L56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5:M56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5:N56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5:O56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5:P56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5:Q56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5:R56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=Cross_Tab_Questions</formula1>
    </dataValidation>
    <dataValidation sqref="C32" showDropDown="0" showInputMessage="0" showErrorMessage="0" allowBlank="1" type="list">
      <formula1>=All_Questions</formula1>
    </dataValidation>
    <dataValidation sqref="E3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3" showDropDown="0" showInputMessage="0" showErrorMessage="0" allowBlank="1" type="list">
      <formula1>=Cross_Tab_Questions</formula1>
    </dataValidation>
    <dataValidation sqref="C50" showDropDown="0" showInputMessage="0" showErrorMessage="0" allowBlank="1" type="list">
      <formula1>=All_Questions</formula1>
    </dataValidation>
    <dataValidation sqref="E5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1" showDropDown="0" showInputMessage="0" showErrorMessage="0" allowBlank="1" type="list">
      <formula1>=Cross_Tab_Questions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Demographics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Demographics_Q_MS_EXPORT_CT = G$29</t>
        </is>
      </c>
      <c r="H9">
        <f>IF(OR(Demographics_Q_MS_EXPORT_CT="(None)",G$29=""),"",IF(G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G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G$29)),"")))</f>
        <v>0</v>
      </c>
      <c r="I9" t="n">
        <v>0.5</v>
      </c>
      <c r="J9" t="n">
        <v>0</v>
      </c>
      <c r="K9" t="n">
        <v>0</v>
      </c>
      <c r="L9" t="inlineStr">
        <is>
          <t>2026-06-08T13:46:25.807594+00:00</t>
        </is>
      </c>
    </row>
    <row r="10">
      <c r="A10" t="inlineStr">
        <is>
          <t>Demographics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Demographics_Q_MS_EXPORT_CT = H$29</t>
        </is>
      </c>
      <c r="H10">
        <f>IF(OR(Demographics_Q_MS_EXPORT_CT="(None)",H$29=""),"",IF(H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H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H$29)),"")))</f>
        <v>0</v>
      </c>
      <c r="I10" t="n">
        <v>0.5</v>
      </c>
      <c r="J10" t="n">
        <v>0</v>
      </c>
      <c r="K10" t="n">
        <v>0</v>
      </c>
      <c r="L10" t="inlineStr">
        <is>
          <t>2026-06-08T13:46:25.807654+00:00</t>
        </is>
      </c>
    </row>
    <row r="11">
      <c r="A11" t="inlineStr">
        <is>
          <t>Demographics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Demographics_Q_MS_EXPORT_CT = I$29</t>
        </is>
      </c>
      <c r="H11">
        <f>IF(OR(Demographics_Q_MS_EXPORT_CT="(None)",I$29=""),"",IF(I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I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I$29)),"")))</f>
        <v>0</v>
      </c>
      <c r="I11" t="n">
        <v>0.5</v>
      </c>
      <c r="J11" t="n">
        <v>0</v>
      </c>
      <c r="K11" t="n">
        <v>0</v>
      </c>
      <c r="L11" t="inlineStr">
        <is>
          <t>2026-06-08T13:46:25.807703+00:00</t>
        </is>
      </c>
    </row>
    <row r="12">
      <c r="A12" t="inlineStr">
        <is>
          <t>Demographics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Demographics_Q_MS_EXPORT_CT = J$29</t>
        </is>
      </c>
      <c r="H12">
        <f>IF(OR(Demographics_Q_MS_EXPORT_CT="(None)",J$29=""),"",IF(J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J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J$29)),"")))</f>
        <v>0</v>
      </c>
      <c r="I12" t="n">
        <v>0.5</v>
      </c>
      <c r="J12" t="n">
        <v>0</v>
      </c>
      <c r="K12" t="n">
        <v>0</v>
      </c>
      <c r="L12" t="inlineStr">
        <is>
          <t>2026-06-08T13:46:25.807744+00:00</t>
        </is>
      </c>
    </row>
    <row r="13">
      <c r="A13" t="inlineStr">
        <is>
          <t>Demographics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Demographics_Q_MS_EXPORT_CT = K$29</t>
        </is>
      </c>
      <c r="H13">
        <f>IF(OR(Demographics_Q_MS_EXPORT_CT="(None)",K$29=""),"",IF(K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K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K$29)),"")))</f>
        <v>0</v>
      </c>
      <c r="I13" t="n">
        <v>0.5</v>
      </c>
      <c r="J13" t="n">
        <v>0</v>
      </c>
      <c r="K13" t="n">
        <v>0</v>
      </c>
      <c r="L13" t="inlineStr">
        <is>
          <t>2026-06-08T13:46:25.807799+00:00</t>
        </is>
      </c>
    </row>
    <row r="14">
      <c r="A14" t="inlineStr">
        <is>
          <t>Demographics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Demographics_Q_MS_EXPORT_CT = L$29</t>
        </is>
      </c>
      <c r="H14">
        <f>IF(OR(Demographics_Q_MS_EXPORT_CT="(None)",L$29=""),"",IF(L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L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L$29)),"")))</f>
        <v>0</v>
      </c>
      <c r="I14" t="n">
        <v>0.5</v>
      </c>
      <c r="J14" t="n">
        <v>0</v>
      </c>
      <c r="K14" t="n">
        <v>0</v>
      </c>
      <c r="L14" t="inlineStr">
        <is>
          <t>2026-06-08T13:46:25.807854+00:00</t>
        </is>
      </c>
    </row>
    <row r="15">
      <c r="A15" t="inlineStr">
        <is>
          <t>Demographics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Demographics_Q_MS_EXPORT_CT = M$29</t>
        </is>
      </c>
      <c r="H15">
        <f>IF(OR(Demographics_Q_MS_EXPORT_CT="(None)",M$29=""),"",IF(M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M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M$29)),"")))</f>
        <v>0</v>
      </c>
      <c r="I15" t="n">
        <v>0.5</v>
      </c>
      <c r="J15" t="n">
        <v>0</v>
      </c>
      <c r="K15" t="n">
        <v>0</v>
      </c>
      <c r="L15" t="inlineStr">
        <is>
          <t>2026-06-08T13:46:25.807904+00:00</t>
        </is>
      </c>
    </row>
    <row r="16">
      <c r="A16" t="inlineStr">
        <is>
          <t>Demographics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Demographics_Q_MS_EXPORT_CT = N$29</t>
        </is>
      </c>
      <c r="H16">
        <f>IF(OR(Demographics_Q_MS_EXPORT_CT="(None)",N$29=""),"",IF(N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N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N$29)),"")))</f>
        <v>0</v>
      </c>
      <c r="I16" t="n">
        <v>0.5</v>
      </c>
      <c r="J16" t="n">
        <v>0</v>
      </c>
      <c r="K16" t="n">
        <v>0</v>
      </c>
      <c r="L16" t="inlineStr">
        <is>
          <t>2026-06-08T13:46:25.807994+00:00</t>
        </is>
      </c>
    </row>
    <row r="17">
      <c r="A17" t="inlineStr">
        <is>
          <t>Demographics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Demographics_Q_MS_EXPORT_CT = O$29</t>
        </is>
      </c>
      <c r="H17">
        <f>IF(OR(Demographics_Q_MS_EXPORT_CT="(None)",O$29=""),"",IF(O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O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O$29)),"")))</f>
        <v>0</v>
      </c>
      <c r="I17" t="n">
        <v>0.5</v>
      </c>
      <c r="J17" t="n">
        <v>0</v>
      </c>
      <c r="K17" t="n">
        <v>0</v>
      </c>
      <c r="L17" t="inlineStr">
        <is>
          <t>2026-06-08T13:46:25.808059+00:00</t>
        </is>
      </c>
    </row>
    <row r="18">
      <c r="A18" t="inlineStr">
        <is>
          <t>Demographics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Demographics_Q_MS_EXPORT_CT = P$29</t>
        </is>
      </c>
      <c r="H18">
        <f>IF(OR(Demographics_Q_MS_EXPORT_CT="(None)",P$29=""),"",IF(P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P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P$29)),"")))</f>
        <v>0</v>
      </c>
      <c r="I18" t="n">
        <v>0.5</v>
      </c>
      <c r="J18" t="n">
        <v>0</v>
      </c>
      <c r="K18" t="n">
        <v>0</v>
      </c>
      <c r="L18" t="inlineStr">
        <is>
          <t>2026-06-08T13:46:25.808116+00:00</t>
        </is>
      </c>
    </row>
    <row r="19">
      <c r="A19" t="inlineStr">
        <is>
          <t>Demographics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Demographics_Q_MS_EXPORT_CT = Q$29</t>
        </is>
      </c>
      <c r="H19">
        <f>IF(OR(Demographics_Q_MS_EXPORT_CT="(None)",Q$29=""),"",IF(Q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Q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Q$29)),"")))</f>
        <v>0</v>
      </c>
      <c r="I19" t="n">
        <v>0.5</v>
      </c>
      <c r="J19" t="n">
        <v>0</v>
      </c>
      <c r="K19" t="n">
        <v>0</v>
      </c>
      <c r="L19" t="inlineStr">
        <is>
          <t>2026-06-08T13:46:25.808170+00:00</t>
        </is>
      </c>
    </row>
    <row r="20">
      <c r="A20" t="inlineStr">
        <is>
          <t>Demographics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Demographics_Q_MS_EXPORT_CT = R$29</t>
        </is>
      </c>
      <c r="H20">
        <f>IF(OR(Demographics_Q_MS_EXPORT_CT="(None)",R$29=""),"",IF(R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R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R$29)),"")))</f>
        <v>0</v>
      </c>
      <c r="I20" t="n">
        <v>0.5</v>
      </c>
      <c r="J20" t="n">
        <v>0</v>
      </c>
      <c r="K20" t="n">
        <v>0</v>
      </c>
      <c r="L20" t="inlineStr">
        <is>
          <t>2026-06-08T13:46:25.808243+00:00</t>
        </is>
      </c>
    </row>
    <row r="21">
      <c r="A21" t="inlineStr">
        <is>
          <t>Demographics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Demographics_Q_MS_EXPORT_CT = G$29</t>
        </is>
      </c>
      <c r="H21">
        <f>IF(OR(Demographics_Q_MS_EXPORT_CT="(None)",G$29=""),"",IF(G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G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G$29)),"")))</f>
        <v>0</v>
      </c>
      <c r="I21" t="n">
        <v>0.2</v>
      </c>
      <c r="J21" t="n">
        <v>0</v>
      </c>
      <c r="K21" t="n">
        <v>0</v>
      </c>
      <c r="L21" t="inlineStr">
        <is>
          <t>2026-06-08T13:46:25.808387+00:00</t>
        </is>
      </c>
    </row>
    <row r="22">
      <c r="A22" t="inlineStr">
        <is>
          <t>Demographics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Demographics_Q_MS_EXPORT_CT = H$29</t>
        </is>
      </c>
      <c r="H22">
        <f>IF(OR(Demographics_Q_MS_EXPORT_CT="(None)",H$29=""),"",IF(H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H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H$29)),"")))</f>
        <v>0</v>
      </c>
      <c r="I22" t="n">
        <v>0.2</v>
      </c>
      <c r="J22" t="n">
        <v>0</v>
      </c>
      <c r="K22" t="n">
        <v>0</v>
      </c>
      <c r="L22" t="inlineStr">
        <is>
          <t>2026-06-08T13:46:25.808432+00:00</t>
        </is>
      </c>
    </row>
    <row r="23">
      <c r="A23" t="inlineStr">
        <is>
          <t>Demographics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Demographics_Q_MS_EXPORT_CT = I$29</t>
        </is>
      </c>
      <c r="H23">
        <f>IF(OR(Demographics_Q_MS_EXPORT_CT="(None)",I$29=""),"",IF(I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I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I$29)),"")))</f>
        <v>0</v>
      </c>
      <c r="I23" t="n">
        <v>0.2</v>
      </c>
      <c r="J23" t="n">
        <v>0</v>
      </c>
      <c r="K23" t="n">
        <v>0</v>
      </c>
      <c r="L23" t="inlineStr">
        <is>
          <t>2026-06-08T13:46:25.808472+00:00</t>
        </is>
      </c>
    </row>
    <row r="24">
      <c r="A24" t="inlineStr">
        <is>
          <t>Demographics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Demographics_Q_MS_EXPORT_CT = J$29</t>
        </is>
      </c>
      <c r="H24">
        <f>IF(OR(Demographics_Q_MS_EXPORT_CT="(None)",J$29=""),"",IF(J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J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J$29)),"")))</f>
        <v>0</v>
      </c>
      <c r="I24" t="n">
        <v>0.2</v>
      </c>
      <c r="J24" t="n">
        <v>0</v>
      </c>
      <c r="K24" t="n">
        <v>0</v>
      </c>
      <c r="L24" t="inlineStr">
        <is>
          <t>2026-06-08T13:46:25.808513+00:00</t>
        </is>
      </c>
    </row>
    <row r="25">
      <c r="A25" t="inlineStr">
        <is>
          <t>Demographics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Demographics_Q_MS_EXPORT_CT = K$29</t>
        </is>
      </c>
      <c r="H25">
        <f>IF(OR(Demographics_Q_MS_EXPORT_CT="(None)",K$29=""),"",IF(K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K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K$29)),"")))</f>
        <v>0</v>
      </c>
      <c r="I25" t="n">
        <v>0.2</v>
      </c>
      <c r="J25" t="n">
        <v>0</v>
      </c>
      <c r="K25" t="n">
        <v>0</v>
      </c>
      <c r="L25" t="inlineStr">
        <is>
          <t>2026-06-08T13:46:25.808551+00:00</t>
        </is>
      </c>
    </row>
    <row r="26">
      <c r="A26" t="inlineStr">
        <is>
          <t>Demographics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Demographics_Q_MS_EXPORT_CT = L$29</t>
        </is>
      </c>
      <c r="H26">
        <f>IF(OR(Demographics_Q_MS_EXPORT_CT="(None)",L$29=""),"",IF(L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L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L$29)),"")))</f>
        <v>0</v>
      </c>
      <c r="I26" t="n">
        <v>0.2</v>
      </c>
      <c r="J26" t="n">
        <v>0</v>
      </c>
      <c r="K26" t="n">
        <v>0</v>
      </c>
      <c r="L26" t="inlineStr">
        <is>
          <t>2026-06-08T13:46:25.808589+00:00</t>
        </is>
      </c>
    </row>
    <row r="27">
      <c r="A27" t="inlineStr">
        <is>
          <t>Demographics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Demographics_Q_MS_EXPORT_CT = M$29</t>
        </is>
      </c>
      <c r="H27">
        <f>IF(OR(Demographics_Q_MS_EXPORT_CT="(None)",M$29=""),"",IF(M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M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M$29)),"")))</f>
        <v>0</v>
      </c>
      <c r="I27" t="n">
        <v>0.2</v>
      </c>
      <c r="J27" t="n">
        <v>0</v>
      </c>
      <c r="K27" t="n">
        <v>0</v>
      </c>
      <c r="L27" t="inlineStr">
        <is>
          <t>2026-06-08T13:46:25.808629+00:00</t>
        </is>
      </c>
    </row>
    <row r="28">
      <c r="A28" t="inlineStr">
        <is>
          <t>Demographics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Demographics_Q_MS_EXPORT_CT = N$29</t>
        </is>
      </c>
      <c r="H28">
        <f>IF(OR(Demographics_Q_MS_EXPORT_CT="(None)",N$29=""),"",IF(N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N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N$29)),"")))</f>
        <v>0</v>
      </c>
      <c r="I28" t="n">
        <v>0.2</v>
      </c>
      <c r="J28" t="n">
        <v>0</v>
      </c>
      <c r="K28" t="n">
        <v>0</v>
      </c>
      <c r="L28" t="inlineStr">
        <is>
          <t>2026-06-08T13:46:25.808667+00:00</t>
        </is>
      </c>
    </row>
    <row r="29">
      <c r="A29" t="inlineStr">
        <is>
          <t>Demographics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Demographics_Q_MS_EXPORT_CT = O$29</t>
        </is>
      </c>
      <c r="H29">
        <f>IF(OR(Demographics_Q_MS_EXPORT_CT="(None)",O$29=""),"",IF(O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O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O$29)),"")))</f>
        <v>0</v>
      </c>
      <c r="I29" t="n">
        <v>0.2</v>
      </c>
      <c r="J29" t="n">
        <v>0</v>
      </c>
      <c r="K29" t="n">
        <v>0</v>
      </c>
      <c r="L29" t="inlineStr">
        <is>
          <t>2026-06-08T13:46:25.808706+00:00</t>
        </is>
      </c>
    </row>
    <row r="30">
      <c r="A30" t="inlineStr">
        <is>
          <t>Demographics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Demographics_Q_MS_EXPORT_CT = P$29</t>
        </is>
      </c>
      <c r="H30">
        <f>IF(OR(Demographics_Q_MS_EXPORT_CT="(None)",P$29=""),"",IF(P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P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P$29)),"")))</f>
        <v>0</v>
      </c>
      <c r="I30" t="n">
        <v>0.2</v>
      </c>
      <c r="J30" t="n">
        <v>0</v>
      </c>
      <c r="K30" t="n">
        <v>0</v>
      </c>
      <c r="L30" t="inlineStr">
        <is>
          <t>2026-06-08T13:46:25.808744+00:00</t>
        </is>
      </c>
    </row>
    <row r="31">
      <c r="A31" t="inlineStr">
        <is>
          <t>Demographics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Demographics_Q_MS_EXPORT_CT = Q$29</t>
        </is>
      </c>
      <c r="H31">
        <f>IF(OR(Demographics_Q_MS_EXPORT_CT="(None)",Q$29=""),"",IF(Q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Q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Q$29)),"")))</f>
        <v>0</v>
      </c>
      <c r="I31" t="n">
        <v>0.2</v>
      </c>
      <c r="J31" t="n">
        <v>0</v>
      </c>
      <c r="K31" t="n">
        <v>0</v>
      </c>
      <c r="L31" t="inlineStr">
        <is>
          <t>2026-06-08T13:46:25.809527+00:00</t>
        </is>
      </c>
    </row>
    <row r="32">
      <c r="A32" t="inlineStr">
        <is>
          <t>Demographics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Demographics_Q_MS_EXPORT_CT = R$29</t>
        </is>
      </c>
      <c r="H32">
        <f>IF(OR(Demographics_Q_MS_EXPORT_CT="(None)",R$29=""),"",IF(R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R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R$29)),"")))</f>
        <v>0</v>
      </c>
      <c r="I32" t="n">
        <v>0.2</v>
      </c>
      <c r="J32" t="n">
        <v>0</v>
      </c>
      <c r="K32" t="n">
        <v>0</v>
      </c>
      <c r="L32" t="inlineStr">
        <is>
          <t>2026-06-08T13:46:25.809598+00:00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G$25</t>
        </is>
      </c>
      <c r="H33">
        <f>IF(OR(All_Questions_Q_NUM_EXPORT_CT="(None)",G$25=""),"",IF(G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$25),"")))</f>
        <v>0</v>
      </c>
      <c r="I33" t="n">
        <v>5.5</v>
      </c>
      <c r="J33" t="n">
        <v>0</v>
      </c>
      <c r="K33" t="n">
        <v>0</v>
      </c>
      <c r="L33" t="inlineStr">
        <is>
          <t>2026-06-08T13:46:25.816908+00:00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H$25</t>
        </is>
      </c>
      <c r="H34">
        <f>IF(OR(All_Questions_Q_NUM_EXPORT_CT="(None)",H$25=""),"",IF(H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$25),"")))</f>
        <v>0</v>
      </c>
      <c r="I34" t="n">
        <v>5.5</v>
      </c>
      <c r="J34" t="n">
        <v>0</v>
      </c>
      <c r="K34" t="n">
        <v>0</v>
      </c>
      <c r="L34" t="inlineStr">
        <is>
          <t>2026-06-08T13:46:25.816974+00:00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I$25</t>
        </is>
      </c>
      <c r="H35">
        <f>IF(OR(All_Questions_Q_NUM_EXPORT_CT="(None)",I$25=""),"",IF(I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$25),"")))</f>
        <v>0</v>
      </c>
      <c r="I35" t="n">
        <v>5.5</v>
      </c>
      <c r="J35" t="n">
        <v>0</v>
      </c>
      <c r="K35" t="n">
        <v>0</v>
      </c>
      <c r="L35" t="inlineStr">
        <is>
          <t>2026-06-08T13:46:25.817010+00:00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J$25</t>
        </is>
      </c>
      <c r="H36">
        <f>IF(OR(All_Questions_Q_NUM_EXPORT_CT="(None)",J$25=""),"",IF(J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$25),"")))</f>
        <v>0</v>
      </c>
      <c r="I36" t="n">
        <v>5.5</v>
      </c>
      <c r="J36" t="n">
        <v>0</v>
      </c>
      <c r="K36" t="n">
        <v>0</v>
      </c>
      <c r="L36" t="inlineStr">
        <is>
          <t>2026-06-08T13:46:25.817040+00:00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K$25</t>
        </is>
      </c>
      <c r="H37">
        <f>IF(OR(All_Questions_Q_NUM_EXPORT_CT="(None)",K$25=""),"",IF(K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$25),"")))</f>
        <v>0</v>
      </c>
      <c r="I37" t="n">
        <v>5.5</v>
      </c>
      <c r="J37" t="n">
        <v>0</v>
      </c>
      <c r="K37" t="n">
        <v>0</v>
      </c>
      <c r="L37" t="inlineStr">
        <is>
          <t>2026-06-08T13:46:25.817068+00:00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L$25</t>
        </is>
      </c>
      <c r="H38">
        <f>IF(OR(All_Questions_Q_NUM_EXPORT_CT="(None)",L$25=""),"",IF(L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$25),"")))</f>
        <v>0</v>
      </c>
      <c r="I38" t="n">
        <v>5.5</v>
      </c>
      <c r="J38" t="n">
        <v>0</v>
      </c>
      <c r="K38" t="n">
        <v>0</v>
      </c>
      <c r="L38" t="inlineStr">
        <is>
          <t>2026-06-08T13:46:25.817095+00:00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M$25</t>
        </is>
      </c>
      <c r="H39">
        <f>IF(OR(All_Questions_Q_NUM_EXPORT_CT="(None)",M$25=""),"",IF(M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$25),"")))</f>
        <v>0</v>
      </c>
      <c r="I39" t="n">
        <v>5.5</v>
      </c>
      <c r="J39" t="n">
        <v>0</v>
      </c>
      <c r="K39" t="n">
        <v>0</v>
      </c>
      <c r="L39" t="inlineStr">
        <is>
          <t>2026-06-08T13:46:25.817122+00:00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N$25</t>
        </is>
      </c>
      <c r="H40">
        <f>IF(OR(All_Questions_Q_NUM_EXPORT_CT="(None)",N$25=""),"",IF(N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$25),"")))</f>
        <v>0</v>
      </c>
      <c r="I40" t="n">
        <v>5.5</v>
      </c>
      <c r="J40" t="n">
        <v>0</v>
      </c>
      <c r="K40" t="n">
        <v>0</v>
      </c>
      <c r="L40" t="inlineStr">
        <is>
          <t>2026-06-08T13:46:25.817148+00:00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O$25</t>
        </is>
      </c>
      <c r="H41">
        <f>IF(OR(All_Questions_Q_NUM_EXPORT_CT="(None)",O$25=""),"",IF(O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$25),"")))</f>
        <v>0</v>
      </c>
      <c r="I41" t="n">
        <v>5.5</v>
      </c>
      <c r="J41" t="n">
        <v>0</v>
      </c>
      <c r="K41" t="n">
        <v>0</v>
      </c>
      <c r="L41" t="inlineStr">
        <is>
          <t>2026-06-08T13:46:25.817175+00:00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P$25</t>
        </is>
      </c>
      <c r="H42">
        <f>IF(OR(All_Questions_Q_NUM_EXPORT_CT="(None)",P$25=""),"",IF(P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$25),"")))</f>
        <v>0</v>
      </c>
      <c r="I42" t="n">
        <v>5.5</v>
      </c>
      <c r="J42" t="n">
        <v>0</v>
      </c>
      <c r="K42" t="n">
        <v>0</v>
      </c>
      <c r="L42" t="inlineStr">
        <is>
          <t>2026-06-08T13:46:25.817201+00:00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Q$25</t>
        </is>
      </c>
      <c r="H43">
        <f>IF(OR(All_Questions_Q_NUM_EXPORT_CT="(None)",Q$25=""),"",IF(Q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$25),"")))</f>
        <v>0</v>
      </c>
      <c r="I43" t="n">
        <v>5.5</v>
      </c>
      <c r="J43" t="n">
        <v>0</v>
      </c>
      <c r="K43" t="n">
        <v>0</v>
      </c>
      <c r="L43" t="inlineStr">
        <is>
          <t>2026-06-08T13:46:25.817227+00:00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R$25</t>
        </is>
      </c>
      <c r="H44">
        <f>IF(OR(All_Questions_Q_NUM_EXPORT_CT="(None)",R$25=""),"",IF(R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$25),"")))</f>
        <v>0</v>
      </c>
      <c r="I44" t="n">
        <v>5.5</v>
      </c>
      <c r="J44" t="n">
        <v>0</v>
      </c>
      <c r="K44" t="n">
        <v>0</v>
      </c>
      <c r="L44" t="inlineStr">
        <is>
          <t>2026-06-08T13:46:25.817283+00:00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2026-06-08T13:46:25Z</dcterms:created>
  <dcterms:modified xmlns:dcterms="http://purl.org/dc/terms/" xmlns:xsi="http://www.w3.org/2001/XMLSchema-instance" xsi:type="dcterms:W3CDTF">2026-06-08T13:46:25Z</dcterms:modified>
</cp:coreProperties>
</file>