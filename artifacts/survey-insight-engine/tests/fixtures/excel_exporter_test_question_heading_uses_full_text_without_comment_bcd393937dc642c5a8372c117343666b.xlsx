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'_RawData'!$A$2:$A$5</definedName>
    <definedName name="Q7_data">'_RawData'!$B$2:$B$5</definedName>
    <definedName name="All_Questions">'_Options'!$A$2:$A$3</definedName>
    <definedName name="All_Questions_Local">'_Options'!$B$2:$B$4</definedName>
    <definedName name="All_Questions_Data_Names">'_Options'!$C$2:$C$3</definedName>
    <definedName name="All_Questions_Options_Names">'_Options'!$D$2:$D$3</definedName>
    <definedName name="None_options">'_Options'!$E$2:$E$2</definedName>
    <definedName name="Q7_options">'_Options'!$F$2:$F$4</definedName>
    <definedName name="Q7_local_options">'_Options'!$G$2:$G$5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'_RawData'!$C$2:$C$5</definedName>
    <definedName name="F_Custom1_match_data">'_RawData'!$D$2:$D$5</definedName>
    <definedName name="F_Custom2_match_data">'_RawData'!$E$2:$E$5</definedName>
    <definedName name="passes_workbook_custom_filters_data">'_RawData'!$F$2:$F$5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'_RawData'!$G$2:$G$5</definedName>
    <definedName name="All_Questions_Q7_F_Q">'All Questions'!$C$13</definedName>
    <definedName name="All_Questions_Q7_F_V">'All Questions'!$E$13</definedName>
    <definedName name="All_Questions_Q7_F_resolved_column">'All Questions'!$F$13</definedName>
    <definedName name="All_Questions_Q7_F_wrapped">'All Questions'!$G$13</definedName>
    <definedName name="All_Questions_Q7_F_passes_per_q_filter_data">'_RawData'!$H$2:$H$5</definedName>
    <definedName name="All_Questions_Q7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C2" i="1"/>
  <c r="D2" i="1"/>
  <c r="E2" i="1"/>
  <c r="F2" i="1"/>
  <c r="G2" i="1"/>
  <c r="H2" i="1"/>
  <c r="C3" i="1"/>
  <c r="D3" i="1"/>
  <c r="E3" i="1"/>
  <c r="F3" i="1"/>
  <c r="G3" i="1"/>
  <c r="H3" i="1"/>
  <c r="C4" i="1"/>
  <c r="D4" i="1"/>
  <c r="E4" i="1"/>
  <c r="F4" i="1"/>
  <c r="G4" i="1"/>
  <c r="H4" i="1"/>
  <c r="C5" i="1"/>
  <c r="D5" i="1"/>
  <c r="E5" i="1"/>
  <c r="F5" i="1"/>
  <c r="G5" i="1"/>
  <c r="H5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I16" i="7"/>
  <c r="K16" i="7"/>
  <c r="M16" i="7"/>
  <c r="O16" i="7"/>
  <c r="Q16" i="7"/>
  <c r="S16" i="7"/>
  <c r="U16" i="7"/>
  <c r="W16" i="7"/>
  <c r="Y16" i="7"/>
  <c r="AA16" i="7"/>
  <c r="AC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T18" i="7"/>
  <c r="U18" i="7"/>
  <c r="V18" i="7"/>
  <c r="W18" i="7"/>
  <c r="X18" i="7"/>
  <c r="Y18" i="7"/>
  <c r="Z18" i="7"/>
  <c r="AA18" i="7"/>
  <c r="AB18" i="7"/>
  <c r="AC18" i="7"/>
  <c r="AD18" i="7"/>
  <c r="AE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T19" i="7"/>
  <c r="U19" i="7"/>
  <c r="V19" i="7"/>
  <c r="W19" i="7"/>
  <c r="X19" i="7"/>
  <c r="Y19" i="7"/>
  <c r="Z19" i="7"/>
  <c r="AA19" i="7"/>
  <c r="AB19" i="7"/>
  <c r="AC19" i="7"/>
  <c r="AD19" i="7"/>
  <c r="AE19" i="7"/>
  <c r="AE20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Q7</t>
        </is>
      </c>
      <c r="C1" t="inlineStr">
        <is>
          <t>passes_workbook_filters</t>
        </is>
      </c>
      <c r="D1" t="inlineStr">
        <is>
          <t>F_Custom1_match</t>
        </is>
      </c>
      <c r="E1" t="inlineStr">
        <is>
          <t>F_Custom2_match</t>
        </is>
      </c>
      <c r="F1" t="inlineStr">
        <is>
          <t>passes_workbook_custom_filters</t>
        </is>
      </c>
      <c r="G1" t="inlineStr">
        <is>
          <t>All_Questions_passes_local_filters</t>
        </is>
      </c>
      <c r="H1" t="inlineStr">
        <is>
          <t>All_Questions_Q7_F_passes_per_q_filter</t>
        </is>
      </c>
    </row>
    <row r="2">
      <c r="A2" t="n">
        <v>1</v>
      </c>
      <c r="B2" t="inlineStr">
        <is>
          <t>Executive</t>
        </is>
      </c>
      <c r="C2">
        <f>1</f>
        <v>1</v>
      </c>
      <c r="D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E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F2">
        <f>D2*E2*1</f>
        <v>1</v>
      </c>
      <c r="G2">
        <f>1</f>
        <v>1</v>
      </c>
      <c r="H2">
        <f>IF(OR(All_Questions_Q7_F_Q="(None)",All_Questions_Q7_F_Q="",ISBLANK(All_Questions_Q7_F_Q),All_Questions_Q7_F_V="(All)",All_Questions_Q7_F_V="",ISBLANK(All_Questions_Q7_F_V)),1,IFERROR(IF(ISNUMBER(SEARCH("|"&amp;INDEX(INDIRECT(All_Questions_Q7_F_resolved_column),1)&amp;"|",All_Questions_Q7_F_wrapped)),1,0),0))</f>
        <v>1</v>
      </c>
    </row>
    <row r="3">
      <c r="A3" t="n">
        <v>2</v>
      </c>
      <c r="B3" t="inlineStr">
        <is>
          <t>Manager</t>
        </is>
      </c>
      <c r="C3">
        <f>1</f>
        <v>1</v>
      </c>
      <c r="D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E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F3">
        <f>D3*E3*1</f>
        <v>1</v>
      </c>
      <c r="G3">
        <f>1</f>
        <v>1</v>
      </c>
      <c r="H3">
        <f>IF(OR(All_Questions_Q7_F_Q="(None)",All_Questions_Q7_F_Q="",ISBLANK(All_Questions_Q7_F_Q),All_Questions_Q7_F_V="(All)",All_Questions_Q7_F_V="",ISBLANK(All_Questions_Q7_F_V)),1,IFERROR(IF(ISNUMBER(SEARCH("|"&amp;INDEX(INDIRECT(All_Questions_Q7_F_resolved_column),2)&amp;"|",All_Questions_Q7_F_wrapped)),1,0),0))</f>
        <v>1</v>
      </c>
    </row>
    <row r="4">
      <c r="A4" t="n">
        <v>3</v>
      </c>
      <c r="B4" t="inlineStr">
        <is>
          <t>Manager</t>
        </is>
      </c>
      <c r="C4">
        <f>1</f>
        <v>1</v>
      </c>
      <c r="D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E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F4">
        <f>D4*E4*1</f>
        <v>1</v>
      </c>
      <c r="G4">
        <f>1</f>
        <v>1</v>
      </c>
      <c r="H4">
        <f>IF(OR(All_Questions_Q7_F_Q="(None)",All_Questions_Q7_F_Q="",ISBLANK(All_Questions_Q7_F_Q),All_Questions_Q7_F_V="(All)",All_Questions_Q7_F_V="",ISBLANK(All_Questions_Q7_F_V)),1,IFERROR(IF(ISNUMBER(SEARCH("|"&amp;INDEX(INDIRECT(All_Questions_Q7_F_resolved_column),3)&amp;"|",All_Questions_Q7_F_wrapped)),1,0),0))</f>
        <v>1</v>
      </c>
    </row>
    <row r="5">
      <c r="A5" t="n">
        <v>4</v>
      </c>
      <c r="B5" t="inlineStr">
        <is>
          <t>Manager</t>
        </is>
      </c>
      <c r="C5">
        <f>1</f>
        <v>1</v>
      </c>
      <c r="D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E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F5">
        <f>D5*E5*1</f>
        <v>1</v>
      </c>
      <c r="G5">
        <f>1</f>
        <v>1</v>
      </c>
      <c r="H5">
        <f>IF(OR(All_Questions_Q7_F_Q="(None)",All_Questions_Q7_F_Q="",ISBLANK(All_Questions_Q7_F_Q),All_Questions_Q7_F_V="(All)",All_Questions_Q7_F_V="",ISBLANK(All_Questions_Q7_F_V)),1,IFERROR(IF(ISNUMBER(SEARCH("|"&amp;INDEX(INDIRECT(All_Questions_Q7_F_resolved_column),4)&amp;"|",All_Questions_Q7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Q7_options</t>
        </is>
      </c>
      <c r="G1" t="inlineStr">
        <is>
          <t>Q7_local_options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respondent_id_data</t>
        </is>
      </c>
      <c r="D2" t="inlineStr">
        <is>
          <t>None_options</t>
        </is>
      </c>
      <c r="E2" t="inlineStr">
        <is>
          <t>(All)</t>
        </is>
      </c>
      <c r="F2" t="inlineStr">
        <is>
          <t>(All)</t>
        </is>
      </c>
      <c r="G2" t="inlineStr">
        <is>
          <t>(Inherit)</t>
        </is>
      </c>
    </row>
    <row r="3">
      <c r="A3" t="inlineStr">
        <is>
          <t>Q7 - Seniority</t>
        </is>
      </c>
      <c r="B3" t="inlineStr">
        <is>
          <t>(None)</t>
        </is>
      </c>
      <c r="C3" t="inlineStr">
        <is>
          <t>Q7_data</t>
        </is>
      </c>
      <c r="D3" t="inlineStr">
        <is>
          <t>Q7_options</t>
        </is>
      </c>
      <c r="F3" t="inlineStr">
        <is>
          <t>Manager</t>
        </is>
      </c>
      <c r="G3" t="inlineStr">
        <is>
          <t>(All)</t>
        </is>
      </c>
    </row>
    <row r="4">
      <c r="B4" t="inlineStr">
        <is>
          <t>Q7 - Seniority</t>
        </is>
      </c>
      <c r="F4" t="inlineStr">
        <is>
          <t>Executive</t>
        </is>
      </c>
      <c r="G4" t="inlineStr">
        <is>
          <t>Manager</t>
        </is>
      </c>
    </row>
    <row r="5">
      <c r="G5" t="inlineStr">
        <is>
          <t>Executive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XLOOKUP(F_Custom1_Q,All_Questions,All_Questions_Data_Names,"respondent_id_data")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XLOOKUP(F_Custom2_Q,All_Questions,All_Questions_Data_Names,"respondent_id_data")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=INDIRECT(XLOOKUP(F_Custom1_Q,All_Questions,All_Questions_Options_Names,"None_options"))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=INDIRECT(XLOOKUP(F_Custom2_Q,All_Questions,All_Questions_Options_Names,"None_options"))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4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60" customWidth="1" min="3" max="3"/>
    <col width="15" customWidth="1" min="4" max="4"/>
    <col width="13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[Q7]</t>
        </is>
      </c>
      <c r="B2" t="inlineStr">
        <is>
          <t>Q7</t>
        </is>
      </c>
      <c r="C2" t="inlineStr">
        <is>
          <t>Q7 - Which of the following best describes your current seniority within your organization?</t>
        </is>
      </c>
      <c r="D2" t="inlineStr">
        <is>
          <t>SINGLE_SELECT</t>
        </is>
      </c>
      <c r="E2" t="inlineStr">
        <is>
          <t>Q7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15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Q7</t>
        </is>
      </c>
      <c r="B2" t="inlineStr">
        <is>
          <t>Q7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4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E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XLOOKUP(All_Questions_F_Custom1_Q_resolved,All_Questions,All_Questions_Data_Names,"respondent_id_data")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XLOOKUP(All_Questions_F_Custom2_Q_resolved,All_Questions,All_Questions_Data_Names,"respondent_id_data")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Q7 - Which of the following best describes your current seniority within your organization?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XLOOKUP(All_Questions_Q7_F_Q,All_Questions,All_Questions_Data_Names,"respondent_id_data")</f>
        <v>respondent_id_data</v>
      </c>
      <c r="G13" t="str">
        <f>"|" &amp; SUBSTITUTE(All_Questions_Q7_F_V,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IF(All_Questions_Q7_CT="(None)","",IFERROR(INDEX(INDIRECT(XLOOKUP(All_Questions_Q7_CT,All_Questions,All_Questions_Options_Names,"None_options")),2),""))</f>
        <v/>
      </c>
      <c r="H16" s="2" t="n"/>
      <c r="I16" s="2" t="str">
        <f>IF(All_Questions_Q7_CT="(None)","",IFERROR(INDEX(INDIRECT(XLOOKUP(All_Questions_Q7_CT,All_Questions,All_Questions_Options_Names,"None_options")),3),""))</f>
        <v/>
      </c>
      <c r="J16" s="2" t="n"/>
      <c r="K16" s="2" t="str">
        <f>IF(All_Questions_Q7_CT="(None)","",IFERROR(INDEX(INDIRECT(XLOOKUP(All_Questions_Q7_CT,All_Questions,All_Questions_Options_Names,"None_options")),4),""))</f>
        <v/>
      </c>
      <c r="L16" s="2" t="n"/>
      <c r="M16" s="2" t="str">
        <f>IF(All_Questions_Q7_CT="(None)","",IFERROR(INDEX(INDIRECT(XLOOKUP(All_Questions_Q7_CT,All_Questions,All_Questions_Options_Names,"None_options")),5),""))</f>
        <v/>
      </c>
      <c r="N16" s="2" t="n"/>
      <c r="O16" s="2" t="str">
        <f>IF(All_Questions_Q7_CT="(None)","",IFERROR(INDEX(INDIRECT(XLOOKUP(All_Questions_Q7_CT,All_Questions,All_Questions_Options_Names,"None_options")),6),""))</f>
        <v/>
      </c>
      <c r="P16" s="2" t="n"/>
      <c r="Q16" s="2" t="str">
        <f>IF(All_Questions_Q7_CT="(None)","",IFERROR(INDEX(INDIRECT(XLOOKUP(All_Questions_Q7_CT,All_Questions,All_Questions_Options_Names,"None_options")),7),""))</f>
        <v/>
      </c>
      <c r="R16" s="2" t="n"/>
      <c r="S16" s="2" t="str">
        <f>IF(All_Questions_Q7_CT="(None)","",IFERROR(INDEX(INDIRECT(XLOOKUP(All_Questions_Q7_CT,All_Questions,All_Questions_Options_Names,"None_options")),8),""))</f>
        <v/>
      </c>
      <c r="T16" s="2" t="n"/>
      <c r="U16" s="2" t="str">
        <f>IF(All_Questions_Q7_CT="(None)","",IFERROR(INDEX(INDIRECT(XLOOKUP(All_Questions_Q7_CT,All_Questions,All_Questions_Options_Names,"None_options")),9),""))</f>
        <v/>
      </c>
      <c r="V16" s="2" t="n"/>
      <c r="W16" s="2" t="str">
        <f>IF(All_Questions_Q7_CT="(None)","",IFERROR(INDEX(INDIRECT(XLOOKUP(All_Questions_Q7_CT,All_Questions,All_Questions_Options_Names,"None_options")),10),""))</f>
        <v/>
      </c>
      <c r="X16" s="2" t="n"/>
      <c r="Y16" s="2" t="str">
        <f>IF(All_Questions_Q7_CT="(None)","",IFERROR(INDEX(INDIRECT(XLOOKUP(All_Questions_Q7_CT,All_Questions,All_Questions_Options_Names,"None_options")),11),""))</f>
        <v/>
      </c>
      <c r="Z16" s="2" t="n"/>
      <c r="AA16" s="2" t="str">
        <f>IF(All_Questions_Q7_CT="(None)","",IFERROR(INDEX(INDIRECT(XLOOKUP(All_Questions_Q7_CT,All_Questions,All_Questions_Options_Names,"None_options")),12),""))</f>
        <v/>
      </c>
      <c r="AB16" s="2" t="n"/>
      <c r="AC16" s="2" t="str">
        <f>IF(All_Questions_Q7_CT="(None)","",IF(COUNTA(INDIRECT(XLOOKUP(All_Questions_Q7_CT,All_Questions,All_Questions_Options_Names,"None_options")))-1&gt;11,"Other",IFERROR(INDEX(INDIRECT(XLOOKUP(All_Questions_Q7_CT,All_Questions,All_Questions_Options_Names,"None_options")),13),"")))</f>
        <v/>
      </c>
      <c r="AD16" s="2" t="n"/>
      <c r="AE16" s="4" t="inlineStr">
        <is>
          <t>Total</t>
        </is>
      </c>
    </row>
    <row r="17">
      <c r="A17" t="inlineStr">
        <is>
          <t>Manager</t>
        </is>
      </c>
      <c r="B17">
        <f>COUNTIFS(Q7_data,"Manager",passes_workbook_filters_data,1,passes_workbook_custom_filters_data,1,All_Questions_passes_local_filters_data,1,All_Questions_Q7_F_passes_per_q_filter_data,1)</f>
        <v>3</v>
      </c>
      <c r="C17" s="7">
        <f>IFERROR(B17/SUBTOTAL(9,B17:B18),0)</f>
        <v>0.75</v>
      </c>
      <c r="D17" s="14">
        <f>SUBTOTAL(9,B17:B18)</f>
        <v>4</v>
      </c>
      <c r="F17" s="4" t="inlineStr"/>
      <c r="G17" s="4" t="inlineStr">
        <is>
          <t># of resp</t>
        </is>
      </c>
      <c r="H17" s="4" t="inlineStr">
        <is>
          <t>% of resp</t>
        </is>
      </c>
      <c r="I17" s="4" t="inlineStr">
        <is>
          <t># of resp</t>
        </is>
      </c>
      <c r="J17" s="4" t="inlineStr">
        <is>
          <t>% of resp</t>
        </is>
      </c>
      <c r="K17" s="4" t="inlineStr">
        <is>
          <t># of resp</t>
        </is>
      </c>
      <c r="L17" s="4" t="inlineStr">
        <is>
          <t>% of resp</t>
        </is>
      </c>
      <c r="M17" s="4" t="inlineStr">
        <is>
          <t># of resp</t>
        </is>
      </c>
      <c r="N17" s="4" t="inlineStr">
        <is>
          <t>% of resp</t>
        </is>
      </c>
      <c r="O17" s="4" t="inlineStr">
        <is>
          <t># of resp</t>
        </is>
      </c>
      <c r="P17" s="4" t="inlineStr">
        <is>
          <t>% of resp</t>
        </is>
      </c>
      <c r="Q17" s="4" t="inlineStr">
        <is>
          <t># of resp</t>
        </is>
      </c>
      <c r="R17" s="4" t="inlineStr">
        <is>
          <t>% of resp</t>
        </is>
      </c>
      <c r="S17" s="4" t="inlineStr">
        <is>
          <t># of resp</t>
        </is>
      </c>
      <c r="T17" s="4" t="inlineStr">
        <is>
          <t>% of resp</t>
        </is>
      </c>
      <c r="U17" s="4" t="inlineStr">
        <is>
          <t># of resp</t>
        </is>
      </c>
      <c r="V17" s="4" t="inlineStr">
        <is>
          <t>% of resp</t>
        </is>
      </c>
      <c r="W17" s="4" t="inlineStr">
        <is>
          <t># of resp</t>
        </is>
      </c>
      <c r="X17" s="4" t="inlineStr">
        <is>
          <t>% of resp</t>
        </is>
      </c>
      <c r="Y17" s="4" t="inlineStr">
        <is>
          <t># of resp</t>
        </is>
      </c>
      <c r="Z17" s="4" t="inlineStr">
        <is>
          <t>% of resp</t>
        </is>
      </c>
      <c r="AA17" s="4" t="inlineStr">
        <is>
          <t># of resp</t>
        </is>
      </c>
      <c r="AB17" s="4" t="inlineStr">
        <is>
          <t>% of resp</t>
        </is>
      </c>
      <c r="AC17" s="4" t="inlineStr">
        <is>
          <t># of resp</t>
        </is>
      </c>
      <c r="AD17" s="4" t="inlineStr">
        <is>
          <t>% of resp</t>
        </is>
      </c>
      <c r="AE17" s="4" t="inlineStr">
        <is>
          <t># of resp</t>
        </is>
      </c>
    </row>
    <row r="18">
      <c r="A18" t="inlineStr">
        <is>
          <t>Executive</t>
        </is>
      </c>
      <c r="B18">
        <f>COUNTIFS(Q7_data,"Executive",passes_workbook_filters_data,1,passes_workbook_custom_filters_data,1,All_Questions_passes_local_filters_data,1,All_Questions_Q7_F_passes_per_q_filter_data,1)</f>
        <v>1</v>
      </c>
      <c r="C18" s="7">
        <f>IFERROR(B18/SUBTOTAL(9,B17:B18),0)</f>
        <v>0.25</v>
      </c>
      <c r="D18" s="14">
        <f>SUBTOTAL(9,B17:B18)</f>
        <v>4</v>
      </c>
      <c r="F18" t="inlineStr">
        <is>
          <t>Manager</t>
        </is>
      </c>
      <c r="G18">
        <f>IF(OR(All_Questions_Q7_CT="(None)",G$16=""),"",COUNTIFS(Q7_data,"Manager",passes_workbook_filters_data,1,passes_workbook_custom_filters_data,1,All_Questions_passes_local_filters_data,1,All_Questions_Q7_F_passes_per_q_filter_data,1,INDIRECT(XLOOKUP(All_Questions_Q7_CT,All_Questions,All_Questions_Data_Names,"respondent_id_data")),G$16))</f>
        <v>0</v>
      </c>
      <c r="H18" s="7">
        <f>IFERROR(G18/(COUNTIFS(respondent_id_data,"&lt;&gt;",passes_workbook_filters_data,1,passes_workbook_custom_filters_data,1,All_Questions_passes_local_filters_data,1,All_Questions_Q7_F_passes_per_q_filter_data,1,INDIRECT(XLOOKUP(All_Questions_Q7_CT,All_Questions,All_Questions_Data_Names,"respondent_id_data")),G$16)),0)</f>
        <v>0</v>
      </c>
      <c r="I18">
        <f>IF(OR(All_Questions_Q7_CT="(None)",I$16=""),"",COUNTIFS(Q7_data,"Manager",passes_workbook_filters_data,1,passes_workbook_custom_filters_data,1,All_Questions_passes_local_filters_data,1,All_Questions_Q7_F_passes_per_q_filter_data,1,INDIRECT(XLOOKUP(All_Questions_Q7_CT,All_Questions,All_Questions_Data_Names,"respondent_id_data")),I$16))</f>
        <v>0</v>
      </c>
      <c r="J18" s="7">
        <f>IFERROR(I18/(COUNTIFS(respondent_id_data,"&lt;&gt;",passes_workbook_filters_data,1,passes_workbook_custom_filters_data,1,All_Questions_passes_local_filters_data,1,All_Questions_Q7_F_passes_per_q_filter_data,1,INDIRECT(XLOOKUP(All_Questions_Q7_CT,All_Questions,All_Questions_Data_Names,"respondent_id_data")),I$16)),0)</f>
        <v>0</v>
      </c>
      <c r="K18">
        <f>IF(OR(All_Questions_Q7_CT="(None)",K$16=""),"",COUNTIFS(Q7_data,"Manager",passes_workbook_filters_data,1,passes_workbook_custom_filters_data,1,All_Questions_passes_local_filters_data,1,All_Questions_Q7_F_passes_per_q_filter_data,1,INDIRECT(XLOOKUP(All_Questions_Q7_CT,All_Questions,All_Questions_Data_Names,"respondent_id_data")),K$16))</f>
        <v>0</v>
      </c>
      <c r="L18" s="7">
        <f>IFERROR(K18/(COUNTIFS(respondent_id_data,"&lt;&gt;",passes_workbook_filters_data,1,passes_workbook_custom_filters_data,1,All_Questions_passes_local_filters_data,1,All_Questions_Q7_F_passes_per_q_filter_data,1,INDIRECT(XLOOKUP(All_Questions_Q7_CT,All_Questions,All_Questions_Data_Names,"respondent_id_data")),K$16)),0)</f>
        <v>0</v>
      </c>
      <c r="M18">
        <f>IF(OR(All_Questions_Q7_CT="(None)",M$16=""),"",COUNTIFS(Q7_data,"Manager",passes_workbook_filters_data,1,passes_workbook_custom_filters_data,1,All_Questions_passes_local_filters_data,1,All_Questions_Q7_F_passes_per_q_filter_data,1,INDIRECT(XLOOKUP(All_Questions_Q7_CT,All_Questions,All_Questions_Data_Names,"respondent_id_data")),M$16))</f>
        <v>0</v>
      </c>
      <c r="N18" s="7">
        <f>IFERROR(M18/(COUNTIFS(respondent_id_data,"&lt;&gt;",passes_workbook_filters_data,1,passes_workbook_custom_filters_data,1,All_Questions_passes_local_filters_data,1,All_Questions_Q7_F_passes_per_q_filter_data,1,INDIRECT(XLOOKUP(All_Questions_Q7_CT,All_Questions,All_Questions_Data_Names,"respondent_id_data")),M$16)),0)</f>
        <v>0</v>
      </c>
      <c r="O18">
        <f>IF(OR(All_Questions_Q7_CT="(None)",O$16=""),"",COUNTIFS(Q7_data,"Manager",passes_workbook_filters_data,1,passes_workbook_custom_filters_data,1,All_Questions_passes_local_filters_data,1,All_Questions_Q7_F_passes_per_q_filter_data,1,INDIRECT(XLOOKUP(All_Questions_Q7_CT,All_Questions,All_Questions_Data_Names,"respondent_id_data")),O$16))</f>
        <v>0</v>
      </c>
      <c r="P18" s="7">
        <f>IFERROR(O18/(COUNTIFS(respondent_id_data,"&lt;&gt;",passes_workbook_filters_data,1,passes_workbook_custom_filters_data,1,All_Questions_passes_local_filters_data,1,All_Questions_Q7_F_passes_per_q_filter_data,1,INDIRECT(XLOOKUP(All_Questions_Q7_CT,All_Questions,All_Questions_Data_Names,"respondent_id_data")),O$16)),0)</f>
        <v>0</v>
      </c>
      <c r="Q18">
        <f>IF(OR(All_Questions_Q7_CT="(None)",Q$16=""),"",COUNTIFS(Q7_data,"Manager",passes_workbook_filters_data,1,passes_workbook_custom_filters_data,1,All_Questions_passes_local_filters_data,1,All_Questions_Q7_F_passes_per_q_filter_data,1,INDIRECT(XLOOKUP(All_Questions_Q7_CT,All_Questions,All_Questions_Data_Names,"respondent_id_data")),Q$16))</f>
        <v>0</v>
      </c>
      <c r="R18" s="7">
        <f>IFERROR(Q18/(COUNTIFS(respondent_id_data,"&lt;&gt;",passes_workbook_filters_data,1,passes_workbook_custom_filters_data,1,All_Questions_passes_local_filters_data,1,All_Questions_Q7_F_passes_per_q_filter_data,1,INDIRECT(XLOOKUP(All_Questions_Q7_CT,All_Questions,All_Questions_Data_Names,"respondent_id_data")),Q$16)),0)</f>
        <v>0</v>
      </c>
      <c r="S18">
        <f>IF(OR(All_Questions_Q7_CT="(None)",S$16=""),"",COUNTIFS(Q7_data,"Manager",passes_workbook_filters_data,1,passes_workbook_custom_filters_data,1,All_Questions_passes_local_filters_data,1,All_Questions_Q7_F_passes_per_q_filter_data,1,INDIRECT(XLOOKUP(All_Questions_Q7_CT,All_Questions,All_Questions_Data_Names,"respondent_id_data")),S$16))</f>
        <v>0</v>
      </c>
      <c r="T18" s="7">
        <f>IFERROR(S18/(COUNTIFS(respondent_id_data,"&lt;&gt;",passes_workbook_filters_data,1,passes_workbook_custom_filters_data,1,All_Questions_passes_local_filters_data,1,All_Questions_Q7_F_passes_per_q_filter_data,1,INDIRECT(XLOOKUP(All_Questions_Q7_CT,All_Questions,All_Questions_Data_Names,"respondent_id_data")),S$16)),0)</f>
        <v>0</v>
      </c>
      <c r="U18">
        <f>IF(OR(All_Questions_Q7_CT="(None)",U$16=""),"",COUNTIFS(Q7_data,"Manager",passes_workbook_filters_data,1,passes_workbook_custom_filters_data,1,All_Questions_passes_local_filters_data,1,All_Questions_Q7_F_passes_per_q_filter_data,1,INDIRECT(XLOOKUP(All_Questions_Q7_CT,All_Questions,All_Questions_Data_Names,"respondent_id_data")),U$16))</f>
        <v>0</v>
      </c>
      <c r="V18" s="7">
        <f>IFERROR(U18/(COUNTIFS(respondent_id_data,"&lt;&gt;",passes_workbook_filters_data,1,passes_workbook_custom_filters_data,1,All_Questions_passes_local_filters_data,1,All_Questions_Q7_F_passes_per_q_filter_data,1,INDIRECT(XLOOKUP(All_Questions_Q7_CT,All_Questions,All_Questions_Data_Names,"respondent_id_data")),U$16)),0)</f>
        <v>0</v>
      </c>
      <c r="W18">
        <f>IF(OR(All_Questions_Q7_CT="(None)",W$16=""),"",COUNTIFS(Q7_data,"Manager",passes_workbook_filters_data,1,passes_workbook_custom_filters_data,1,All_Questions_passes_local_filters_data,1,All_Questions_Q7_F_passes_per_q_filter_data,1,INDIRECT(XLOOKUP(All_Questions_Q7_CT,All_Questions,All_Questions_Data_Names,"respondent_id_data")),W$16))</f>
        <v>0</v>
      </c>
      <c r="X18" s="7">
        <f>IFERROR(W18/(COUNTIFS(respondent_id_data,"&lt;&gt;",passes_workbook_filters_data,1,passes_workbook_custom_filters_data,1,All_Questions_passes_local_filters_data,1,All_Questions_Q7_F_passes_per_q_filter_data,1,INDIRECT(XLOOKUP(All_Questions_Q7_CT,All_Questions,All_Questions_Data_Names,"respondent_id_data")),W$16)),0)</f>
        <v>0</v>
      </c>
      <c r="Y18">
        <f>IF(OR(All_Questions_Q7_CT="(None)",Y$16=""),"",COUNTIFS(Q7_data,"Manager",passes_workbook_filters_data,1,passes_workbook_custom_filters_data,1,All_Questions_passes_local_filters_data,1,All_Questions_Q7_F_passes_per_q_filter_data,1,INDIRECT(XLOOKUP(All_Questions_Q7_CT,All_Questions,All_Questions_Data_Names,"respondent_id_data")),Y$16))</f>
        <v>0</v>
      </c>
      <c r="Z18" s="7">
        <f>IFERROR(Y18/(COUNTIFS(respondent_id_data,"&lt;&gt;",passes_workbook_filters_data,1,passes_workbook_custom_filters_data,1,All_Questions_passes_local_filters_data,1,All_Questions_Q7_F_passes_per_q_filter_data,1,INDIRECT(XLOOKUP(All_Questions_Q7_CT,All_Questions,All_Questions_Data_Names,"respondent_id_data")),Y$16)),0)</f>
        <v>0</v>
      </c>
      <c r="AA18">
        <f>IF(OR(All_Questions_Q7_CT="(None)",AA$16=""),"",COUNTIFS(Q7_data,"Manager",passes_workbook_filters_data,1,passes_workbook_custom_filters_data,1,All_Questions_passes_local_filters_data,1,All_Questions_Q7_F_passes_per_q_filter_data,1,INDIRECT(XLOOKUP(All_Questions_Q7_CT,All_Questions,All_Questions_Data_Names,"respondent_id_data")),AA$16))</f>
        <v>0</v>
      </c>
      <c r="AB18" s="7">
        <f>IFERROR(AA18/(COUNTIFS(respondent_id_data,"&lt;&gt;",passes_workbook_filters_data,1,passes_workbook_custom_filters_data,1,All_Questions_passes_local_filters_data,1,All_Questions_Q7_F_passes_per_q_filter_data,1,INDIRECT(XLOOKUP(All_Questions_Q7_CT,All_Questions,All_Questions_Data_Names,"respondent_id_data")),AA$16)),0)</f>
        <v>0</v>
      </c>
      <c r="AC18">
        <f>IF(OR(All_Questions_Q7_CT="(None)",AC$16=""),"",IF(AC$16="Other",COUNTIFS(Q7_data,"Manager",passes_workbook_filters_data,1,passes_workbook_custom_filters_data,1,All_Questions_passes_local_filters_data,1,All_Questions_Q7_F_passes_per_q_filter_data,1)-SUM(G18,I18,K18,M18,O18,Q18,S18,U18,W18,Y18,AA18),COUNTIFS(Q7_data,"Manager",passes_workbook_filters_data,1,passes_workbook_custom_filters_data,1,All_Questions_passes_local_filters_data,1,All_Questions_Q7_F_passes_per_q_filter_data,1,INDIRECT(XLOOKUP(All_Questions_Q7_CT,All_Questions,All_Questions_Data_Names,"respondent_id_data")),AC$16)))</f>
        <v>0</v>
      </c>
      <c r="AD18" s="7">
        <f>IFERROR(AC18/(IF(AC$16="Other",COUNTIFS(respondent_id_data,"&lt;&gt;",passes_workbook_filters_data,1,passes_workbook_custom_filters_data,1,All_Questions_passes_local_filters_data,1,All_Questions_Q7_F_passes_per_q_filter_data,1)-(COUNTIFS(respondent_id_data,"&lt;&gt;",passes_workbook_filters_data,1,passes_workbook_custom_filters_data,1,All_Questions_passes_local_filters_data,1,All_Questions_Q7_F_passes_per_q_filter_data,1,INDIRECT(XLOOKUP(All_Questions_Q7_CT,All_Questions,All_Questions_Data_Names,"respondent_id_data")),G$16)+COUNTIFS(respondent_id_data,"&lt;&gt;",passes_workbook_filters_data,1,passes_workbook_custom_filters_data,1,All_Questions_passes_local_filters_data,1,All_Questions_Q7_F_passes_per_q_filter_data,1,INDIRECT(XLOOKUP(All_Questions_Q7_CT,All_Questions,All_Questions_Data_Names,"respondent_id_data")),I$16)+COUNTIFS(respondent_id_data,"&lt;&gt;",passes_workbook_filters_data,1,passes_workbook_custom_filters_data,1,All_Questions_passes_local_filters_data,1,All_Questions_Q7_F_passes_per_q_filter_data,1,INDIRECT(XLOOKUP(All_Questions_Q7_CT,All_Questions,All_Questions_Data_Names,"respondent_id_data")),K$16)+COUNTIFS(respondent_id_data,"&lt;&gt;",passes_workbook_filters_data,1,passes_workbook_custom_filters_data,1,All_Questions_passes_local_filters_data,1,All_Questions_Q7_F_passes_per_q_filter_data,1,INDIRECT(XLOOKUP(All_Questions_Q7_CT,All_Questions,All_Questions_Data_Names,"respondent_id_data")),M$16)+COUNTIFS(respondent_id_data,"&lt;&gt;",passes_workbook_filters_data,1,passes_workbook_custom_filters_data,1,All_Questions_passes_local_filters_data,1,All_Questions_Q7_F_passes_per_q_filter_data,1,INDIRECT(XLOOKUP(All_Questions_Q7_CT,All_Questions,All_Questions_Data_Names,"respondent_id_data")),O$16)+COUNTIFS(respondent_id_data,"&lt;&gt;",passes_workbook_filters_data,1,passes_workbook_custom_filters_data,1,All_Questions_passes_local_filters_data,1,All_Questions_Q7_F_passes_per_q_filter_data,1,INDIRECT(XLOOKUP(All_Questions_Q7_CT,All_Questions,All_Questions_Data_Names,"respondent_id_data")),Q$16)+COUNTIFS(respondent_id_data,"&lt;&gt;",passes_workbook_filters_data,1,passes_workbook_custom_filters_data,1,All_Questions_passes_local_filters_data,1,All_Questions_Q7_F_passes_per_q_filter_data,1,INDIRECT(XLOOKUP(All_Questions_Q7_CT,All_Questions,All_Questions_Data_Names,"respondent_id_data")),S$16)+COUNTIFS(respondent_id_data,"&lt;&gt;",passes_workbook_filters_data,1,passes_workbook_custom_filters_data,1,All_Questions_passes_local_filters_data,1,All_Questions_Q7_F_passes_per_q_filter_data,1,INDIRECT(XLOOKUP(All_Questions_Q7_CT,All_Questions,All_Questions_Data_Names,"respondent_id_data")),U$16)+COUNTIFS(respondent_id_data,"&lt;&gt;",passes_workbook_filters_data,1,passes_workbook_custom_filters_data,1,All_Questions_passes_local_filters_data,1,All_Questions_Q7_F_passes_per_q_filter_data,1,INDIRECT(XLOOKUP(All_Questions_Q7_CT,All_Questions,All_Questions_Data_Names,"respondent_id_data")),W$16)+COUNTIFS(respondent_id_data,"&lt;&gt;",passes_workbook_filters_data,1,passes_workbook_custom_filters_data,1,All_Questions_passes_local_filters_data,1,All_Questions_Q7_F_passes_per_q_filter_data,1,INDIRECT(XLOOKUP(All_Questions_Q7_CT,All_Questions,All_Questions_Data_Names,"respondent_id_data")),Y$16)+COUNTIFS(respondent_id_data,"&lt;&gt;",passes_workbook_filters_data,1,passes_workbook_custom_filters_data,1,All_Questions_passes_local_filters_data,1,All_Questions_Q7_F_passes_per_q_filter_data,1,INDIRECT(XLOOKUP(All_Questions_Q7_CT,All_Questions,All_Questions_Data_Names,"respondent_id_data")),AA$16)),COUNTIFS(respondent_id_data,"&lt;&gt;",passes_workbook_filters_data,1,passes_workbook_custom_filters_data,1,All_Questions_passes_local_filters_data,1,All_Questions_Q7_F_passes_per_q_filter_data,1,INDIRECT(XLOOKUP(All_Questions_Q7_CT,All_Questions,All_Questions_Data_Names,"respondent_id_data")),AC$16))),0)</f>
        <v>0</v>
      </c>
      <c r="AE18">
        <f>IF(All_Questions_Q7_CT="(None)","",COUNTIFS(Q7_data,"Manager",passes_workbook_filters_data,1,passes_workbook_custom_filters_data,1,All_Questions_passes_local_filters_data,1,All_Questions_Q7_F_passes_per_q_filter_data,1))</f>
        <v>0</v>
      </c>
    </row>
    <row r="19">
      <c r="A19" s="15" t="inlineStr">
        <is>
          <t>Total respondents</t>
        </is>
      </c>
      <c r="B19" s="15" t="n">
        <v>4</v>
      </c>
      <c r="C19" s="15" t="n"/>
      <c r="D19" s="15" t="n"/>
      <c r="F19" t="inlineStr">
        <is>
          <t>Executive</t>
        </is>
      </c>
      <c r="G19">
        <f>IF(OR(All_Questions_Q7_CT="(None)",G$16=""),"",COUNTIFS(Q7_data,"Executive",passes_workbook_filters_data,1,passes_workbook_custom_filters_data,1,All_Questions_passes_local_filters_data,1,All_Questions_Q7_F_passes_per_q_filter_data,1,INDIRECT(XLOOKUP(All_Questions_Q7_CT,All_Questions,All_Questions_Data_Names,"respondent_id_data")),G$16))</f>
        <v>0</v>
      </c>
      <c r="H19" s="7">
        <f>IFERROR(G19/(COUNTIFS(respondent_id_data,"&lt;&gt;",passes_workbook_filters_data,1,passes_workbook_custom_filters_data,1,All_Questions_passes_local_filters_data,1,All_Questions_Q7_F_passes_per_q_filter_data,1,INDIRECT(XLOOKUP(All_Questions_Q7_CT,All_Questions,All_Questions_Data_Names,"respondent_id_data")),G$16)),0)</f>
        <v>0</v>
      </c>
      <c r="I19">
        <f>IF(OR(All_Questions_Q7_CT="(None)",I$16=""),"",COUNTIFS(Q7_data,"Executive",passes_workbook_filters_data,1,passes_workbook_custom_filters_data,1,All_Questions_passes_local_filters_data,1,All_Questions_Q7_F_passes_per_q_filter_data,1,INDIRECT(XLOOKUP(All_Questions_Q7_CT,All_Questions,All_Questions_Data_Names,"respondent_id_data")),I$16))</f>
        <v>0</v>
      </c>
      <c r="J19" s="7">
        <f>IFERROR(I19/(COUNTIFS(respondent_id_data,"&lt;&gt;",passes_workbook_filters_data,1,passes_workbook_custom_filters_data,1,All_Questions_passes_local_filters_data,1,All_Questions_Q7_F_passes_per_q_filter_data,1,INDIRECT(XLOOKUP(All_Questions_Q7_CT,All_Questions,All_Questions_Data_Names,"respondent_id_data")),I$16)),0)</f>
        <v>0</v>
      </c>
      <c r="K19">
        <f>IF(OR(All_Questions_Q7_CT="(None)",K$16=""),"",COUNTIFS(Q7_data,"Executive",passes_workbook_filters_data,1,passes_workbook_custom_filters_data,1,All_Questions_passes_local_filters_data,1,All_Questions_Q7_F_passes_per_q_filter_data,1,INDIRECT(XLOOKUP(All_Questions_Q7_CT,All_Questions,All_Questions_Data_Names,"respondent_id_data")),K$16))</f>
        <v>0</v>
      </c>
      <c r="L19" s="7">
        <f>IFERROR(K19/(COUNTIFS(respondent_id_data,"&lt;&gt;",passes_workbook_filters_data,1,passes_workbook_custom_filters_data,1,All_Questions_passes_local_filters_data,1,All_Questions_Q7_F_passes_per_q_filter_data,1,INDIRECT(XLOOKUP(All_Questions_Q7_CT,All_Questions,All_Questions_Data_Names,"respondent_id_data")),K$16)),0)</f>
        <v>0</v>
      </c>
      <c r="M19">
        <f>IF(OR(All_Questions_Q7_CT="(None)",M$16=""),"",COUNTIFS(Q7_data,"Executive",passes_workbook_filters_data,1,passes_workbook_custom_filters_data,1,All_Questions_passes_local_filters_data,1,All_Questions_Q7_F_passes_per_q_filter_data,1,INDIRECT(XLOOKUP(All_Questions_Q7_CT,All_Questions,All_Questions_Data_Names,"respondent_id_data")),M$16))</f>
        <v>0</v>
      </c>
      <c r="N19" s="7">
        <f>IFERROR(M19/(COUNTIFS(respondent_id_data,"&lt;&gt;",passes_workbook_filters_data,1,passes_workbook_custom_filters_data,1,All_Questions_passes_local_filters_data,1,All_Questions_Q7_F_passes_per_q_filter_data,1,INDIRECT(XLOOKUP(All_Questions_Q7_CT,All_Questions,All_Questions_Data_Names,"respondent_id_data")),M$16)),0)</f>
        <v>0</v>
      </c>
      <c r="O19">
        <f>IF(OR(All_Questions_Q7_CT="(None)",O$16=""),"",COUNTIFS(Q7_data,"Executive",passes_workbook_filters_data,1,passes_workbook_custom_filters_data,1,All_Questions_passes_local_filters_data,1,All_Questions_Q7_F_passes_per_q_filter_data,1,INDIRECT(XLOOKUP(All_Questions_Q7_CT,All_Questions,All_Questions_Data_Names,"respondent_id_data")),O$16))</f>
        <v>0</v>
      </c>
      <c r="P19" s="7">
        <f>IFERROR(O19/(COUNTIFS(respondent_id_data,"&lt;&gt;",passes_workbook_filters_data,1,passes_workbook_custom_filters_data,1,All_Questions_passes_local_filters_data,1,All_Questions_Q7_F_passes_per_q_filter_data,1,INDIRECT(XLOOKUP(All_Questions_Q7_CT,All_Questions,All_Questions_Data_Names,"respondent_id_data")),O$16)),0)</f>
        <v>0</v>
      </c>
      <c r="Q19">
        <f>IF(OR(All_Questions_Q7_CT="(None)",Q$16=""),"",COUNTIFS(Q7_data,"Executive",passes_workbook_filters_data,1,passes_workbook_custom_filters_data,1,All_Questions_passes_local_filters_data,1,All_Questions_Q7_F_passes_per_q_filter_data,1,INDIRECT(XLOOKUP(All_Questions_Q7_CT,All_Questions,All_Questions_Data_Names,"respondent_id_data")),Q$16))</f>
        <v>0</v>
      </c>
      <c r="R19" s="7">
        <f>IFERROR(Q19/(COUNTIFS(respondent_id_data,"&lt;&gt;",passes_workbook_filters_data,1,passes_workbook_custom_filters_data,1,All_Questions_passes_local_filters_data,1,All_Questions_Q7_F_passes_per_q_filter_data,1,INDIRECT(XLOOKUP(All_Questions_Q7_CT,All_Questions,All_Questions_Data_Names,"respondent_id_data")),Q$16)),0)</f>
        <v>0</v>
      </c>
      <c r="S19">
        <f>IF(OR(All_Questions_Q7_CT="(None)",S$16=""),"",COUNTIFS(Q7_data,"Executive",passes_workbook_filters_data,1,passes_workbook_custom_filters_data,1,All_Questions_passes_local_filters_data,1,All_Questions_Q7_F_passes_per_q_filter_data,1,INDIRECT(XLOOKUP(All_Questions_Q7_CT,All_Questions,All_Questions_Data_Names,"respondent_id_data")),S$16))</f>
        <v>0</v>
      </c>
      <c r="T19" s="7">
        <f>IFERROR(S19/(COUNTIFS(respondent_id_data,"&lt;&gt;",passes_workbook_filters_data,1,passes_workbook_custom_filters_data,1,All_Questions_passes_local_filters_data,1,All_Questions_Q7_F_passes_per_q_filter_data,1,INDIRECT(XLOOKUP(All_Questions_Q7_CT,All_Questions,All_Questions_Data_Names,"respondent_id_data")),S$16)),0)</f>
        <v>0</v>
      </c>
      <c r="U19">
        <f>IF(OR(All_Questions_Q7_CT="(None)",U$16=""),"",COUNTIFS(Q7_data,"Executive",passes_workbook_filters_data,1,passes_workbook_custom_filters_data,1,All_Questions_passes_local_filters_data,1,All_Questions_Q7_F_passes_per_q_filter_data,1,INDIRECT(XLOOKUP(All_Questions_Q7_CT,All_Questions,All_Questions_Data_Names,"respondent_id_data")),U$16))</f>
        <v>0</v>
      </c>
      <c r="V19" s="7">
        <f>IFERROR(U19/(COUNTIFS(respondent_id_data,"&lt;&gt;",passes_workbook_filters_data,1,passes_workbook_custom_filters_data,1,All_Questions_passes_local_filters_data,1,All_Questions_Q7_F_passes_per_q_filter_data,1,INDIRECT(XLOOKUP(All_Questions_Q7_CT,All_Questions,All_Questions_Data_Names,"respondent_id_data")),U$16)),0)</f>
        <v>0</v>
      </c>
      <c r="W19">
        <f>IF(OR(All_Questions_Q7_CT="(None)",W$16=""),"",COUNTIFS(Q7_data,"Executive",passes_workbook_filters_data,1,passes_workbook_custom_filters_data,1,All_Questions_passes_local_filters_data,1,All_Questions_Q7_F_passes_per_q_filter_data,1,INDIRECT(XLOOKUP(All_Questions_Q7_CT,All_Questions,All_Questions_Data_Names,"respondent_id_data")),W$16))</f>
        <v>0</v>
      </c>
      <c r="X19" s="7">
        <f>IFERROR(W19/(COUNTIFS(respondent_id_data,"&lt;&gt;",passes_workbook_filters_data,1,passes_workbook_custom_filters_data,1,All_Questions_passes_local_filters_data,1,All_Questions_Q7_F_passes_per_q_filter_data,1,INDIRECT(XLOOKUP(All_Questions_Q7_CT,All_Questions,All_Questions_Data_Names,"respondent_id_data")),W$16)),0)</f>
        <v>0</v>
      </c>
      <c r="Y19">
        <f>IF(OR(All_Questions_Q7_CT="(None)",Y$16=""),"",COUNTIFS(Q7_data,"Executive",passes_workbook_filters_data,1,passes_workbook_custom_filters_data,1,All_Questions_passes_local_filters_data,1,All_Questions_Q7_F_passes_per_q_filter_data,1,INDIRECT(XLOOKUP(All_Questions_Q7_CT,All_Questions,All_Questions_Data_Names,"respondent_id_data")),Y$16))</f>
        <v>0</v>
      </c>
      <c r="Z19" s="7">
        <f>IFERROR(Y19/(COUNTIFS(respondent_id_data,"&lt;&gt;",passes_workbook_filters_data,1,passes_workbook_custom_filters_data,1,All_Questions_passes_local_filters_data,1,All_Questions_Q7_F_passes_per_q_filter_data,1,INDIRECT(XLOOKUP(All_Questions_Q7_CT,All_Questions,All_Questions_Data_Names,"respondent_id_data")),Y$16)),0)</f>
        <v>0</v>
      </c>
      <c r="AA19">
        <f>IF(OR(All_Questions_Q7_CT="(None)",AA$16=""),"",COUNTIFS(Q7_data,"Executive",passes_workbook_filters_data,1,passes_workbook_custom_filters_data,1,All_Questions_passes_local_filters_data,1,All_Questions_Q7_F_passes_per_q_filter_data,1,INDIRECT(XLOOKUP(All_Questions_Q7_CT,All_Questions,All_Questions_Data_Names,"respondent_id_data")),AA$16))</f>
        <v>0</v>
      </c>
      <c r="AB19" s="7">
        <f>IFERROR(AA19/(COUNTIFS(respondent_id_data,"&lt;&gt;",passes_workbook_filters_data,1,passes_workbook_custom_filters_data,1,All_Questions_passes_local_filters_data,1,All_Questions_Q7_F_passes_per_q_filter_data,1,INDIRECT(XLOOKUP(All_Questions_Q7_CT,All_Questions,All_Questions_Data_Names,"respondent_id_data")),AA$16)),0)</f>
        <v>0</v>
      </c>
      <c r="AC19">
        <f>IF(OR(All_Questions_Q7_CT="(None)",AC$16=""),"",IF(AC$16="Other",COUNTIFS(Q7_data,"Executive",passes_workbook_filters_data,1,passes_workbook_custom_filters_data,1,All_Questions_passes_local_filters_data,1,All_Questions_Q7_F_passes_per_q_filter_data,1)-SUM(G19,I19,K19,M19,O19,Q19,S19,U19,W19,Y19,AA19),COUNTIFS(Q7_data,"Executive",passes_workbook_filters_data,1,passes_workbook_custom_filters_data,1,All_Questions_passes_local_filters_data,1,All_Questions_Q7_F_passes_per_q_filter_data,1,INDIRECT(XLOOKUP(All_Questions_Q7_CT,All_Questions,All_Questions_Data_Names,"respondent_id_data")),AC$16)))</f>
        <v>0</v>
      </c>
      <c r="AD19" s="7">
        <f>IFERROR(AC19/(IF(AC$16="Other",COUNTIFS(respondent_id_data,"&lt;&gt;",passes_workbook_filters_data,1,passes_workbook_custom_filters_data,1,All_Questions_passes_local_filters_data,1,All_Questions_Q7_F_passes_per_q_filter_data,1)-(COUNTIFS(respondent_id_data,"&lt;&gt;",passes_workbook_filters_data,1,passes_workbook_custom_filters_data,1,All_Questions_passes_local_filters_data,1,All_Questions_Q7_F_passes_per_q_filter_data,1,INDIRECT(XLOOKUP(All_Questions_Q7_CT,All_Questions,All_Questions_Data_Names,"respondent_id_data")),G$16)+COUNTIFS(respondent_id_data,"&lt;&gt;",passes_workbook_filters_data,1,passes_workbook_custom_filters_data,1,All_Questions_passes_local_filters_data,1,All_Questions_Q7_F_passes_per_q_filter_data,1,INDIRECT(XLOOKUP(All_Questions_Q7_CT,All_Questions,All_Questions_Data_Names,"respondent_id_data")),I$16)+COUNTIFS(respondent_id_data,"&lt;&gt;",passes_workbook_filters_data,1,passes_workbook_custom_filters_data,1,All_Questions_passes_local_filters_data,1,All_Questions_Q7_F_passes_per_q_filter_data,1,INDIRECT(XLOOKUP(All_Questions_Q7_CT,All_Questions,All_Questions_Data_Names,"respondent_id_data")),K$16)+COUNTIFS(respondent_id_data,"&lt;&gt;",passes_workbook_filters_data,1,passes_workbook_custom_filters_data,1,All_Questions_passes_local_filters_data,1,All_Questions_Q7_F_passes_per_q_filter_data,1,INDIRECT(XLOOKUP(All_Questions_Q7_CT,All_Questions,All_Questions_Data_Names,"respondent_id_data")),M$16)+COUNTIFS(respondent_id_data,"&lt;&gt;",passes_workbook_filters_data,1,passes_workbook_custom_filters_data,1,All_Questions_passes_local_filters_data,1,All_Questions_Q7_F_passes_per_q_filter_data,1,INDIRECT(XLOOKUP(All_Questions_Q7_CT,All_Questions,All_Questions_Data_Names,"respondent_id_data")),O$16)+COUNTIFS(respondent_id_data,"&lt;&gt;",passes_workbook_filters_data,1,passes_workbook_custom_filters_data,1,All_Questions_passes_local_filters_data,1,All_Questions_Q7_F_passes_per_q_filter_data,1,INDIRECT(XLOOKUP(All_Questions_Q7_CT,All_Questions,All_Questions_Data_Names,"respondent_id_data")),Q$16)+COUNTIFS(respondent_id_data,"&lt;&gt;",passes_workbook_filters_data,1,passes_workbook_custom_filters_data,1,All_Questions_passes_local_filters_data,1,All_Questions_Q7_F_passes_per_q_filter_data,1,INDIRECT(XLOOKUP(All_Questions_Q7_CT,All_Questions,All_Questions_Data_Names,"respondent_id_data")),S$16)+COUNTIFS(respondent_id_data,"&lt;&gt;",passes_workbook_filters_data,1,passes_workbook_custom_filters_data,1,All_Questions_passes_local_filters_data,1,All_Questions_Q7_F_passes_per_q_filter_data,1,INDIRECT(XLOOKUP(All_Questions_Q7_CT,All_Questions,All_Questions_Data_Names,"respondent_id_data")),U$16)+COUNTIFS(respondent_id_data,"&lt;&gt;",passes_workbook_filters_data,1,passes_workbook_custom_filters_data,1,All_Questions_passes_local_filters_data,1,All_Questions_Q7_F_passes_per_q_filter_data,1,INDIRECT(XLOOKUP(All_Questions_Q7_CT,All_Questions,All_Questions_Data_Names,"respondent_id_data")),W$16)+COUNTIFS(respondent_id_data,"&lt;&gt;",passes_workbook_filters_data,1,passes_workbook_custom_filters_data,1,All_Questions_passes_local_filters_data,1,All_Questions_Q7_F_passes_per_q_filter_data,1,INDIRECT(XLOOKUP(All_Questions_Q7_CT,All_Questions,All_Questions_Data_Names,"respondent_id_data")),Y$16)+COUNTIFS(respondent_id_data,"&lt;&gt;",passes_workbook_filters_data,1,passes_workbook_custom_filters_data,1,All_Questions_passes_local_filters_data,1,All_Questions_Q7_F_passes_per_q_filter_data,1,INDIRECT(XLOOKUP(All_Questions_Q7_CT,All_Questions,All_Questions_Data_Names,"respondent_id_data")),AA$16)),COUNTIFS(respondent_id_data,"&lt;&gt;",passes_workbook_filters_data,1,passes_workbook_custom_filters_data,1,All_Questions_passes_local_filters_data,1,All_Questions_Q7_F_passes_per_q_filter_data,1,INDIRECT(XLOOKUP(All_Questions_Q7_CT,All_Questions,All_Questions_Data_Names,"respondent_id_data")),AC$16))),0)</f>
        <v>0</v>
      </c>
      <c r="AE19">
        <f>IF(All_Questions_Q7_CT="(None)","",COUNTIFS(Q7_data,"Executive",passes_workbook_filters_data,1,passes_workbook_custom_filters_data,1,All_Questions_passes_local_filters_data,1,All_Questions_Q7_F_passes_per_q_filter_data,1))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  <c r="AA20" s="2" t="n"/>
      <c r="AB20" s="2" t="n"/>
      <c r="AC20" s="2" t="n"/>
      <c r="AD20" s="2" t="n"/>
      <c r="AE20" s="2">
        <f>IF(All_Questions_Q7_CT="(None)","",COUNTIFS(respondent_id_data,"&lt;&gt;",passes_workbook_filters_data,1,passes_workbook_custom_filters_data,1,All_Questions_passes_local_filters_data,1,All_Questions_Q7_F_passes_per_q_filter_data,1))</f>
        <v>0</v>
      </c>
    </row>
  </sheetData>
  <mergeCells count="13">
    <mergeCell ref="K16:L16"/>
    <mergeCell ref="Q16:R16"/>
    <mergeCell ref="A1:J1"/>
    <mergeCell ref="O16:P16"/>
    <mergeCell ref="S16:T16"/>
    <mergeCell ref="W16:X16"/>
    <mergeCell ref="I16:J16"/>
    <mergeCell ref="G16:H16"/>
    <mergeCell ref="Y16:Z16"/>
    <mergeCell ref="AA16:AB16"/>
    <mergeCell ref="AC16:AD16"/>
    <mergeCell ref="U16:V16"/>
    <mergeCell ref="M16:N16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T18:T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V18:V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X18:X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Z18:Z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B18:AB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D18:AD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=INDIRECT(XLOOKUP(All_Questions_F_Custom1_Q_resolved,All_Questions,All_Questions_Options_Names,"None_options"))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=INDIRECT(XLOOKUP(All_Questions_F_Custom2_Q_resolved,All_Questions,All_Questions_Options_Names,"None_options"))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=INDIRECT(XLOOKUP(All_Questions_Q7_F_Q,All_Questions,All_Questions_Options_Names,"None_options"))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2026-05-18T10:55:34Z</dcterms:created>
  <dcterms:modified xmlns:dcterms="http://purl.org/dc/terms/" xmlns:xsi="http://www.w3.org/2001/XMLSchema-instance" xsi:type="dcterms:W3CDTF">2026-05-18T10:55:34Z</dcterms:modified>
</cp:coreProperties>
</file>