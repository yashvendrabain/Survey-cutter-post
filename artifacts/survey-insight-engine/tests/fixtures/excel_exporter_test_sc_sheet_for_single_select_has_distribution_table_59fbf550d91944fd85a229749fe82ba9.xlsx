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All_Questions">'_Options'!$A$2:$A$9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SS_EXPORT_F_Q">'All Questions'!$B14</definedName>
    <definedName name="Q_SS_EXPORT_F_V">'All Questions'!$D14</definedName>
    <definedName name="Q_SS_EXPORT_CT">'All Questions'!$F14</definedName>
    <definedName name="Q_MS_EXPORT_F_Q">'All Questions'!$B23</definedName>
    <definedName name="Q_MS_EXPORT_F_V">'All Questions'!$D23</definedName>
    <definedName name="Q_MS_EXPORT_CT">'All Questions'!$F23</definedName>
    <definedName name="Q_NUM_EXPORT_F_Q">'All Questions'!$B32</definedName>
    <definedName name="Q_NUM_EXPORT_F_V">'All Questions'!$D32</definedName>
    <definedName name="Q_NUM_EXPORT_CT">'All Questions'!$F32</definedName>
    <definedName name="Q_GRID_EXPORT_F_Q">'All Questions'!$B44</definedName>
    <definedName name="Q_GRID_EXPORT_F_V">'All Questions'!$D44</definedName>
    <definedName name="Q_GRID_EXPORT_CT">'All Questions'!$F44</definedName>
    <definedName name="Q_VERY_LONG_SINGLE_SELECT_EXPORT_NAME_F_Q">'All Questions'!$B53</definedName>
    <definedName name="Q_VERY_LONG_SINGLE_SELECT_EXPORT_NAME_F_V">'All Questions'!$D53</definedName>
    <definedName name="Q_VERY_LONG_SINGLE_SELECT_EXPORT_NAME_CT">'All Questions'!$F53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</row>
    <row r="5">
      <c r="A5" t="inlineStr">
        <is>
          <t>Q_MS_EXPORTr2</t>
        </is>
      </c>
    </row>
    <row r="6">
      <c r="A6" t="inlineStr">
        <is>
          <t>Q_NUM_EXPORT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6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0</v>
      </c>
    </row>
    <row r="9">
      <c r="A9" s="1" t="inlineStr">
        <is>
          <t>Cross cut skips:</t>
        </is>
      </c>
      <c r="B9" t="n">
        <v>0</v>
      </c>
    </row>
    <row r="10">
      <c r="A10" s="1" t="inlineStr">
        <is>
          <t>Audit log records:</t>
        </is>
      </c>
      <c r="B10" t="n">
        <v>7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9" t="inlineStr">
        <is>
          <t>Q_NUM_EXPORT - Numeric export question</t>
        </is>
      </c>
    </row>
    <row r="31">
      <c r="A31" s="10" t="inlineStr">
        <is>
          <t>Per-question filter</t>
        </is>
      </c>
      <c r="F31" s="10" t="inlineStr">
        <is>
          <t>Cross-tab by</t>
        </is>
      </c>
    </row>
    <row r="32">
      <c r="A32" t="inlineStr">
        <is>
          <t>Filter:</t>
        </is>
      </c>
      <c r="B32" t="inlineStr">
        <is>
          <t>(None)</t>
        </is>
      </c>
      <c r="C32" t="inlineStr">
        <is>
          <t>=</t>
        </is>
      </c>
      <c r="D32" t="inlineStr">
        <is>
          <t>(All)</t>
        </is>
      </c>
      <c r="F32" t="inlineStr">
        <is>
          <t>(None)</t>
        </is>
      </c>
    </row>
    <row r="34">
      <c r="A34" s="2" t="inlineStr">
        <is>
          <t>Metric</t>
        </is>
      </c>
      <c r="B34" s="2" t="inlineStr">
        <is>
          <t>Value</t>
        </is>
      </c>
      <c r="C34" s="2" t="inlineStr">
        <is>
          <t>Note</t>
        </is>
      </c>
      <c r="D34" s="2" t="inlineStr">
        <is>
          <t>Denominator</t>
        </is>
      </c>
    </row>
    <row r="35">
      <c r="A35" t="inlineStr">
        <is>
          <t>Mean</t>
        </is>
      </c>
      <c r="B35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5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6">
      <c r="A36" t="inlineStr">
        <is>
          <t>Min</t>
        </is>
      </c>
      <c r="B36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7">
      <c r="A37" t="inlineStr">
        <is>
          <t>Max</t>
        </is>
      </c>
      <c r="B37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9">
      <c r="A39" s="12" t="inlineStr">
        <is>
          <t>Median not available in filtered view - see static baseline in audit log.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9" t="inlineStr">
        <is>
          <t>Q_GRID_EXPORT - Grid export question</t>
        </is>
      </c>
    </row>
    <row r="43">
      <c r="A43" s="10" t="inlineStr">
        <is>
          <t>Per-question filter</t>
        </is>
      </c>
      <c r="F43" s="10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IFERROR(INDEX(INDIRECT(Q_GRID_EXPORT_CT &amp; "_options"),2),"")</f>
        <v/>
      </c>
      <c r="H46">
        <f>IFERROR(INDEX(INDIRECT(Q_GRID_EXPORT_CT &amp; "_options"),3),"")</f>
        <v/>
      </c>
      <c r="I46">
        <f>IFERROR(INDEX(INDIRECT(Q_GRID_EXPORT_CT &amp; "_options"),4),"")</f>
        <v/>
      </c>
      <c r="J46">
        <f>IFERROR(INDEX(INDIRECT(Q_GRID_EXPORT_CT &amp; "_options"),5),"")</f>
        <v/>
      </c>
      <c r="K46">
        <f>IFERROR(INDEX(INDIRECT(Q_GRID_EXPORT_CT &amp; "_options"),6),"")</f>
        <v/>
      </c>
      <c r="L46">
        <f>IFERROR(INDEX(INDIRECT(Q_GRID_EXPORT_CT &amp; "_options"),7),"")</f>
        <v/>
      </c>
      <c r="M46">
        <f>IFERROR(INDEX(INDIRECT(Q_GRID_EXPORT_CT &amp; "_options"),8),"")</f>
        <v/>
      </c>
      <c r="N46">
        <f>IFERROR(INDEX(INDIRECT(Q_GRID_EXPORT_CT &amp; "_options"),9),"")</f>
        <v/>
      </c>
      <c r="O46" s="1" t="inlineStr">
        <is>
          <t>TOTAL</t>
        </is>
      </c>
    </row>
    <row r="47">
      <c r="A47" t="inlineStr">
        <is>
          <t>Grid first row</t>
        </is>
      </c>
      <c r="B4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47" s="4">
        <f>IFERROR(B47/SUBTOTAL(9,B47:B48),0)</f>
        <v/>
      </c>
      <c r="D47" s="11">
        <f>SUBTOTAL(9,B47:B48)</f>
        <v/>
      </c>
      <c r="F47" t="inlineStr">
        <is>
          <t>Grid first row</t>
        </is>
      </c>
      <c r="G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"_data"),G$46))</f>
        <v/>
      </c>
      <c r="H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"_data"),H$46))</f>
        <v/>
      </c>
      <c r="I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"_data"),I$46))</f>
        <v/>
      </c>
      <c r="J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"_data"),J$46))</f>
        <v/>
      </c>
      <c r="K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"_data"),K$46))</f>
        <v/>
      </c>
      <c r="L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"_data"),L$46))</f>
        <v/>
      </c>
      <c r="M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"_data"),M$46))</f>
        <v/>
      </c>
      <c r="N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"_data"),N$46))</f>
        <v/>
      </c>
      <c r="O47">
        <f>SUM(G47:N47)</f>
        <v/>
      </c>
    </row>
    <row r="48">
      <c r="A48" t="inlineStr">
        <is>
          <t>Grid second row</t>
        </is>
      </c>
      <c r="B4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48" s="4">
        <f>IFERROR(B48/SUBTOTAL(9,B47:B48),0)</f>
        <v/>
      </c>
      <c r="D48" s="11">
        <f>SUBTOTAL(9,B47:B48)</f>
        <v/>
      </c>
      <c r="F48" t="inlineStr">
        <is>
          <t>Grid second row</t>
        </is>
      </c>
      <c r="G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"_data"),G$46))</f>
        <v/>
      </c>
      <c r="H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"_data"),H$46))</f>
        <v/>
      </c>
      <c r="I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"_data"),I$46))</f>
        <v/>
      </c>
      <c r="J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"_data"),J$46))</f>
        <v/>
      </c>
      <c r="K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"_data"),K$46))</f>
        <v/>
      </c>
      <c r="L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"_data"),L$46))</f>
        <v/>
      </c>
      <c r="M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"_data"),M$46))</f>
        <v/>
      </c>
      <c r="N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"_data"),N$46))</f>
        <v/>
      </c>
      <c r="O48">
        <f>SUM(G48:N48)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inlineStr">
        <is>
          <t>Q_VERY_LONG_SINGLE_SELECT_EXPORT_NAME - Long sheet name export question</t>
        </is>
      </c>
    </row>
    <row r="52">
      <c r="A52" s="10" t="inlineStr">
        <is>
          <t>Per-question filter</t>
        </is>
      </c>
      <c r="F52" s="10" t="inlineStr">
        <is>
          <t>Cross-tab by</t>
        </is>
      </c>
    </row>
    <row r="53">
      <c r="A53" t="inlineStr">
        <is>
          <t>Filter:</t>
        </is>
      </c>
      <c r="B53" t="inlineStr">
        <is>
          <t>(None)</t>
        </is>
      </c>
      <c r="C53" t="inlineStr">
        <is>
          <t>=</t>
        </is>
      </c>
      <c r="D53" t="inlineStr">
        <is>
          <t>(All)</t>
        </is>
      </c>
      <c r="F53" t="inlineStr">
        <is>
          <t>(None)</t>
        </is>
      </c>
    </row>
    <row r="55">
      <c r="A55" s="2" t="inlineStr">
        <is>
          <t>Option</t>
        </is>
      </c>
      <c r="B55" s="2" t="inlineStr">
        <is>
          <t>Count</t>
        </is>
      </c>
      <c r="C55" s="2" t="inlineStr">
        <is>
          <t>%</t>
        </is>
      </c>
      <c r="D55" s="2" t="inlineStr">
        <is>
          <t>Denominator</t>
        </is>
      </c>
      <c r="F55" s="1" t="inlineStr">
        <is>
          <t>Option \ Cross-tab</t>
        </is>
      </c>
      <c r="G55">
        <f>IFERROR(INDEX(INDIRECT(Q_VERY_LONG_SINGLE_SELECT_EXPORT_NAME_CT &amp; "_options"),2),"")</f>
        <v/>
      </c>
      <c r="H55">
        <f>IFERROR(INDEX(INDIRECT(Q_VERY_LONG_SINGLE_SELECT_EXPORT_NAME_CT &amp; "_options"),3),"")</f>
        <v/>
      </c>
      <c r="I55">
        <f>IFERROR(INDEX(INDIRECT(Q_VERY_LONG_SINGLE_SELECT_EXPORT_NAME_CT &amp; "_options"),4),"")</f>
        <v/>
      </c>
      <c r="J55">
        <f>IFERROR(INDEX(INDIRECT(Q_VERY_LONG_SINGLE_SELECT_EXPORT_NAME_CT &amp; "_options"),5),"")</f>
        <v/>
      </c>
      <c r="K55">
        <f>IFERROR(INDEX(INDIRECT(Q_VERY_LONG_SINGLE_SELECT_EXPORT_NAME_CT &amp; "_options"),6),"")</f>
        <v/>
      </c>
      <c r="L55">
        <f>IFERROR(INDEX(INDIRECT(Q_VERY_LONG_SINGLE_SELECT_EXPORT_NAME_CT &amp; "_options"),7),"")</f>
        <v/>
      </c>
      <c r="M55">
        <f>IFERROR(INDEX(INDIRECT(Q_VERY_LONG_SINGLE_SELECT_EXPORT_NAME_CT &amp; "_options"),8),"")</f>
        <v/>
      </c>
      <c r="N55">
        <f>IFERROR(INDEX(INDIRECT(Q_VERY_LONG_SINGLE_SELECT_EXPORT_NAME_CT &amp; "_options"),9),"")</f>
        <v/>
      </c>
      <c r="O55" s="1" t="inlineStr">
        <is>
          <t>TOTAL</t>
        </is>
      </c>
    </row>
    <row r="56">
      <c r="A56" t="inlineStr">
        <is>
          <t>A</t>
        </is>
      </c>
      <c r="B5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56" s="4">
        <f>IFERROR(B56/SUBTOTAL(9,B56:B57),0)</f>
        <v/>
      </c>
      <c r="D56" s="11">
        <f>SUBTOTAL(9,B56:B57)</f>
        <v/>
      </c>
      <c r="F56" t="inlineStr">
        <is>
          <t>A</t>
        </is>
      </c>
      <c r="G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"_data"),G$55))</f>
        <v/>
      </c>
      <c r="H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"_data"),H$55))</f>
        <v/>
      </c>
      <c r="I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"_data"),I$55))</f>
        <v/>
      </c>
      <c r="J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"_data"),J$55))</f>
        <v/>
      </c>
      <c r="K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"_data"),K$55))</f>
        <v/>
      </c>
      <c r="L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"_data"),L$55))</f>
        <v/>
      </c>
      <c r="M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"_data"),M$55))</f>
        <v/>
      </c>
      <c r="N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"_data"),N$55))</f>
        <v/>
      </c>
      <c r="O56">
        <f>SUM(G56:N56)</f>
        <v/>
      </c>
    </row>
    <row r="57">
      <c r="A57" t="inlineStr">
        <is>
          <t>B</t>
        </is>
      </c>
      <c r="B5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57" s="4">
        <f>IFERROR(B57/SUBTOTAL(9,B56:B57),0)</f>
        <v/>
      </c>
      <c r="D57" s="11">
        <f>SUBTOTAL(9,B56:B57)</f>
        <v/>
      </c>
      <c r="F57" t="inlineStr">
        <is>
          <t>B</t>
        </is>
      </c>
      <c r="G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"_data"),G$55))</f>
        <v/>
      </c>
      <c r="H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"_data"),H$55))</f>
        <v/>
      </c>
      <c r="I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"_data"),I$55))</f>
        <v/>
      </c>
      <c r="J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"_data"),J$55))</f>
        <v/>
      </c>
      <c r="K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"_data"),K$55))</f>
        <v/>
      </c>
      <c r="L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"_data"),L$55))</f>
        <v/>
      </c>
      <c r="M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"_data"),M$55))</f>
        <v/>
      </c>
      <c r="N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"_data"),N$55))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  <dataValidation sqref="B32" showDropDown="0" showInputMessage="0" showErrorMessage="0" allowBlank="1" type="list">
      <formula1>=All_Questions</formula1>
    </dataValidation>
    <dataValidation sqref="D32" showDropDown="0" showInputMessage="0" showErrorMessage="0" allowBlank="1" type="list">
      <formula1>=INDIRECT(IF(Q_NUM_EXPORT_F_Q="(None)","None_options",Q_NUM_EXPORT_F_Q &amp; "_options"))</formula1>
    </dataValidation>
    <dataValidation sqref="F32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=INDIRECT(IF(Q_GRID_EXPORT_F_Q="(None)","None_options",Q_GRID_EXPORT_F_Q &amp; "_options"))</formula1>
    </dataValidation>
    <dataValidation sqref="F44" showDropDown="0" showInputMessage="0" showErrorMessage="0" allowBlank="1" type="list">
      <formula1>=All_Questions</formula1>
    </dataValidation>
    <dataValidation sqref="B53" showDropDown="0" showInputMessage="0" showErrorMessage="0" allowBlank="1" type="list">
      <formula1>=All_Questions</formula1>
    </dataValidation>
    <dataValidation sqref="D5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5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2026-05-13T16:01:08Z</dcterms:created>
  <dcterms:modified xmlns:dcterms="http://purl.org/dc/terms/" xmlns:xsi="http://www.w3.org/2001/XMLSchema-instance" xsi:type="dcterms:W3CDTF">2026-05-13T16:01:08Z</dcterms:modified>
</cp:coreProperties>
</file>