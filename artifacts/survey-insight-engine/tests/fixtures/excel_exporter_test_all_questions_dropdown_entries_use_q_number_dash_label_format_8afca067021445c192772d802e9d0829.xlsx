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comments/comment1.xml" ContentType="application/vnd.openxmlformats-officedocument.spreadsheetml.comments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2.xml" ContentType="application/vnd.openxmlformats-officedocument.spreadsheetml.comments+xml"/>
  <ns0:Override PartName="/xl/tables/table1.xml" ContentType="application/vnd.openxmlformats-officedocument.spreadsheetml.table+xml"/>
  <ns0:Override PartName="/xl/worksheets/sheet8.xml" ContentType="application/vnd.openxmlformats-officedocument.spreadsheetml.worksheet+xml"/>
  <ns0:Override PartName="/xl/comments/comment3.xml" ContentType="application/vnd.openxmlformats-officedocument.spreadsheetml.comments+xml"/>
  <ns0:Override PartName="/xl/tables/table2.xml" ContentType="application/vnd.openxmlformats-officedocument.spreadsheetml.table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sheets/sheet11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Demographics" sheetId="7" state="visible" r:id="rId7"/>
    <sheet xmlns:r="http://schemas.openxmlformats.org/officeDocument/2006/relationships" name="All Questions" sheetId="8" state="visible" r:id="rId8"/>
    <sheet xmlns:r="http://schemas.openxmlformats.org/officeDocument/2006/relationships" name="Calculation_Log" sheetId="9" state="visible" r:id="rId9"/>
    <sheet xmlns:r="http://schemas.openxmlformats.org/officeDocument/2006/relationships" name="Filter_Log" sheetId="10" state="visible" r:id="rId10"/>
    <sheet xmlns:r="http://schemas.openxmlformats.org/officeDocument/2006/relationships" name="Warnings" sheetId="11" state="visible" r:id="rId11"/>
  </sheets>
  <definedNames>
    <definedName name="respondent_id_data">'_RawData'!$A$2:$A$5</definedName>
    <definedName name="Q1_data">'_RawData'!$B$2:$B$5</definedName>
    <definedName name="Q2_data">'_RawData'!$C$2:$C$5</definedName>
    <definedName name="Q3r1_data">'_RawData'!$D$2:$D$5</definedName>
    <definedName name="All_Questions">'_Options'!$A$2:$A$4</definedName>
    <definedName name="All_Questions_Local">'_Options'!$B$2:$B$5</definedName>
    <definedName name="None_options">'_Options'!$E$2:$E$2</definedName>
    <definedName name="Q1_options">'_Options'!$F$2:$F$5</definedName>
    <definedName name="Q1_local_options">'_Options'!$I$2:$I$6</definedName>
    <definedName name="Q2_options">'_Options'!$G$2:$G$4</definedName>
    <definedName name="Q2_local_options">'_Options'!$J$2:$J$5</definedName>
    <definedName name="Q3r1_options">'_Options'!$H$2:$H$3</definedName>
    <definedName name="Q3r1_local_options">'_Options'!$K$2:$K$4</definedName>
    <definedName name="All_Questions_Data_Names">'_Options'!$C$2:$C$4</definedName>
    <definedName name="All_Questions_Options_Names">'_Options'!$D$2:$D$4</definedName>
    <definedName name="F_Q1">'Filters'!$B$4</definedName>
    <definedName name="F_Q1_wrapped">'Filters'!$C$4</definedName>
    <definedName name="F_Custom1_Q">'Filters'!$B$7</definedName>
    <definedName name="F_Custom1_V">'Filters'!$D$7</definedName>
    <definedName name="F_Custom1_resolved_column">'Filters'!$E$7</definedName>
    <definedName name="F_Custom1_wrapped">'Filters'!$F$7</definedName>
    <definedName name="F_Custom2_Q">'Filters'!$B$8</definedName>
    <definedName name="F_Custom2_V">'Filters'!$D$8</definedName>
    <definedName name="F_Custom2_resolved_column">'Filters'!$E$8</definedName>
    <definedName name="F_Custom2_wrapped">'Filters'!$F$8</definedName>
    <definedName name="F_Q1_match_data">'_RawData'!$E$2:$E$5</definedName>
    <definedName name="passes_workbook_filters_data">'_RawData'!$F$2:$F$5</definedName>
    <definedName name="F_Custom1_match_data">'_RawData'!$G$2:$G$5</definedName>
    <definedName name="F_Custom2_match_data">'_RawData'!$H$2:$H$5</definedName>
    <definedName name="passes_workbook_custom_filters_data">'_RawData'!$I$2:$I$5</definedName>
    <definedName name="Demographics_F_Q1">'Demographics'!$B$5</definedName>
    <definedName name="Demographics_F_Q1_resolved">'Demographics'!$C$5</definedName>
    <definedName name="Demographics_F_Q1_wrapped">'Demographics'!$D$5</definedName>
    <definedName name="Demographics_F_Custom1_Q">'Demographics'!$B$6</definedName>
    <definedName name="Demographics_F_Custom1_Q_resolved">'Demographics'!$C$6</definedName>
    <definedName name="Demographics_F_Custom1_V">'Demographics'!$B$7</definedName>
    <definedName name="Demographics_F_Custom1_V_resolved">'Demographics'!$C$7</definedName>
    <definedName name="Demographics_F_Custom1_wrapped">'Demographics'!$D$7</definedName>
    <definedName name="Demographics_F_Custom1_resolved_column">'Demographics'!$F$7</definedName>
    <definedName name="Demographics_F_Custom2_Q">'Demographics'!$B$8</definedName>
    <definedName name="Demographics_F_Custom2_Q_resolved">'Demographics'!$C$8</definedName>
    <definedName name="Demographics_F_Custom2_V">'Demographics'!$B$9</definedName>
    <definedName name="Demographics_F_Custom2_V_resolved">'Demographics'!$C$9</definedName>
    <definedName name="Demographics_F_Custom2_wrapped">'Demographics'!$D$9</definedName>
    <definedName name="Demographics_F_Custom2_resolved_column">'Demographics'!$F$9</definedName>
    <definedName name="Demographics_F_Q1_local_match_data">'_RawData'!$J$2:$J$5</definedName>
    <definedName name="Demographics_passes_local_filters_data">'_RawData'!$K$2:$K$5</definedName>
    <definedName name="Demographics_Q1_F_Q">'Demographics'!$C$14</definedName>
    <definedName name="Demographics_Q1_F_V">'Demographics'!$E$14</definedName>
    <definedName name="Demographics_Q1_F_resolved_column">'Demographics'!$F$14</definedName>
    <definedName name="Demographics_Q1_F_wrapped">'Demographics'!$G$14</definedName>
    <definedName name="Demographics_Q1_F_passes_per_q_filter_data">'_RawData'!$L$2:$L$5</definedName>
    <definedName name="Demographics_Q1_CT">'Demographics'!$C$15</definedName>
    <definedName name="All_Questions_F_Q1">'All Questions'!$B$5</definedName>
    <definedName name="All_Questions_F_Q1_resolved">'All Questions'!$C$5</definedName>
    <definedName name="All_Questions_F_Q1_wrapped">'All Questions'!$D$5</definedName>
    <definedName name="All_Questions_F_Custom1_Q">'All Questions'!$B$6</definedName>
    <definedName name="All_Questions_F_Custom1_Q_resolved">'All Questions'!$C$6</definedName>
    <definedName name="All_Questions_F_Custom1_V">'All Questions'!$B$7</definedName>
    <definedName name="All_Questions_F_Custom1_V_resolved">'All Questions'!$C$7</definedName>
    <definedName name="All_Questions_F_Custom1_wrapped">'All Questions'!$D$7</definedName>
    <definedName name="All_Questions_F_Custom1_resolved_column">'All Questions'!$F$7</definedName>
    <definedName name="All_Questions_F_Custom2_Q">'All Questions'!$B$8</definedName>
    <definedName name="All_Questions_F_Custom2_Q_resolved">'All Questions'!$C$8</definedName>
    <definedName name="All_Questions_F_Custom2_V">'All Questions'!$B$9</definedName>
    <definedName name="All_Questions_F_Custom2_V_resolved">'All Questions'!$C$9</definedName>
    <definedName name="All_Questions_F_Custom2_wrapped">'All Questions'!$D$9</definedName>
    <definedName name="All_Questions_F_Custom2_resolved_column">'All Questions'!$F$9</definedName>
    <definedName name="All_Questions_F_Q1_local_match_data">'_RawData'!$M$2:$M$5</definedName>
    <definedName name="All_Questions_passes_local_filters_data">'_RawData'!$N$2:$N$5</definedName>
    <definedName name="All_Questions_Q2_F_Q">'All Questions'!$C$14</definedName>
    <definedName name="All_Questions_Q2_F_V">'All Questions'!$E$14</definedName>
    <definedName name="All_Questions_Q2_F_resolved_column">'All Questions'!$F$14</definedName>
    <definedName name="All_Questions_Q2_F_wrapped">'All Questions'!$G$14</definedName>
    <definedName name="All_Questions_Q2_F_passes_per_q_filter_data">'_RawData'!$O$2:$O$5</definedName>
    <definedName name="All_Questions_Q2_CT">'All Questions'!$C$15</definedName>
  </definedNames>
  <calcPr calcId="124519" fullCalcOnLoad="1"/>
</workbook>
</file>

<file path=xl/calcChain.xml><?xml version="1.0" encoding="utf-8"?>
<calcChain xmlns="http://schemas.openxmlformats.org/spreadsheetml/2006/main">
  <c r="E2" i="1"/>
  <c r="F2" i="1"/>
  <c r="G2" i="1"/>
  <c r="H2" i="1"/>
  <c r="I2" i="1"/>
  <c r="J2" i="1"/>
  <c r="K2" i="1"/>
  <c r="L2" i="1"/>
  <c r="M2" i="1"/>
  <c r="N2" i="1"/>
  <c r="O2" i="1"/>
  <c r="E3" i="1"/>
  <c r="F3" i="1"/>
  <c r="G3" i="1"/>
  <c r="H3" i="1"/>
  <c r="I3" i="1"/>
  <c r="J3" i="1"/>
  <c r="K3" i="1"/>
  <c r="L3" i="1"/>
  <c r="M3" i="1"/>
  <c r="N3" i="1"/>
  <c r="O3" i="1"/>
  <c r="E4" i="1"/>
  <c r="F4" i="1"/>
  <c r="G4" i="1"/>
  <c r="H4" i="1"/>
  <c r="I4" i="1"/>
  <c r="J4" i="1"/>
  <c r="K4" i="1"/>
  <c r="L4" i="1"/>
  <c r="M4" i="1"/>
  <c r="N4" i="1"/>
  <c r="O4" i="1"/>
  <c r="E5" i="1"/>
  <c r="F5" i="1"/>
  <c r="G5" i="1"/>
  <c r="H5" i="1"/>
  <c r="I5" i="1"/>
  <c r="J5" i="1"/>
  <c r="K5" i="1"/>
  <c r="L5" i="1"/>
  <c r="M5" i="1"/>
  <c r="N5" i="1"/>
  <c r="O5" i="1"/>
  <c r="C4" i="3"/>
  <c r="E7" i="3"/>
  <c r="F7" i="3"/>
  <c r="E8" i="3"/>
  <c r="F8" i="3"/>
  <c r="C5" i="7"/>
  <c r="D5" i="7"/>
  <c r="C6" i="7"/>
  <c r="C7" i="7"/>
  <c r="D7" i="7"/>
  <c r="F7" i="7"/>
  <c r="C8" i="7"/>
  <c r="C9" i="7"/>
  <c r="D9" i="7"/>
  <c r="F9" i="7"/>
  <c r="F14" i="7"/>
  <c r="G14" i="7"/>
  <c r="G17" i="7"/>
  <c r="H17" i="7"/>
  <c r="I17" i="7"/>
  <c r="J17" i="7"/>
  <c r="K17" i="7"/>
  <c r="L17" i="7"/>
  <c r="M17" i="7"/>
  <c r="N17" i="7"/>
  <c r="O17" i="7"/>
  <c r="P17" i="7"/>
  <c r="Q17" i="7"/>
  <c r="R17" i="7"/>
  <c r="B18" i="7"/>
  <c r="C18" i="7"/>
  <c r="D18" i="7"/>
  <c r="B19" i="7"/>
  <c r="C19" i="7"/>
  <c r="D19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B20" i="7"/>
  <c r="C20" i="7"/>
  <c r="D20" i="7"/>
  <c r="G20" i="7"/>
  <c r="H20" i="7"/>
  <c r="I20" i="7"/>
  <c r="J20" i="7"/>
  <c r="K20" i="7"/>
  <c r="L20" i="7"/>
  <c r="M20" i="7"/>
  <c r="N20" i="7"/>
  <c r="O20" i="7"/>
  <c r="P20" i="7"/>
  <c r="Q20" i="7"/>
  <c r="R20" i="7"/>
  <c r="S20" i="7"/>
  <c r="G21" i="7"/>
  <c r="H21" i="7"/>
  <c r="I21" i="7"/>
  <c r="J21" i="7"/>
  <c r="K21" i="7"/>
  <c r="L21" i="7"/>
  <c r="M21" i="7"/>
  <c r="N21" i="7"/>
  <c r="O21" i="7"/>
  <c r="P21" i="7"/>
  <c r="Q21" i="7"/>
  <c r="R21" i="7"/>
  <c r="S21" i="7"/>
  <c r="S22" i="7"/>
  <c r="C5" i="8"/>
  <c r="D5" i="8"/>
  <c r="C6" i="8"/>
  <c r="C7" i="8"/>
  <c r="D7" i="8"/>
  <c r="F7" i="8"/>
  <c r="C8" i="8"/>
  <c r="C9" i="8"/>
  <c r="D9" i="8"/>
  <c r="F9" i="8"/>
  <c r="F14" i="8"/>
  <c r="G14" i="8"/>
  <c r="G17" i="8"/>
  <c r="H17" i="8"/>
  <c r="I17" i="8"/>
  <c r="J17" i="8"/>
  <c r="K17" i="8"/>
  <c r="L17" i="8"/>
  <c r="M17" i="8"/>
  <c r="N17" i="8"/>
  <c r="O17" i="8"/>
  <c r="P17" i="8"/>
  <c r="Q17" i="8"/>
  <c r="R17" i="8"/>
  <c r="B18" i="8"/>
  <c r="C18" i="8"/>
  <c r="D18" i="8"/>
  <c r="B19" i="8"/>
  <c r="C19" i="8"/>
  <c r="D19" i="8"/>
  <c r="G19" i="8"/>
  <c r="H19" i="8"/>
  <c r="I19" i="8"/>
  <c r="J19" i="8"/>
  <c r="K19" i="8"/>
  <c r="L19" i="8"/>
  <c r="M19" i="8"/>
  <c r="N19" i="8"/>
  <c r="O19" i="8"/>
  <c r="P19" i="8"/>
  <c r="Q19" i="8"/>
  <c r="R19" i="8"/>
  <c r="S19" i="8"/>
  <c r="G20" i="8"/>
  <c r="H20" i="8"/>
  <c r="I20" i="8"/>
  <c r="J20" i="8"/>
  <c r="K20" i="8"/>
  <c r="L20" i="8"/>
  <c r="M20" i="8"/>
  <c r="N20" i="8"/>
  <c r="O20" i="8"/>
  <c r="P20" i="8"/>
  <c r="Q20" i="8"/>
  <c r="R20" i="8"/>
  <c r="S20" i="8"/>
  <c r="S21" i="8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worksheet" Target="/xl/worksheets/sheet11.xml" Id="rId11" /><ns0:Relationship Type="http://schemas.openxmlformats.org/officeDocument/2006/relationships/styles" Target="styles.xml" Id="rId12" /><ns0:Relationship Type="http://schemas.openxmlformats.org/officeDocument/2006/relationships/theme" Target="theme/theme1.xml" Id="rId13" /><ns0:Relationship Id="rId14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4" authorId="0" shapeId="0">
      <text>
        <t>In which country do you currently work?</t>
      </text>
    </comment>
  </commentList>
</comments>
</file>

<file path=xl/comments/comment2.xml><?xml version="1.0" encoding="utf-8"?>
<comments xmlns="http://schemas.openxmlformats.org/spreadsheetml/2006/main">
  <authors>
    <author>Survey Analysis Engine</author>
  </authors>
  <commentList>
    <comment ref="A5" authorId="0" shapeId="0">
      <text>
        <t>In which country do you currently work?</t>
      </text>
    </comment>
  </commentList>
</comments>
</file>

<file path=xl/comments/comment3.xml><?xml version="1.0" encoding="utf-8"?>
<comments xmlns="http://schemas.openxmlformats.org/spreadsheetml/2006/main">
  <authors>
    <author>Survey Analysis Engine</author>
  </authors>
  <commentList>
    <comment ref="A5" authorId="0" shapeId="0">
      <text>
        <t>In which country do you currently work?</t>
      </text>
    </comment>
  </commentList>
</comments>
</file>

<file path=xl/tables/table1.xml><?xml version="1.0" encoding="utf-8"?>
<table xmlns="http://schemas.openxmlformats.org/spreadsheetml/2006/main" id="1" name="T_Demographics_17_1" displayName="T_Demographics_17_1" ref="A17:D21" headerRowCount="1">
  <autoFilter ref="A17:D2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17_1" displayName="T_All_Questions_17_1" ref="A17:D20" headerRowCount="1">
  <autoFilter ref="A17:D2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6.xml.rels><Relationships xmlns="http://schemas.openxmlformats.org/package/2006/relationships"><Relationship Type="http://schemas.openxmlformats.org/officeDocument/2006/relationships/hyperlink" Target="#'Demographics'!A1" TargetMode="External" Id="rId1"/><Relationship Type="http://schemas.openxmlformats.org/officeDocument/2006/relationships/hyperlink" Target="#'All Questions'!A1" TargetMode="External" Id="rId2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8.xml.rels><Relationships xmlns="http://schemas.openxmlformats.org/package/2006/relationships"><Relationship Type="http://schemas.openxmlformats.org/officeDocument/2006/relationships/table" Target="/xl/tables/table2.xml" Id="rId1"/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Q1</t>
        </is>
      </c>
      <c r="C1" t="inlineStr">
        <is>
          <t>Q2</t>
        </is>
      </c>
      <c r="D1" t="inlineStr">
        <is>
          <t>Q3r1</t>
        </is>
      </c>
      <c r="E1" t="inlineStr">
        <is>
          <t>F_Q1_match</t>
        </is>
      </c>
      <c r="F1" t="inlineStr">
        <is>
          <t>passes_workbook_filters</t>
        </is>
      </c>
      <c r="G1" t="inlineStr">
        <is>
          <t>F_Custom1_match</t>
        </is>
      </c>
      <c r="H1" t="inlineStr">
        <is>
          <t>F_Custom2_match</t>
        </is>
      </c>
      <c r="I1" t="inlineStr">
        <is>
          <t>passes_workbook_custom_filters</t>
        </is>
      </c>
      <c r="J1" t="inlineStr">
        <is>
          <t>Demographics_F_Q1_local_match</t>
        </is>
      </c>
      <c r="K1" t="inlineStr">
        <is>
          <t>Demographics_passes_local_filters</t>
        </is>
      </c>
      <c r="L1" t="inlineStr">
        <is>
          <t>Demographics_Q1_F_passes_per_q_filter</t>
        </is>
      </c>
      <c r="M1" t="inlineStr">
        <is>
          <t>All_Questions_F_Q1_local_match</t>
        </is>
      </c>
      <c r="N1" t="inlineStr">
        <is>
          <t>All_Questions_passes_local_filters</t>
        </is>
      </c>
      <c r="O1" t="inlineStr">
        <is>
          <t>All_Questions_Q2_F_passes_per_q_filter</t>
        </is>
      </c>
    </row>
    <row r="2">
      <c r="A2" t="n">
        <v>1</v>
      </c>
      <c r="B2" t="inlineStr">
        <is>
          <t>United States</t>
        </is>
      </c>
      <c r="C2" t="inlineStr">
        <is>
          <t>Version 2</t>
        </is>
      </c>
      <c r="E2">
        <f>(((F_Q1="(All)")+(F_Q1="")+ISBLANK(F_Q1)+ISNUMBER(SEARCH("|"&amp;B2&amp;"|",F_Q1_wrapped)))&gt;0)*1</f>
        <v>1</v>
      </c>
      <c r="F2">
        <f>E2*1</f>
        <v>1</v>
      </c>
      <c r="G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H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I2">
        <f>G2*H2*1</f>
        <v>1</v>
      </c>
      <c r="J2">
        <f>(((Demographics_F_Q1_resolved="(All)")+(Demographics_F_Q1_resolved="")+ISBLANK(Demographics_F_Q1_resolved)+ISNUMBER(SEARCH("|"&amp;B2&amp;"|",Demographics_F_Q1_wrapped)))&gt;0)*1</f>
        <v>1</v>
      </c>
      <c r="K2">
        <f>J2*1</f>
        <v>1</v>
      </c>
      <c r="L2">
        <f>IF(OR(Demographics_Q1_F_Q="(None)",Demographics_Q1_F_Q="",ISBLANK(Demographics_Q1_F_Q),Demographics_Q1_F_V="(All)",Demographics_Q1_F_V="",ISBLANK(Demographics_Q1_F_V)),1,IFERROR(IF(ISNUMBER(SEARCH("|"&amp;INDEX(INDIRECT(Demographics_Q1_F_resolved_column),1)&amp;"|",Demographics_Q1_F_wrapped)),1,0),0))</f>
        <v>1</v>
      </c>
      <c r="M2">
        <f>(((All_Questions_F_Q1_resolved="(All)")+(All_Questions_F_Q1_resolved="")+ISBLANK(All_Questions_F_Q1_resolved)+ISNUMBER(SEARCH("|"&amp;B2&amp;"|",All_Questions_F_Q1_wrapped)))&gt;0)*1</f>
        <v>1</v>
      </c>
      <c r="N2">
        <f>M2*1</f>
        <v>1</v>
      </c>
      <c r="O2">
        <f>IF(OR(All_Questions_Q2_F_Q="(None)",All_Questions_Q2_F_Q="",ISBLANK(All_Questions_Q2_F_Q),All_Questions_Q2_F_V="(All)",All_Questions_Q2_F_V="",ISBLANK(All_Questions_Q2_F_V)),1,IFERROR(IF(ISNUMBER(SEARCH("|"&amp;INDEX(INDIRECT(All_Questions_Q2_F_resolved_column),1)&amp;"|",All_Questions_Q2_F_wrapped)),1,0),0))</f>
        <v>1</v>
      </c>
    </row>
    <row r="3">
      <c r="A3" t="n">
        <v>2</v>
      </c>
      <c r="B3" t="inlineStr">
        <is>
          <t>United States</t>
        </is>
      </c>
      <c r="C3" t="inlineStr">
        <is>
          <t>Version 2</t>
        </is>
      </c>
      <c r="E3">
        <f>(((F_Q1="(All)")+(F_Q1="")+ISBLANK(F_Q1)+ISNUMBER(SEARCH("|"&amp;B3&amp;"|",F_Q1_wrapped)))&gt;0)*1</f>
        <v>1</v>
      </c>
      <c r="F3">
        <f>E3*1</f>
        <v>1</v>
      </c>
      <c r="G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H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I3">
        <f>G3*H3*1</f>
        <v>1</v>
      </c>
      <c r="J3">
        <f>(((Demographics_F_Q1_resolved="(All)")+(Demographics_F_Q1_resolved="")+ISBLANK(Demographics_F_Q1_resolved)+ISNUMBER(SEARCH("|"&amp;B3&amp;"|",Demographics_F_Q1_wrapped)))&gt;0)*1</f>
        <v>1</v>
      </c>
      <c r="K3">
        <f>J3*1</f>
        <v>1</v>
      </c>
      <c r="L3">
        <f>IF(OR(Demographics_Q1_F_Q="(None)",Demographics_Q1_F_Q="",ISBLANK(Demographics_Q1_F_Q),Demographics_Q1_F_V="(All)",Demographics_Q1_F_V="",ISBLANK(Demographics_Q1_F_V)),1,IFERROR(IF(ISNUMBER(SEARCH("|"&amp;INDEX(INDIRECT(Demographics_Q1_F_resolved_column),2)&amp;"|",Demographics_Q1_F_wrapped)),1,0),0))</f>
        <v>1</v>
      </c>
      <c r="M3">
        <f>(((All_Questions_F_Q1_resolved="(All)")+(All_Questions_F_Q1_resolved="")+ISBLANK(All_Questions_F_Q1_resolved)+ISNUMBER(SEARCH("|"&amp;B3&amp;"|",All_Questions_F_Q1_wrapped)))&gt;0)*1</f>
        <v>1</v>
      </c>
      <c r="N3">
        <f>M3*1</f>
        <v>1</v>
      </c>
      <c r="O3">
        <f>IF(OR(All_Questions_Q2_F_Q="(None)",All_Questions_Q2_F_Q="",ISBLANK(All_Questions_Q2_F_Q),All_Questions_Q2_F_V="(All)",All_Questions_Q2_F_V="",ISBLANK(All_Questions_Q2_F_V)),1,IFERROR(IF(ISNUMBER(SEARCH("|"&amp;INDEX(INDIRECT(All_Questions_Q2_F_resolved_column),2)&amp;"|",All_Questions_Q2_F_wrapped)),1,0),0))</f>
        <v>1</v>
      </c>
    </row>
    <row r="4">
      <c r="A4" t="n">
        <v>3</v>
      </c>
      <c r="B4" t="inlineStr">
        <is>
          <t>Canada</t>
        </is>
      </c>
      <c r="C4" t="inlineStr">
        <is>
          <t>Version 3</t>
        </is>
      </c>
      <c r="E4">
        <f>(((F_Q1="(All)")+(F_Q1="")+ISBLANK(F_Q1)+ISNUMBER(SEARCH("|"&amp;B4&amp;"|",F_Q1_wrapped)))&gt;0)*1</f>
        <v>1</v>
      </c>
      <c r="F4">
        <f>E4*1</f>
        <v>1</v>
      </c>
      <c r="G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H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I4">
        <f>G4*H4*1</f>
        <v>1</v>
      </c>
      <c r="J4">
        <f>(((Demographics_F_Q1_resolved="(All)")+(Demographics_F_Q1_resolved="")+ISBLANK(Demographics_F_Q1_resolved)+ISNUMBER(SEARCH("|"&amp;B4&amp;"|",Demographics_F_Q1_wrapped)))&gt;0)*1</f>
        <v>1</v>
      </c>
      <c r="K4">
        <f>J4*1</f>
        <v>1</v>
      </c>
      <c r="L4">
        <f>IF(OR(Demographics_Q1_F_Q="(None)",Demographics_Q1_F_Q="",ISBLANK(Demographics_Q1_F_Q),Demographics_Q1_F_V="(All)",Demographics_Q1_F_V="",ISBLANK(Demographics_Q1_F_V)),1,IFERROR(IF(ISNUMBER(SEARCH("|"&amp;INDEX(INDIRECT(Demographics_Q1_F_resolved_column),3)&amp;"|",Demographics_Q1_F_wrapped)),1,0),0))</f>
        <v>1</v>
      </c>
      <c r="M4">
        <f>(((All_Questions_F_Q1_resolved="(All)")+(All_Questions_F_Q1_resolved="")+ISBLANK(All_Questions_F_Q1_resolved)+ISNUMBER(SEARCH("|"&amp;B4&amp;"|",All_Questions_F_Q1_wrapped)))&gt;0)*1</f>
        <v>1</v>
      </c>
      <c r="N4">
        <f>M4*1</f>
        <v>1</v>
      </c>
      <c r="O4">
        <f>IF(OR(All_Questions_Q2_F_Q="(None)",All_Questions_Q2_F_Q="",ISBLANK(All_Questions_Q2_F_Q),All_Questions_Q2_F_V="(All)",All_Questions_Q2_F_V="",ISBLANK(All_Questions_Q2_F_V)),1,IFERROR(IF(ISNUMBER(SEARCH("|"&amp;INDEX(INDIRECT(All_Questions_Q2_F_resolved_column),3)&amp;"|",All_Questions_Q2_F_wrapped)),1,0),0))</f>
        <v>1</v>
      </c>
    </row>
    <row r="5">
      <c r="A5" t="n">
        <v>4</v>
      </c>
      <c r="B5" t="inlineStr">
        <is>
          <t>India</t>
        </is>
      </c>
      <c r="C5" t="inlineStr">
        <is>
          <t>Version 3</t>
        </is>
      </c>
      <c r="E5">
        <f>(((F_Q1="(All)")+(F_Q1="")+ISBLANK(F_Q1)+ISNUMBER(SEARCH("|"&amp;B5&amp;"|",F_Q1_wrapped)))&gt;0)*1</f>
        <v>1</v>
      </c>
      <c r="F5">
        <f>E5*1</f>
        <v>1</v>
      </c>
      <c r="G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H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I5">
        <f>G5*H5*1</f>
        <v>1</v>
      </c>
      <c r="J5">
        <f>(((Demographics_F_Q1_resolved="(All)")+(Demographics_F_Q1_resolved="")+ISBLANK(Demographics_F_Q1_resolved)+ISNUMBER(SEARCH("|"&amp;B5&amp;"|",Demographics_F_Q1_wrapped)))&gt;0)*1</f>
        <v>1</v>
      </c>
      <c r="K5">
        <f>J5*1</f>
        <v>1</v>
      </c>
      <c r="L5">
        <f>IF(OR(Demographics_Q1_F_Q="(None)",Demographics_Q1_F_Q="",ISBLANK(Demographics_Q1_F_Q),Demographics_Q1_F_V="(All)",Demographics_Q1_F_V="",ISBLANK(Demographics_Q1_F_V)),1,IFERROR(IF(ISNUMBER(SEARCH("|"&amp;INDEX(INDIRECT(Demographics_Q1_F_resolved_column),4)&amp;"|",Demographics_Q1_F_wrapped)),1,0),0))</f>
        <v>1</v>
      </c>
      <c r="M5">
        <f>(((All_Questions_F_Q1_resolved="(All)")+(All_Questions_F_Q1_resolved="")+ISBLANK(All_Questions_F_Q1_resolved)+ISNUMBER(SEARCH("|"&amp;B5&amp;"|",All_Questions_F_Q1_wrapped)))&gt;0)*1</f>
        <v>1</v>
      </c>
      <c r="N5">
        <f>M5*1</f>
        <v>1</v>
      </c>
      <c r="O5">
        <f>IF(OR(All_Questions_Q2_F_Q="(None)",All_Questions_Q2_F_Q="",ISBLANK(All_Questions_Q2_F_Q),All_Questions_Q2_F_V="(All)",All_Questions_Q2_F_V="",ISBLANK(All_Questions_Q2_F_V)),1,IFERROR(IF(ISNUMBER(SEARCH("|"&amp;INDEX(INDIRECT(All_Questions_Q2_F_resolved_column),4)&amp;"|",All_Questions_Q2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Q1_options</t>
        </is>
      </c>
      <c r="G1" t="inlineStr">
        <is>
          <t>Q2_options</t>
        </is>
      </c>
      <c r="H1" t="inlineStr">
        <is>
          <t>Q3r1_options</t>
        </is>
      </c>
      <c r="I1" t="inlineStr">
        <is>
          <t>Q1_local_options</t>
        </is>
      </c>
      <c r="J1" t="inlineStr">
        <is>
          <t>Q2_local_options</t>
        </is>
      </c>
      <c r="K1" t="inlineStr">
        <is>
          <t>Q3r1_local_options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'_RawData'!$A$2:$A$5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(Inherit)</t>
        </is>
      </c>
      <c r="J2" t="inlineStr">
        <is>
          <t>(Inherit)</t>
        </is>
      </c>
      <c r="K2" t="inlineStr">
        <is>
          <t>(Inherit)</t>
        </is>
      </c>
    </row>
    <row r="3">
      <c r="A3" t="inlineStr">
        <is>
          <t>Q1 - Country</t>
        </is>
      </c>
      <c r="B3" t="inlineStr">
        <is>
          <t>(None)</t>
        </is>
      </c>
      <c r="C3" t="inlineStr">
        <is>
          <t>'_RawData'!$B$2:$B$5</t>
        </is>
      </c>
      <c r="D3" t="inlineStr">
        <is>
          <t>'_Options'!$F$2:$F$5</t>
        </is>
      </c>
      <c r="F3" t="inlineStr">
        <is>
          <t>United States</t>
        </is>
      </c>
      <c r="G3" t="inlineStr">
        <is>
          <t>Version 2</t>
        </is>
      </c>
      <c r="H3" t="inlineStr">
        <is>
          <t>Selected</t>
        </is>
      </c>
      <c r="I3" t="inlineStr">
        <is>
          <t>(All)</t>
        </is>
      </c>
      <c r="J3" t="inlineStr">
        <is>
          <t>(All)</t>
        </is>
      </c>
      <c r="K3" t="inlineStr">
        <is>
          <t>(All)</t>
        </is>
      </c>
    </row>
    <row r="4">
      <c r="A4" t="inlineStr">
        <is>
          <t>Q2 - Survey Version</t>
        </is>
      </c>
      <c r="B4" t="inlineStr">
        <is>
          <t>Q1 - Country</t>
        </is>
      </c>
      <c r="C4" t="inlineStr">
        <is>
          <t>'_RawData'!$C$2:$C$5</t>
        </is>
      </c>
      <c r="D4" t="inlineStr">
        <is>
          <t>'_Options'!$G$2:$G$4</t>
        </is>
      </c>
      <c r="F4" t="inlineStr">
        <is>
          <t>Canada</t>
        </is>
      </c>
      <c r="G4" t="inlineStr">
        <is>
          <t>Version 3</t>
        </is>
      </c>
      <c r="I4" t="inlineStr">
        <is>
          <t>United States</t>
        </is>
      </c>
      <c r="J4" t="inlineStr">
        <is>
          <t>Version 2</t>
        </is>
      </c>
      <c r="K4" t="inlineStr">
        <is>
          <t>Selected</t>
        </is>
      </c>
    </row>
    <row r="5">
      <c r="B5" t="inlineStr">
        <is>
          <t>Q2 - Survey Version</t>
        </is>
      </c>
      <c r="F5" t="inlineStr">
        <is>
          <t>India</t>
        </is>
      </c>
      <c r="I5" t="inlineStr">
        <is>
          <t>Canada</t>
        </is>
      </c>
      <c r="J5" t="inlineStr">
        <is>
          <t>Version 3</t>
        </is>
      </c>
    </row>
    <row r="6">
      <c r="I6" t="inlineStr">
        <is>
          <t>India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>
      <c r="A4" t="inlineStr">
        <is>
          <t>Country</t>
        </is>
      </c>
      <c r="B4" t="inlineStr">
        <is>
          <t>(All)</t>
        </is>
      </c>
      <c r="C4" t="str">
        <f>"|" &amp; SUBSTITUTE(F_Q1, ", ", "|") &amp; "|"</f>
        <v>|(All)|</v>
      </c>
      <c r="D4" t="inlineStr">
        <is>
          <t>United States, Canada, India</t>
        </is>
      </c>
    </row>
    <row r="6">
      <c r="A6" s="4" t="inlineStr">
        <is>
          <t>CUSTOM FILTERS</t>
        </is>
      </c>
      <c r="B6" s="2" t="n"/>
      <c r="C6" s="2" t="n"/>
      <c r="D6" s="2" t="n"/>
      <c r="E6" s="2" t="n"/>
      <c r="F6" s="2" t="n"/>
    </row>
    <row r="7">
      <c r="A7" t="inlineStr">
        <is>
          <t>Filter 1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IFERROR(INDEX(All_Questions_Data_Names,MATCH(F_Custom1_Q,All_Questions,0)),"'_RawData'!$A:$A")</f>
        <v>respondent_id_data</v>
      </c>
      <c r="F7" t="str">
        <f>"|" &amp; SUBSTITUTE(F_Custom1_V, ", ", "|") &amp; "|"</f>
        <v>|(All)|</v>
      </c>
    </row>
    <row r="8">
      <c r="A8" t="inlineStr">
        <is>
          <t>Filter 2 question</t>
        </is>
      </c>
      <c r="B8" t="inlineStr">
        <is>
          <t>(None)</t>
        </is>
      </c>
      <c r="C8" t="inlineStr">
        <is>
          <t>Filter value</t>
        </is>
      </c>
      <c r="D8" t="inlineStr">
        <is>
          <t>(All)</t>
        </is>
      </c>
      <c r="E8" t="str">
        <f>IFERROR(INDEX(All_Questions_Data_Names,MATCH(F_Custom2_Q,All_Questions,0)),"'_RawData'!$A:$A")</f>
        <v>respondent_id_data</v>
      </c>
      <c r="F8" t="str">
        <f>"|" &amp; SUBSTITUTE(F_Custom2_V, ", ", "|") &amp; "|"</f>
        <v>|(All)|</v>
      </c>
    </row>
  </sheetData>
  <dataValidations count="5">
    <dataValidation sqref="B4" showDropDown="0" showInputMessage="0" showErrorMessage="0" allowBlank="1" type="list">
      <formula1>=Q1_options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=INDIRECT(IFERROR(INDEX(All_Questions_Options_Names,MATCH(F_Custom1_Q,All_Questions,0)),"'_Options'!$E$2:$E$2"))</formula1>
    </dataValidation>
    <dataValidation sqref="B8" showDropDown="0" showInputMessage="0" showErrorMessage="0" allowBlank="1" type="list">
      <formula1>=All_Questions</formula1>
    </dataValidation>
    <dataValidation sqref="D8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4</v>
      </c>
    </row>
    <row r="5">
      <c r="A5" s="5" t="inlineStr">
        <is>
          <t>Total questions:</t>
        </is>
      </c>
      <c r="B5" t="n">
        <v>3</v>
      </c>
    </row>
    <row r="6">
      <c r="A6" s="5" t="inlineStr">
        <is>
          <t>Results produced:</t>
        </is>
      </c>
      <c r="B6" t="n">
        <v>2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0</v>
      </c>
    </row>
    <row r="11">
      <c r="A11" s="5" t="inlineStr">
        <is>
          <t>Quality warnings:</t>
        </is>
      </c>
      <c r="B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46" customWidth="1" min="3" max="3"/>
    <col width="21" customWidth="1" min="4" max="4"/>
    <col width="13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[Q1]</t>
        </is>
      </c>
      <c r="B2" t="inlineStr">
        <is>
          <t>Q1</t>
        </is>
      </c>
      <c r="C2" t="inlineStr">
        <is>
          <t>In which country do you currently work?</t>
        </is>
      </c>
      <c r="D2" t="inlineStr">
        <is>
          <t>SINGLE_SELECT</t>
        </is>
      </c>
      <c r="E2" t="inlineStr">
        <is>
          <t>Q1</t>
        </is>
      </c>
      <c r="F2" t="n">
        <v>3</v>
      </c>
      <c r="G2" t="inlineStr">
        <is>
          <t>Yes</t>
        </is>
      </c>
      <c r="H2" t="inlineStr">
        <is>
          <t>Yes</t>
        </is>
      </c>
      <c r="I2" t="inlineStr"/>
    </row>
    <row r="3">
      <c r="A3" t="inlineStr">
        <is>
          <t>[Q2]</t>
        </is>
      </c>
      <c r="B3" t="inlineStr">
        <is>
          <t>Q2</t>
        </is>
      </c>
      <c r="C3" t="inlineStr">
        <is>
          <t>Which survey version did the respondent see?</t>
        </is>
      </c>
      <c r="D3" t="inlineStr">
        <is>
          <t>SINGLE_SELECT</t>
        </is>
      </c>
      <c r="E3" t="inlineStr">
        <is>
          <t>Q2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[Q3]</t>
        </is>
      </c>
      <c r="B4" t="inlineStr">
        <is>
          <t>Q3</t>
        </is>
      </c>
      <c r="C4" t="inlineStr">
        <is>
          <t>Which terms apply?</t>
        </is>
      </c>
      <c r="D4" t="inlineStr">
        <is>
          <t>MULTI_SELECT_BINARY</t>
        </is>
      </c>
      <c r="E4" t="inlineStr">
        <is>
          <t>Q3r1</t>
        </is>
      </c>
      <c r="F4" t="n">
        <v>1</v>
      </c>
      <c r="G4" t="inlineStr">
        <is>
          <t>Yes</t>
        </is>
      </c>
      <c r="H4" t="inlineStr">
        <is>
          <t>No</t>
        </is>
      </c>
      <c r="I4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15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Q1</t>
        </is>
      </c>
      <c r="B2" t="inlineStr">
        <is>
          <t>Q1</t>
        </is>
      </c>
      <c r="C2" t="inlineStr">
        <is>
          <t>SINGLE_SELECT</t>
        </is>
      </c>
      <c r="D2" t="inlineStr">
        <is>
          <t>Demographics</t>
        </is>
      </c>
      <c r="E2" s="6" t="inlineStr">
        <is>
          <t>Demographics</t>
        </is>
      </c>
      <c r="F2" t="n">
        <v>4</v>
      </c>
      <c r="G2" t="n">
        <v>0</v>
      </c>
      <c r="H2" s="7" t="n">
        <v>0</v>
      </c>
      <c r="I2" t="inlineStr"/>
    </row>
    <row r="3">
      <c r="A3" t="inlineStr">
        <is>
          <t>Q2</t>
        </is>
      </c>
      <c r="B3" t="inlineStr">
        <is>
          <t>Q2</t>
        </is>
      </c>
      <c r="C3" t="inlineStr">
        <is>
          <t>SINGLE_SELECT</t>
        </is>
      </c>
      <c r="D3" t="inlineStr">
        <is>
          <t>All Questions</t>
        </is>
      </c>
      <c r="E3" s="6" t="inlineStr">
        <is>
          <t>All Questions</t>
        </is>
      </c>
      <c r="F3" t="n">
        <v>4</v>
      </c>
      <c r="G3" t="n">
        <v>0</v>
      </c>
      <c r="H3" s="7" t="n">
        <v>0</v>
      </c>
      <c r="I3" t="inlineStr"/>
    </row>
  </sheetData>
  <hyperlinks>
    <hyperlink xmlns:r="http://schemas.openxmlformats.org/officeDocument/2006/relationships" ref="E2" r:id="rId1"/>
    <hyperlink xmlns:r="http://schemas.openxmlformats.org/officeDocument/2006/relationships" ref="E3" r:id="rId2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2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Demographics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Country</t>
        </is>
      </c>
      <c r="B5" t="inlineStr">
        <is>
          <t>(Inherit)</t>
        </is>
      </c>
      <c r="C5" t="str">
        <f>IF(Demographics_F_Q1="(Inherit)",F_Q1,Demographics_F_Q1)</f>
        <v>(All)</v>
      </c>
      <c r="D5" t="str">
        <f>"|" &amp; SUBSTITUTE(Demographics_F_Q1_resolved, ", ", "|") &amp; "|"</f>
        <v>|(All)|</v>
      </c>
      <c r="E5" t="inlineStr">
        <is>
          <t>United States, Canada, India</t>
        </is>
      </c>
    </row>
    <row r="6">
      <c r="A6" t="inlineStr">
        <is>
          <t>Custom 1 question</t>
        </is>
      </c>
      <c r="B6" t="inlineStr">
        <is>
          <t>(Inherit)</t>
        </is>
      </c>
      <c r="C6" t="str">
        <f>IF(Demographics_F_Custom1_Q="(Inherit)",F_Custom1_Q,Demographics_F_Custom1_Q)</f>
        <v>(None)</v>
      </c>
      <c r="E6" t="inlineStr">
        <is>
          <t>Workbook question or local override</t>
        </is>
      </c>
    </row>
    <row r="7">
      <c r="A7" t="inlineStr">
        <is>
          <t>Custom 1 value</t>
        </is>
      </c>
      <c r="B7" t="inlineStr">
        <is>
          <t>(Inherit)</t>
        </is>
      </c>
      <c r="C7" t="str">
        <f>IF(Demographics_F_Custom1_V="(Inherit)",F_Custom1_V,Demographics_F_Custom1_V)</f>
        <v>(All)</v>
      </c>
      <c r="D7" t="str">
        <f>"|" &amp; SUBSTITUTE(Demographics_F_Custom1_V_resolved, ", ", "|") &amp; "|"</f>
        <v>|(All)|</v>
      </c>
      <c r="E7" t="inlineStr">
        <is>
          <t>Choose one value or type comma-separated values</t>
        </is>
      </c>
      <c r="F7" t="str">
        <f>IFERROR(INDEX(All_Questions_Data_Names,MATCH(Demographics_F_Custom1_Q_resolved,All_Questions,0)),"'_RawData'!$A:$A")</f>
        <v>respondent_id_data</v>
      </c>
    </row>
    <row r="8">
      <c r="A8" t="inlineStr">
        <is>
          <t>Custom 2 question</t>
        </is>
      </c>
      <c r="B8" t="inlineStr">
        <is>
          <t>(Inherit)</t>
        </is>
      </c>
      <c r="C8" t="str">
        <f>IF(Demographics_F_Custom2_Q="(Inherit)",F_Custom2_Q,Demographics_F_Custom2_Q)</f>
        <v>(None)</v>
      </c>
      <c r="E8" t="inlineStr">
        <is>
          <t>Workbook question or local override</t>
        </is>
      </c>
    </row>
    <row r="9">
      <c r="A9" t="inlineStr">
        <is>
          <t>Custom 2 value</t>
        </is>
      </c>
      <c r="B9" t="inlineStr">
        <is>
          <t>(Inherit)</t>
        </is>
      </c>
      <c r="C9" t="str">
        <f>IF(Demographics_F_Custom2_V="(Inherit)",F_Custom2_V,Demographics_F_Custom2_V)</f>
        <v>(All)</v>
      </c>
      <c r="D9" t="str">
        <f>"|" &amp; SUBSTITUTE(Demographics_F_Custom2_V_resolved, ", ", "|") &amp; "|"</f>
        <v>|(All)|</v>
      </c>
      <c r="E9" t="inlineStr">
        <is>
          <t>Choose one value or type comma-separated values</t>
        </is>
      </c>
      <c r="F9" t="str">
        <f>IFERROR(INDEX(All_Questions_Data_Names,MATCH(Demographics_F_Custom2_Q_resolved,All_Questions,0)),"'_RawData'!$A:$A")</f>
        <v>respondent_id_data</v>
      </c>
    </row>
    <row r="12">
      <c r="A12" s="11" t="n"/>
      <c r="B12" s="11" t="n"/>
      <c r="C12" s="11" t="n"/>
      <c r="D12" s="11" t="n"/>
      <c r="E12" s="11" t="n"/>
      <c r="F12" s="11" t="n"/>
      <c r="G12" s="11" t="n"/>
      <c r="H12" s="11" t="n"/>
      <c r="I12" s="11" t="n"/>
      <c r="J12" s="11" t="n"/>
    </row>
    <row r="13">
      <c r="A13" s="12" t="inlineStr">
        <is>
          <t>Q1 - In which country do you currently work?</t>
        </is>
      </c>
      <c r="B13" s="12" t="n"/>
      <c r="C13" s="12" t="n"/>
      <c r="D13" s="12" t="n"/>
      <c r="E13" s="12" t="n"/>
      <c r="F13" s="12" t="n"/>
      <c r="G13" s="12" t="n"/>
      <c r="H13" s="12" t="n"/>
      <c r="I13" s="12" t="n"/>
      <c r="J13" s="12" t="n"/>
      <c r="K13" s="12" t="n"/>
      <c r="L13" s="12" t="n"/>
      <c r="M13" s="12" t="n"/>
      <c r="N13" s="12" t="n"/>
    </row>
    <row r="14">
      <c r="A14" s="13" t="inlineStr">
        <is>
          <t>Per-question filter</t>
        </is>
      </c>
      <c r="B14" t="inlineStr">
        <is>
          <t>Filter Q</t>
        </is>
      </c>
      <c r="C14" t="inlineStr">
        <is>
          <t>(None)</t>
        </is>
      </c>
      <c r="D14" t="inlineStr">
        <is>
          <t>Value</t>
        </is>
      </c>
      <c r="E14" t="inlineStr">
        <is>
          <t>(All)</t>
        </is>
      </c>
      <c r="F14" t="str">
        <f>IFERROR(INDEX(All_Questions_Data_Names,MATCH(Demographics_Q1_F_Q,All_Questions,0)),"'_RawData'!$A:$A")</f>
        <v>respondent_id_data</v>
      </c>
      <c r="G14" t="str">
        <f>"|" &amp; SUBSTITUTE(Demographics_Q1_F_V, ", ", "|") &amp; "|"</f>
        <v>|(All)|</v>
      </c>
    </row>
    <row r="15">
      <c r="A15" s="13" t="inlineStr">
        <is>
          <t>Cross-tab by</t>
        </is>
      </c>
      <c r="C15" t="inlineStr">
        <is>
          <t>(None)</t>
        </is>
      </c>
    </row>
    <row r="17">
      <c r="A17" s="4" t="inlineStr">
        <is>
          <t>Option</t>
        </is>
      </c>
      <c r="B17" s="4" t="inlineStr">
        <is>
          <t>Count</t>
        </is>
      </c>
      <c r="C17" s="4" t="inlineStr">
        <is>
          <t>%</t>
        </is>
      </c>
      <c r="D17" s="4" t="inlineStr">
        <is>
          <t>Denominator</t>
        </is>
      </c>
      <c r="F17" s="4" t="inlineStr">
        <is>
          <t>Option</t>
        </is>
      </c>
      <c r="G17" s="2" t="str">
        <f>IF(Demographics_Q1_CT="(None)","",IFERROR(INDEX(INDIRECT(IFERROR(INDEX(All_Questions_Options_Names,MATCH(Demographics_Q1_CT,All_Questions,0)),"'_Options'!$E$2:$E$2")),2),""))</f>
        <v/>
      </c>
      <c r="H17" s="2" t="str">
        <f>IF(Demographics_Q1_CT="(None)","",IFERROR(INDEX(INDIRECT(IFERROR(INDEX(All_Questions_Options_Names,MATCH(Demographics_Q1_CT,All_Questions,0)),"'_Options'!$E$2:$E$2")),3),""))</f>
        <v/>
      </c>
      <c r="I17" s="2" t="str">
        <f>IF(Demographics_Q1_CT="(None)","",IFERROR(INDEX(INDIRECT(IFERROR(INDEX(All_Questions_Options_Names,MATCH(Demographics_Q1_CT,All_Questions,0)),"'_Options'!$E$2:$E$2")),4),""))</f>
        <v/>
      </c>
      <c r="J17" s="2" t="str">
        <f>IF(Demographics_Q1_CT="(None)","",IFERROR(INDEX(INDIRECT(IFERROR(INDEX(All_Questions_Options_Names,MATCH(Demographics_Q1_CT,All_Questions,0)),"'_Options'!$E$2:$E$2")),5),""))</f>
        <v/>
      </c>
      <c r="K17" s="2" t="str">
        <f>IF(Demographics_Q1_CT="(None)","",IFERROR(INDEX(INDIRECT(IFERROR(INDEX(All_Questions_Options_Names,MATCH(Demographics_Q1_CT,All_Questions,0)),"'_Options'!$E$2:$E$2")),6),""))</f>
        <v/>
      </c>
      <c r="L17" s="2" t="str">
        <f>IF(Demographics_Q1_CT="(None)","",IFERROR(INDEX(INDIRECT(IFERROR(INDEX(All_Questions_Options_Names,MATCH(Demographics_Q1_CT,All_Questions,0)),"'_Options'!$E$2:$E$2")),7),""))</f>
        <v/>
      </c>
      <c r="M17" s="2" t="str">
        <f>IF(Demographics_Q1_CT="(None)","",IFERROR(INDEX(INDIRECT(IFERROR(INDEX(All_Questions_Options_Names,MATCH(Demographics_Q1_CT,All_Questions,0)),"'_Options'!$E$2:$E$2")),8),""))</f>
        <v/>
      </c>
      <c r="N17" s="2" t="str">
        <f>IF(Demographics_Q1_CT="(None)","",IFERROR(INDEX(INDIRECT(IFERROR(INDEX(All_Questions_Options_Names,MATCH(Demographics_Q1_CT,All_Questions,0)),"'_Options'!$E$2:$E$2")),9),""))</f>
        <v/>
      </c>
      <c r="O17" s="2" t="str">
        <f>IF(Demographics_Q1_CT="(None)","",IFERROR(INDEX(INDIRECT(IFERROR(INDEX(All_Questions_Options_Names,MATCH(Demographics_Q1_CT,All_Questions,0)),"'_Options'!$E$2:$E$2")),10),""))</f>
        <v/>
      </c>
      <c r="P17" s="2" t="str">
        <f>IF(Demographics_Q1_CT="(None)","",IFERROR(INDEX(INDIRECT(IFERROR(INDEX(All_Questions_Options_Names,MATCH(Demographics_Q1_CT,All_Questions,0)),"'_Options'!$E$2:$E$2")),11),""))</f>
        <v/>
      </c>
      <c r="Q17" s="2" t="str">
        <f>IF(Demographics_Q1_CT="(None)","",IFERROR(INDEX(INDIRECT(IFERROR(INDEX(All_Questions_Options_Names,MATCH(Demographics_Q1_CT,All_Questions,0)),"'_Options'!$E$2:$E$2")),12),""))</f>
        <v/>
      </c>
      <c r="R17" s="2" t="str">
        <f>IF(Demographics_Q1_CT="(None)","",IF(COUNTA(INDIRECT(IFERROR(INDEX(All_Questions_Options_Names,MATCH(Demographics_Q1_CT,All_Questions,0)),"'_Options'!$E$2:$E$2")))-1&gt;11,"Other",IFERROR(INDEX(INDIRECT(IFERROR(INDEX(All_Questions_Options_Names,MATCH(Demographics_Q1_CT,All_Questions,0)),"'_Options'!$E$2:$E$2")),13),"")))</f>
        <v/>
      </c>
      <c r="S17" s="4" t="inlineStr">
        <is>
          <t>Total</t>
        </is>
      </c>
    </row>
    <row r="18">
      <c r="A18" t="inlineStr">
        <is>
          <t>United States</t>
        </is>
      </c>
      <c r="B18">
        <f>COUNTIFS(Q1_data,"United States",passes_workbook_filters_data,1,passes_workbook_custom_filters_data,1,Demographics_passes_local_filters_data,1,Demographics_Q1_F_passes_per_q_filter_data,1)</f>
        <v>2</v>
      </c>
      <c r="C18" s="7">
        <f>IFERROR(B18/SUBTOTAL(9,B18:B20),0)</f>
        <v>0.5</v>
      </c>
      <c r="D18" s="14">
        <f>SUBTOTAL(9,B18:B20)</f>
        <v>4</v>
      </c>
      <c r="F18" s="4" t="inlineStr"/>
      <c r="G18" s="4" t="inlineStr">
        <is>
          <t># of resp</t>
        </is>
      </c>
      <c r="H18" s="4" t="inlineStr">
        <is>
          <t># of resp</t>
        </is>
      </c>
      <c r="I18" s="4" t="inlineStr">
        <is>
          <t># of resp</t>
        </is>
      </c>
      <c r="J18" s="4" t="inlineStr">
        <is>
          <t># of resp</t>
        </is>
      </c>
      <c r="K18" s="4" t="inlineStr">
        <is>
          <t># of resp</t>
        </is>
      </c>
      <c r="L18" s="4" t="inlineStr">
        <is>
          <t># of resp</t>
        </is>
      </c>
      <c r="M18" s="4" t="inlineStr">
        <is>
          <t># of resp</t>
        </is>
      </c>
      <c r="N18" s="4" t="inlineStr">
        <is>
          <t># of resp</t>
        </is>
      </c>
      <c r="O18" s="4" t="inlineStr">
        <is>
          <t># of resp</t>
        </is>
      </c>
      <c r="P18" s="4" t="inlineStr">
        <is>
          <t># of resp</t>
        </is>
      </c>
      <c r="Q18" s="4" t="inlineStr">
        <is>
          <t># of resp</t>
        </is>
      </c>
      <c r="R18" s="4" t="inlineStr">
        <is>
          <t># of resp</t>
        </is>
      </c>
      <c r="S18" s="4" t="inlineStr">
        <is>
          <t># of resp</t>
        </is>
      </c>
    </row>
    <row r="19">
      <c r="A19" t="inlineStr">
        <is>
          <t>Canada</t>
        </is>
      </c>
      <c r="B19">
        <f>COUNTIFS(Q1_data,"Canada",passes_workbook_filters_data,1,passes_workbook_custom_filters_data,1,Demographics_passes_local_filters_data,1,Demographics_Q1_F_passes_per_q_filter_data,1)</f>
        <v>1</v>
      </c>
      <c r="C19" s="7">
        <f>IFERROR(B19/SUBTOTAL(9,B18:B20),0)</f>
        <v>0.25</v>
      </c>
      <c r="D19" s="14">
        <f>SUBTOTAL(9,B18:B20)</f>
        <v>4</v>
      </c>
      <c r="F19" t="inlineStr">
        <is>
          <t>United States</t>
        </is>
      </c>
      <c r="G19">
        <f>IF(OR(Demographics_Q1_CT="(None)",G$17=""),"",COUNTIFS(Q1_data,"United States",passes_workbook_filters_data,1,passes_workbook_custom_filters_data,1,Demographics_passes_local_filters_data,1,Demographics_Q1_F_passes_per_q_filter_data,1,INDIRECT(IFERROR(INDEX(All_Questions_Data_Names,MATCH(Demographics_Q1_CT,All_Questions,0)),"'_RawData'!$A:$A")),G$17))</f>
        <v>0</v>
      </c>
      <c r="H19">
        <f>IF(OR(Demographics_Q1_CT="(None)",H$17=""),"",COUNTIFS(Q1_data,"United States",passes_workbook_filters_data,1,passes_workbook_custom_filters_data,1,Demographics_passes_local_filters_data,1,Demographics_Q1_F_passes_per_q_filter_data,1,INDIRECT(IFERROR(INDEX(All_Questions_Data_Names,MATCH(Demographics_Q1_CT,All_Questions,0)),"'_RawData'!$A:$A")),H$17))</f>
        <v>0</v>
      </c>
      <c r="I19">
        <f>IF(OR(Demographics_Q1_CT="(None)",I$17=""),"",COUNTIFS(Q1_data,"United States",passes_workbook_filters_data,1,passes_workbook_custom_filters_data,1,Demographics_passes_local_filters_data,1,Demographics_Q1_F_passes_per_q_filter_data,1,INDIRECT(IFERROR(INDEX(All_Questions_Data_Names,MATCH(Demographics_Q1_CT,All_Questions,0)),"'_RawData'!$A:$A")),I$17))</f>
        <v>0</v>
      </c>
      <c r="J19">
        <f>IF(OR(Demographics_Q1_CT="(None)",J$17=""),"",COUNTIFS(Q1_data,"United States",passes_workbook_filters_data,1,passes_workbook_custom_filters_data,1,Demographics_passes_local_filters_data,1,Demographics_Q1_F_passes_per_q_filter_data,1,INDIRECT(IFERROR(INDEX(All_Questions_Data_Names,MATCH(Demographics_Q1_CT,All_Questions,0)),"'_RawData'!$A:$A")),J$17))</f>
        <v>0</v>
      </c>
      <c r="K19">
        <f>IF(OR(Demographics_Q1_CT="(None)",K$17=""),"",COUNTIFS(Q1_data,"United States",passes_workbook_filters_data,1,passes_workbook_custom_filters_data,1,Demographics_passes_local_filters_data,1,Demographics_Q1_F_passes_per_q_filter_data,1,INDIRECT(IFERROR(INDEX(All_Questions_Data_Names,MATCH(Demographics_Q1_CT,All_Questions,0)),"'_RawData'!$A:$A")),K$17))</f>
        <v>0</v>
      </c>
      <c r="L19">
        <f>IF(OR(Demographics_Q1_CT="(None)",L$17=""),"",COUNTIFS(Q1_data,"United States",passes_workbook_filters_data,1,passes_workbook_custom_filters_data,1,Demographics_passes_local_filters_data,1,Demographics_Q1_F_passes_per_q_filter_data,1,INDIRECT(IFERROR(INDEX(All_Questions_Data_Names,MATCH(Demographics_Q1_CT,All_Questions,0)),"'_RawData'!$A:$A")),L$17))</f>
        <v>0</v>
      </c>
      <c r="M19">
        <f>IF(OR(Demographics_Q1_CT="(None)",M$17=""),"",COUNTIFS(Q1_data,"United States",passes_workbook_filters_data,1,passes_workbook_custom_filters_data,1,Demographics_passes_local_filters_data,1,Demographics_Q1_F_passes_per_q_filter_data,1,INDIRECT(IFERROR(INDEX(All_Questions_Data_Names,MATCH(Demographics_Q1_CT,All_Questions,0)),"'_RawData'!$A:$A")),M$17))</f>
        <v>0</v>
      </c>
      <c r="N19">
        <f>IF(OR(Demographics_Q1_CT="(None)",N$17=""),"",COUNTIFS(Q1_data,"United States",passes_workbook_filters_data,1,passes_workbook_custom_filters_data,1,Demographics_passes_local_filters_data,1,Demographics_Q1_F_passes_per_q_filter_data,1,INDIRECT(IFERROR(INDEX(All_Questions_Data_Names,MATCH(Demographics_Q1_CT,All_Questions,0)),"'_RawData'!$A:$A")),N$17))</f>
        <v>0</v>
      </c>
      <c r="O19">
        <f>IF(OR(Demographics_Q1_CT="(None)",O$17=""),"",COUNTIFS(Q1_data,"United States",passes_workbook_filters_data,1,passes_workbook_custom_filters_data,1,Demographics_passes_local_filters_data,1,Demographics_Q1_F_passes_per_q_filter_data,1,INDIRECT(IFERROR(INDEX(All_Questions_Data_Names,MATCH(Demographics_Q1_CT,All_Questions,0)),"'_RawData'!$A:$A")),O$17))</f>
        <v>0</v>
      </c>
      <c r="P19">
        <f>IF(OR(Demographics_Q1_CT="(None)",P$17=""),"",COUNTIFS(Q1_data,"United States",passes_workbook_filters_data,1,passes_workbook_custom_filters_data,1,Demographics_passes_local_filters_data,1,Demographics_Q1_F_passes_per_q_filter_data,1,INDIRECT(IFERROR(INDEX(All_Questions_Data_Names,MATCH(Demographics_Q1_CT,All_Questions,0)),"'_RawData'!$A:$A")),P$17))</f>
        <v>0</v>
      </c>
      <c r="Q19">
        <f>IF(OR(Demographics_Q1_CT="(None)",Q$17=""),"",COUNTIFS(Q1_data,"United States",passes_workbook_filters_data,1,passes_workbook_custom_filters_data,1,Demographics_passes_local_filters_data,1,Demographics_Q1_F_passes_per_q_filter_data,1,INDIRECT(IFERROR(INDEX(All_Questions_Data_Names,MATCH(Demographics_Q1_CT,All_Questions,0)),"'_RawData'!$A:$A")),Q$17))</f>
        <v>0</v>
      </c>
      <c r="R19">
        <f>IF(OR(Demographics_Q1_CT="(None)",R$17=""),"",IF(R$17="Other",COUNTIFS(Q1_data,"United States",passes_workbook_filters_data,1,passes_workbook_custom_filters_data,1,Demographics_passes_local_filters_data,1,Demographics_Q1_F_passes_per_q_filter_data,1)-SUM(G19,H19,I19,J19,K19,L19,M19,N19,O19,P19,Q19),COUNTIFS(Q1_data,"United States",passes_workbook_filters_data,1,passes_workbook_custom_filters_data,1,Demographics_passes_local_filters_data,1,Demographics_Q1_F_passes_per_q_filter_data,1,INDIRECT(IFERROR(INDEX(All_Questions_Data_Names,MATCH(Demographics_Q1_CT,All_Questions,0)),"'_RawData'!$A:$A")),R$17)))</f>
        <v>0</v>
      </c>
      <c r="S19">
        <f>IF(Demographics_Q1_CT="(None)","",COUNTIFS(Q1_data,"United States",passes_workbook_filters_data,1,passes_workbook_custom_filters_data,1,Demographics_passes_local_filters_data,1,Demographics_Q1_F_passes_per_q_filter_data,1))</f>
        <v>0</v>
      </c>
    </row>
    <row r="20">
      <c r="A20" t="inlineStr">
        <is>
          <t>India</t>
        </is>
      </c>
      <c r="B20">
        <f>COUNTIFS(Q1_data,"India",passes_workbook_filters_data,1,passes_workbook_custom_filters_data,1,Demographics_passes_local_filters_data,1,Demographics_Q1_F_passes_per_q_filter_data,1)</f>
        <v>1</v>
      </c>
      <c r="C20" s="7">
        <f>IFERROR(B20/SUBTOTAL(9,B18:B20),0)</f>
        <v>0.25</v>
      </c>
      <c r="D20" s="14">
        <f>SUBTOTAL(9,B18:B20)</f>
        <v>4</v>
      </c>
      <c r="F20" t="inlineStr">
        <is>
          <t>Canada</t>
        </is>
      </c>
      <c r="G20">
        <f>IF(OR(Demographics_Q1_CT="(None)",G$17=""),"",COUNTIFS(Q1_data,"Canada",passes_workbook_filters_data,1,passes_workbook_custom_filters_data,1,Demographics_passes_local_filters_data,1,Demographics_Q1_F_passes_per_q_filter_data,1,INDIRECT(IFERROR(INDEX(All_Questions_Data_Names,MATCH(Demographics_Q1_CT,All_Questions,0)),"'_RawData'!$A:$A")),G$17))</f>
        <v>0</v>
      </c>
      <c r="H20">
        <f>IF(OR(Demographics_Q1_CT="(None)",H$17=""),"",COUNTIFS(Q1_data,"Canada",passes_workbook_filters_data,1,passes_workbook_custom_filters_data,1,Demographics_passes_local_filters_data,1,Demographics_Q1_F_passes_per_q_filter_data,1,INDIRECT(IFERROR(INDEX(All_Questions_Data_Names,MATCH(Demographics_Q1_CT,All_Questions,0)),"'_RawData'!$A:$A")),H$17))</f>
        <v>0</v>
      </c>
      <c r="I20">
        <f>IF(OR(Demographics_Q1_CT="(None)",I$17=""),"",COUNTIFS(Q1_data,"Canada",passes_workbook_filters_data,1,passes_workbook_custom_filters_data,1,Demographics_passes_local_filters_data,1,Demographics_Q1_F_passes_per_q_filter_data,1,INDIRECT(IFERROR(INDEX(All_Questions_Data_Names,MATCH(Demographics_Q1_CT,All_Questions,0)),"'_RawData'!$A:$A")),I$17))</f>
        <v>0</v>
      </c>
      <c r="J20">
        <f>IF(OR(Demographics_Q1_CT="(None)",J$17=""),"",COUNTIFS(Q1_data,"Canada",passes_workbook_filters_data,1,passes_workbook_custom_filters_data,1,Demographics_passes_local_filters_data,1,Demographics_Q1_F_passes_per_q_filter_data,1,INDIRECT(IFERROR(INDEX(All_Questions_Data_Names,MATCH(Demographics_Q1_CT,All_Questions,0)),"'_RawData'!$A:$A")),J$17))</f>
        <v>0</v>
      </c>
      <c r="K20">
        <f>IF(OR(Demographics_Q1_CT="(None)",K$17=""),"",COUNTIFS(Q1_data,"Canada",passes_workbook_filters_data,1,passes_workbook_custom_filters_data,1,Demographics_passes_local_filters_data,1,Demographics_Q1_F_passes_per_q_filter_data,1,INDIRECT(IFERROR(INDEX(All_Questions_Data_Names,MATCH(Demographics_Q1_CT,All_Questions,0)),"'_RawData'!$A:$A")),K$17))</f>
        <v>0</v>
      </c>
      <c r="L20">
        <f>IF(OR(Demographics_Q1_CT="(None)",L$17=""),"",COUNTIFS(Q1_data,"Canada",passes_workbook_filters_data,1,passes_workbook_custom_filters_data,1,Demographics_passes_local_filters_data,1,Demographics_Q1_F_passes_per_q_filter_data,1,INDIRECT(IFERROR(INDEX(All_Questions_Data_Names,MATCH(Demographics_Q1_CT,All_Questions,0)),"'_RawData'!$A:$A")),L$17))</f>
        <v>0</v>
      </c>
      <c r="M20">
        <f>IF(OR(Demographics_Q1_CT="(None)",M$17=""),"",COUNTIFS(Q1_data,"Canada",passes_workbook_filters_data,1,passes_workbook_custom_filters_data,1,Demographics_passes_local_filters_data,1,Demographics_Q1_F_passes_per_q_filter_data,1,INDIRECT(IFERROR(INDEX(All_Questions_Data_Names,MATCH(Demographics_Q1_CT,All_Questions,0)),"'_RawData'!$A:$A")),M$17))</f>
        <v>0</v>
      </c>
      <c r="N20">
        <f>IF(OR(Demographics_Q1_CT="(None)",N$17=""),"",COUNTIFS(Q1_data,"Canada",passes_workbook_filters_data,1,passes_workbook_custom_filters_data,1,Demographics_passes_local_filters_data,1,Demographics_Q1_F_passes_per_q_filter_data,1,INDIRECT(IFERROR(INDEX(All_Questions_Data_Names,MATCH(Demographics_Q1_CT,All_Questions,0)),"'_RawData'!$A:$A")),N$17))</f>
        <v>0</v>
      </c>
      <c r="O20">
        <f>IF(OR(Demographics_Q1_CT="(None)",O$17=""),"",COUNTIFS(Q1_data,"Canada",passes_workbook_filters_data,1,passes_workbook_custom_filters_data,1,Demographics_passes_local_filters_data,1,Demographics_Q1_F_passes_per_q_filter_data,1,INDIRECT(IFERROR(INDEX(All_Questions_Data_Names,MATCH(Demographics_Q1_CT,All_Questions,0)),"'_RawData'!$A:$A")),O$17))</f>
        <v>0</v>
      </c>
      <c r="P20">
        <f>IF(OR(Demographics_Q1_CT="(None)",P$17=""),"",COUNTIFS(Q1_data,"Canada",passes_workbook_filters_data,1,passes_workbook_custom_filters_data,1,Demographics_passes_local_filters_data,1,Demographics_Q1_F_passes_per_q_filter_data,1,INDIRECT(IFERROR(INDEX(All_Questions_Data_Names,MATCH(Demographics_Q1_CT,All_Questions,0)),"'_RawData'!$A:$A")),P$17))</f>
        <v>0</v>
      </c>
      <c r="Q20">
        <f>IF(OR(Demographics_Q1_CT="(None)",Q$17=""),"",COUNTIFS(Q1_data,"Canada",passes_workbook_filters_data,1,passes_workbook_custom_filters_data,1,Demographics_passes_local_filters_data,1,Demographics_Q1_F_passes_per_q_filter_data,1,INDIRECT(IFERROR(INDEX(All_Questions_Data_Names,MATCH(Demographics_Q1_CT,All_Questions,0)),"'_RawData'!$A:$A")),Q$17))</f>
        <v>0</v>
      </c>
      <c r="R20">
        <f>IF(OR(Demographics_Q1_CT="(None)",R$17=""),"",IF(R$17="Other",COUNTIFS(Q1_data,"Canada",passes_workbook_filters_data,1,passes_workbook_custom_filters_data,1,Demographics_passes_local_filters_data,1,Demographics_Q1_F_passes_per_q_filter_data,1)-SUM(G20,H20,I20,J20,K20,L20,M20,N20,O20,P20,Q20),COUNTIFS(Q1_data,"Canada",passes_workbook_filters_data,1,passes_workbook_custom_filters_data,1,Demographics_passes_local_filters_data,1,Demographics_Q1_F_passes_per_q_filter_data,1,INDIRECT(IFERROR(INDEX(All_Questions_Data_Names,MATCH(Demographics_Q1_CT,All_Questions,0)),"'_RawData'!$A:$A")),R$17)))</f>
        <v>0</v>
      </c>
      <c r="S20">
        <f>IF(Demographics_Q1_CT="(None)","",COUNTIFS(Q1_data,"Canada",passes_workbook_filters_data,1,passes_workbook_custom_filters_data,1,Demographics_passes_local_filters_data,1,Demographics_Q1_F_passes_per_q_filter_data,1))</f>
        <v>0</v>
      </c>
    </row>
    <row r="21">
      <c r="A21" s="15" t="inlineStr">
        <is>
          <t>Total respondents</t>
        </is>
      </c>
      <c r="B21" s="15" t="n">
        <v>4</v>
      </c>
      <c r="C21" s="15" t="n"/>
      <c r="D21" s="15" t="n"/>
      <c r="F21" t="inlineStr">
        <is>
          <t>India</t>
        </is>
      </c>
      <c r="G21">
        <f>IF(OR(Demographics_Q1_CT="(None)",G$17=""),"",COUNTIFS(Q1_data,"India",passes_workbook_filters_data,1,passes_workbook_custom_filters_data,1,Demographics_passes_local_filters_data,1,Demographics_Q1_F_passes_per_q_filter_data,1,INDIRECT(IFERROR(INDEX(All_Questions_Data_Names,MATCH(Demographics_Q1_CT,All_Questions,0)),"'_RawData'!$A:$A")),G$17))</f>
        <v>0</v>
      </c>
      <c r="H21">
        <f>IF(OR(Demographics_Q1_CT="(None)",H$17=""),"",COUNTIFS(Q1_data,"India",passes_workbook_filters_data,1,passes_workbook_custom_filters_data,1,Demographics_passes_local_filters_data,1,Demographics_Q1_F_passes_per_q_filter_data,1,INDIRECT(IFERROR(INDEX(All_Questions_Data_Names,MATCH(Demographics_Q1_CT,All_Questions,0)),"'_RawData'!$A:$A")),H$17))</f>
        <v>0</v>
      </c>
      <c r="I21">
        <f>IF(OR(Demographics_Q1_CT="(None)",I$17=""),"",COUNTIFS(Q1_data,"India",passes_workbook_filters_data,1,passes_workbook_custom_filters_data,1,Demographics_passes_local_filters_data,1,Demographics_Q1_F_passes_per_q_filter_data,1,INDIRECT(IFERROR(INDEX(All_Questions_Data_Names,MATCH(Demographics_Q1_CT,All_Questions,0)),"'_RawData'!$A:$A")),I$17))</f>
        <v>0</v>
      </c>
      <c r="J21">
        <f>IF(OR(Demographics_Q1_CT="(None)",J$17=""),"",COUNTIFS(Q1_data,"India",passes_workbook_filters_data,1,passes_workbook_custom_filters_data,1,Demographics_passes_local_filters_data,1,Demographics_Q1_F_passes_per_q_filter_data,1,INDIRECT(IFERROR(INDEX(All_Questions_Data_Names,MATCH(Demographics_Q1_CT,All_Questions,0)),"'_RawData'!$A:$A")),J$17))</f>
        <v>0</v>
      </c>
      <c r="K21">
        <f>IF(OR(Demographics_Q1_CT="(None)",K$17=""),"",COUNTIFS(Q1_data,"India",passes_workbook_filters_data,1,passes_workbook_custom_filters_data,1,Demographics_passes_local_filters_data,1,Demographics_Q1_F_passes_per_q_filter_data,1,INDIRECT(IFERROR(INDEX(All_Questions_Data_Names,MATCH(Demographics_Q1_CT,All_Questions,0)),"'_RawData'!$A:$A")),K$17))</f>
        <v>0</v>
      </c>
      <c r="L21">
        <f>IF(OR(Demographics_Q1_CT="(None)",L$17=""),"",COUNTIFS(Q1_data,"India",passes_workbook_filters_data,1,passes_workbook_custom_filters_data,1,Demographics_passes_local_filters_data,1,Demographics_Q1_F_passes_per_q_filter_data,1,INDIRECT(IFERROR(INDEX(All_Questions_Data_Names,MATCH(Demographics_Q1_CT,All_Questions,0)),"'_RawData'!$A:$A")),L$17))</f>
        <v>0</v>
      </c>
      <c r="M21">
        <f>IF(OR(Demographics_Q1_CT="(None)",M$17=""),"",COUNTIFS(Q1_data,"India",passes_workbook_filters_data,1,passes_workbook_custom_filters_data,1,Demographics_passes_local_filters_data,1,Demographics_Q1_F_passes_per_q_filter_data,1,INDIRECT(IFERROR(INDEX(All_Questions_Data_Names,MATCH(Demographics_Q1_CT,All_Questions,0)),"'_RawData'!$A:$A")),M$17))</f>
        <v>0</v>
      </c>
      <c r="N21">
        <f>IF(OR(Demographics_Q1_CT="(None)",N$17=""),"",COUNTIFS(Q1_data,"India",passes_workbook_filters_data,1,passes_workbook_custom_filters_data,1,Demographics_passes_local_filters_data,1,Demographics_Q1_F_passes_per_q_filter_data,1,INDIRECT(IFERROR(INDEX(All_Questions_Data_Names,MATCH(Demographics_Q1_CT,All_Questions,0)),"'_RawData'!$A:$A")),N$17))</f>
        <v>0</v>
      </c>
      <c r="O21">
        <f>IF(OR(Demographics_Q1_CT="(None)",O$17=""),"",COUNTIFS(Q1_data,"India",passes_workbook_filters_data,1,passes_workbook_custom_filters_data,1,Demographics_passes_local_filters_data,1,Demographics_Q1_F_passes_per_q_filter_data,1,INDIRECT(IFERROR(INDEX(All_Questions_Data_Names,MATCH(Demographics_Q1_CT,All_Questions,0)),"'_RawData'!$A:$A")),O$17))</f>
        <v>0</v>
      </c>
      <c r="P21">
        <f>IF(OR(Demographics_Q1_CT="(None)",P$17=""),"",COUNTIFS(Q1_data,"India",passes_workbook_filters_data,1,passes_workbook_custom_filters_data,1,Demographics_passes_local_filters_data,1,Demographics_Q1_F_passes_per_q_filter_data,1,INDIRECT(IFERROR(INDEX(All_Questions_Data_Names,MATCH(Demographics_Q1_CT,All_Questions,0)),"'_RawData'!$A:$A")),P$17))</f>
        <v>0</v>
      </c>
      <c r="Q21">
        <f>IF(OR(Demographics_Q1_CT="(None)",Q$17=""),"",COUNTIFS(Q1_data,"India",passes_workbook_filters_data,1,passes_workbook_custom_filters_data,1,Demographics_passes_local_filters_data,1,Demographics_Q1_F_passes_per_q_filter_data,1,INDIRECT(IFERROR(INDEX(All_Questions_Data_Names,MATCH(Demographics_Q1_CT,All_Questions,0)),"'_RawData'!$A:$A")),Q$17))</f>
        <v>0</v>
      </c>
      <c r="R21">
        <f>IF(OR(Demographics_Q1_CT="(None)",R$17=""),"",IF(R$17="Other",COUNTIFS(Q1_data,"India",passes_workbook_filters_data,1,passes_workbook_custom_filters_data,1,Demographics_passes_local_filters_data,1,Demographics_Q1_F_passes_per_q_filter_data,1)-SUM(G21,H21,I21,J21,K21,L21,M21,N21,O21,P21,Q21),COUNTIFS(Q1_data,"India",passes_workbook_filters_data,1,passes_workbook_custom_filters_data,1,Demographics_passes_local_filters_data,1,Demographics_Q1_F_passes_per_q_filter_data,1,INDIRECT(IFERROR(INDEX(All_Questions_Data_Names,MATCH(Demographics_Q1_CT,All_Questions,0)),"'_RawData'!$A:$A")),R$17)))</f>
        <v>0</v>
      </c>
      <c r="S21">
        <f>IF(Demographics_Q1_CT="(None)","",COUNTIFS(Q1_data,"India",passes_workbook_filters_data,1,passes_workbook_custom_filters_data,1,Demographics_passes_local_filters_data,1,Demographics_Q1_F_passes_per_q_filter_data,1))</f>
        <v>0</v>
      </c>
    </row>
    <row r="22">
      <c r="F22" s="4" t="inlineStr">
        <is>
          <t>Total respondents</t>
        </is>
      </c>
      <c r="G22" s="2" t="n"/>
      <c r="H22" s="2" t="n"/>
      <c r="I22" s="2" t="n"/>
      <c r="J22" s="2" t="n"/>
      <c r="K22" s="2" t="n"/>
      <c r="L22" s="2" t="n"/>
      <c r="M22" s="2" t="n"/>
      <c r="N22" s="2" t="n"/>
      <c r="O22" s="2" t="n"/>
      <c r="P22" s="2" t="n"/>
      <c r="Q22" s="2" t="n"/>
      <c r="R22" s="2" t="n"/>
      <c r="S22" s="2">
        <f>IF(Demographics_Q1_CT="(None)","",COUNTIFS(respondent_id_data,"&lt;&gt;",passes_workbook_filters_data,1,passes_workbook_custom_filters_data,1,Demographics_passes_local_filters_data,1,Demographics_Q1_F_passes_per_q_filter_data,1))</f>
        <v>0</v>
      </c>
    </row>
  </sheetData>
  <mergeCells count="1">
    <mergeCell ref="A1:J1"/>
  </mergeCells>
  <conditionalFormatting sqref="B18:B20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8:C20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9:G21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9:H21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9:I21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9:J21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9:K21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9:L21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9:M21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9:N21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9:O21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9:P21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9:Q21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9:R21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8">
    <dataValidation sqref="B5" showDropDown="0" showInputMessage="0" showErrorMessage="0" allowBlank="1" type="list">
      <formula1>=Q1_local_options</formula1>
    </dataValidation>
    <dataValidation sqref="B6" showDropDown="0" showInputMessage="0" showErrorMessage="0" allowBlank="1" type="list">
      <formula1>=All_Questions_Local</formula1>
    </dataValidation>
    <dataValidation sqref="B7" showDropDown="0" showInputMessage="0" showErrorMessage="0" allowBlank="1" type="list">
      <formula1>=INDIRECT(IFERROR(INDEX(All_Questions_Options_Names,MATCH(Demographics_F_Custom1_Q_resolved,All_Questions,0)),"'_Options'!$E$2:$E$2"))</formula1>
    </dataValidation>
    <dataValidation sqref="B8" showDropDown="0" showInputMessage="0" showErrorMessage="0" allowBlank="1" type="list">
      <formula1>=All_Questions_Local</formula1>
    </dataValidation>
    <dataValidation sqref="B9" showDropDown="0" showInputMessage="0" showErrorMessage="0" allowBlank="1" type="list">
      <formula1>=INDIRECT(IFERROR(INDEX(All_Questions_Options_Names,MATCH(Demographics_F_Custom2_Q_resolved,All_Questions,0)),"'_Options'!$E$2:$E$2"))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E14" showDropDown="0" showInputMessage="0" showErrorMessage="0" allowBlank="1" type="list">
      <formula1>=INDIRECT(IFERROR(INDEX(All_Questions_Options_Names,MATCH(Demographics_Q1_F_Q,All_Questions,0)),"'_Options'!$E$2:$E$2"))</formula1>
    </dataValidation>
    <dataValidation sqref="C15" showDropDown="0" showInputMessage="0" showErrorMessage="0" allowBlank="1" type="list">
      <formula1>=All_Questions</formula1>
    </dataValidation>
  </dataValidations>
  <pageMargins left="0.75" right="0.75" top="1" bottom="1" header="0.5" footer="0.5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S2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Country</t>
        </is>
      </c>
      <c r="B5" t="inlineStr">
        <is>
          <t>(Inherit)</t>
        </is>
      </c>
      <c r="C5" t="str">
        <f>IF(All_Questions_F_Q1="(Inherit)",F_Q1,All_Questions_F_Q1)</f>
        <v>(All)</v>
      </c>
      <c r="D5" t="str">
        <f>"|" &amp; SUBSTITUTE(All_Questions_F_Q1_resolved, ", ", "|") &amp; "|"</f>
        <v>|(All)|</v>
      </c>
      <c r="E5" t="inlineStr">
        <is>
          <t>United States, Canada, India</t>
        </is>
      </c>
    </row>
    <row r="6">
      <c r="A6" t="inlineStr">
        <is>
          <t>Custom 1 question</t>
        </is>
      </c>
      <c r="B6" t="inlineStr">
        <is>
          <t>(Inherit)</t>
        </is>
      </c>
      <c r="C6" t="str">
        <f>IF(All_Questions_F_Custom1_Q="(Inherit)",F_Custom1_Q,All_Questions_F_Custom1_Q)</f>
        <v>(None)</v>
      </c>
      <c r="E6" t="inlineStr">
        <is>
          <t>Workbook question or local override</t>
        </is>
      </c>
    </row>
    <row r="7">
      <c r="A7" t="inlineStr">
        <is>
          <t>Custom 1 value</t>
        </is>
      </c>
      <c r="B7" t="inlineStr">
        <is>
          <t>(Inherit)</t>
        </is>
      </c>
      <c r="C7" t="str">
        <f>IF(All_Questions_F_Custom1_V="(Inherit)",F_Custom1_V,All_Questions_F_Custom1_V)</f>
        <v>(All)</v>
      </c>
      <c r="D7" t="str">
        <f>"|" &amp; SUBSTITUTE(All_Questions_F_Custom1_V_resolved, ", ", "|") &amp; "|"</f>
        <v>|(All)|</v>
      </c>
      <c r="E7" t="inlineStr">
        <is>
          <t>Choose one value or type comma-separated values</t>
        </is>
      </c>
      <c r="F7" t="str">
        <f>IFERROR(INDEX(All_Questions_Data_Names,MATCH(All_Questions_F_Custom1_Q_resolved,All_Questions,0)),"'_RawData'!$A:$A")</f>
        <v>respondent_id_data</v>
      </c>
    </row>
    <row r="8">
      <c r="A8" t="inlineStr">
        <is>
          <t>Custom 2 question</t>
        </is>
      </c>
      <c r="B8" t="inlineStr">
        <is>
          <t>(Inherit)</t>
        </is>
      </c>
      <c r="C8" t="str">
        <f>IF(All_Questions_F_Custom2_Q="(Inherit)",F_Custom2_Q,All_Questions_F_Custom2_Q)</f>
        <v>(None)</v>
      </c>
      <c r="E8" t="inlineStr">
        <is>
          <t>Workbook question or local override</t>
        </is>
      </c>
    </row>
    <row r="9">
      <c r="A9" t="inlineStr">
        <is>
          <t>Custom 2 value</t>
        </is>
      </c>
      <c r="B9" t="inlineStr">
        <is>
          <t>(Inherit)</t>
        </is>
      </c>
      <c r="C9" t="str">
        <f>IF(All_Questions_F_Custom2_V="(Inherit)",F_Custom2_V,All_Questions_F_Custom2_V)</f>
        <v>(All)</v>
      </c>
      <c r="D9" t="str">
        <f>"|" &amp; SUBSTITUTE(All_Questions_F_Custom2_V_resolved, ", ", "|") &amp; "|"</f>
        <v>|(All)|</v>
      </c>
      <c r="E9" t="inlineStr">
        <is>
          <t>Choose one value or type comma-separated values</t>
        </is>
      </c>
      <c r="F9" t="str">
        <f>IFERROR(INDEX(All_Questions_Data_Names,MATCH(All_Questions_F_Custom2_Q_resolved,All_Questions,0)),"'_RawData'!$A:$A")</f>
        <v>respondent_id_data</v>
      </c>
    </row>
    <row r="12">
      <c r="A12" s="11" t="n"/>
      <c r="B12" s="11" t="n"/>
      <c r="C12" s="11" t="n"/>
      <c r="D12" s="11" t="n"/>
      <c r="E12" s="11" t="n"/>
      <c r="F12" s="11" t="n"/>
      <c r="G12" s="11" t="n"/>
      <c r="H12" s="11" t="n"/>
      <c r="I12" s="11" t="n"/>
      <c r="J12" s="11" t="n"/>
    </row>
    <row r="13">
      <c r="A13" s="12" t="inlineStr">
        <is>
          <t>Q2 - Which survey version did the respondent see?</t>
        </is>
      </c>
      <c r="B13" s="12" t="n"/>
      <c r="C13" s="12" t="n"/>
      <c r="D13" s="12" t="n"/>
      <c r="E13" s="12" t="n"/>
      <c r="F13" s="12" t="n"/>
      <c r="G13" s="12" t="n"/>
      <c r="H13" s="12" t="n"/>
      <c r="I13" s="12" t="n"/>
      <c r="J13" s="12" t="n"/>
      <c r="K13" s="12" t="n"/>
      <c r="L13" s="12" t="n"/>
      <c r="M13" s="12" t="n"/>
      <c r="N13" s="12" t="n"/>
    </row>
    <row r="14">
      <c r="A14" s="13" t="inlineStr">
        <is>
          <t>Per-question filter</t>
        </is>
      </c>
      <c r="B14" t="inlineStr">
        <is>
          <t>Filter Q</t>
        </is>
      </c>
      <c r="C14" t="inlineStr">
        <is>
          <t>(None)</t>
        </is>
      </c>
      <c r="D14" t="inlineStr">
        <is>
          <t>Value</t>
        </is>
      </c>
      <c r="E14" t="inlineStr">
        <is>
          <t>(All)</t>
        </is>
      </c>
      <c r="F14" t="str">
        <f>IFERROR(INDEX(All_Questions_Data_Names,MATCH(All_Questions_Q2_F_Q,All_Questions,0)),"'_RawData'!$A:$A")</f>
        <v>respondent_id_data</v>
      </c>
      <c r="G14" t="str">
        <f>"|" &amp; SUBSTITUTE(All_Questions_Q2_F_V, ", ", "|") &amp; "|"</f>
        <v>|(All)|</v>
      </c>
    </row>
    <row r="15">
      <c r="A15" s="13" t="inlineStr">
        <is>
          <t>Cross-tab by</t>
        </is>
      </c>
      <c r="C15" t="inlineStr">
        <is>
          <t>(None)</t>
        </is>
      </c>
    </row>
    <row r="17">
      <c r="A17" s="4" t="inlineStr">
        <is>
          <t>Option</t>
        </is>
      </c>
      <c r="B17" s="4" t="inlineStr">
        <is>
          <t>Count</t>
        </is>
      </c>
      <c r="C17" s="4" t="inlineStr">
        <is>
          <t>%</t>
        </is>
      </c>
      <c r="D17" s="4" t="inlineStr">
        <is>
          <t>Denominator</t>
        </is>
      </c>
      <c r="F17" s="4" t="inlineStr">
        <is>
          <t>Option</t>
        </is>
      </c>
      <c r="G17" s="2" t="str">
        <f>IF(All_Questions_Q2_CT="(None)","",IFERROR(INDEX(INDIRECT(IFERROR(INDEX(All_Questions_Options_Names,MATCH(All_Questions_Q2_CT,All_Questions,0)),"'_Options'!$E$2:$E$2")),2),""))</f>
        <v/>
      </c>
      <c r="H17" s="2" t="str">
        <f>IF(All_Questions_Q2_CT="(None)","",IFERROR(INDEX(INDIRECT(IFERROR(INDEX(All_Questions_Options_Names,MATCH(All_Questions_Q2_CT,All_Questions,0)),"'_Options'!$E$2:$E$2")),3),""))</f>
        <v/>
      </c>
      <c r="I17" s="2" t="str">
        <f>IF(All_Questions_Q2_CT="(None)","",IFERROR(INDEX(INDIRECT(IFERROR(INDEX(All_Questions_Options_Names,MATCH(All_Questions_Q2_CT,All_Questions,0)),"'_Options'!$E$2:$E$2")),4),""))</f>
        <v/>
      </c>
      <c r="J17" s="2" t="str">
        <f>IF(All_Questions_Q2_CT="(None)","",IFERROR(INDEX(INDIRECT(IFERROR(INDEX(All_Questions_Options_Names,MATCH(All_Questions_Q2_CT,All_Questions,0)),"'_Options'!$E$2:$E$2")),5),""))</f>
        <v/>
      </c>
      <c r="K17" s="2" t="str">
        <f>IF(All_Questions_Q2_CT="(None)","",IFERROR(INDEX(INDIRECT(IFERROR(INDEX(All_Questions_Options_Names,MATCH(All_Questions_Q2_CT,All_Questions,0)),"'_Options'!$E$2:$E$2")),6),""))</f>
        <v/>
      </c>
      <c r="L17" s="2" t="str">
        <f>IF(All_Questions_Q2_CT="(None)","",IFERROR(INDEX(INDIRECT(IFERROR(INDEX(All_Questions_Options_Names,MATCH(All_Questions_Q2_CT,All_Questions,0)),"'_Options'!$E$2:$E$2")),7),""))</f>
        <v/>
      </c>
      <c r="M17" s="2" t="str">
        <f>IF(All_Questions_Q2_CT="(None)","",IFERROR(INDEX(INDIRECT(IFERROR(INDEX(All_Questions_Options_Names,MATCH(All_Questions_Q2_CT,All_Questions,0)),"'_Options'!$E$2:$E$2")),8),""))</f>
        <v/>
      </c>
      <c r="N17" s="2" t="str">
        <f>IF(All_Questions_Q2_CT="(None)","",IFERROR(INDEX(INDIRECT(IFERROR(INDEX(All_Questions_Options_Names,MATCH(All_Questions_Q2_CT,All_Questions,0)),"'_Options'!$E$2:$E$2")),9),""))</f>
        <v/>
      </c>
      <c r="O17" s="2" t="str">
        <f>IF(All_Questions_Q2_CT="(None)","",IFERROR(INDEX(INDIRECT(IFERROR(INDEX(All_Questions_Options_Names,MATCH(All_Questions_Q2_CT,All_Questions,0)),"'_Options'!$E$2:$E$2")),10),""))</f>
        <v/>
      </c>
      <c r="P17" s="2" t="str">
        <f>IF(All_Questions_Q2_CT="(None)","",IFERROR(INDEX(INDIRECT(IFERROR(INDEX(All_Questions_Options_Names,MATCH(All_Questions_Q2_CT,All_Questions,0)),"'_Options'!$E$2:$E$2")),11),""))</f>
        <v/>
      </c>
      <c r="Q17" s="2" t="str">
        <f>IF(All_Questions_Q2_CT="(None)","",IFERROR(INDEX(INDIRECT(IFERROR(INDEX(All_Questions_Options_Names,MATCH(All_Questions_Q2_CT,All_Questions,0)),"'_Options'!$E$2:$E$2")),12),""))</f>
        <v/>
      </c>
      <c r="R17" s="2" t="str">
        <f>IF(All_Questions_Q2_CT="(None)","",IF(COUNTA(INDIRECT(IFERROR(INDEX(All_Questions_Options_Names,MATCH(All_Questions_Q2_CT,All_Questions,0)),"'_Options'!$E$2:$E$2")))-1&gt;11,"Other",IFERROR(INDEX(INDIRECT(IFERROR(INDEX(All_Questions_Options_Names,MATCH(All_Questions_Q2_CT,All_Questions,0)),"'_Options'!$E$2:$E$2")),13),"")))</f>
        <v/>
      </c>
      <c r="S17" s="4" t="inlineStr">
        <is>
          <t>Total</t>
        </is>
      </c>
    </row>
    <row r="18">
      <c r="A18" t="inlineStr">
        <is>
          <t>Version 2</t>
        </is>
      </c>
      <c r="B18">
        <f>COUNTIFS(Q2_data,"Version 2",passes_workbook_filters_data,1,passes_workbook_custom_filters_data,1,All_Questions_passes_local_filters_data,1,All_Questions_Q2_F_passes_per_q_filter_data,1)</f>
        <v>2</v>
      </c>
      <c r="C18" s="7">
        <f>IFERROR(B18/SUBTOTAL(9,B18:B19),0)</f>
        <v>0.5</v>
      </c>
      <c r="D18" s="14">
        <f>SUBTOTAL(9,B18:B19)</f>
        <v>4</v>
      </c>
      <c r="F18" s="4" t="inlineStr"/>
      <c r="G18" s="4" t="inlineStr">
        <is>
          <t># of resp</t>
        </is>
      </c>
      <c r="H18" s="4" t="inlineStr">
        <is>
          <t># of resp</t>
        </is>
      </c>
      <c r="I18" s="4" t="inlineStr">
        <is>
          <t># of resp</t>
        </is>
      </c>
      <c r="J18" s="4" t="inlineStr">
        <is>
          <t># of resp</t>
        </is>
      </c>
      <c r="K18" s="4" t="inlineStr">
        <is>
          <t># of resp</t>
        </is>
      </c>
      <c r="L18" s="4" t="inlineStr">
        <is>
          <t># of resp</t>
        </is>
      </c>
      <c r="M18" s="4" t="inlineStr">
        <is>
          <t># of resp</t>
        </is>
      </c>
      <c r="N18" s="4" t="inlineStr">
        <is>
          <t># of resp</t>
        </is>
      </c>
      <c r="O18" s="4" t="inlineStr">
        <is>
          <t># of resp</t>
        </is>
      </c>
      <c r="P18" s="4" t="inlineStr">
        <is>
          <t># of resp</t>
        </is>
      </c>
      <c r="Q18" s="4" t="inlineStr">
        <is>
          <t># of resp</t>
        </is>
      </c>
      <c r="R18" s="4" t="inlineStr">
        <is>
          <t># of resp</t>
        </is>
      </c>
      <c r="S18" s="4" t="inlineStr">
        <is>
          <t># of resp</t>
        </is>
      </c>
    </row>
    <row r="19">
      <c r="A19" t="inlineStr">
        <is>
          <t>Version 3</t>
        </is>
      </c>
      <c r="B19">
        <f>COUNTIFS(Q2_data,"Version 3",passes_workbook_filters_data,1,passes_workbook_custom_filters_data,1,All_Questions_passes_local_filters_data,1,All_Questions_Q2_F_passes_per_q_filter_data,1)</f>
        <v>2</v>
      </c>
      <c r="C19" s="7">
        <f>IFERROR(B19/SUBTOTAL(9,B18:B19),0)</f>
        <v>0.5</v>
      </c>
      <c r="D19" s="14">
        <f>SUBTOTAL(9,B18:B19)</f>
        <v>4</v>
      </c>
      <c r="F19" t="inlineStr">
        <is>
          <t>Version 2</t>
        </is>
      </c>
      <c r="G19">
        <f>IF(OR(All_Questions_Q2_CT="(None)",G$17=""),"",COUNTIFS(Q2_data,"Version 2",passes_workbook_filters_data,1,passes_workbook_custom_filters_data,1,All_Questions_passes_local_filters_data,1,All_Questions_Q2_F_passes_per_q_filter_data,1,INDIRECT(IFERROR(INDEX(All_Questions_Data_Names,MATCH(All_Questions_Q2_CT,All_Questions,0)),"'_RawData'!$A:$A")),G$17))</f>
        <v>0</v>
      </c>
      <c r="H19">
        <f>IF(OR(All_Questions_Q2_CT="(None)",H$17=""),"",COUNTIFS(Q2_data,"Version 2",passes_workbook_filters_data,1,passes_workbook_custom_filters_data,1,All_Questions_passes_local_filters_data,1,All_Questions_Q2_F_passes_per_q_filter_data,1,INDIRECT(IFERROR(INDEX(All_Questions_Data_Names,MATCH(All_Questions_Q2_CT,All_Questions,0)),"'_RawData'!$A:$A")),H$17))</f>
        <v>0</v>
      </c>
      <c r="I19">
        <f>IF(OR(All_Questions_Q2_CT="(None)",I$17=""),"",COUNTIFS(Q2_data,"Version 2",passes_workbook_filters_data,1,passes_workbook_custom_filters_data,1,All_Questions_passes_local_filters_data,1,All_Questions_Q2_F_passes_per_q_filter_data,1,INDIRECT(IFERROR(INDEX(All_Questions_Data_Names,MATCH(All_Questions_Q2_CT,All_Questions,0)),"'_RawData'!$A:$A")),I$17))</f>
        <v>0</v>
      </c>
      <c r="J19">
        <f>IF(OR(All_Questions_Q2_CT="(None)",J$17=""),"",COUNTIFS(Q2_data,"Version 2",passes_workbook_filters_data,1,passes_workbook_custom_filters_data,1,All_Questions_passes_local_filters_data,1,All_Questions_Q2_F_passes_per_q_filter_data,1,INDIRECT(IFERROR(INDEX(All_Questions_Data_Names,MATCH(All_Questions_Q2_CT,All_Questions,0)),"'_RawData'!$A:$A")),J$17))</f>
        <v>0</v>
      </c>
      <c r="K19">
        <f>IF(OR(All_Questions_Q2_CT="(None)",K$17=""),"",COUNTIFS(Q2_data,"Version 2",passes_workbook_filters_data,1,passes_workbook_custom_filters_data,1,All_Questions_passes_local_filters_data,1,All_Questions_Q2_F_passes_per_q_filter_data,1,INDIRECT(IFERROR(INDEX(All_Questions_Data_Names,MATCH(All_Questions_Q2_CT,All_Questions,0)),"'_RawData'!$A:$A")),K$17))</f>
        <v>0</v>
      </c>
      <c r="L19">
        <f>IF(OR(All_Questions_Q2_CT="(None)",L$17=""),"",COUNTIFS(Q2_data,"Version 2",passes_workbook_filters_data,1,passes_workbook_custom_filters_data,1,All_Questions_passes_local_filters_data,1,All_Questions_Q2_F_passes_per_q_filter_data,1,INDIRECT(IFERROR(INDEX(All_Questions_Data_Names,MATCH(All_Questions_Q2_CT,All_Questions,0)),"'_RawData'!$A:$A")),L$17))</f>
        <v>0</v>
      </c>
      <c r="M19">
        <f>IF(OR(All_Questions_Q2_CT="(None)",M$17=""),"",COUNTIFS(Q2_data,"Version 2",passes_workbook_filters_data,1,passes_workbook_custom_filters_data,1,All_Questions_passes_local_filters_data,1,All_Questions_Q2_F_passes_per_q_filter_data,1,INDIRECT(IFERROR(INDEX(All_Questions_Data_Names,MATCH(All_Questions_Q2_CT,All_Questions,0)),"'_RawData'!$A:$A")),M$17))</f>
        <v>0</v>
      </c>
      <c r="N19">
        <f>IF(OR(All_Questions_Q2_CT="(None)",N$17=""),"",COUNTIFS(Q2_data,"Version 2",passes_workbook_filters_data,1,passes_workbook_custom_filters_data,1,All_Questions_passes_local_filters_data,1,All_Questions_Q2_F_passes_per_q_filter_data,1,INDIRECT(IFERROR(INDEX(All_Questions_Data_Names,MATCH(All_Questions_Q2_CT,All_Questions,0)),"'_RawData'!$A:$A")),N$17))</f>
        <v>0</v>
      </c>
      <c r="O19">
        <f>IF(OR(All_Questions_Q2_CT="(None)",O$17=""),"",COUNTIFS(Q2_data,"Version 2",passes_workbook_filters_data,1,passes_workbook_custom_filters_data,1,All_Questions_passes_local_filters_data,1,All_Questions_Q2_F_passes_per_q_filter_data,1,INDIRECT(IFERROR(INDEX(All_Questions_Data_Names,MATCH(All_Questions_Q2_CT,All_Questions,0)),"'_RawData'!$A:$A")),O$17))</f>
        <v>0</v>
      </c>
      <c r="P19">
        <f>IF(OR(All_Questions_Q2_CT="(None)",P$17=""),"",COUNTIFS(Q2_data,"Version 2",passes_workbook_filters_data,1,passes_workbook_custom_filters_data,1,All_Questions_passes_local_filters_data,1,All_Questions_Q2_F_passes_per_q_filter_data,1,INDIRECT(IFERROR(INDEX(All_Questions_Data_Names,MATCH(All_Questions_Q2_CT,All_Questions,0)),"'_RawData'!$A:$A")),P$17))</f>
        <v>0</v>
      </c>
      <c r="Q19">
        <f>IF(OR(All_Questions_Q2_CT="(None)",Q$17=""),"",COUNTIFS(Q2_data,"Version 2",passes_workbook_filters_data,1,passes_workbook_custom_filters_data,1,All_Questions_passes_local_filters_data,1,All_Questions_Q2_F_passes_per_q_filter_data,1,INDIRECT(IFERROR(INDEX(All_Questions_Data_Names,MATCH(All_Questions_Q2_CT,All_Questions,0)),"'_RawData'!$A:$A")),Q$17))</f>
        <v>0</v>
      </c>
      <c r="R19">
        <f>IF(OR(All_Questions_Q2_CT="(None)",R$17=""),"",IF(R$17="Other",COUNTIFS(Q2_data,"Version 2",passes_workbook_filters_data,1,passes_workbook_custom_filters_data,1,All_Questions_passes_local_filters_data,1,All_Questions_Q2_F_passes_per_q_filter_data,1)-SUM(G19,H19,I19,J19,K19,L19,M19,N19,O19,P19,Q19),COUNTIFS(Q2_data,"Version 2",passes_workbook_filters_data,1,passes_workbook_custom_filters_data,1,All_Questions_passes_local_filters_data,1,All_Questions_Q2_F_passes_per_q_filter_data,1,INDIRECT(IFERROR(INDEX(All_Questions_Data_Names,MATCH(All_Questions_Q2_CT,All_Questions,0)),"'_RawData'!$A:$A")),R$17)))</f>
        <v>0</v>
      </c>
      <c r="S19">
        <f>IF(All_Questions_Q2_CT="(None)","",COUNTIFS(Q2_data,"Version 2",passes_workbook_filters_data,1,passes_workbook_custom_filters_data,1,All_Questions_passes_local_filters_data,1,All_Questions_Q2_F_passes_per_q_filter_data,1))</f>
        <v>0</v>
      </c>
    </row>
    <row r="20">
      <c r="A20" s="15" t="inlineStr">
        <is>
          <t>Total respondents</t>
        </is>
      </c>
      <c r="B20" s="15" t="n">
        <v>4</v>
      </c>
      <c r="C20" s="15" t="n"/>
      <c r="D20" s="15" t="n"/>
      <c r="F20" t="inlineStr">
        <is>
          <t>Version 3</t>
        </is>
      </c>
      <c r="G20">
        <f>IF(OR(All_Questions_Q2_CT="(None)",G$17=""),"",COUNTIFS(Q2_data,"Version 3",passes_workbook_filters_data,1,passes_workbook_custom_filters_data,1,All_Questions_passes_local_filters_data,1,All_Questions_Q2_F_passes_per_q_filter_data,1,INDIRECT(IFERROR(INDEX(All_Questions_Data_Names,MATCH(All_Questions_Q2_CT,All_Questions,0)),"'_RawData'!$A:$A")),G$17))</f>
        <v>0</v>
      </c>
      <c r="H20">
        <f>IF(OR(All_Questions_Q2_CT="(None)",H$17=""),"",COUNTIFS(Q2_data,"Version 3",passes_workbook_filters_data,1,passes_workbook_custom_filters_data,1,All_Questions_passes_local_filters_data,1,All_Questions_Q2_F_passes_per_q_filter_data,1,INDIRECT(IFERROR(INDEX(All_Questions_Data_Names,MATCH(All_Questions_Q2_CT,All_Questions,0)),"'_RawData'!$A:$A")),H$17))</f>
        <v>0</v>
      </c>
      <c r="I20">
        <f>IF(OR(All_Questions_Q2_CT="(None)",I$17=""),"",COUNTIFS(Q2_data,"Version 3",passes_workbook_filters_data,1,passes_workbook_custom_filters_data,1,All_Questions_passes_local_filters_data,1,All_Questions_Q2_F_passes_per_q_filter_data,1,INDIRECT(IFERROR(INDEX(All_Questions_Data_Names,MATCH(All_Questions_Q2_CT,All_Questions,0)),"'_RawData'!$A:$A")),I$17))</f>
        <v>0</v>
      </c>
      <c r="J20">
        <f>IF(OR(All_Questions_Q2_CT="(None)",J$17=""),"",COUNTIFS(Q2_data,"Version 3",passes_workbook_filters_data,1,passes_workbook_custom_filters_data,1,All_Questions_passes_local_filters_data,1,All_Questions_Q2_F_passes_per_q_filter_data,1,INDIRECT(IFERROR(INDEX(All_Questions_Data_Names,MATCH(All_Questions_Q2_CT,All_Questions,0)),"'_RawData'!$A:$A")),J$17))</f>
        <v>0</v>
      </c>
      <c r="K20">
        <f>IF(OR(All_Questions_Q2_CT="(None)",K$17=""),"",COUNTIFS(Q2_data,"Version 3",passes_workbook_filters_data,1,passes_workbook_custom_filters_data,1,All_Questions_passes_local_filters_data,1,All_Questions_Q2_F_passes_per_q_filter_data,1,INDIRECT(IFERROR(INDEX(All_Questions_Data_Names,MATCH(All_Questions_Q2_CT,All_Questions,0)),"'_RawData'!$A:$A")),K$17))</f>
        <v>0</v>
      </c>
      <c r="L20">
        <f>IF(OR(All_Questions_Q2_CT="(None)",L$17=""),"",COUNTIFS(Q2_data,"Version 3",passes_workbook_filters_data,1,passes_workbook_custom_filters_data,1,All_Questions_passes_local_filters_data,1,All_Questions_Q2_F_passes_per_q_filter_data,1,INDIRECT(IFERROR(INDEX(All_Questions_Data_Names,MATCH(All_Questions_Q2_CT,All_Questions,0)),"'_RawData'!$A:$A")),L$17))</f>
        <v>0</v>
      </c>
      <c r="M20">
        <f>IF(OR(All_Questions_Q2_CT="(None)",M$17=""),"",COUNTIFS(Q2_data,"Version 3",passes_workbook_filters_data,1,passes_workbook_custom_filters_data,1,All_Questions_passes_local_filters_data,1,All_Questions_Q2_F_passes_per_q_filter_data,1,INDIRECT(IFERROR(INDEX(All_Questions_Data_Names,MATCH(All_Questions_Q2_CT,All_Questions,0)),"'_RawData'!$A:$A")),M$17))</f>
        <v>0</v>
      </c>
      <c r="N20">
        <f>IF(OR(All_Questions_Q2_CT="(None)",N$17=""),"",COUNTIFS(Q2_data,"Version 3",passes_workbook_filters_data,1,passes_workbook_custom_filters_data,1,All_Questions_passes_local_filters_data,1,All_Questions_Q2_F_passes_per_q_filter_data,1,INDIRECT(IFERROR(INDEX(All_Questions_Data_Names,MATCH(All_Questions_Q2_CT,All_Questions,0)),"'_RawData'!$A:$A")),N$17))</f>
        <v>0</v>
      </c>
      <c r="O20">
        <f>IF(OR(All_Questions_Q2_CT="(None)",O$17=""),"",COUNTIFS(Q2_data,"Version 3",passes_workbook_filters_data,1,passes_workbook_custom_filters_data,1,All_Questions_passes_local_filters_data,1,All_Questions_Q2_F_passes_per_q_filter_data,1,INDIRECT(IFERROR(INDEX(All_Questions_Data_Names,MATCH(All_Questions_Q2_CT,All_Questions,0)),"'_RawData'!$A:$A")),O$17))</f>
        <v>0</v>
      </c>
      <c r="P20">
        <f>IF(OR(All_Questions_Q2_CT="(None)",P$17=""),"",COUNTIFS(Q2_data,"Version 3",passes_workbook_filters_data,1,passes_workbook_custom_filters_data,1,All_Questions_passes_local_filters_data,1,All_Questions_Q2_F_passes_per_q_filter_data,1,INDIRECT(IFERROR(INDEX(All_Questions_Data_Names,MATCH(All_Questions_Q2_CT,All_Questions,0)),"'_RawData'!$A:$A")),P$17))</f>
        <v>0</v>
      </c>
      <c r="Q20">
        <f>IF(OR(All_Questions_Q2_CT="(None)",Q$17=""),"",COUNTIFS(Q2_data,"Version 3",passes_workbook_filters_data,1,passes_workbook_custom_filters_data,1,All_Questions_passes_local_filters_data,1,All_Questions_Q2_F_passes_per_q_filter_data,1,INDIRECT(IFERROR(INDEX(All_Questions_Data_Names,MATCH(All_Questions_Q2_CT,All_Questions,0)),"'_RawData'!$A:$A")),Q$17))</f>
        <v>0</v>
      </c>
      <c r="R20">
        <f>IF(OR(All_Questions_Q2_CT="(None)",R$17=""),"",IF(R$17="Other",COUNTIFS(Q2_data,"Version 3",passes_workbook_filters_data,1,passes_workbook_custom_filters_data,1,All_Questions_passes_local_filters_data,1,All_Questions_Q2_F_passes_per_q_filter_data,1)-SUM(G20,H20,I20,J20,K20,L20,M20,N20,O20,P20,Q20),COUNTIFS(Q2_data,"Version 3",passes_workbook_filters_data,1,passes_workbook_custom_filters_data,1,All_Questions_passes_local_filters_data,1,All_Questions_Q2_F_passes_per_q_filter_data,1,INDIRECT(IFERROR(INDEX(All_Questions_Data_Names,MATCH(All_Questions_Q2_CT,All_Questions,0)),"'_RawData'!$A:$A")),R$17)))</f>
        <v>0</v>
      </c>
      <c r="S20">
        <f>IF(All_Questions_Q2_CT="(None)","",COUNTIFS(Q2_data,"Version 3",passes_workbook_filters_data,1,passes_workbook_custom_filters_data,1,All_Questions_passes_local_filters_data,1,All_Questions_Q2_F_passes_per_q_filter_data,1))</f>
        <v>0</v>
      </c>
    </row>
    <row r="21">
      <c r="F21" s="4" t="inlineStr">
        <is>
          <t>Total respondents</t>
        </is>
      </c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>
        <f>IF(All_Questions_Q2_CT="(None)","",COUNTIFS(respondent_id_data,"&lt;&gt;",passes_workbook_filters_data,1,passes_workbook_custom_filters_data,1,All_Questions_passes_local_filters_data,1,All_Questions_Q2_F_passes_per_q_filter_data,1))</f>
        <v>0</v>
      </c>
    </row>
  </sheetData>
  <mergeCells count="1">
    <mergeCell ref="A1:J1"/>
  </mergeCells>
  <conditionalFormatting sqref="B18:B19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8:C19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9:G20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9:H20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9:I20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9:J20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9:K20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9:L20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9:M20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9:N20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9:O20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9:P20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9:Q20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9:R20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8">
    <dataValidation sqref="B5" showDropDown="0" showInputMessage="0" showErrorMessage="0" allowBlank="1" type="list">
      <formula1>=Q1_local_options</formula1>
    </dataValidation>
    <dataValidation sqref="B6" showDropDown="0" showInputMessage="0" showErrorMessage="0" allowBlank="1" type="list">
      <formula1>=All_Questions_Local</formula1>
    </dataValidation>
    <dataValidation sqref="B7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8" showDropDown="0" showInputMessage="0" showErrorMessage="0" allowBlank="1" type="list">
      <formula1>=All_Questions_Local</formula1>
    </dataValidation>
    <dataValidation sqref="B9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E14" showDropDown="0" showInputMessage="0" showErrorMessage="0" allowBlank="1" type="list">
      <formula1>=INDIRECT(IFERROR(INDEX(All_Questions_Options_Names,MATCH(All_Questions_Q2_F_Q,All_Questions,0)),"'_Options'!$E$2:$E$2"))</formula1>
    </dataValidation>
    <dataValidation sqref="C15" showDropDown="0" showInputMessage="0" showErrorMessage="0" allowBlank="1" type="list">
      <formula1>=All_Questions</formula1>
    </dataValidation>
  </dataValidations>
  <pageMargins left="0.75" right="0.75" top="1" bottom="1" header="0.5" footer="0.5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7" customWidth="1" min="3" max="3"/>
    <col width="16" customWidth="1" min="4" max="4"/>
    <col width="8" customWidth="1" min="5" max="5"/>
    <col width="11" customWidth="1" min="6" max="6"/>
    <col width="13" customWidth="1" min="7" max="7"/>
    <col width="9" customWidth="1" min="8" max="8"/>
    <col width="11" customWidth="1" min="9" max="9"/>
    <col width="9" customWidth="1" min="10" max="10"/>
    <col width="11" customWidth="1" min="11" max="11"/>
    <col width="11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2026-05-22T06:21:31Z</dcterms:created>
  <dcterms:modified xmlns:dcterms="http://purl.org/dc/terms/" xmlns:xsi="http://www.w3.org/2001/XMLSchema-instance" xsi:type="dcterms:W3CDTF">2026-05-22T06:21:31Z</dcterms:modified>
</cp:coreProperties>
</file>