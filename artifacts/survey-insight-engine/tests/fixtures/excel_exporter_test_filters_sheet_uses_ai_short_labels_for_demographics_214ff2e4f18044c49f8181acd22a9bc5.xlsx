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  <comment ref="A14" authorId="0" shapeId="0">
      <text>
        <t>Which of the following best describes the size of your organization</t>
      </text>
    </comment>
    <comment ref="A24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Q4_data</t>
        </is>
      </c>
      <c r="D3" t="inlineStr">
        <is>
          <t>Q4_options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Q14_data</t>
        </is>
      </c>
      <c r="D4" t="inlineStr">
        <is>
          <t>Q14_options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ref="E2" r:id="rId1"/>
    <hyperlink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Org Size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XLOOKUP(Demographics_Q4_F_Q,All_Questions,All_Questions_Data_Names,"respondent_id_data")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IFERROR(INDEX(INDIRECT(XLOOKUP(Demographics_Q4_CT,All_Questions,All_Questions_Options_Names,"None_options")),2),"")</f>
        <v/>
      </c>
      <c r="H18" t="str">
        <f>IFERROR(INDEX(INDIRECT(XLOOKUP(Demographics_Q4_CT,All_Questions,All_Questions_Options_Names,"None_options")),3),"")</f>
        <v/>
      </c>
      <c r="I18" t="str">
        <f>IFERROR(INDEX(INDIRECT(XLOOKUP(Demographics_Q4_CT,All_Questions,All_Questions_Options_Names,"None_options")),4),"")</f>
        <v/>
      </c>
      <c r="J18" t="str">
        <f>IFERROR(INDEX(INDIRECT(XLOOKUP(Demographics_Q4_CT,All_Questions,All_Questions_Options_Names,"None_options")),5),"")</f>
        <v/>
      </c>
      <c r="K18" t="str">
        <f>IFERROR(INDEX(INDIRECT(XLOOKUP(Demographics_Q4_CT,All_Questions,All_Questions_Options_Names,"None_options")),6),"")</f>
        <v/>
      </c>
      <c r="L18" t="str">
        <f>IFERROR(INDEX(INDIRECT(XLOOKUP(Demographics_Q4_CT,All_Questions,All_Questions_Options_Names,"None_options")),7),"")</f>
        <v/>
      </c>
      <c r="M18" t="str">
        <f>IFERROR(INDEX(INDIRECT(XLOOKUP(Demographics_Q4_CT,All_Questions,All_Questions_Options_Names,"None_options")),8),"")</f>
        <v/>
      </c>
      <c r="N18" t="str">
        <f>IFERROR(INDEX(INDIRECT(XLOOKUP(Demographics_Q4_CT,All_Questions,All_Questions_Options_Names,"None_options")),9),"")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t="inlineStr">
        <is>
          <t>Small</t>
        </is>
      </c>
      <c r="G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G$18)</f>
        <v>0</v>
      </c>
      <c r="H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H$18)</f>
        <v>0</v>
      </c>
      <c r="I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I$18)</f>
        <v>0</v>
      </c>
      <c r="J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J$18)</f>
        <v>0</v>
      </c>
      <c r="K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K$18)</f>
        <v>0</v>
      </c>
      <c r="L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L$18)</f>
        <v>0</v>
      </c>
      <c r="M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M$18)</f>
        <v>0</v>
      </c>
      <c r="N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N$18)</f>
        <v>0</v>
      </c>
      <c r="O19">
        <f>SUM(G19:N19)</f>
        <v>0</v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Large</t>
        </is>
      </c>
      <c r="G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G$18)</f>
        <v>0</v>
      </c>
      <c r="H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H$18)</f>
        <v>0</v>
      </c>
      <c r="I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I$18)</f>
        <v>0</v>
      </c>
      <c r="J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J$18)</f>
        <v>0</v>
      </c>
      <c r="K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K$18)</f>
        <v>0</v>
      </c>
      <c r="L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L$18)</f>
        <v>0</v>
      </c>
      <c r="M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M$18)</f>
        <v>0</v>
      </c>
      <c r="N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Org Age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XLOOKUP(Demographics_Q14_F_Q,All_Questions,All_Questions_Data_Names,"respondent_id_data")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IFERROR(INDEX(INDIRECT(XLOOKUP(Demographics_Q14_CT,All_Questions,All_Questions_Options_Names,"None_options")),2),"")</f>
        <v/>
      </c>
      <c r="H28" t="str">
        <f>IFERROR(INDEX(INDIRECT(XLOOKUP(Demographics_Q14_CT,All_Questions,All_Questions_Options_Names,"None_options")),3),"")</f>
        <v/>
      </c>
      <c r="I28" t="str">
        <f>IFERROR(INDEX(INDIRECT(XLOOKUP(Demographics_Q14_CT,All_Questions,All_Questions_Options_Names,"None_options")),4),"")</f>
        <v/>
      </c>
      <c r="J28" t="str">
        <f>IFERROR(INDEX(INDIRECT(XLOOKUP(Demographics_Q14_CT,All_Questions,All_Questions_Options_Names,"None_options")),5),"")</f>
        <v/>
      </c>
      <c r="K28" t="str">
        <f>IFERROR(INDEX(INDIRECT(XLOOKUP(Demographics_Q14_CT,All_Questions,All_Questions_Options_Names,"None_options")),6),"")</f>
        <v/>
      </c>
      <c r="L28" t="str">
        <f>IFERROR(INDEX(INDIRECT(XLOOKUP(Demographics_Q14_CT,All_Questions,All_Questions_Options_Names,"None_options")),7),"")</f>
        <v/>
      </c>
      <c r="M28" t="str">
        <f>IFERROR(INDEX(INDIRECT(XLOOKUP(Demographics_Q14_CT,All_Questions,All_Questions_Options_Names,"None_options")),8),"")</f>
        <v/>
      </c>
      <c r="N28" t="str">
        <f>IFERROR(INDEX(INDIRECT(XLOOKUP(Demographics_Q14_CT,All_Questions,All_Questions_Options_Names,"None_options")),9),"")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t="inlineStr">
        <is>
          <t>New</t>
        </is>
      </c>
      <c r="G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G$28)</f>
        <v>0</v>
      </c>
      <c r="H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H$28)</f>
        <v>0</v>
      </c>
      <c r="I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I$28)</f>
        <v>0</v>
      </c>
      <c r="J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J$28)</f>
        <v>0</v>
      </c>
      <c r="K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K$28)</f>
        <v>0</v>
      </c>
      <c r="L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L$28)</f>
        <v>0</v>
      </c>
      <c r="M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M$28)</f>
        <v>0</v>
      </c>
      <c r="N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N$28)</f>
        <v>0</v>
      </c>
      <c r="O29">
        <f>SUM(G29:N29)</f>
        <v>0</v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Established</t>
        </is>
      </c>
      <c r="G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G$28)</f>
        <v>0</v>
      </c>
      <c r="H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H$28)</f>
        <v>0</v>
      </c>
      <c r="I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I$28)</f>
        <v>0</v>
      </c>
      <c r="J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J$28)</f>
        <v>0</v>
      </c>
      <c r="K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K$28)</f>
        <v>0</v>
      </c>
      <c r="L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L$28)</f>
        <v>0</v>
      </c>
      <c r="M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M$28)</f>
        <v>0</v>
      </c>
      <c r="N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=INDIRECT(XLOOKUP(Demographics_Q4_F_Q,All_Questions,All_Questions_Options_Names,"None_options"))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=INDIRECT(XLOOKUP(Demographics_Q14_F_Q,All_Questions,All_Questions_Options_Names,"None_options"))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2026-05-15T22:33:45Z</dcterms:created>
  <dcterms:modified xmlns:dcterms="http://purl.org/dc/terms/" xmlns:xsi="http://www.w3.org/2001/XMLSchema-instance" xsi:type="dcterms:W3CDTF">2026-05-15T22:33:45Z</dcterms:modified>
</cp:coreProperties>
</file>