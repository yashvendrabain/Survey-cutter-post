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Demographics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S_EXPORT_F_Q">'Demographics'!$B14</definedName>
    <definedName name="Q_SS_EXPORT_F_V">'Demographics'!$D14</definedName>
    <definedName name="Q_SS_EXPORT_CT">'Demographics'!$F14</definedName>
    <definedName name="Q_MS_EXPORT_F_Q">'Demographics'!$B23</definedName>
    <definedName name="Q_MS_EXPORT_F_V">'Demographics'!$D23</definedName>
    <definedName name="Q_MS_EXPORT_CT">'Demographics'!$F23</definedName>
    <definedName name="F_Country">'All Questions'!$A5</definedName>
    <definedName name="F_Industry">'All Questions'!$B5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NUM_EXPORT_F_Q">'All Questions'!$B14</definedName>
    <definedName name="Q_NUM_EXPORT_F_V">'All Questions'!$D14</definedName>
    <definedName name="Q_NUM_EXPORT_CT">'All Questions'!$F14</definedName>
    <definedName name="Q_GRID_EXPORT_F_Q">'All Questions'!$B26</definedName>
    <definedName name="Q_GRID_EXPORT_F_V">'All Questions'!$D26</definedName>
    <definedName name="Q_GRID_EXPORT_CT">'All Questions'!$F26</definedName>
    <definedName name="Q_VERY_LONG_SINGLE_SELECT_EXPORT_NAME_F_Q">'All Questions'!$B35</definedName>
    <definedName name="Q_VERY_LONG_SINGLE_SELECT_EXPORT_NAME_F_V">'All Questions'!$D35</definedName>
    <definedName name="Q_VERY_LONG_SINGLE_SELECT_EXPORT_NAME_CT">'All Questions'!$F35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Demographics_16_1" displayName="T_Demographic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5_1" displayName="T_Demographic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0" headerRowCount="1">
  <autoFilter ref="A28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3" t="inlineStr">
        <is>
          <t>Demographics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  <c r="B4" s="8" t="inlineStr">
        <is>
          <t>Q_MS_EXPORT - Multi select export question</t>
        </is>
      </c>
    </row>
    <row r="5">
      <c r="A5" t="inlineStr">
        <is>
          <t>(All)</t>
        </is>
      </c>
      <c r="B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Q_SS_EXPORT - Single select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Q_MS_EXPORT - Multi select export question</t>
        </is>
      </c>
    </row>
    <row r="22">
      <c r="A22" s="8" t="inlineStr">
        <is>
          <t>Per-question filter</t>
        </is>
      </c>
      <c r="F22" s="8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2">
    <dataValidation sqref="A5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  <c r="B4" s="8" t="inlineStr">
        <is>
          <t>Q_MS_EXPORT - Multi select export question</t>
        </is>
      </c>
    </row>
    <row r="5">
      <c r="A5" t="inlineStr">
        <is>
          <t>(All)</t>
        </is>
      </c>
      <c r="B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Q_NUM_EXPORT - Numeric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Metric</t>
        </is>
      </c>
      <c r="B16" s="2" t="inlineStr">
        <is>
          <t>Value</t>
        </is>
      </c>
      <c r="C16" s="2" t="inlineStr">
        <is>
          <t>Note</t>
        </is>
      </c>
      <c r="D16" s="2" t="inlineStr">
        <is>
          <t>Denominator</t>
        </is>
      </c>
    </row>
    <row r="17">
      <c r="A17" t="inlineStr">
        <is>
          <t>Mean</t>
        </is>
      </c>
      <c r="B17">
        <f>IFERROR(AVERAGEIFS(Q_NUM_EXPORT_data,Q_SS_EXPORT_data,IF(F_Country="(All)","*",F_Country),Q_MS_EXPORTr1_data,IF(F_Industry="(All)","*",F_Industry),INDIRECT(IF(F_Custom1_Q="(None)","respondent_id_data",F_Custom1_Q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8">
      <c r="A18" t="inlineStr">
        <is>
          <t>Min</t>
        </is>
      </c>
      <c r="B18">
        <f>IFERROR(MINIFS(Q_NUM_EXPORT_data,Q_SS_EXPORT_data,IF(F_Country="(All)","*",F_Country),Q_MS_EXPORTr1_data,IF(F_Industry="(All)","*",F_Industry),INDIRECT(IF(F_Custom1_Q="(None)","respondent_id_data",F_Custom1_Q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9">
      <c r="A19" t="inlineStr">
        <is>
          <t>Max</t>
        </is>
      </c>
      <c r="B19">
        <f>IFERROR(MAXIFS(Q_NUM_EXPORT_data,Q_SS_EXPORT_data,IF(F_Country="(All)","*",F_Country),Q_MS_EXPORTr1_data,IF(F_Industry="(All)","*",F_Industry),INDIRECT(IF(F_Custom1_Q="(None)","respondent_id_data",F_Custom1_Q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1">
      <c r="A21" s="12" t="inlineStr">
        <is>
          <t>Median not available in filtered view - see static baseline in audit log.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10" t="inlineStr">
        <is>
          <t>Q_GRID_EXPORT - Grid export question</t>
        </is>
      </c>
    </row>
    <row r="25">
      <c r="A25" s="8" t="inlineStr">
        <is>
          <t>Per-question filter</t>
        </is>
      </c>
      <c r="F25" s="8" t="inlineStr">
        <is>
          <t>Cross-tab by</t>
        </is>
      </c>
    </row>
    <row r="26">
      <c r="A26" t="inlineStr">
        <is>
          <t>Filter:</t>
        </is>
      </c>
      <c r="B26" t="inlineStr">
        <is>
          <t>(None)</t>
        </is>
      </c>
      <c r="C26" t="inlineStr">
        <is>
          <t>=</t>
        </is>
      </c>
      <c r="D26" t="inlineStr">
        <is>
          <t>(All)</t>
        </is>
      </c>
      <c r="F26" t="inlineStr">
        <is>
          <t>(None)</t>
        </is>
      </c>
    </row>
    <row r="28">
      <c r="A28" s="2" t="inlineStr">
        <is>
          <t>Option</t>
        </is>
      </c>
      <c r="B28" s="2" t="inlineStr">
        <is>
          <t>Count</t>
        </is>
      </c>
      <c r="C28" s="2" t="inlineStr">
        <is>
          <t>%</t>
        </is>
      </c>
      <c r="D28" s="2" t="inlineStr">
        <is>
          <t>Denominator</t>
        </is>
      </c>
      <c r="F28" s="1" t="inlineStr">
        <is>
          <t>Option \ Cross-tab</t>
        </is>
      </c>
      <c r="G28">
        <f>IFERROR(INDEX(INDIRECT(Q_GRID_EXPORT_CT &amp; "_options"),2),"")</f>
        <v/>
      </c>
      <c r="H28">
        <f>IFERROR(INDEX(INDIRECT(Q_GRID_EXPORT_CT &amp; "_options"),3),"")</f>
        <v/>
      </c>
      <c r="I28">
        <f>IFERROR(INDEX(INDIRECT(Q_GRID_EXPORT_CT &amp; "_options"),4),"")</f>
        <v/>
      </c>
      <c r="J28">
        <f>IFERROR(INDEX(INDIRECT(Q_GRID_EXPORT_CT &amp; "_options"),5),"")</f>
        <v/>
      </c>
      <c r="K28">
        <f>IFERROR(INDEX(INDIRECT(Q_GRID_EXPORT_CT &amp; "_options"),6),"")</f>
        <v/>
      </c>
      <c r="L28">
        <f>IFERROR(INDEX(INDIRECT(Q_GRID_EXPORT_CT &amp; "_options"),7),"")</f>
        <v/>
      </c>
      <c r="M28">
        <f>IFERROR(INDEX(INDIRECT(Q_GRID_EXPORT_CT &amp; "_options"),8),"")</f>
        <v/>
      </c>
      <c r="N28">
        <f>IFERROR(INDEX(INDIRECT(Q_GRID_EXPORT_CT &amp; "_options"),9),"")</f>
        <v/>
      </c>
      <c r="O28" s="1" t="inlineStr">
        <is>
          <t>TOTAL</t>
        </is>
      </c>
    </row>
    <row r="29">
      <c r="A29" t="inlineStr">
        <is>
          <t>Grid first row</t>
        </is>
      </c>
      <c r="B2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29" s="4">
        <f>IFERROR(B29/SUBTOTAL(9,B29:B30),0)</f>
        <v/>
      </c>
      <c r="D29" s="11">
        <f>SUBTOTAL(9,B29:B30)</f>
        <v/>
      </c>
      <c r="F29" t="inlineStr">
        <is>
          <t>Grid first row</t>
        </is>
      </c>
      <c r="G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"_data"),G$28))</f>
        <v/>
      </c>
      <c r="H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"_data"),H$28))</f>
        <v/>
      </c>
      <c r="I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"_data"),I$28))</f>
        <v/>
      </c>
      <c r="J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"_data"),J$28))</f>
        <v/>
      </c>
      <c r="K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"_data"),K$28))</f>
        <v/>
      </c>
      <c r="L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"_data"),L$28))</f>
        <v/>
      </c>
      <c r="M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"_data"),M$28))</f>
        <v/>
      </c>
      <c r="N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"_data"),N$28))</f>
        <v/>
      </c>
      <c r="O29">
        <f>SUM(G29:N29)</f>
        <v/>
      </c>
    </row>
    <row r="30">
      <c r="A30" t="inlineStr">
        <is>
          <t>Grid second row</t>
        </is>
      </c>
      <c r="B30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30" s="4">
        <f>IFERROR(B30/SUBTOTAL(9,B29:B30),0)</f>
        <v/>
      </c>
      <c r="D30" s="11">
        <f>SUBTOTAL(9,B29:B30)</f>
        <v/>
      </c>
      <c r="F30" t="inlineStr">
        <is>
          <t>Grid second row</t>
        </is>
      </c>
      <c r="G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"_data"),G$28))</f>
        <v/>
      </c>
      <c r="H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"_data"),H$28))</f>
        <v/>
      </c>
      <c r="I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"_data"),I$28))</f>
        <v/>
      </c>
      <c r="J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"_data"),J$28))</f>
        <v/>
      </c>
      <c r="K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"_data"),K$28))</f>
        <v/>
      </c>
      <c r="L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"_data"),L$28))</f>
        <v/>
      </c>
      <c r="M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"_data"),M$28))</f>
        <v/>
      </c>
      <c r="N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"_data"),N$28))</f>
        <v/>
      </c>
      <c r="O30">
        <f>SUM(G30:N30)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10" t="inlineStr">
        <is>
          <t>Q_VERY_LONG_SINGLE_SELECT_EXPORT_NAME - Long sheet name export question</t>
        </is>
      </c>
    </row>
    <row r="34">
      <c r="A34" s="8" t="inlineStr">
        <is>
          <t>Per-question filter</t>
        </is>
      </c>
      <c r="F34" s="8" t="inlineStr">
        <is>
          <t>Cross-tab by</t>
        </is>
      </c>
    </row>
    <row r="35">
      <c r="A35" t="inlineStr">
        <is>
          <t>Filter:</t>
        </is>
      </c>
      <c r="B35" t="inlineStr">
        <is>
          <t>(None)</t>
        </is>
      </c>
      <c r="C35" t="inlineStr">
        <is>
          <t>=</t>
        </is>
      </c>
      <c r="D35" t="inlineStr">
        <is>
          <t>(All)</t>
        </is>
      </c>
      <c r="F35" t="inlineStr">
        <is>
          <t>(None)</t>
        </is>
      </c>
    </row>
    <row r="37">
      <c r="A37" s="2" t="inlineStr">
        <is>
          <t>Option</t>
        </is>
      </c>
      <c r="B37" s="2" t="inlineStr">
        <is>
          <t>Count</t>
        </is>
      </c>
      <c r="C37" s="2" t="inlineStr">
        <is>
          <t>%</t>
        </is>
      </c>
      <c r="D37" s="2" t="inlineStr">
        <is>
          <t>Denominator</t>
        </is>
      </c>
      <c r="F37" s="1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1" t="inlineStr">
        <is>
          <t>TOTAL</t>
        </is>
      </c>
    </row>
    <row r="38">
      <c r="A38" t="inlineStr">
        <is>
          <t>A</t>
        </is>
      </c>
      <c r="B3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38" s="4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"_data"),G$37))</f>
        <v/>
      </c>
      <c r="H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"_data"),H$37))</f>
        <v/>
      </c>
      <c r="I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"_data"),I$37))</f>
        <v/>
      </c>
      <c r="J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"_data"),J$37))</f>
        <v/>
      </c>
      <c r="K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"_data"),K$37))</f>
        <v/>
      </c>
      <c r="L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"_data"),L$37))</f>
        <v/>
      </c>
      <c r="M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"_data"),M$37))</f>
        <v/>
      </c>
      <c r="N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39" s="4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"_data"),G$37))</f>
        <v/>
      </c>
      <c r="H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"_data"),H$37))</f>
        <v/>
      </c>
      <c r="I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"_data"),I$37))</f>
        <v/>
      </c>
      <c r="J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"_data"),J$37))</f>
        <v/>
      </c>
      <c r="K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"_data"),K$37))</f>
        <v/>
      </c>
      <c r="L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"_data"),L$37))</f>
        <v/>
      </c>
      <c r="M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"_data"),M$37))</f>
        <v/>
      </c>
      <c r="N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"_data"),N$37))</f>
        <v/>
      </c>
      <c r="O39">
        <f>SUM(G39:N39)</f>
        <v/>
      </c>
    </row>
  </sheetData>
  <mergeCells count="4">
    <mergeCell ref="A1:J1"/>
    <mergeCell ref="A33:J33"/>
    <mergeCell ref="A24:J24"/>
    <mergeCell ref="A12:J12"/>
  </mergeCells>
  <dataValidations count="15">
    <dataValidation sqref="A5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=INDIRECT(IF(Q_NUM_EXPORT_F_Q="(None)","None_options",Q_NUM_EXPORT_F_Q &amp; "_options"))</formula1>
    </dataValidation>
    <dataValidation sqref="F14" showDropDown="0" showInputMessage="0" showErrorMessage="0" allowBlank="1" type="list">
      <formula1>=All_Questions</formula1>
    </dataValidation>
    <dataValidation sqref="B26" showDropDown="0" showInputMessage="0" showErrorMessage="0" allowBlank="1" type="list">
      <formula1>=All_Questions</formula1>
    </dataValidation>
    <dataValidation sqref="D26" showDropDown="0" showInputMessage="0" showErrorMessage="0" allowBlank="1" type="list">
      <formula1>=INDIRECT(IF(Q_GRID_EXPORT_F_Q="(None)","None_options",Q_GRID_EXPORT_F_Q &amp; "_options"))</formula1>
    </dataValidation>
    <dataValidation sqref="F26" showDropDown="0" showInputMessage="0" showErrorMessage="0" allowBlank="1" type="list">
      <formula1>=All_Questions</formula1>
    </dataValidation>
    <dataValidation sqref="B35" showDropDown="0" showInputMessage="0" showErrorMessage="0" allowBlank="1" type="list">
      <formula1>=All_Questions</formula1>
    </dataValidation>
    <dataValidation sqref="D35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3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2026-05-13T16:01:07Z</dcterms:created>
  <dcterms:modified xmlns:dcterms="http://purl.org/dc/terms/" xmlns:xsi="http://www.w3.org/2001/XMLSchema-instance" xsi:type="dcterms:W3CDTF">2026-05-13T16:01:07Z</dcterms:modified>
</cp:coreProperties>
</file>