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Blocked Vendors</t>
        </is>
      </c>
      <c r="D15" s="2" t="n"/>
      <c r="E15" s="4" t="inlineStr">
        <is>
          <t>Scored Vendors</t>
        </is>
      </c>
      <c r="F15" s="2" t="n"/>
      <c r="G15" s="4" t="inlineStr">
        <is>
          <t>Recommended for or against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Q26r1</t>
        </is>
      </c>
      <c r="B17" t="inlineStr">
        <is>
          <t>IT / Technical</t>
        </is>
      </c>
      <c r="C17">
        <f>COUNTIFS(Q26r1c1_data,"Selected",passes_workbook_filters_data,1,passes_workbook_custom_filters_data,1,All_Questions_passes_local_filters_data,1,All_Questions_Q26_F_passes_per_q_filter_data,1)</f>
        <v>2</v>
      </c>
      <c r="D17" s="7">
        <f>IFERROR(C17/6,0)</f>
        <v>0.3333333333333333</v>
      </c>
      <c r="E17">
        <f>COUNTIFS(Q26r1c2_data,"Selected",passes_workbook_filters_data,1,passes_workbook_custom_filters_data,1,All_Questions_passes_local_filters_data,1,All_Questions_Q26_F_passes_per_q_filter_data,1)</f>
        <v>4</v>
      </c>
      <c r="F17" s="7">
        <f>IFERROR(E17/6,0)</f>
        <v>0.6666666666666666</v>
      </c>
      <c r="G17">
        <f>COUNTIFS(Q26r1c3_data,"Selected",passes_workbook_filters_data,1,passes_workbook_custom_filters_data,1,All_Questions_passes_local_filters_data,1,All_Questions_Q26_F_passes_per_q_filter_data,1)</f>
        <v>3</v>
      </c>
      <c r="H17" s="7">
        <f>IFERROR(G17/6,0)</f>
        <v>0.5</v>
      </c>
    </row>
    <row r="18">
      <c r="A18" s="14" t="inlineStr">
        <is>
          <t>Q26r2</t>
        </is>
      </c>
      <c r="B18" t="inlineStr">
        <is>
          <t>Finance</t>
        </is>
      </c>
      <c r="C18">
        <f>COUNTIFS(Q26r2c1_data,"Selected",passes_workbook_filters_data,1,passes_workbook_custom_filters_data,1,All_Questions_passes_local_filters_data,1,All_Questions_Q26_F_passes_per_q_filter_data,1)</f>
        <v>1</v>
      </c>
      <c r="D18" s="7">
        <f>IFERROR(C18/6,0)</f>
        <v>0.16666666666666666</v>
      </c>
      <c r="E18">
        <f>COUNTIFS(Q26r2c2_data,"Selected",passes_workbook_filters_data,1,passes_workbook_custom_filters_data,1,All_Questions_passes_local_filters_data,1,All_Questions_Q26_F_passes_per_q_filter_data,1)</f>
        <v>5</v>
      </c>
      <c r="F18" s="7">
        <f>IFERROR(E18/6,0)</f>
        <v>0.8333333333333334</v>
      </c>
      <c r="G18">
        <f>COUNTIFS(Q26r2c3_data,"Selected",passes_workbook_filters_data,1,passes_workbook_custom_filters_data,1,All_Questions_passes_local_filters_data,1,All_Questions_Q26_F_passes_per_q_filter_data,1)</f>
        <v>2</v>
      </c>
      <c r="H18" s="7">
        <f>IFERROR(G18/6,0)</f>
        <v>0.3333333333333333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E19" s="15" t="n"/>
      <c r="F19" s="15" t="n"/>
      <c r="G19" s="15" t="n"/>
      <c r="H19" s="15" t="n"/>
    </row>
    <row r="20">
      <c r="A20" s="4" t="inlineStr">
        <is>
          <t>Total responses</t>
        </is>
      </c>
      <c r="B20" s="4" t="n">
        <v>17</v>
      </c>
      <c r="C20" s="4" t="n"/>
      <c r="D20" s="4" t="n"/>
      <c r="E20" s="4" t="n"/>
      <c r="F20" s="4" t="n"/>
      <c r="G20" s="4" t="n"/>
      <c r="H20" s="4" t="n"/>
    </row>
  </sheetData>
  <mergeCells count="4">
    <mergeCell ref="E15:F15"/>
    <mergeCell ref="C15:D15"/>
    <mergeCell ref="A1:J1"/>
    <mergeCell ref="G15:H15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2026-06-09T11:22:27Z</dcterms:created>
  <dcterms:modified xmlns:dcterms="http://purl.org/dc/terms/" xmlns:xsi="http://www.w3.org/2001/XMLSchema-instance" xsi:type="dcterms:W3CDTF">2026-06-09T11:22:27Z</dcterms:modified>
</cp:coreProperties>
</file>