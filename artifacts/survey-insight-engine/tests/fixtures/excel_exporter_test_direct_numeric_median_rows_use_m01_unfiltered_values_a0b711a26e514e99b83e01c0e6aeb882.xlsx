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B34" i="7"/>
  <c r="D34" i="7"/>
  <c r="B35" i="7"/>
  <c r="D35" i="7"/>
  <c r="B36" i="7"/>
  <c r="D36" i="7"/>
  <c r="D37" i="7"/>
  <c r="G40" i="7"/>
  <c r="H40" i="7"/>
  <c r="I40" i="7"/>
  <c r="J40" i="7"/>
  <c r="K40" i="7"/>
  <c r="L40" i="7"/>
  <c r="M40" i="7"/>
  <c r="N40" i="7"/>
  <c r="O40" i="7"/>
  <c r="P40" i="7"/>
  <c r="Q40" i="7"/>
  <c r="R40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S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F23" s="4" t="inlineStr">
        <is>
          <t>Option</t>
        </is>
      </c>
      <c r="G23" s="2" t="str">
        <f>IF(All_Questions_Q8_CT="(None)","",IFERROR(INDEX(INDIRECT(IFERROR(INDEX(All_Questions_Options_Names,MATCH(All_Questions_Q8_CT,All_Questions,0)),"'_Options'!$E$2:$E$2")),2),""))</f>
        <v/>
      </c>
      <c r="H23" s="2" t="str">
        <f>IF(All_Questions_Q8_CT="(None)","",IFERROR(INDEX(INDIRECT(IFERROR(INDEX(All_Questions_Options_Names,MATCH(All_Questions_Q8_CT,All_Questions,0)),"'_Options'!$E$2:$E$2")),3),""))</f>
        <v/>
      </c>
      <c r="I23" s="2" t="str">
        <f>IF(All_Questions_Q8_CT="(None)","",IFERROR(INDEX(INDIRECT(IFERROR(INDEX(All_Questions_Options_Names,MATCH(All_Questions_Q8_CT,All_Questions,0)),"'_Options'!$E$2:$E$2")),4),""))</f>
        <v/>
      </c>
      <c r="J23" s="2" t="str">
        <f>IF(All_Questions_Q8_CT="(None)","",IFERROR(INDEX(INDIRECT(IFERROR(INDEX(All_Questions_Options_Names,MATCH(All_Questions_Q8_CT,All_Questions,0)),"'_Options'!$E$2:$E$2")),5),""))</f>
        <v/>
      </c>
      <c r="K23" s="2" t="str">
        <f>IF(All_Questions_Q8_CT="(None)","",IFERROR(INDEX(INDIRECT(IFERROR(INDEX(All_Questions_Options_Names,MATCH(All_Questions_Q8_CT,All_Questions,0)),"'_Options'!$E$2:$E$2")),6),""))</f>
        <v/>
      </c>
      <c r="L23" s="2" t="str">
        <f>IF(All_Questions_Q8_CT="(None)","",IFERROR(INDEX(INDIRECT(IFERROR(INDEX(All_Questions_Options_Names,MATCH(All_Questions_Q8_CT,All_Questions,0)),"'_Options'!$E$2:$E$2")),7),""))</f>
        <v/>
      </c>
      <c r="M23" s="2" t="str">
        <f>IF(All_Questions_Q8_CT="(None)","",IFERROR(INDEX(INDIRECT(IFERROR(INDEX(All_Questions_Options_Names,MATCH(All_Questions_Q8_CT,All_Questions,0)),"'_Options'!$E$2:$E$2")),8),""))</f>
        <v/>
      </c>
      <c r="N23" s="2" t="str">
        <f>IF(All_Questions_Q8_CT="(None)","",IFERROR(INDEX(INDIRECT(IFERROR(INDEX(All_Questions_Options_Names,MATCH(All_Questions_Q8_CT,All_Questions,0)),"'_Options'!$E$2:$E$2")),9),""))</f>
        <v/>
      </c>
      <c r="O23" s="2" t="str">
        <f>IF(All_Questions_Q8_CT="(None)","",IFERROR(INDEX(INDIRECT(IFERROR(INDEX(All_Questions_Options_Names,MATCH(All_Questions_Q8_CT,All_Questions,0)),"'_Options'!$E$2:$E$2")),10),""))</f>
        <v/>
      </c>
      <c r="P23" s="2" t="str">
        <f>IF(All_Questions_Q8_CT="(None)","",IFERROR(INDEX(INDIRECT(IFERROR(INDEX(All_Questions_Options_Names,MATCH(All_Questions_Q8_CT,All_Questions,0)),"'_Options'!$E$2:$E$2")),11),""))</f>
        <v/>
      </c>
      <c r="Q23" s="2" t="str">
        <f>IF(All_Questions_Q8_CT="(None)","",IFERROR(INDEX(INDIRECT(IFERROR(INDEX(All_Questions_Options_Names,MATCH(All_Questions_Q8_CT,All_Questions,0)),"'_Options'!$E$2:$E$2")),12),""))</f>
        <v/>
      </c>
      <c r="R23" s="2" t="str">
        <f>IF(All_Questions_Q8_CT="(None)","",IF(COUNTA(INDIRECT(IFERROR(INDEX(All_Questions_Options_Names,MATCH(All_Questions_Q8_CT,All_Questions,0)),"'_Options'!$E$2:$E$2")))-1&gt;11,"Other",IFERROR(INDEX(INDIRECT(IFERROR(INDEX(All_Questions_Options_Names,MATCH(All_Questions_Q8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Likely to recommend</t>
        </is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M$23),"")))</f>
        <v>5.25</v>
      </c>
      <c r="N25" s="14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N$23),"")))</f>
        <v>5.25</v>
      </c>
      <c r="O25" s="14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O$23),"")))</f>
        <v>5.25</v>
      </c>
      <c r="P25" s="14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P$23),"")))</f>
        <v>5.25</v>
      </c>
      <c r="Q25" s="14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Q$23),"")))</f>
        <v>5.25</v>
      </c>
      <c r="R25" s="14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R$23),"")))</f>
        <v>5.25</v>
      </c>
      <c r="S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IFERROR(INDEX(All_Questions_Data_Names,MATCH(All_Questions_Q9_F_Q,All_Questions,0)),"'_RawData'!$A:$A")</f>
        <v>respondent_id_data</v>
      </c>
      <c r="G30" t="str">
        <f>"|" &amp; SUBSTITUTE(All_Questions_Q9_F_V, ", ", "|") &amp; "|"</f>
        <v>|(All)|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F40" s="4" t="inlineStr">
        <is>
          <t>Option</t>
        </is>
      </c>
      <c r="G40" s="2" t="str">
        <f>IF(All_Questions_Q9_CT="(None)","",IFERROR(INDEX(INDIRECT(IFERROR(INDEX(All_Questions_Options_Names,MATCH(All_Questions_Q9_CT,All_Questions,0)),"'_Options'!$E$2:$E$2")),2),""))</f>
        <v/>
      </c>
      <c r="H40" s="2" t="str">
        <f>IF(All_Questions_Q9_CT="(None)","",IFERROR(INDEX(INDIRECT(IFERROR(INDEX(All_Questions_Options_Names,MATCH(All_Questions_Q9_CT,All_Questions,0)),"'_Options'!$E$2:$E$2")),3),""))</f>
        <v/>
      </c>
      <c r="I40" s="2" t="str">
        <f>IF(All_Questions_Q9_CT="(None)","",IFERROR(INDEX(INDIRECT(IFERROR(INDEX(All_Questions_Options_Names,MATCH(All_Questions_Q9_CT,All_Questions,0)),"'_Options'!$E$2:$E$2")),4),""))</f>
        <v/>
      </c>
      <c r="J40" s="2" t="str">
        <f>IF(All_Questions_Q9_CT="(None)","",IFERROR(INDEX(INDIRECT(IFERROR(INDEX(All_Questions_Options_Names,MATCH(All_Questions_Q9_CT,All_Questions,0)),"'_Options'!$E$2:$E$2")),5),""))</f>
        <v/>
      </c>
      <c r="K40" s="2" t="str">
        <f>IF(All_Questions_Q9_CT="(None)","",IFERROR(INDEX(INDIRECT(IFERROR(INDEX(All_Questions_Options_Names,MATCH(All_Questions_Q9_CT,All_Questions,0)),"'_Options'!$E$2:$E$2")),6),""))</f>
        <v/>
      </c>
      <c r="L40" s="2" t="str">
        <f>IF(All_Questions_Q9_CT="(None)","",IFERROR(INDEX(INDIRECT(IFERROR(INDEX(All_Questions_Options_Names,MATCH(All_Questions_Q9_CT,All_Questions,0)),"'_Options'!$E$2:$E$2")),7),""))</f>
        <v/>
      </c>
      <c r="M40" s="2" t="str">
        <f>IF(All_Questions_Q9_CT="(None)","",IFERROR(INDEX(INDIRECT(IFERROR(INDEX(All_Questions_Options_Names,MATCH(All_Questions_Q9_CT,All_Questions,0)),"'_Options'!$E$2:$E$2")),8),""))</f>
        <v/>
      </c>
      <c r="N40" s="2" t="str">
        <f>IF(All_Questions_Q9_CT="(None)","",IFERROR(INDEX(INDIRECT(IFERROR(INDEX(All_Questions_Options_Names,MATCH(All_Questions_Q9_CT,All_Questions,0)),"'_Options'!$E$2:$E$2")),9),""))</f>
        <v/>
      </c>
      <c r="O40" s="2" t="str">
        <f>IF(All_Questions_Q9_CT="(None)","",IFERROR(INDEX(INDIRECT(IFERROR(INDEX(All_Questions_Options_Names,MATCH(All_Questions_Q9_CT,All_Questions,0)),"'_Options'!$E$2:$E$2")),10),""))</f>
        <v/>
      </c>
      <c r="P40" s="2" t="str">
        <f>IF(All_Questions_Q9_CT="(None)","",IFERROR(INDEX(INDIRECT(IFERROR(INDEX(All_Questions_Options_Names,MATCH(All_Questions_Q9_CT,All_Questions,0)),"'_Options'!$E$2:$E$2")),11),""))</f>
        <v/>
      </c>
      <c r="Q40" s="2" t="str">
        <f>IF(All_Questions_Q9_CT="(None)","",IFERROR(INDEX(INDIRECT(IFERROR(INDEX(All_Questions_Options_Names,MATCH(All_Questions_Q9_CT,All_Questions,0)),"'_Options'!$E$2:$E$2")),12),""))</f>
        <v/>
      </c>
      <c r="R40" s="2" t="str">
        <f>IF(All_Questions_Q9_CT="(None)","",IF(COUNTA(INDIRECT(IFERROR(INDEX(All_Questions_Options_Names,MATCH(All_Questions_Q9_CT,All_Questions,0)),"'_Options'!$E$2:$E$2")))-1&gt;11,"Other",IFERROR(INDEX(INDIRECT(IFERROR(INDEX(All_Questions_Options_Names,MATCH(All_Questions_Q9_CT,All_Questions,0)),"'_Options'!$E$2:$E$2")),13),"")))</f>
        <v/>
      </c>
      <c r="S40" s="4" t="inlineStr">
        <is>
          <t>Total</t>
        </is>
      </c>
    </row>
    <row r="41">
      <c r="F41" s="4" t="inlineStr"/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  <c r="O41" s="4" t="inlineStr">
        <is>
          <t>Mean</t>
        </is>
      </c>
      <c r="P41" s="4" t="inlineStr">
        <is>
          <t>Mean</t>
        </is>
      </c>
      <c r="Q41" s="4" t="inlineStr">
        <is>
          <t>Mean</t>
        </is>
      </c>
      <c r="R41" s="4" t="inlineStr">
        <is>
          <t>Mean</t>
        </is>
      </c>
      <c r="S41" s="4" t="inlineStr">
        <is>
          <t>Mean</t>
        </is>
      </c>
    </row>
    <row r="42">
      <c r="F42" t="inlineStr">
        <is>
          <t>Planned spend</t>
        </is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M$40),"")))</f>
        <v>27.1</v>
      </c>
      <c r="N42" s="14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N$40),"")))</f>
        <v>27.1</v>
      </c>
      <c r="O42" s="14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O$40),"")))</f>
        <v>27.1</v>
      </c>
      <c r="P42" s="14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P$40),"")))</f>
        <v>27.1</v>
      </c>
      <c r="Q42" s="1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Q$40),"")))</f>
        <v>27.1</v>
      </c>
      <c r="R42" s="14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R$40),"")))</f>
        <v>27.1</v>
      </c>
      <c r="S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G$23</t>
        </is>
      </c>
      <c r="H2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G$23),"")))</f>
        <v>0</v>
      </c>
      <c r="I2" t="n">
        <v>5.25</v>
      </c>
      <c r="J2" t="n">
        <v>0</v>
      </c>
      <c r="K2" t="n">
        <v>0</v>
      </c>
      <c r="L2" t="inlineStr">
        <is>
          <t>2026-06-08T13:14:46.679309+00:00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H$23</t>
        </is>
      </c>
      <c r="H3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H$23),"")))</f>
        <v>0</v>
      </c>
      <c r="I3" t="n">
        <v>5.25</v>
      </c>
      <c r="J3" t="n">
        <v>0</v>
      </c>
      <c r="K3" t="n">
        <v>0</v>
      </c>
      <c r="L3" t="inlineStr">
        <is>
          <t>2026-06-08T13:14:46.679368+00:00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I$23</t>
        </is>
      </c>
      <c r="H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I$23),"")))</f>
        <v>0</v>
      </c>
      <c r="I4" t="n">
        <v>5.25</v>
      </c>
      <c r="J4" t="n">
        <v>0</v>
      </c>
      <c r="K4" t="n">
        <v>0</v>
      </c>
      <c r="L4" t="inlineStr">
        <is>
          <t>2026-06-08T13:14:46.679399+00:00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J$23</t>
        </is>
      </c>
      <c r="H5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J$23),"")))</f>
        <v>0</v>
      </c>
      <c r="I5" t="n">
        <v>5.25</v>
      </c>
      <c r="J5" t="n">
        <v>0</v>
      </c>
      <c r="K5" t="n">
        <v>0</v>
      </c>
      <c r="L5" t="inlineStr">
        <is>
          <t>2026-06-08T13:14:46.679428+00:00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K$23</t>
        </is>
      </c>
      <c r="H6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K$23),"")))</f>
        <v>0</v>
      </c>
      <c r="I6" t="n">
        <v>5.25</v>
      </c>
      <c r="J6" t="n">
        <v>0</v>
      </c>
      <c r="K6" t="n">
        <v>0</v>
      </c>
      <c r="L6" t="inlineStr">
        <is>
          <t>2026-06-08T13:14:46.679456+00:00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L$23</t>
        </is>
      </c>
      <c r="H7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L$23),"")))</f>
        <v>0</v>
      </c>
      <c r="I7" t="n">
        <v>5.25</v>
      </c>
      <c r="J7" t="n">
        <v>0</v>
      </c>
      <c r="K7" t="n">
        <v>0</v>
      </c>
      <c r="L7" t="inlineStr">
        <is>
          <t>2026-06-08T13:14:46.679483+00:00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M$23</t>
        </is>
      </c>
      <c r="H8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M$23),"")))</f>
        <v>0</v>
      </c>
      <c r="I8" t="n">
        <v>5.25</v>
      </c>
      <c r="J8" t="n">
        <v>0</v>
      </c>
      <c r="K8" t="n">
        <v>0</v>
      </c>
      <c r="L8" t="inlineStr">
        <is>
          <t>2026-06-08T13:14:46.679507+00:00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N$23</t>
        </is>
      </c>
      <c r="H9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N$23),"")))</f>
        <v>0</v>
      </c>
      <c r="I9" t="n">
        <v>5.25</v>
      </c>
      <c r="J9" t="n">
        <v>0</v>
      </c>
      <c r="K9" t="n">
        <v>0</v>
      </c>
      <c r="L9" t="inlineStr">
        <is>
          <t>2026-06-08T13:14:46.679533+00:00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O$23</t>
        </is>
      </c>
      <c r="H10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O$23),"")))</f>
        <v>0</v>
      </c>
      <c r="I10" t="n">
        <v>5.25</v>
      </c>
      <c r="J10" t="n">
        <v>0</v>
      </c>
      <c r="K10" t="n">
        <v>0</v>
      </c>
      <c r="L10" t="inlineStr">
        <is>
          <t>2026-06-08T13:14:46.679559+00:00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P$23</t>
        </is>
      </c>
      <c r="H11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P$23),"")))</f>
        <v>0</v>
      </c>
      <c r="I11" t="n">
        <v>5.25</v>
      </c>
      <c r="J11" t="n">
        <v>0</v>
      </c>
      <c r="K11" t="n">
        <v>0</v>
      </c>
      <c r="L11" t="inlineStr">
        <is>
          <t>2026-06-08T13:14:46.679585+00:00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Q$23</t>
        </is>
      </c>
      <c r="H12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Q$23),"")))</f>
        <v>0</v>
      </c>
      <c r="I12" t="n">
        <v>5.25</v>
      </c>
      <c r="J12" t="n">
        <v>0</v>
      </c>
      <c r="K12" t="n">
        <v>0</v>
      </c>
      <c r="L12" t="inlineStr">
        <is>
          <t>2026-06-08T13:14:46.679610+00:00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R$23</t>
        </is>
      </c>
      <c r="H13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R$23),"")))</f>
        <v>0</v>
      </c>
      <c r="I13" t="n">
        <v>5.25</v>
      </c>
      <c r="J13" t="n">
        <v>0</v>
      </c>
      <c r="K13" t="n">
        <v>0</v>
      </c>
      <c r="L13" t="inlineStr">
        <is>
          <t>2026-06-08T13:14:46.679646+00:00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G$40</t>
        </is>
      </c>
      <c r="H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G$40),"")))</f>
        <v>0</v>
      </c>
      <c r="I14" t="n">
        <v>27.1</v>
      </c>
      <c r="J14" t="n">
        <v>0</v>
      </c>
      <c r="K14" t="n">
        <v>0</v>
      </c>
      <c r="L14" t="inlineStr">
        <is>
          <t>2026-06-08T13:14:46.685930+00:00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H$40</t>
        </is>
      </c>
      <c r="H15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H$40),"")))</f>
        <v>0</v>
      </c>
      <c r="I15" t="n">
        <v>27.1</v>
      </c>
      <c r="J15" t="n">
        <v>0</v>
      </c>
      <c r="K15" t="n">
        <v>0</v>
      </c>
      <c r="L15" t="inlineStr">
        <is>
          <t>2026-06-08T13:14:46.685998+00:00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I$40</t>
        </is>
      </c>
      <c r="H16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I$40),"")))</f>
        <v>0</v>
      </c>
      <c r="I16" t="n">
        <v>27.1</v>
      </c>
      <c r="J16" t="n">
        <v>0</v>
      </c>
      <c r="K16" t="n">
        <v>0</v>
      </c>
      <c r="L16" t="inlineStr">
        <is>
          <t>2026-06-08T13:14:46.686031+00:00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J$40</t>
        </is>
      </c>
      <c r="H17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J$40),"")))</f>
        <v>0</v>
      </c>
      <c r="I17" t="n">
        <v>27.1</v>
      </c>
      <c r="J17" t="n">
        <v>0</v>
      </c>
      <c r="K17" t="n">
        <v>0</v>
      </c>
      <c r="L17" t="inlineStr">
        <is>
          <t>2026-06-08T13:14:46.686059+00:00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K$40</t>
        </is>
      </c>
      <c r="H18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K$40),"")))</f>
        <v>0</v>
      </c>
      <c r="I18" t="n">
        <v>27.1</v>
      </c>
      <c r="J18" t="n">
        <v>0</v>
      </c>
      <c r="K18" t="n">
        <v>0</v>
      </c>
      <c r="L18" t="inlineStr">
        <is>
          <t>2026-06-08T13:14:46.686085+00:00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L$40</t>
        </is>
      </c>
      <c r="H19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L$40),"")))</f>
        <v>0</v>
      </c>
      <c r="I19" t="n">
        <v>27.1</v>
      </c>
      <c r="J19" t="n">
        <v>0</v>
      </c>
      <c r="K19" t="n">
        <v>0</v>
      </c>
      <c r="L19" t="inlineStr">
        <is>
          <t>2026-06-08T13:14:46.686110+00:00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M$40</t>
        </is>
      </c>
      <c r="H20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M$40),"")))</f>
        <v>0</v>
      </c>
      <c r="I20" t="n">
        <v>27.1</v>
      </c>
      <c r="J20" t="n">
        <v>0</v>
      </c>
      <c r="K20" t="n">
        <v>0</v>
      </c>
      <c r="L20" t="inlineStr">
        <is>
          <t>2026-06-08T13:14:46.686137+00:00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N$40</t>
        </is>
      </c>
      <c r="H21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N$40),"")))</f>
        <v>0</v>
      </c>
      <c r="I21" t="n">
        <v>27.1</v>
      </c>
      <c r="J21" t="n">
        <v>0</v>
      </c>
      <c r="K21" t="n">
        <v>0</v>
      </c>
      <c r="L21" t="inlineStr">
        <is>
          <t>2026-06-08T13:14:46.686162+00:00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O$40</t>
        </is>
      </c>
      <c r="H22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O$40),"")))</f>
        <v>0</v>
      </c>
      <c r="I22" t="n">
        <v>27.1</v>
      </c>
      <c r="J22" t="n">
        <v>0</v>
      </c>
      <c r="K22" t="n">
        <v>0</v>
      </c>
      <c r="L22" t="inlineStr">
        <is>
          <t>2026-06-08T13:14:46.686187+00:00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P$40</t>
        </is>
      </c>
      <c r="H23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P$40),"")))</f>
        <v>0</v>
      </c>
      <c r="I23" t="n">
        <v>27.1</v>
      </c>
      <c r="J23" t="n">
        <v>0</v>
      </c>
      <c r="K23" t="n">
        <v>0</v>
      </c>
      <c r="L23" t="inlineStr">
        <is>
          <t>2026-06-08T13:14:46.686212+00:00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Q$40</t>
        </is>
      </c>
      <c r="H2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Q$40),"")))</f>
        <v>0</v>
      </c>
      <c r="I24" t="n">
        <v>27.1</v>
      </c>
      <c r="J24" t="n">
        <v>0</v>
      </c>
      <c r="K24" t="n">
        <v>0</v>
      </c>
      <c r="L24" t="inlineStr">
        <is>
          <t>2026-06-08T13:14:46.686236+00:00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R$40</t>
        </is>
      </c>
      <c r="H25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R$40),"")))</f>
        <v>0</v>
      </c>
      <c r="I25" t="n">
        <v>27.1</v>
      </c>
      <c r="J25" t="n">
        <v>0</v>
      </c>
      <c r="K25" t="n">
        <v>0</v>
      </c>
      <c r="L25" t="inlineStr">
        <is>
          <t>2026-06-08T13:14:46.686296+00:00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2026-06-08T13:14:45Z</dcterms:created>
  <dcterms:modified xmlns:dcterms="http://purl.org/dc/terms/" xmlns:xsi="http://www.w3.org/2001/XMLSchema-instance" xsi:type="dcterms:W3CDTF">2026-06-08T13:14:46Z</dcterms:modified>
</cp:coreProperties>
</file>