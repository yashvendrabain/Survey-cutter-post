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Q1_filter_values_options">'_Options'!$U$2:$U$32</definedName>
    <definedName name="Q1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resolved_criteria">'All Questions'!$H$13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IF(OR(All_Questions_Q1_F_Q="(None)",All_Questions_Q1_F_Q="",ISBLANK(All_Questions_Q1_F_Q),All_Questions_Q1_F_V="(All)",All_Questions_Q1_F_V="",ISBLANK(All_Questions_Q1_F_V)),1,IFERROR(IF(ISNUMBER(SEARCH("|"&amp;INDEX(INDIRECT(All_Questions_Q1_F_resolved_column),1)&amp;"|",("|" &amp; SUBSTITUTE(All_Questions_Q1_F_resolved_criteria,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IF(OR(All_Questions_Q1_F_Q="(None)",All_Questions_Q1_F_Q="",ISBLANK(All_Questions_Q1_F_Q),All_Questions_Q1_F_V="(All)",All_Questions_Q1_F_V="",ISBLANK(All_Questions_Q1_F_V)),1,IFERROR(IF(ISNUMBER(SEARCH("|"&amp;INDEX(INDIRECT(All_Questions_Q1_F_resolved_column),2)&amp;"|",("|" &amp; SUBSTITUTE(All_Questions_Q1_F_resolved_criteria, ", ", "|") &amp; "|"))),1,0),0))*1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IF(OR(All_Questions_Q1_F_Q="(None)",All_Questions_Q1_F_Q="",ISBLANK(All_Questions_Q1_F_Q),All_Questions_Q1_F_V="(All)",All_Questions_Q1_F_V="",ISBLANK(All_Questions_Q1_F_V)),1,IFERROR(IF(ISNUMBER(SEARCH("|"&amp;INDEX(INDIRECT(All_Questions_Q1_F_resolved_column),3)&amp;"|",("|" &amp; SUBSTITUTE(All_Questions_Q1_F_resolved_criteria,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IF(OR(All_Questions_Q1_F_Q="(None)",All_Questions_Q1_F_Q="",ISBLANK(All_Questions_Q1_F_Q),All_Questions_Q1_F_V="(All)",All_Questions_Q1_F_V="",ISBLANK(All_Questions_Q1_F_V)),1,IFERROR(IF(ISNUMBER(SEARCH("|"&amp;INDEX(INDIRECT(All_Questions_Q1_F_resolved_column),4)&amp;"|",("|" &amp; SUBSTITUTE(All_Questions_Q1_F_resolved_criteria,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Q1_filter_values_options</t>
        </is>
      </c>
      <c r="V1" t="inlineStr">
        <is>
          <t>Q1_filter_values_local_options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Q1 - Rate Each Vendor Attribute From 1 To 10|Implementation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Q1 - Rate Each Vendor Attribute From 1 To 10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Q1 - Rate Each Vendor Attribute From 1 To 10|Implementation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Q1 - Rate Each Vendor Attribute From 1 To 10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Q1 - Rate Each Vendor Attribute From 1 To 10|Implementation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Q1 - Rate Each Vendor Attribute From 1 To 10|Implementation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Q1 - Rate Each Vendor Attribute From 1 To 10|Implementation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Q1 - Rate Each Vendor Attribute From 1 To 10|Implementation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Q1 - Rate Each Vendor Attribute From 1 To 10|Implementation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Q1 - Rate Each Vendor Attribute From 1 To 10|Implementation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Q1 - Rate Each Vendor Attribute From 1 To 10|Implementation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Q1 - Rate Each Vendor Attribute From 1 To 10|Implementation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Q1 - Rate Each Vendor Attribute From 1 To 10|Implementation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Q1 - Rate Each Vendor Attribute From 1 To 10|Implementation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Q1 - Rate Each Vendor Attribute From 1 To 10|Implementation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Q1 - Rate Each Vendor Attribute From 1 To 10|Implementation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Q1 - Rate Each Vendor Attribute From 1 To 10|Implementation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Q1 - Rate Each Vendor Attribute From 1 To 10|Implementation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Q1 - Rate Each Vendor Attribute From 1 To 10|Implementation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Q1 - Rate Each Vendor Attribute From 1 To 10|Implementation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Q1 - Rate Each Vendor Attribute From 1 To 10|Implementation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Q1 - Rate Each Vendor Attribute From 1 To 10|Implementation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Q1 - Rate Each Vendor Attribute From 1 To 10|Integration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Q1 - Rate Each Vendor Attribute From 1 To 10|Integration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Q1 - Rate Each Vendor Attribute From 1 To 10|Integration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Q1 - Rate Each Vendor Attribute From 1 To 10|Integration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Q1 - Rate Each Vendor Attribute From 1 To 10|Integration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Q1 - Rate Each Vendor Attribute From 1 To 10|Integration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Q1 - Rate Each Vendor Attribute From 1 To 10|Integration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Q1 - Rate Each Vendor Attribute From 1 To 10|Integration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Q1 - Rate Each Vendor Attribute From 1 To 10|Integration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Q1 - Rate Each Vendor Attribute From 1 To 10|Integration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Q1 - Rate Each Vendor Attribute From 1 To 10|Integration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Q1 - Rate Each Vendor Attribute From 1 To 10|Integration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Q1 - Rate Each Vendor Attribute From 1 To 10|Integration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Q1 - Rate Each Vendor Attribute From 1 To 10|Integration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Q1 - Rate Each Vendor Attribute From 1 To 10|Integration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Q1 - Rate Each Vendor Attribute From 1 To 10|Integration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Q1 - Rate Each Vendor Attribute From 1 To 10|Integration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Q1 - Rate Each Vendor Attribute From 1 To 10|Integration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Q1 - Rate Each Vendor Attribute From 1 To 10|Integration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Q1 - Rate Each Vendor Attribute From 1 To 10|Integration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Q1 - Rate Each Vendor Attribute From 1 To 10|Efficiency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Q1 - Rate Each Vendor Attribute From 1 To 10|Efficiency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Q1 - Rate Each Vendor Attribute From 1 To 10|Efficiency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Q1 - Rate Each Vendor Attribute From 1 To 10|Efficiency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Q1 - Rate Each Vendor Attribute From 1 To 10|Efficiency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Q1 - Rate Each Vendor Attribute From 1 To 10|Efficiency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Q1 - Rate Each Vendor Attribute From 1 To 10|Efficiency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Q1 - Rate Each Vendor Attribute From 1 To 10|Efficiency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Q1 - Rate Each Vendor Attribute From 1 To 10|Efficiency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Q1 - Rate Each Vendor Attribute From 1 To 10|Efficiency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Q1 - Rate Each Vendor Attribute From 1 To 10|Efficiency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Q1 - Rate Each Vendor Attribute From 1 To 10|Efficiency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Q1 - Rate Each Vendor Attribute From 1 To 10|Efficiency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Q1 - Rate Each Vendor Attribute From 1 To 10|Efficiency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Q1 - Rate Each Vendor Attribute From 1 To 10|Efficiency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Q1 - Rate Each Vendor Attribute From 1 To 10|Efficiency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Q1 - Rate Each Vendor Attribute From 1 To 10|Efficiency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Q1 - Rate Each Vendor Attribute From 1 To 10|Efficiency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Q1 - Rate Each Vendor Attribute From 1 To 10|Efficiency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Q1 - Rate Each Vendor Attribute From 1 To 10|Efficiency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2026-06-08T13:47:59.041438+00:00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IFERROR(INDEX(All_Questions_Value_Data_Names,MATCH(All_Questions_Q1_F_Q&amp;"|"&amp;All_Questions_Q1_F_V,All_Questions_Value_Keys,0)),IFERROR(INDEX(All_Questions_Data_Names,MATCH(All_Questions_Q1_F_Q,All_Questions,0)),"'_RawData'!$A:$A"))</f>
        <v>respondent_id_data</v>
      </c>
      <c r="G13" t="str">
        <f>"|" &amp; SUBSTITUTE(All_Questions_Q1_F_V, ", ", "|") &amp; "|"</f>
        <v>|(All)|</v>
      </c>
      <c r="H13" t="str">
        <f>IFERROR(INDEX(All_Questions_Value_Criteria,MATCH(All_Questions_Q1_F_Q&amp;"|"&amp;All_Questions_Q1_F_V,All_Questions_Value_Keys,0)),All_Questions_Q1_F_V)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IF(All_Questions_Q1_CT="(None)","",IFERROR(INDEX(INDIRECT(IFERROR(INDEX(Cross_Tab_Questions_Options_Names,MATCH(All_Questions_Q1_CT,Cross_Tab_Questions,0)),"'_Options'!$E$2:$E$2")),2),""))</f>
        <v/>
      </c>
      <c r="H23" s="2" t="str">
        <f>IF(All_Questions_Q1_CT="(None)","",IFERROR(INDEX(INDIRECT(IFERROR(INDEX(Cross_Tab_Questions_Options_Names,MATCH(All_Questions_Q1_CT,Cross_Tab_Questions,0)),"'_Options'!$E$2:$E$2")),3),""))</f>
        <v/>
      </c>
      <c r="I23" s="2" t="str">
        <f>IF(All_Questions_Q1_CT="(None)","",IFERROR(INDEX(INDIRECT(IFERROR(INDEX(Cross_Tab_Questions_Options_Names,MATCH(All_Questions_Q1_CT,Cross_Tab_Questions,0)),"'_Options'!$E$2:$E$2")),4),""))</f>
        <v/>
      </c>
      <c r="J23" s="2" t="str">
        <f>IF(All_Questions_Q1_CT="(None)","",IFERROR(INDEX(INDIRECT(IFERROR(INDEX(Cross_Tab_Questions_Options_Names,MATCH(All_Questions_Q1_CT,Cross_Tab_Questions,0)),"'_Options'!$E$2:$E$2")),5),""))</f>
        <v/>
      </c>
      <c r="K23" s="2" t="str">
        <f>IF(All_Questions_Q1_CT="(None)","",IFERROR(INDEX(INDIRECT(IFERROR(INDEX(Cross_Tab_Questions_Options_Names,MATCH(All_Questions_Q1_CT,Cross_Tab_Questions,0)),"'_Options'!$E$2:$E$2")),6),""))</f>
        <v/>
      </c>
      <c r="L23" s="2" t="str">
        <f>IF(All_Questions_Q1_CT="(None)","",IFERROR(INDEX(INDIRECT(IFERROR(INDEX(Cross_Tab_Questions_Options_Names,MATCH(All_Questions_Q1_CT,Cross_Tab_Questions,0)),"'_Options'!$E$2:$E$2")),7),""))</f>
        <v/>
      </c>
      <c r="M23" s="2" t="str">
        <f>IF(All_Questions_Q1_CT="(None)","",IFERROR(INDEX(INDIRECT(IFERROR(INDEX(Cross_Tab_Questions_Options_Names,MATCH(All_Questions_Q1_CT,Cross_Tab_Questions,0)),"'_Options'!$E$2:$E$2")),8),""))</f>
        <v/>
      </c>
      <c r="N23" s="2" t="str">
        <f>IF(All_Questions_Q1_CT="(None)","",IFERROR(INDEX(INDIRECT(IFERROR(INDEX(Cross_Tab_Questions_Options_Names,MATCH(All_Questions_Q1_CT,Cross_Tab_Questions,0)),"'_Options'!$E$2:$E$2")),9),""))</f>
        <v/>
      </c>
      <c r="O23" s="2" t="str">
        <f>IF(All_Questions_Q1_CT="(None)","",IFERROR(INDEX(INDIRECT(IFERROR(INDEX(Cross_Tab_Questions_Options_Names,MATCH(All_Questions_Q1_CT,Cross_Tab_Questions,0)),"'_Options'!$E$2:$E$2")),10),""))</f>
        <v/>
      </c>
      <c r="P23" s="2" t="str">
        <f>IF(All_Questions_Q1_CT="(None)","",IFERROR(INDEX(INDIRECT(IFERROR(INDEX(Cross_Tab_Questions_Options_Names,MATCH(All_Questions_Q1_CT,Cross_Tab_Questions,0)),"'_Options'!$E$2:$E$2")),11),""))</f>
        <v/>
      </c>
      <c r="Q23" s="2" t="str">
        <f>IF(All_Questions_Q1_CT="(None)","",IFERROR(INDEX(INDIRECT(IFERROR(INDEX(Cross_Tab_Questions_Options_Names,MATCH(All_Questions_Q1_CT,Cross_Tab_Questions,0)),"'_Options'!$E$2:$E$2")),12),""))</f>
        <v/>
      </c>
      <c r="R23" s="2" t="str">
        <f>IF(All_Questions_Q1_CT="(None)","",IF(COUNTA(INDIRECT(IFERROR(INDEX(Cross_Tab_Questions_Options_Names,MATCH(All_Questions_Q1_CT,Cross_Tab_Questions,0)),"'_Options'!$E$2:$E$2")))-1&gt;11,"Other",IFERROR(INDEX(INDIRECT(IFERROR(INDEX(Cross_Tab_Questions_Options_Names,MATCH(All_Questions_Q1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1_CT="(None)",G$23=""),"",IF(G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8.2</v>
      </c>
      <c r="H25" s="17">
        <f>IF(OR(All_Questions_Q1_CT="(None)",H$23=""),"",IF(H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8.2</v>
      </c>
      <c r="I25" s="17">
        <f>IF(OR(All_Questions_Q1_CT="(None)",I$23=""),"",IF(I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8.2</v>
      </c>
      <c r="J25" s="17">
        <f>IF(OR(All_Questions_Q1_CT="(None)",J$23=""),"",IF(J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8.2</v>
      </c>
      <c r="K25" s="17">
        <f>IF(OR(All_Questions_Q1_CT="(None)",K$23=""),"",IF(K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8.2</v>
      </c>
      <c r="L25" s="17">
        <f>IF(OR(All_Questions_Q1_CT="(None)",L$23=""),"",IF(L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8.2</v>
      </c>
      <c r="M25" s="17">
        <f>IF(OR(All_Questions_Q1_CT="(None)",M$23=""),"",IF(M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8.2</v>
      </c>
      <c r="N25" s="17">
        <f>IF(OR(All_Questions_Q1_CT="(None)",N$23=""),"",IF(N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8.2</v>
      </c>
      <c r="O25" s="17">
        <f>IF(OR(All_Questions_Q1_CT="(None)",O$23=""),"",IF(O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8.2</v>
      </c>
      <c r="P25" s="17">
        <f>IF(OR(All_Questions_Q1_CT="(None)",P$23=""),"",IF(P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8.2</v>
      </c>
      <c r="Q25" s="17">
        <f>IF(OR(All_Questions_Q1_CT="(None)",Q$23=""),"",IF(Q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8.2</v>
      </c>
      <c r="R25" s="17">
        <f>IF(OR(All_Questions_Q1_CT="(None)",R$23=""),"",IF(R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8.2</v>
      </c>
      <c r="S25" s="17">
        <f>IF(All_Questions_Q1_CT="(None)","",IFERROR(AVERAGEIFS(Q1r1c1_data,Q1r1c1_data,"&gt;=0",passes_workbook_filters_data,1,passes_workbook_custom_filters_data,1,All_Questions_passes_local_filters_data,1,All_Questions_Q1_F_passes_per_q_filter_data,1),""))</f>
        <v>8.2</v>
      </c>
    </row>
    <row r="26">
      <c r="F26" t="inlineStr">
        <is>
          <t>Integration fit</t>
        </is>
      </c>
      <c r="G26" s="17">
        <f>IF(OR(All_Questions_Q1_CT="(None)",G$23=""),"",IF(G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8.8</v>
      </c>
      <c r="H26" s="17">
        <f>IF(OR(All_Questions_Q1_CT="(None)",H$23=""),"",IF(H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8.8</v>
      </c>
      <c r="I26" s="17">
        <f>IF(OR(All_Questions_Q1_CT="(None)",I$23=""),"",IF(I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8.8</v>
      </c>
      <c r="J26" s="17">
        <f>IF(OR(All_Questions_Q1_CT="(None)",J$23=""),"",IF(J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8.8</v>
      </c>
      <c r="K26" s="17">
        <f>IF(OR(All_Questions_Q1_CT="(None)",K$23=""),"",IF(K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8.8</v>
      </c>
      <c r="L26" s="17">
        <f>IF(OR(All_Questions_Q1_CT="(None)",L$23=""),"",IF(L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8.8</v>
      </c>
      <c r="M26" s="17">
        <f>IF(OR(All_Questions_Q1_CT="(None)",M$23=""),"",IF(M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8.8</v>
      </c>
      <c r="N26" s="17">
        <f>IF(OR(All_Questions_Q1_CT="(None)",N$23=""),"",IF(N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8.8</v>
      </c>
      <c r="O26" s="17">
        <f>IF(OR(All_Questions_Q1_CT="(None)",O$23=""),"",IF(O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8.8</v>
      </c>
      <c r="P26" s="17">
        <f>IF(OR(All_Questions_Q1_CT="(None)",P$23=""),"",IF(P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8.8</v>
      </c>
      <c r="Q26" s="17">
        <f>IF(OR(All_Questions_Q1_CT="(None)",Q$23=""),"",IF(Q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8.8</v>
      </c>
      <c r="R26" s="17">
        <f>IF(OR(All_Questions_Q1_CT="(None)",R$23=""),"",IF(R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8.8</v>
      </c>
      <c r="S26" s="17">
        <f>IF(All_Questions_Q1_CT="(None)","",IFERROR(AVERAGEIFS(Q1r2c1_data,Q1r2c1_data,"&gt;=0",passes_workbook_filters_data,1,passes_workbook_custom_filters_data,1,All_Questions_passes_local_filters_data,1,All_Questions_Q1_F_passes_per_q_filter_data,1),""))</f>
        <v>8.8</v>
      </c>
    </row>
    <row r="27">
      <c r="F27" t="inlineStr">
        <is>
          <t>Efficiency gains</t>
        </is>
      </c>
      <c r="G27" s="17">
        <f>IF(OR(All_Questions_Q1_CT="(None)",G$23=""),"",IF(G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7.8</v>
      </c>
      <c r="H27" s="17">
        <f>IF(OR(All_Questions_Q1_CT="(None)",H$23=""),"",IF(H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7.8</v>
      </c>
      <c r="I27" s="17">
        <f>IF(OR(All_Questions_Q1_CT="(None)",I$23=""),"",IF(I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7.8</v>
      </c>
      <c r="J27" s="17">
        <f>IF(OR(All_Questions_Q1_CT="(None)",J$23=""),"",IF(J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7.8</v>
      </c>
      <c r="K27" s="17">
        <f>IF(OR(All_Questions_Q1_CT="(None)",K$23=""),"",IF(K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7.8</v>
      </c>
      <c r="L27" s="17">
        <f>IF(OR(All_Questions_Q1_CT="(None)",L$23=""),"",IF(L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7.8</v>
      </c>
      <c r="M27" s="17">
        <f>IF(OR(All_Questions_Q1_CT="(None)",M$23=""),"",IF(M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7.8</v>
      </c>
      <c r="N27" s="17">
        <f>IF(OR(All_Questions_Q1_CT="(None)",N$23=""),"",IF(N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7.8</v>
      </c>
      <c r="O27" s="17">
        <f>IF(OR(All_Questions_Q1_CT="(None)",O$23=""),"",IF(O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7.8</v>
      </c>
      <c r="P27" s="17">
        <f>IF(OR(All_Questions_Q1_CT="(None)",P$23=""),"",IF(P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7.8</v>
      </c>
      <c r="Q27" s="17">
        <f>IF(OR(All_Questions_Q1_CT="(None)",Q$23=""),"",IF(Q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7.8</v>
      </c>
      <c r="R27" s="17">
        <f>IF(OR(All_Questions_Q1_CT="(None)",R$23=""),"",IF(R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7.8</v>
      </c>
      <c r="S27" s="17">
        <f>IF(All_Questions_Q1_CT="(None)","",IFERROR(AVERAGEIFS(Q1r3c1_data,Q1r3c1_data,"&gt;=0",passes_workbook_filters_data,1,passes_workbook_custom_filters_data,1,All_Questions_passes_local_filters_data,1,All_Questions_Q1_F_passes_per_q_filter_data,1),""))</f>
        <v>7.8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Q1</t>
        </is>
      </c>
      <c r="D2" t="inlineStr">
        <is>
          <t>Q1r1c1</t>
        </is>
      </c>
      <c r="E2" t="inlineStr">
        <is>
          <t>All_Questions_Q1_CT = G$23</t>
        </is>
      </c>
      <c r="H2">
        <f>IF(OR(All_Questions_Q1_CT="(None)",G$23=""),"",IF(G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0</v>
      </c>
      <c r="I2" t="n">
        <v>8.199999999999999</v>
      </c>
      <c r="J2" t="n">
        <v>0</v>
      </c>
      <c r="K2" t="n">
        <v>0</v>
      </c>
      <c r="L2" t="inlineStr">
        <is>
          <t>2026-06-08T13:48:00.409429+00:00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Q1</t>
        </is>
      </c>
      <c r="D3" t="inlineStr">
        <is>
          <t>Q1r1c1</t>
        </is>
      </c>
      <c r="E3" t="inlineStr">
        <is>
          <t>All_Questions_Q1_CT = H$23</t>
        </is>
      </c>
      <c r="H3">
        <f>IF(OR(All_Questions_Q1_CT="(None)",H$23=""),"",IF(H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0</v>
      </c>
      <c r="I3" t="n">
        <v>8.199999999999999</v>
      </c>
      <c r="J3" t="n">
        <v>0</v>
      </c>
      <c r="K3" t="n">
        <v>0</v>
      </c>
      <c r="L3" t="inlineStr">
        <is>
          <t>2026-06-08T13:48:00.409489+00:00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Q1</t>
        </is>
      </c>
      <c r="D4" t="inlineStr">
        <is>
          <t>Q1r1c1</t>
        </is>
      </c>
      <c r="E4" t="inlineStr">
        <is>
          <t>All_Questions_Q1_CT = I$23</t>
        </is>
      </c>
      <c r="H4">
        <f>IF(OR(All_Questions_Q1_CT="(None)",I$23=""),"",IF(I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0</v>
      </c>
      <c r="I4" t="n">
        <v>8.199999999999999</v>
      </c>
      <c r="J4" t="n">
        <v>0</v>
      </c>
      <c r="K4" t="n">
        <v>0</v>
      </c>
      <c r="L4" t="inlineStr">
        <is>
          <t>2026-06-08T13:48:00.409518+00:00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Q1</t>
        </is>
      </c>
      <c r="D5" t="inlineStr">
        <is>
          <t>Q1r1c1</t>
        </is>
      </c>
      <c r="E5" t="inlineStr">
        <is>
          <t>All_Questions_Q1_CT = J$23</t>
        </is>
      </c>
      <c r="H5">
        <f>IF(OR(All_Questions_Q1_CT="(None)",J$23=""),"",IF(J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0</v>
      </c>
      <c r="I5" t="n">
        <v>8.199999999999999</v>
      </c>
      <c r="J5" t="n">
        <v>0</v>
      </c>
      <c r="K5" t="n">
        <v>0</v>
      </c>
      <c r="L5" t="inlineStr">
        <is>
          <t>2026-06-08T13:48:00.409545+00:00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Q1</t>
        </is>
      </c>
      <c r="D6" t="inlineStr">
        <is>
          <t>Q1r1c1</t>
        </is>
      </c>
      <c r="E6" t="inlineStr">
        <is>
          <t>All_Questions_Q1_CT = K$23</t>
        </is>
      </c>
      <c r="H6">
        <f>IF(OR(All_Questions_Q1_CT="(None)",K$23=""),"",IF(K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0</v>
      </c>
      <c r="I6" t="n">
        <v>8.199999999999999</v>
      </c>
      <c r="J6" t="n">
        <v>0</v>
      </c>
      <c r="K6" t="n">
        <v>0</v>
      </c>
      <c r="L6" t="inlineStr">
        <is>
          <t>2026-06-08T13:48:00.409572+00:00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Q1</t>
        </is>
      </c>
      <c r="D7" t="inlineStr">
        <is>
          <t>Q1r1c1</t>
        </is>
      </c>
      <c r="E7" t="inlineStr">
        <is>
          <t>All_Questions_Q1_CT = L$23</t>
        </is>
      </c>
      <c r="H7">
        <f>IF(OR(All_Questions_Q1_CT="(None)",L$23=""),"",IF(L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0</v>
      </c>
      <c r="I7" t="n">
        <v>8.199999999999999</v>
      </c>
      <c r="J7" t="n">
        <v>0</v>
      </c>
      <c r="K7" t="n">
        <v>0</v>
      </c>
      <c r="L7" t="inlineStr">
        <is>
          <t>2026-06-08T13:48:00.409599+00:00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Q1</t>
        </is>
      </c>
      <c r="D8" t="inlineStr">
        <is>
          <t>Q1r1c1</t>
        </is>
      </c>
      <c r="E8" t="inlineStr">
        <is>
          <t>All_Questions_Q1_CT = M$23</t>
        </is>
      </c>
      <c r="H8">
        <f>IF(OR(All_Questions_Q1_CT="(None)",M$23=""),"",IF(M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0</v>
      </c>
      <c r="I8" t="n">
        <v>8.199999999999999</v>
      </c>
      <c r="J8" t="n">
        <v>0</v>
      </c>
      <c r="K8" t="n">
        <v>0</v>
      </c>
      <c r="L8" t="inlineStr">
        <is>
          <t>2026-06-08T13:48:00.409625+00:00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Q1</t>
        </is>
      </c>
      <c r="D9" t="inlineStr">
        <is>
          <t>Q1r1c1</t>
        </is>
      </c>
      <c r="E9" t="inlineStr">
        <is>
          <t>All_Questions_Q1_CT = N$23</t>
        </is>
      </c>
      <c r="H9">
        <f>IF(OR(All_Questions_Q1_CT="(None)",N$23=""),"",IF(N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0</v>
      </c>
      <c r="I9" t="n">
        <v>8.199999999999999</v>
      </c>
      <c r="J9" t="n">
        <v>0</v>
      </c>
      <c r="K9" t="n">
        <v>0</v>
      </c>
      <c r="L9" t="inlineStr">
        <is>
          <t>2026-06-08T13:48:00.409651+00:00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Q1</t>
        </is>
      </c>
      <c r="D10" t="inlineStr">
        <is>
          <t>Q1r1c1</t>
        </is>
      </c>
      <c r="E10" t="inlineStr">
        <is>
          <t>All_Questions_Q1_CT = O$23</t>
        </is>
      </c>
      <c r="H10">
        <f>IF(OR(All_Questions_Q1_CT="(None)",O$23=""),"",IF(O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0</v>
      </c>
      <c r="I10" t="n">
        <v>8.199999999999999</v>
      </c>
      <c r="J10" t="n">
        <v>0</v>
      </c>
      <c r="K10" t="n">
        <v>0</v>
      </c>
      <c r="L10" t="inlineStr">
        <is>
          <t>2026-06-08T13:48:00.409675+00:00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Q1</t>
        </is>
      </c>
      <c r="D11" t="inlineStr">
        <is>
          <t>Q1r1c1</t>
        </is>
      </c>
      <c r="E11" t="inlineStr">
        <is>
          <t>All_Questions_Q1_CT = P$23</t>
        </is>
      </c>
      <c r="H11">
        <f>IF(OR(All_Questions_Q1_CT="(None)",P$23=""),"",IF(P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0</v>
      </c>
      <c r="I11" t="n">
        <v>8.199999999999999</v>
      </c>
      <c r="J11" t="n">
        <v>0</v>
      </c>
      <c r="K11" t="n">
        <v>0</v>
      </c>
      <c r="L11" t="inlineStr">
        <is>
          <t>2026-06-08T13:48:00.409700+00:00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Q1</t>
        </is>
      </c>
      <c r="D12" t="inlineStr">
        <is>
          <t>Q1r1c1</t>
        </is>
      </c>
      <c r="E12" t="inlineStr">
        <is>
          <t>All_Questions_Q1_CT = Q$23</t>
        </is>
      </c>
      <c r="H12">
        <f>IF(OR(All_Questions_Q1_CT="(None)",Q$23=""),"",IF(Q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0</v>
      </c>
      <c r="I12" t="n">
        <v>8.199999999999999</v>
      </c>
      <c r="J12" t="n">
        <v>0</v>
      </c>
      <c r="K12" t="n">
        <v>0</v>
      </c>
      <c r="L12" t="inlineStr">
        <is>
          <t>2026-06-08T13:48:00.409726+00:00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Q1</t>
        </is>
      </c>
      <c r="D13" t="inlineStr">
        <is>
          <t>Q1r1c1</t>
        </is>
      </c>
      <c r="E13" t="inlineStr">
        <is>
          <t>All_Questions_Q1_CT = R$23</t>
        </is>
      </c>
      <c r="H13">
        <f>IF(OR(All_Questions_Q1_CT="(None)",R$23=""),"",IF(R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0</v>
      </c>
      <c r="I13" t="n">
        <v>8.199999999999999</v>
      </c>
      <c r="J13" t="n">
        <v>0</v>
      </c>
      <c r="K13" t="n">
        <v>0</v>
      </c>
      <c r="L13" t="inlineStr">
        <is>
          <t>2026-06-08T13:48:00.409762+00:00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Q1</t>
        </is>
      </c>
      <c r="D14" t="inlineStr">
        <is>
          <t>Q1r2c1</t>
        </is>
      </c>
      <c r="E14" t="inlineStr">
        <is>
          <t>All_Questions_Q1_CT = G$23</t>
        </is>
      </c>
      <c r="H14">
        <f>IF(OR(All_Questions_Q1_CT="(None)",G$23=""),"",IF(G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2026-06-08T13:48:00.409809+00:00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Q1</t>
        </is>
      </c>
      <c r="D15" t="inlineStr">
        <is>
          <t>Q1r2c1</t>
        </is>
      </c>
      <c r="E15" t="inlineStr">
        <is>
          <t>All_Questions_Q1_CT = H$23</t>
        </is>
      </c>
      <c r="H15">
        <f>IF(OR(All_Questions_Q1_CT="(None)",H$23=""),"",IF(H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2026-06-08T13:48:00.409835+00:00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Q1</t>
        </is>
      </c>
      <c r="D16" t="inlineStr">
        <is>
          <t>Q1r2c1</t>
        </is>
      </c>
      <c r="E16" t="inlineStr">
        <is>
          <t>All_Questions_Q1_CT = I$23</t>
        </is>
      </c>
      <c r="H16">
        <f>IF(OR(All_Questions_Q1_CT="(None)",I$23=""),"",IF(I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2026-06-08T13:48:00.409858+00:00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Q1</t>
        </is>
      </c>
      <c r="D17" t="inlineStr">
        <is>
          <t>Q1r2c1</t>
        </is>
      </c>
      <c r="E17" t="inlineStr">
        <is>
          <t>All_Questions_Q1_CT = J$23</t>
        </is>
      </c>
      <c r="H17">
        <f>IF(OR(All_Questions_Q1_CT="(None)",J$23=""),"",IF(J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2026-06-08T13:48:00.409883+00:00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Q1</t>
        </is>
      </c>
      <c r="D18" t="inlineStr">
        <is>
          <t>Q1r2c1</t>
        </is>
      </c>
      <c r="E18" t="inlineStr">
        <is>
          <t>All_Questions_Q1_CT = K$23</t>
        </is>
      </c>
      <c r="H18">
        <f>IF(OR(All_Questions_Q1_CT="(None)",K$23=""),"",IF(K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2026-06-08T13:48:00.409907+00:00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Q1</t>
        </is>
      </c>
      <c r="D19" t="inlineStr">
        <is>
          <t>Q1r2c1</t>
        </is>
      </c>
      <c r="E19" t="inlineStr">
        <is>
          <t>All_Questions_Q1_CT = L$23</t>
        </is>
      </c>
      <c r="H19">
        <f>IF(OR(All_Questions_Q1_CT="(None)",L$23=""),"",IF(L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2026-06-08T13:48:00.409951+00:00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Q1</t>
        </is>
      </c>
      <c r="D20" t="inlineStr">
        <is>
          <t>Q1r2c1</t>
        </is>
      </c>
      <c r="E20" t="inlineStr">
        <is>
          <t>All_Questions_Q1_CT = M$23</t>
        </is>
      </c>
      <c r="H20">
        <f>IF(OR(All_Questions_Q1_CT="(None)",M$23=""),"",IF(M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2026-06-08T13:48:00.409991+00:00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Q1</t>
        </is>
      </c>
      <c r="D21" t="inlineStr">
        <is>
          <t>Q1r2c1</t>
        </is>
      </c>
      <c r="E21" t="inlineStr">
        <is>
          <t>All_Questions_Q1_CT = N$23</t>
        </is>
      </c>
      <c r="H21">
        <f>IF(OR(All_Questions_Q1_CT="(None)",N$23=""),"",IF(N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2026-06-08T13:48:00.410019+00:00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Q1</t>
        </is>
      </c>
      <c r="D22" t="inlineStr">
        <is>
          <t>Q1r2c1</t>
        </is>
      </c>
      <c r="E22" t="inlineStr">
        <is>
          <t>All_Questions_Q1_CT = O$23</t>
        </is>
      </c>
      <c r="H22">
        <f>IF(OR(All_Questions_Q1_CT="(None)",O$23=""),"",IF(O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2026-06-08T13:48:00.410045+00:00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Q1</t>
        </is>
      </c>
      <c r="D23" t="inlineStr">
        <is>
          <t>Q1r2c1</t>
        </is>
      </c>
      <c r="E23" t="inlineStr">
        <is>
          <t>All_Questions_Q1_CT = P$23</t>
        </is>
      </c>
      <c r="H23">
        <f>IF(OR(All_Questions_Q1_CT="(None)",P$23=""),"",IF(P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2026-06-08T13:48:00.410070+00:00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Q1</t>
        </is>
      </c>
      <c r="D24" t="inlineStr">
        <is>
          <t>Q1r2c1</t>
        </is>
      </c>
      <c r="E24" t="inlineStr">
        <is>
          <t>All_Questions_Q1_CT = Q$23</t>
        </is>
      </c>
      <c r="H24">
        <f>IF(OR(All_Questions_Q1_CT="(None)",Q$23=""),"",IF(Q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2026-06-08T13:48:00.410094+00:00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Q1</t>
        </is>
      </c>
      <c r="D25" t="inlineStr">
        <is>
          <t>Q1r2c1</t>
        </is>
      </c>
      <c r="E25" t="inlineStr">
        <is>
          <t>All_Questions_Q1_CT = R$23</t>
        </is>
      </c>
      <c r="H25">
        <f>IF(OR(All_Questions_Q1_CT="(None)",R$23=""),"",IF(R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2026-06-08T13:48:00.410127+00:00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Q1</t>
        </is>
      </c>
      <c r="D26" t="inlineStr">
        <is>
          <t>Q1r3c1</t>
        </is>
      </c>
      <c r="E26" t="inlineStr">
        <is>
          <t>All_Questions_Q1_CT = G$23</t>
        </is>
      </c>
      <c r="H26">
        <f>IF(OR(All_Questions_Q1_CT="(None)",G$23=""),"",IF(G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0</v>
      </c>
      <c r="I26" t="n">
        <v>7.8</v>
      </c>
      <c r="J26" t="n">
        <v>0</v>
      </c>
      <c r="K26" t="n">
        <v>0</v>
      </c>
      <c r="L26" t="inlineStr">
        <is>
          <t>2026-06-08T13:48:00.410174+00:00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Q1</t>
        </is>
      </c>
      <c r="D27" t="inlineStr">
        <is>
          <t>Q1r3c1</t>
        </is>
      </c>
      <c r="E27" t="inlineStr">
        <is>
          <t>All_Questions_Q1_CT = H$23</t>
        </is>
      </c>
      <c r="H27">
        <f>IF(OR(All_Questions_Q1_CT="(None)",H$23=""),"",IF(H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0</v>
      </c>
      <c r="I27" t="n">
        <v>7.8</v>
      </c>
      <c r="J27" t="n">
        <v>0</v>
      </c>
      <c r="K27" t="n">
        <v>0</v>
      </c>
      <c r="L27" t="inlineStr">
        <is>
          <t>2026-06-08T13:48:00.410198+00:00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Q1</t>
        </is>
      </c>
      <c r="D28" t="inlineStr">
        <is>
          <t>Q1r3c1</t>
        </is>
      </c>
      <c r="E28" t="inlineStr">
        <is>
          <t>All_Questions_Q1_CT = I$23</t>
        </is>
      </c>
      <c r="H28">
        <f>IF(OR(All_Questions_Q1_CT="(None)",I$23=""),"",IF(I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0</v>
      </c>
      <c r="I28" t="n">
        <v>7.8</v>
      </c>
      <c r="J28" t="n">
        <v>0</v>
      </c>
      <c r="K28" t="n">
        <v>0</v>
      </c>
      <c r="L28" t="inlineStr">
        <is>
          <t>2026-06-08T13:48:00.410222+00:00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Q1</t>
        </is>
      </c>
      <c r="D29" t="inlineStr">
        <is>
          <t>Q1r3c1</t>
        </is>
      </c>
      <c r="E29" t="inlineStr">
        <is>
          <t>All_Questions_Q1_CT = J$23</t>
        </is>
      </c>
      <c r="H29">
        <f>IF(OR(All_Questions_Q1_CT="(None)",J$23=""),"",IF(J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0</v>
      </c>
      <c r="I29" t="n">
        <v>7.8</v>
      </c>
      <c r="J29" t="n">
        <v>0</v>
      </c>
      <c r="K29" t="n">
        <v>0</v>
      </c>
      <c r="L29" t="inlineStr">
        <is>
          <t>2026-06-08T13:48:00.410247+00:00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Q1</t>
        </is>
      </c>
      <c r="D30" t="inlineStr">
        <is>
          <t>Q1r3c1</t>
        </is>
      </c>
      <c r="E30" t="inlineStr">
        <is>
          <t>All_Questions_Q1_CT = K$23</t>
        </is>
      </c>
      <c r="H30">
        <f>IF(OR(All_Questions_Q1_CT="(None)",K$23=""),"",IF(K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0</v>
      </c>
      <c r="I30" t="n">
        <v>7.8</v>
      </c>
      <c r="J30" t="n">
        <v>0</v>
      </c>
      <c r="K30" t="n">
        <v>0</v>
      </c>
      <c r="L30" t="inlineStr">
        <is>
          <t>2026-06-08T13:48:00.410301+00:00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Q1</t>
        </is>
      </c>
      <c r="D31" t="inlineStr">
        <is>
          <t>Q1r3c1</t>
        </is>
      </c>
      <c r="E31" t="inlineStr">
        <is>
          <t>All_Questions_Q1_CT = L$23</t>
        </is>
      </c>
      <c r="H31">
        <f>IF(OR(All_Questions_Q1_CT="(None)",L$23=""),"",IF(L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0</v>
      </c>
      <c r="I31" t="n">
        <v>7.8</v>
      </c>
      <c r="J31" t="n">
        <v>0</v>
      </c>
      <c r="K31" t="n">
        <v>0</v>
      </c>
      <c r="L31" t="inlineStr">
        <is>
          <t>2026-06-08T13:48:00.410334+00:00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Q1</t>
        </is>
      </c>
      <c r="D32" t="inlineStr">
        <is>
          <t>Q1r3c1</t>
        </is>
      </c>
      <c r="E32" t="inlineStr">
        <is>
          <t>All_Questions_Q1_CT = M$23</t>
        </is>
      </c>
      <c r="H32">
        <f>IF(OR(All_Questions_Q1_CT="(None)",M$23=""),"",IF(M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0</v>
      </c>
      <c r="I32" t="n">
        <v>7.8</v>
      </c>
      <c r="J32" t="n">
        <v>0</v>
      </c>
      <c r="K32" t="n">
        <v>0</v>
      </c>
      <c r="L32" t="inlineStr">
        <is>
          <t>2026-06-08T13:48:00.410361+00:00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Q1</t>
        </is>
      </c>
      <c r="D33" t="inlineStr">
        <is>
          <t>Q1r3c1</t>
        </is>
      </c>
      <c r="E33" t="inlineStr">
        <is>
          <t>All_Questions_Q1_CT = N$23</t>
        </is>
      </c>
      <c r="H33">
        <f>IF(OR(All_Questions_Q1_CT="(None)",N$23=""),"",IF(N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0</v>
      </c>
      <c r="I33" t="n">
        <v>7.8</v>
      </c>
      <c r="J33" t="n">
        <v>0</v>
      </c>
      <c r="K33" t="n">
        <v>0</v>
      </c>
      <c r="L33" t="inlineStr">
        <is>
          <t>2026-06-08T13:48:00.410387+00:00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Q1</t>
        </is>
      </c>
      <c r="D34" t="inlineStr">
        <is>
          <t>Q1r3c1</t>
        </is>
      </c>
      <c r="E34" t="inlineStr">
        <is>
          <t>All_Questions_Q1_CT = O$23</t>
        </is>
      </c>
      <c r="H34">
        <f>IF(OR(All_Questions_Q1_CT="(None)",O$23=""),"",IF(O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0</v>
      </c>
      <c r="I34" t="n">
        <v>7.8</v>
      </c>
      <c r="J34" t="n">
        <v>0</v>
      </c>
      <c r="K34" t="n">
        <v>0</v>
      </c>
      <c r="L34" t="inlineStr">
        <is>
          <t>2026-06-08T13:48:00.410411+00:00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Q1</t>
        </is>
      </c>
      <c r="D35" t="inlineStr">
        <is>
          <t>Q1r3c1</t>
        </is>
      </c>
      <c r="E35" t="inlineStr">
        <is>
          <t>All_Questions_Q1_CT = P$23</t>
        </is>
      </c>
      <c r="H35">
        <f>IF(OR(All_Questions_Q1_CT="(None)",P$23=""),"",IF(P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0</v>
      </c>
      <c r="I35" t="n">
        <v>7.8</v>
      </c>
      <c r="J35" t="n">
        <v>0</v>
      </c>
      <c r="K35" t="n">
        <v>0</v>
      </c>
      <c r="L35" t="inlineStr">
        <is>
          <t>2026-06-08T13:48:00.410436+00:00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Q1</t>
        </is>
      </c>
      <c r="D36" t="inlineStr">
        <is>
          <t>Q1r3c1</t>
        </is>
      </c>
      <c r="E36" t="inlineStr">
        <is>
          <t>All_Questions_Q1_CT = Q$23</t>
        </is>
      </c>
      <c r="H36">
        <f>IF(OR(All_Questions_Q1_CT="(None)",Q$23=""),"",IF(Q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0</v>
      </c>
      <c r="I36" t="n">
        <v>7.8</v>
      </c>
      <c r="J36" t="n">
        <v>0</v>
      </c>
      <c r="K36" t="n">
        <v>0</v>
      </c>
      <c r="L36" t="inlineStr">
        <is>
          <t>2026-06-08T13:48:00.410461+00:00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Q1</t>
        </is>
      </c>
      <c r="D37" t="inlineStr">
        <is>
          <t>Q1r3c1</t>
        </is>
      </c>
      <c r="E37" t="inlineStr">
        <is>
          <t>All_Questions_Q1_CT = R$23</t>
        </is>
      </c>
      <c r="H37">
        <f>IF(OR(All_Questions_Q1_CT="(None)",R$23=""),"",IF(R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0</v>
      </c>
      <c r="I37" t="n">
        <v>7.8</v>
      </c>
      <c r="J37" t="n">
        <v>0</v>
      </c>
      <c r="K37" t="n">
        <v>0</v>
      </c>
      <c r="L37" t="inlineStr">
        <is>
          <t>2026-06-08T13:48:00.410494+00:00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2026-06-08T13:47:59Z</dcterms:created>
  <dcterms:modified xmlns:dcterms="http://purl.org/dc/terms/" xmlns:xsi="http://www.w3.org/2001/XMLSchema-instance" xsi:type="dcterms:W3CDTF">2026-06-08T13:48:00Z</dcterms:modified>
</cp:coreProperties>
</file>