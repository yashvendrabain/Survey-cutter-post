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resolved_criteria">'Demographics'!$H$26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resolved_criteria">'All Questions'!$H$50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H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H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IF(Demographics_Q_SS_EXPORT_CT="(None)","",IFERROR(INDEX(INDIRECT(IFERROR(INDEX(Cross_Tab_Questions_Options_Names,MATCH(Demographics_Q_SS_EXPORT_CT,Cross_Tab_Questions,0)),"'_Options'!$E$2:$E$2")),2),""))</f>
        <v/>
      </c>
      <c r="H18" s="2" t="str">
        <f>IF(Demographics_Q_SS_EXPORT_CT="(None)","",IFERROR(INDEX(INDIRECT(IFERROR(INDEX(Cross_Tab_Questions_Options_Names,MATCH(Demographics_Q_SS_EXPORT_CT,Cross_Tab_Questions,0)),"'_Options'!$E$2:$E$2")),3),""))</f>
        <v/>
      </c>
      <c r="I18" s="2" t="str">
        <f>IF(Demographics_Q_SS_EXPORT_CT="(None)","",IFERROR(INDEX(INDIRECT(IFERROR(INDEX(Cross_Tab_Questions_Options_Names,MATCH(Demographics_Q_SS_EXPORT_CT,Cross_Tab_Questions,0)),"'_Options'!$E$2:$E$2")),4),""))</f>
        <v/>
      </c>
      <c r="J18" s="2" t="str">
        <f>IF(Demographics_Q_SS_EXPORT_CT="(None)","",IFERROR(INDEX(INDIRECT(IFERROR(INDEX(Cross_Tab_Questions_Options_Names,MATCH(Demographics_Q_SS_EXPORT_CT,Cross_Tab_Questions,0)),"'_Options'!$E$2:$E$2")),5),""))</f>
        <v/>
      </c>
      <c r="K18" s="2" t="str">
        <f>IF(Demographics_Q_SS_EXPORT_CT="(None)","",IFERROR(INDEX(INDIRECT(IFERROR(INDEX(Cross_Tab_Questions_Options_Names,MATCH(Demographics_Q_SS_EXPORT_CT,Cross_Tab_Questions,0)),"'_Options'!$E$2:$E$2")),6),""))</f>
        <v/>
      </c>
      <c r="L18" s="2" t="str">
        <f>IF(Demographics_Q_SS_EXPORT_CT="(None)","",IFERROR(INDEX(INDIRECT(IFERROR(INDEX(Cross_Tab_Questions_Options_Names,MATCH(Demographics_Q_SS_EXPORT_CT,Cross_Tab_Questions,0)),"'_Options'!$E$2:$E$2")),7),""))</f>
        <v/>
      </c>
      <c r="M18" s="2" t="str">
        <f>IF(Demographics_Q_SS_EXPORT_CT="(None)","",IFERROR(INDEX(INDIRECT(IFERROR(INDEX(Cross_Tab_Questions_Options_Names,MATCH(Demographics_Q_SS_EXPORT_CT,Cross_Tab_Questions,0)),"'_Options'!$E$2:$E$2")),8),""))</f>
        <v/>
      </c>
      <c r="N18" s="2" t="str">
        <f>IF(Demographics_Q_SS_EXPORT_CT="(None)","",IFERROR(INDEX(INDIRECT(IFERROR(INDEX(Cross_Tab_Questions_Options_Names,MATCH(Demographics_Q_SS_EXPORT_CT,Cross_Tab_Questions,0)),"'_Options'!$E$2:$E$2")),9),""))</f>
        <v/>
      </c>
      <c r="O18" s="2" t="str">
        <f>IF(Demographics_Q_SS_EXPORT_CT="(None)","",IFERROR(INDEX(INDIRECT(IFERROR(INDEX(Cross_Tab_Questions_Options_Names,MATCH(Demographics_Q_SS_EXPORT_CT,Cross_Tab_Questions,0)),"'_Options'!$E$2:$E$2")),10),""))</f>
        <v/>
      </c>
      <c r="P18" s="2" t="str">
        <f>IF(Demographics_Q_SS_EXPORT_CT="(None)","",IFERROR(INDEX(INDIRECT(IFERROR(INDEX(Cross_Tab_Questions_Options_Names,MATCH(Demographics_Q_SS_EXPORT_CT,Cross_Tab_Questions,0)),"'_Options'!$E$2:$E$2")),11),""))</f>
        <v/>
      </c>
      <c r="Q18" s="2" t="str">
        <f>IF(Demographics_Q_SS_EXPORT_CT="(None)","",IFERROR(INDEX(INDIRECT(IFERROR(INDEX(Cross_Tab_Questions_Options_Names,MATCH(Demographics_Q_SS_EXPORT_CT,Cross_Tab_Questions,0)),"'_Options'!$E$2:$E$2")),12),""))</f>
        <v/>
      </c>
      <c r="R18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26" t="str">
        <f>"|" &amp; SUBSTITUTE(Demographics_Q_MS_EXPORT_F_V, ", ", "|") &amp; "|"</f>
        <v>|(All)|</v>
      </c>
      <c r="H26" t="str">
        <f>IFERROR(INDEX(All_Questions_Value_Criteria,MATCH(Demographics_Q_MS_EXPORT_F_Q&amp;"|"&amp;Demographics_Q_MS_EXPORT_F_V,All_Questions_Value_Keys,0)),Demographics_Q_MS_EXPORT_F_V)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IF(Demographics_Q_MS_EXPORT_CT="(None)","",IFERROR(INDEX(INDIRECT(IFERROR(INDEX(Cross_Tab_Questions_Options_Names,MATCH(Demographics_Q_MS_EXPORT_CT,Cross_Tab_Questions,0)),"'_Options'!$E$2:$E$2")),2),""))</f>
        <v/>
      </c>
      <c r="H29" s="2" t="str">
        <f>IF(Demographics_Q_MS_EXPORT_CT="(None)","",IFERROR(INDEX(INDIRECT(IFERROR(INDEX(Cross_Tab_Questions_Options_Names,MATCH(Demographics_Q_MS_EXPORT_CT,Cross_Tab_Questions,0)),"'_Options'!$E$2:$E$2")),3),""))</f>
        <v/>
      </c>
      <c r="I29" s="2" t="str">
        <f>IF(Demographics_Q_MS_EXPORT_CT="(None)","",IFERROR(INDEX(INDIRECT(IFERROR(INDEX(Cross_Tab_Questions_Options_Names,MATCH(Demographics_Q_MS_EXPORT_CT,Cross_Tab_Questions,0)),"'_Options'!$E$2:$E$2")),4),""))</f>
        <v/>
      </c>
      <c r="J29" s="2" t="str">
        <f>IF(Demographics_Q_MS_EXPORT_CT="(None)","",IFERROR(INDEX(INDIRECT(IFERROR(INDEX(Cross_Tab_Questions_Options_Names,MATCH(Demographics_Q_MS_EXPORT_CT,Cross_Tab_Questions,0)),"'_Options'!$E$2:$E$2")),5),""))</f>
        <v/>
      </c>
      <c r="K29" s="2" t="str">
        <f>IF(Demographics_Q_MS_EXPORT_CT="(None)","",IFERROR(INDEX(INDIRECT(IFERROR(INDEX(Cross_Tab_Questions_Options_Names,MATCH(Demographics_Q_MS_EXPORT_CT,Cross_Tab_Questions,0)),"'_Options'!$E$2:$E$2")),6),""))</f>
        <v/>
      </c>
      <c r="L29" s="2" t="str">
        <f>IF(Demographics_Q_MS_EXPORT_CT="(None)","",IFERROR(INDEX(INDIRECT(IFERROR(INDEX(Cross_Tab_Questions_Options_Names,MATCH(Demographics_Q_MS_EXPORT_CT,Cross_Tab_Questions,0)),"'_Options'!$E$2:$E$2")),7),""))</f>
        <v/>
      </c>
      <c r="M29" s="2" t="str">
        <f>IF(Demographics_Q_MS_EXPORT_CT="(None)","",IFERROR(INDEX(INDIRECT(IFERROR(INDEX(Cross_Tab_Questions_Options_Names,MATCH(Demographics_Q_MS_EXPORT_CT,Cross_Tab_Questions,0)),"'_Options'!$E$2:$E$2")),8),""))</f>
        <v/>
      </c>
      <c r="N29" s="2" t="str">
        <f>IF(Demographics_Q_MS_EXPORT_CT="(None)","",IFERROR(INDEX(INDIRECT(IFERROR(INDEX(Cross_Tab_Questions_Options_Names,MATCH(Demographics_Q_MS_EXPORT_CT,Cross_Tab_Questions,0)),"'_Options'!$E$2:$E$2")),9),""))</f>
        <v/>
      </c>
      <c r="O29" s="2" t="str">
        <f>IF(Demographics_Q_MS_EXPORT_CT="(None)","",IFERROR(INDEX(INDIRECT(IFERROR(INDEX(Cross_Tab_Questions_Options_Names,MATCH(Demographics_Q_MS_EXPORT_CT,Cross_Tab_Questions,0)),"'_Options'!$E$2:$E$2")),10),""))</f>
        <v/>
      </c>
      <c r="P29" s="2" t="str">
        <f>IF(Demographics_Q_MS_EXPORT_CT="(None)","",IFERROR(INDEX(INDIRECT(IFERROR(INDEX(Cross_Tab_Questions_Options_Names,MATCH(Demographics_Q_MS_EXPORT_CT,Cross_Tab_Questions,0)),"'_Options'!$E$2:$E$2")),11),""))</f>
        <v/>
      </c>
      <c r="Q29" s="2" t="str">
        <f>IF(Demographics_Q_MS_EXPORT_CT="(None)","",IFERROR(INDEX(INDIRECT(IFERROR(INDEX(Cross_Tab_Questions_Options_Names,MATCH(Demographics_Q_MS_EXPORT_CT,Cross_Tab_Questions,0)),"'_Options'!$E$2:$E$2")),12),""))</f>
        <v/>
      </c>
      <c r="R29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IF(All_Questions_Q_NUM_EXPORT_CT="(None)","",IFERROR(INDEX(INDIRECT(IFERROR(INDEX(Cross_Tab_Questions_Options_Names,MATCH(All_Questions_Q_NUM_EXPORT_CT,Cross_Tab_Questions,0)),"'_Options'!$E$2:$E$2")),2),""))</f>
        <v/>
      </c>
      <c r="H25" s="2" t="str">
        <f>IF(All_Questions_Q_NUM_EXPORT_CT="(None)","",IFERROR(INDEX(INDIRECT(IFERROR(INDEX(Cross_Tab_Questions_Options_Names,MATCH(All_Questions_Q_NUM_EXPORT_CT,Cross_Tab_Questions,0)),"'_Options'!$E$2:$E$2")),3),""))</f>
        <v/>
      </c>
      <c r="I25" s="2" t="str">
        <f>IF(All_Questions_Q_NUM_EXPORT_CT="(None)","",IFERROR(INDEX(INDIRECT(IFERROR(INDEX(Cross_Tab_Questions_Options_Names,MATCH(All_Questions_Q_NUM_EXPORT_CT,Cross_Tab_Questions,0)),"'_Options'!$E$2:$E$2")),4),""))</f>
        <v/>
      </c>
      <c r="J25" s="2" t="str">
        <f>IF(All_Questions_Q_NUM_EXPORT_CT="(None)","",IFERROR(INDEX(INDIRECT(IFERROR(INDEX(Cross_Tab_Questions_Options_Names,MATCH(All_Questions_Q_NUM_EXPORT_CT,Cross_Tab_Questions,0)),"'_Options'!$E$2:$E$2")),5),""))</f>
        <v/>
      </c>
      <c r="K25" s="2" t="str">
        <f>IF(All_Questions_Q_NUM_EXPORT_CT="(None)","",IFERROR(INDEX(INDIRECT(IFERROR(INDEX(Cross_Tab_Questions_Options_Names,MATCH(All_Questions_Q_NUM_EXPORT_CT,Cross_Tab_Questions,0)),"'_Options'!$E$2:$E$2")),6),""))</f>
        <v/>
      </c>
      <c r="L25" s="2" t="str">
        <f>IF(All_Questions_Q_NUM_EXPORT_CT="(None)","",IFERROR(INDEX(INDIRECT(IFERROR(INDEX(Cross_Tab_Questions_Options_Names,MATCH(All_Questions_Q_NUM_EXPORT_CT,Cross_Tab_Questions,0)),"'_Options'!$E$2:$E$2")),7),""))</f>
        <v/>
      </c>
      <c r="M25" s="2" t="str">
        <f>IF(All_Questions_Q_NUM_EXPORT_CT="(None)","",IFERROR(INDEX(INDIRECT(IFERROR(INDEX(Cross_Tab_Questions_Options_Names,MATCH(All_Questions_Q_NUM_EXPORT_CT,Cross_Tab_Questions,0)),"'_Options'!$E$2:$E$2")),8),""))</f>
        <v/>
      </c>
      <c r="N25" s="2" t="str">
        <f>IF(All_Questions_Q_NUM_EXPORT_CT="(None)","",IFERROR(INDEX(INDIRECT(IFERROR(INDEX(Cross_Tab_Questions_Options_Names,MATCH(All_Questions_Q_NUM_EXPORT_CT,Cross_Tab_Questions,0)),"'_Options'!$E$2:$E$2")),9),""))</f>
        <v/>
      </c>
      <c r="O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4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4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4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4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4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4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4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4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4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4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4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0" t="str">
        <f>"|" &amp; SUBSTITUTE(All_Questions_Q_VERY_LONG_SINGLE_SELECT_EXPORT_NAME_F_V, ", ", "|") &amp; "|"</f>
        <v>|(All)|</v>
      </c>
      <c r="H5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5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=Cross_Tab_Questions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2026-06-09T06:55:29.797565+00:00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2026-06-09T06:55:29.797625+00:00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2026-06-09T06:55:29.797669+00:00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2026-06-09T06:55:29.797709+00:00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2026-06-09T06:55:29.797746+00:00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2026-06-09T06:55:29.797783+00:00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2026-06-09T06:55:29.797820+00:00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2026-06-09T06:55:29.797856+00:00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2026-06-09T06:55:29.797891+00:00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2026-06-09T06:55:29.797984+00:00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2026-06-09T06:55:29.798035+00:00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2026-06-09T06:55:29.798087+00:00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2026-06-09T06:55:29.798162+00:00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2026-06-09T06:55:29.798202+00:00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2026-06-09T06:55:29.798239+00:00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2026-06-09T06:55:29.798277+00:00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2026-06-09T06:55:29.798314+00:00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2026-06-09T06:55:29.798351+00:00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2026-06-09T06:55:29.798388+00:00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2026-06-09T06:55:29.798425+00:00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2026-06-09T06:55:29.798462+00:00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2026-06-09T06:55:29.798498+00:00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2026-06-09T06:55:29.798534+00:00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2026-06-09T06:55:29.798580+00:00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2026-06-09T06:55:29.805807+00:00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2026-06-09T06:55:29.805849+00:00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2026-06-09T06:55:29.805880+00:00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2026-06-09T06:55:29.805927+00:00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2026-06-09T06:55:29.806002+00:00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2026-06-09T06:55:29.806035+00:00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2026-06-09T06:55:29.806064+00:00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2026-06-09T06:55:29.806091+00:00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2026-06-09T06:55:29.806117+00:00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2026-06-09T06:55:29.806143+00:00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2026-06-09T06:55:29.806168+00:00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2026-06-09T06:55:29.806204+00:00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2026-06-09T06:55:29Z</dcterms:created>
  <dcterms:modified xmlns:dcterms="http://purl.org/dc/terms/" xmlns:xsi="http://www.w3.org/2001/XMLSchema-instance" xsi:type="dcterms:W3CDTF">2026-06-09T06:55:29Z</dcterms:modified>
</cp:coreProperties>
</file>