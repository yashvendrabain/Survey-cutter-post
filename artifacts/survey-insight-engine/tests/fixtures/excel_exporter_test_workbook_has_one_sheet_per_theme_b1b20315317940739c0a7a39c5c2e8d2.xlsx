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"_data"),0)=G$16)))</f>
        <v/>
      </c>
      <c r="H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"_data"),0)=H$16)))</f>
        <v/>
      </c>
      <c r="I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"_data"),0)=I$16)))</f>
        <v/>
      </c>
      <c r="J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"_data"),0)=J$16)))</f>
        <v/>
      </c>
      <c r="K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"_data"),0)=K$16)))</f>
        <v/>
      </c>
      <c r="L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"_data"),0)=L$16)))</f>
        <v/>
      </c>
      <c r="M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"_data"),0)=M$16)))</f>
        <v/>
      </c>
      <c r="N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"_data"),0)=G$16)))</f>
        <v/>
      </c>
      <c r="H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"_data"),0)=H$16)))</f>
        <v/>
      </c>
      <c r="I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"_data"),0)=I$16)))</f>
        <v/>
      </c>
      <c r="J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"_data"),0)=J$16)))</f>
        <v/>
      </c>
      <c r="K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"_data"),0)=K$16)))</f>
        <v/>
      </c>
      <c r="L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"_data"),0)=L$16)))</f>
        <v/>
      </c>
      <c r="M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"_data"),0)=M$16)))</f>
        <v/>
      </c>
      <c r="N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IF(Theme_One_Q_MS_EXPORT_F_Q="(None)","respondent_id_data",Theme_One_Q_MS_EXPORT_F_Q &amp; "_data")</f>
        <v/>
      </c>
      <c r="G22">
        <f>"|" &amp; SUBSTITUTE(Theme_One_Q_MS_EXPORT_F_V,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IFERROR(INDEX(INDIRECT(Theme_One_Q_MS_EXPORT_CT &amp; "_options"),2),"")</f>
        <v/>
      </c>
      <c r="H25">
        <f>IFERROR(INDEX(INDIRECT(Theme_One_Q_MS_EXPORT_CT &amp; "_options"),3),"")</f>
        <v/>
      </c>
      <c r="I25">
        <f>IFERROR(INDEX(INDIRECT(Theme_One_Q_MS_EXPORT_CT &amp; "_options"),4),"")</f>
        <v/>
      </c>
      <c r="J25">
        <f>IFERROR(INDEX(INDIRECT(Theme_One_Q_MS_EXPORT_CT &amp; "_options"),5),"")</f>
        <v/>
      </c>
      <c r="K25">
        <f>IFERROR(INDEX(INDIRECT(Theme_One_Q_MS_EXPORT_CT &amp; "_options"),6),"")</f>
        <v/>
      </c>
      <c r="L25">
        <f>IFERROR(INDEX(INDIRECT(Theme_One_Q_MS_EXPORT_CT &amp; "_options"),7),"")</f>
        <v/>
      </c>
      <c r="M25">
        <f>IFERROR(INDEX(INDIRECT(Theme_One_Q_MS_EXPORT_CT &amp; "_options"),8),"")</f>
        <v/>
      </c>
      <c r="N25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"_data"),0)=G$25)))</f>
        <v/>
      </c>
      <c r="H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"_data"),0)=H$25)))</f>
        <v/>
      </c>
      <c r="I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"_data"),0)=I$25)))</f>
        <v/>
      </c>
      <c r="J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"_data"),0)=J$25)))</f>
        <v/>
      </c>
      <c r="K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"_data"),0)=K$25)))</f>
        <v/>
      </c>
      <c r="L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"_data"),0)=L$25)))</f>
        <v/>
      </c>
      <c r="M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"_data"),0)=M$25)))</f>
        <v/>
      </c>
      <c r="N26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1_data,0)="Selected")*--(INDEX(INDIRECT(Theme_One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"_data"),0)=G$25)))</f>
        <v/>
      </c>
      <c r="H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"_data"),0)=H$25)))</f>
        <v/>
      </c>
      <c r="I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"_data"),0)=I$25)))</f>
        <v/>
      </c>
      <c r="J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"_data"),0)=J$25)))</f>
        <v/>
      </c>
      <c r="K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"_data"),0)=K$25)))</f>
        <v/>
      </c>
      <c r="L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"_data"),0)=L$25)))</f>
        <v/>
      </c>
      <c r="M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"_data"),0)=M$25)))</f>
        <v/>
      </c>
      <c r="N27">
        <f>IF(Theme_One_Q_M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MS_EXPORT_F_Q="(None)",1,IF(Theme_One_Q_MS_EXPORT_F_wrapped="|(All)|",1,--ISNUMBER(SEARCH("|"&amp;INDEX(INDIRECT(Theme_One_Q_MS_EXPORT_F_resolved_column),0)&amp;"|",Theme_One_Q_MS_EXPORT_F_wrapped))))*--(INDEX(Q_MS_EXPORTr2_data,0)="Selected")*--(INDEX(INDIRECT(Theme_One_Q_MS_EXPORT_CT &amp; "_data"),0)=N$25)))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*INDEX(Q_NUM_EXPORT_data,0))/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,0)</f>
        <v/>
      </c>
      <c r="D17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18">
      <c r="A18" t="inlineStr">
        <is>
          <t>Min</t>
        </is>
      </c>
      <c r="B18">
        <f>IFERROR(AGGREGATE(15,6,INDEX(Q_NUM_EXPORT_data,0)/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,1),0)</f>
        <v/>
      </c>
      <c r="D18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19">
      <c r="A19" t="inlineStr">
        <is>
          <t>Max</t>
        </is>
      </c>
      <c r="B19">
        <f>IFERROR(AGGREGATE(14,6,INDEX(Q_NUM_EXPORT_data,0)/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,1),0)</f>
        <v/>
      </c>
      <c r="D19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IF(All_Questions_Q_GRID_EXPORT_F_Q="(None)","respondent_id_data",All_Questions_Q_GRID_EXPORT_F_Q &amp; "_data")</f>
        <v/>
      </c>
      <c r="G13">
        <f>"|" &amp; SUBSTITUTE(All_Questions_Q_GRID_EXPORT_F_V,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IFERROR(INDEX(INDIRECT(All_Questions_Q_GRID_EXPORT_CT &amp; "_options"),2),"")</f>
        <v/>
      </c>
      <c r="H16">
        <f>IFERROR(INDEX(INDIRECT(All_Questions_Q_GRID_EXPORT_CT &amp; "_options"),3),"")</f>
        <v/>
      </c>
      <c r="I16">
        <f>IFERROR(INDEX(INDIRECT(All_Questions_Q_GRID_EXPORT_CT &amp; "_options"),4),"")</f>
        <v/>
      </c>
      <c r="J16">
        <f>IFERROR(INDEX(INDIRECT(All_Questions_Q_GRID_EXPORT_CT &amp; "_options"),5),"")</f>
        <v/>
      </c>
      <c r="K16">
        <f>IFERROR(INDEX(INDIRECT(All_Questions_Q_GRID_EXPORT_CT &amp; "_options"),6),"")</f>
        <v/>
      </c>
      <c r="L16">
        <f>IFERROR(INDEX(INDIRECT(All_Questions_Q_GRID_EXPORT_CT &amp; "_options"),7),"")</f>
        <v/>
      </c>
      <c r="M16">
        <f>IFERROR(INDEX(INDIRECT(All_Questions_Q_GRID_EXPORT_CT &amp; "_options"),8),"")</f>
        <v/>
      </c>
      <c r="N16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Grid first row</t>
        </is>
      </c>
      <c r="G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"_data"),0)=G$16)))</f>
        <v/>
      </c>
      <c r="H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"_data"),0)=H$16)))</f>
        <v/>
      </c>
      <c r="I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"_data"),0)=I$16)))</f>
        <v/>
      </c>
      <c r="J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"_data"),0)=J$16)))</f>
        <v/>
      </c>
      <c r="K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"_data"),0)=K$16)))</f>
        <v/>
      </c>
      <c r="L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"_data"),0)=L$16)))</f>
        <v/>
      </c>
      <c r="M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"_data"),0)=M$16)))</f>
        <v/>
      </c>
      <c r="N1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"_data"),0)=N$16)))</f>
        <v/>
      </c>
      <c r="O17">
        <f>SUM(G17:N17)</f>
        <v/>
      </c>
    </row>
    <row r="18">
      <c r="A18" t="inlineStr">
        <is>
          <t>Grid second row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Grid second row</t>
        </is>
      </c>
      <c r="G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"_data"),0)=G$16)))</f>
        <v/>
      </c>
      <c r="H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"_data"),0)=H$16)))</f>
        <v/>
      </c>
      <c r="I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"_data"),0)=I$16)))</f>
        <v/>
      </c>
      <c r="J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"_data"),0)=J$16)))</f>
        <v/>
      </c>
      <c r="K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"_data"),0)=K$16)))</f>
        <v/>
      </c>
      <c r="L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"_data"),0)=L$16)))</f>
        <v/>
      </c>
      <c r="M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"_data"),0)=M$16)))</f>
        <v/>
      </c>
      <c r="N1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IF(All_Questions_Q_VERY_LONG_SINGLE_SELECT_EXPORT_NAME_F_Q="(None)","respondent_id_data",All_Questions_Q_VERY_LONG_SINGLE_SELECT_EXPORT_NAME_F_Q &amp; "_data")</f>
        <v/>
      </c>
      <c r="G22">
        <f>"|" &amp; SUBSTITUTE(All_Questions_Q_VERY_LONG_SINGLE_SELECT_EXPORT_NAME_F_V,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IFERROR(INDEX(INDIRECT(All_Questions_Q_VERY_LONG_SINGLE_SELECT_EXPORT_NAME_CT &amp; "_options"),2),"")</f>
        <v/>
      </c>
      <c r="H25">
        <f>IFERROR(INDEX(INDIRECT(All_Questions_Q_VERY_LONG_SINGLE_SELECT_EXPORT_NAME_CT &amp; "_options"),3),"")</f>
        <v/>
      </c>
      <c r="I25">
        <f>IFERROR(INDEX(INDIRECT(All_Questions_Q_VERY_LONG_SINGLE_SELECT_EXPORT_NAME_CT &amp; "_options"),4),"")</f>
        <v/>
      </c>
      <c r="J25">
        <f>IFERROR(INDEX(INDIRECT(All_Questions_Q_VERY_LONG_SINGLE_SELECT_EXPORT_NAME_CT &amp; "_options"),5),"")</f>
        <v/>
      </c>
      <c r="K25">
        <f>IFERROR(INDEX(INDIRECT(All_Questions_Q_VERY_LONG_SINGLE_SELECT_EXPORT_NAME_CT &amp; "_options"),6),"")</f>
        <v/>
      </c>
      <c r="L25">
        <f>IFERROR(INDEX(INDIRECT(All_Questions_Q_VERY_LONG_SINGLE_SELECT_EXPORT_NAME_CT &amp; "_options"),7),"")</f>
        <v/>
      </c>
      <c r="M25">
        <f>IFERROR(INDEX(INDIRECT(All_Questions_Q_VERY_LONG_SINGLE_SELECT_EXPORT_NAME_CT &amp; "_options"),8),"")</f>
        <v/>
      </c>
      <c r="N25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26" s="7">
        <f>IFERROR(B26/SUBTOTAL(9,B26:B27),0)</f>
        <v/>
      </c>
      <c r="D26" s="14">
        <f>SUBTOTAL(9,B26:B27)</f>
        <v/>
      </c>
      <c r="F26" t="inlineStr">
        <is>
          <t>A</t>
        </is>
      </c>
      <c r="G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"_data"),0)=G$25)))</f>
        <v/>
      </c>
      <c r="H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"_data"),0)=H$25)))</f>
        <v/>
      </c>
      <c r="I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"_data"),0)=I$25)))</f>
        <v/>
      </c>
      <c r="J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"_data"),0)=J$25)))</f>
        <v/>
      </c>
      <c r="K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"_data"),0)=K$25)))</f>
        <v/>
      </c>
      <c r="L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"_data"),0)=L$25)))</f>
        <v/>
      </c>
      <c r="M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"_data"),0)=M$25)))</f>
        <v/>
      </c>
      <c r="N2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"_data"),0)=N$25)))</f>
        <v/>
      </c>
      <c r="O26">
        <f>SUM(G26:N26)</f>
        <v/>
      </c>
    </row>
    <row r="27">
      <c r="A27" t="inlineStr">
        <is>
          <t>B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27" s="7">
        <f>IFERROR(B27/SUBTOTAL(9,B26:B27),0)</f>
        <v/>
      </c>
      <c r="D27" s="14">
        <f>SUBTOTAL(9,B26:B27)</f>
        <v/>
      </c>
      <c r="F27" t="inlineStr">
        <is>
          <t>B</t>
        </is>
      </c>
      <c r="G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"_data"),0)=G$25)))</f>
        <v/>
      </c>
      <c r="H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"_data"),0)=H$25)))</f>
        <v/>
      </c>
      <c r="I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"_data"),0)=I$25)))</f>
        <v/>
      </c>
      <c r="J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"_data"),0)=J$25)))</f>
        <v/>
      </c>
      <c r="K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"_data"),0)=K$25)))</f>
        <v/>
      </c>
      <c r="L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"_data"),0)=L$25)))</f>
        <v/>
      </c>
      <c r="M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"_data"),0)=M$25)))</f>
        <v/>
      </c>
      <c r="N2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2026-05-14T09:48:34Z</dcterms:created>
  <dcterms:modified xmlns:dcterms="http://purl.org/dc/terms/" xmlns:xsi="http://www.w3.org/2001/XMLSchema-instance" xsi:type="dcterms:W3CDTF">2026-05-14T09:48:34Z</dcterms:modified>
</cp:coreProperties>
</file>