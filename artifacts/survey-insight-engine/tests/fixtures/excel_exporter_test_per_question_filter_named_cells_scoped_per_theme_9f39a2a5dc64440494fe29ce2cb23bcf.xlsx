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1_resolved_criteria">'Theme One'!$G$6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F_Custom2_resolved_criteria">'Theme One'!$G$8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resolved_criteria">'Theme One'!$H$13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1_resolved_criteria">'Theme Two'!$G$6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F_Custom2_resolved_criteria">'Theme Two'!$G$8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resolved_criteria">'Theme Two'!$H$13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resolved_criteria">'All Questions'!$H$13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Questions'!$C$30</definedName>
    <definedName name="All_Questions_Q_GRID_EXPORT_F_V">'All Questions'!$E$30</definedName>
    <definedName name="All_Questions_Q_GRID_EXPORT_F_resolved_column">'All Questions'!$F$30</definedName>
    <definedName name="All_Questions_Q_GRID_EXPORT_F_wrapped">'All Questions'!$G$30</definedName>
    <definedName name="All_Questions_Q_GRID_EXPORT_F_resolved_criteria">'All Questions'!$H$30</definedName>
    <definedName name="All_Questions_Q_GRID_EXPORT_F_passes_per_q_filter_data">'_RawData'!$S$2:$S$11</definedName>
    <definedName name="All_Questions_Q_VERY_LONG_SINGLE_SELECT_EXPORT_NAME_F_Q">'All Questions'!$C$41</definedName>
    <definedName name="All_Questions_Q_VERY_LONG_SINGLE_SELECT_EXPORT_NAME_F_V">'All Questions'!$E$41</definedName>
    <definedName name="All_Questions_Q_VERY_LONG_SINGLE_SELECT_EXPORT_NAME_F_resolved_column">'All Questions'!$F$41</definedName>
    <definedName name="All_Questions_Q_VERY_LONG_SINGLE_SELECT_EXPORT_NAME_F_wrapped">'All Questions'!$G$41</definedName>
    <definedName name="All_Questions_Q_VERY_LONG_SINGLE_SELECT_EXPORT_NAME_F_resolved_criteria">'All Questions'!$H$41</definedName>
    <definedName name="All_Questions_Q_VERY_LONG_SINGLE_SELECT_EXPORT_NAME_F_passes_per_q_filter_data">'_RawData'!$T$2:$T$11</definedName>
    <definedName name="All_Questions_Q_VERY_LONG_SINGLE_SELECT_EXPORT_NAME_CT">'All Questions'!$C$42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C5" i="8"/>
  <c r="C6" i="8"/>
  <c r="D6" i="8"/>
  <c r="F6" i="8"/>
  <c r="G6" i="8"/>
  <c r="C7" i="8"/>
  <c r="C8" i="8"/>
  <c r="D8" i="8"/>
  <c r="F8" i="8"/>
  <c r="G8" i="8"/>
  <c r="F13" i="8"/>
  <c r="G13" i="8"/>
  <c r="H13" i="8"/>
  <c r="B17" i="8"/>
  <c r="D17" i="8"/>
  <c r="B18" i="8"/>
  <c r="D18" i="8"/>
  <c r="B19" i="8"/>
  <c r="D19" i="8"/>
  <c r="D20" i="8"/>
  <c r="B23" i="8"/>
  <c r="C23" i="8"/>
  <c r="D23" i="8"/>
  <c r="E23" i="8"/>
  <c r="F23" i="8"/>
  <c r="G23" i="8"/>
  <c r="H23" i="8"/>
  <c r="I23" i="8"/>
  <c r="J23" i="8"/>
  <c r="K23" i="8"/>
  <c r="L23" i="8"/>
  <c r="M23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N26" i="8"/>
  <c r="C5" i="9"/>
  <c r="C6" i="9"/>
  <c r="D6" i="9"/>
  <c r="F6" i="9"/>
  <c r="G6" i="9"/>
  <c r="C7" i="9"/>
  <c r="C8" i="9"/>
  <c r="D8" i="9"/>
  <c r="F8" i="9"/>
  <c r="G8" i="9"/>
  <c r="F13" i="9"/>
  <c r="G13" i="9"/>
  <c r="H13" i="9"/>
  <c r="B17" i="9"/>
  <c r="C17" i="9"/>
  <c r="D17" i="9"/>
  <c r="B18" i="9"/>
  <c r="C18" i="9"/>
  <c r="D18" i="9"/>
  <c r="B22" i="9"/>
  <c r="C22" i="9"/>
  <c r="D22" i="9"/>
  <c r="E22" i="9"/>
  <c r="F22" i="9"/>
  <c r="G22" i="9"/>
  <c r="H22" i="9"/>
  <c r="I22" i="9"/>
  <c r="J22" i="9"/>
  <c r="K22" i="9"/>
  <c r="L22" i="9"/>
  <c r="M22" i="9"/>
  <c r="B24" i="9"/>
  <c r="C24" i="9"/>
  <c r="D24" i="9"/>
  <c r="E24" i="9"/>
  <c r="F24" i="9"/>
  <c r="G24" i="9"/>
  <c r="H24" i="9"/>
  <c r="I24" i="9"/>
  <c r="J24" i="9"/>
  <c r="K24" i="9"/>
  <c r="L24" i="9"/>
  <c r="M24" i="9"/>
  <c r="N24" i="9"/>
  <c r="B25" i="9"/>
  <c r="C25" i="9"/>
  <c r="D25" i="9"/>
  <c r="E25" i="9"/>
  <c r="F25" i="9"/>
  <c r="G25" i="9"/>
  <c r="H25" i="9"/>
  <c r="I25" i="9"/>
  <c r="J25" i="9"/>
  <c r="K25" i="9"/>
  <c r="L25" i="9"/>
  <c r="M25" i="9"/>
  <c r="N25" i="9"/>
  <c r="N26" i="9"/>
  <c r="F30" i="9"/>
  <c r="G30" i="9"/>
  <c r="H30" i="9"/>
  <c r="C34" i="9"/>
  <c r="D34" i="9"/>
  <c r="E34" i="9"/>
  <c r="F34" i="9"/>
  <c r="C35" i="9"/>
  <c r="D35" i="9"/>
  <c r="E35" i="9"/>
  <c r="F35" i="9"/>
  <c r="F41" i="9"/>
  <c r="G41" i="9"/>
  <c r="H41" i="9"/>
  <c r="B45" i="9"/>
  <c r="C45" i="9"/>
  <c r="D45" i="9"/>
  <c r="B46" i="9"/>
  <c r="C46" i="9"/>
  <c r="D46" i="9"/>
  <c r="B49" i="9"/>
  <c r="C49" i="9"/>
  <c r="D49" i="9"/>
  <c r="E49" i="9"/>
  <c r="F49" i="9"/>
  <c r="G49" i="9"/>
  <c r="H49" i="9"/>
  <c r="I49" i="9"/>
  <c r="J49" i="9"/>
  <c r="K49" i="9"/>
  <c r="L49" i="9"/>
  <c r="M49" i="9"/>
  <c r="B51" i="9"/>
  <c r="C51" i="9"/>
  <c r="D51" i="9"/>
  <c r="E51" i="9"/>
  <c r="F51" i="9"/>
  <c r="G51" i="9"/>
  <c r="H51" i="9"/>
  <c r="I51" i="9"/>
  <c r="J51" i="9"/>
  <c r="K51" i="9"/>
  <c r="L51" i="9"/>
  <c r="M51" i="9"/>
  <c r="N51" i="9"/>
  <c r="B52" i="9"/>
  <c r="C52" i="9"/>
  <c r="D52" i="9"/>
  <c r="E52" i="9"/>
  <c r="F52" i="9"/>
  <c r="G52" i="9"/>
  <c r="H52" i="9"/>
  <c r="I52" i="9"/>
  <c r="J52" i="9"/>
  <c r="K52" i="9"/>
  <c r="L52" i="9"/>
  <c r="M52" i="9"/>
  <c r="N52" i="9"/>
  <c r="N53" i="9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4_1" displayName="T_All_Questions_44_1" ref="A44:D47" headerRowCount="1">
  <autoFilter ref="A44:D4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("|" &amp; SUBSTITUTE(Theme_One_Q_SS_EXPORT_F_resolved_criteria, ", ", "|") &amp; "|"))),1,0),0))*1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("|" &amp; SUBSTITUTE(Theme_Two_Q_NUM_EXPORT_F_resolved_criteria, ", ", "|") &amp; "|"))),1,0),0))*1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("|" &amp; SUBSTITUTE(Theme_One_Q_SS_EXPORT_F_resolved_criteria, ", ", "|") &amp; "|"))),1,0),0))*1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("|" &amp; SUBSTITUTE(Theme_Two_Q_NUM_EXPORT_F_resolved_criteria, ", ", "|") &amp; "|"))),1,0),0))*1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("|" &amp; SUBSTITUTE(Theme_One_Q_SS_EXPORT_F_resolved_criteria, ", ", "|") &amp; "|"))),1,0),0))*1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("|" &amp; SUBSTITUTE(Theme_Two_Q_NUM_EXPORT_F_resolved_criteria, ", ", "|") &amp; "|"))),1,0),0))*1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("|" &amp; SUBSTITUTE(Theme_One_Q_SS_EXPORT_F_resolved_criteria, ", ", "|") &amp; "|"))),1,0),0))*1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("|" &amp; SUBSTITUTE(Theme_Two_Q_NUM_EXPORT_F_resolved_criteria, ", ", "|") &amp; "|"))),1,0),0))*1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("|" &amp; SUBSTITUTE(Theme_One_Q_SS_EXPORT_F_resolved_criteria, ", ", "|") &amp; "|"))),1,0),0))*1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("|" &amp; SUBSTITUTE(Theme_Two_Q_NUM_EXPORT_F_resolved_criteria, ", ", "|") &amp; "|"))),1,0),0))*1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("|" &amp; SUBSTITUTE(Theme_One_Q_SS_EXPORT_F_resolved_criteria, ", ", "|") &amp; "|"))),1,0),0))*1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("|" &amp; SUBSTITUTE(Theme_Two_Q_NUM_EXPORT_F_resolved_criteria, ", ", "|") &amp; "|"))),1,0),0))*1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("|" &amp; SUBSTITUTE(Theme_One_Q_SS_EXPORT_F_resolved_criteria, ", ", "|") &amp; "|"))),1,0),0))*1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("|" &amp; SUBSTITUTE(Theme_Two_Q_NUM_EXPORT_F_resolved_criteria, ", ", "|") &amp; "|"))),1,0),0))*1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("|" &amp; SUBSTITUTE(Theme_One_Q_SS_EXPORT_F_resolved_criteria, ", ", "|") &amp; "|"))),1,0),0))*1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("|" &amp; SUBSTITUTE(Theme_Two_Q_NUM_EXPORT_F_resolved_criteria, ", ", "|") &amp; "|"))),1,0),0))*1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("|" &amp; SUBSTITUTE(Theme_One_Q_SS_EXPORT_F_resolved_criteria, ", ", "|") &amp; "|"))),1,0),0))*1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("|" &amp; SUBSTITUTE(Theme_Two_Q_NUM_EXPORT_F_resolved_criteria, ", ", "|") &amp; "|"))),1,0),0))*1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("|" &amp; SUBSTITUTE(Theme_One_Q_SS_EXPORT_F_resolved_criteria, ", ", "|") &amp; "|"))),1,0),0))*1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("|" &amp; SUBSTITUTE(Theme_Two_Q_NUM_EXPORT_F_resolved_criteria, ", ", "|") &amp; "|"))),1,0),0))*1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IFERROR(INDEX(All_Questions_Value_Data_Names,MATCH(Theme_One_F_Custom1_Q_resolved&amp;"|"&amp;Theme_One_F_Custom1_V_resolved,All_Questions_Value_Keys,0)),IFERROR(INDEX(All_Questions_Data_Names,MATCH(Theme_One_F_Custom1_Q_resolved,All_Questions,0)),"'_RawData'!$A:$A"))</f>
        <v>respondent_id_data</v>
      </c>
      <c r="G6" t="str">
        <f>IFERROR(INDEX(All_Questions_Value_Criteria,MATCH(Theme_One_F_Custom1_Q_resolved&amp;"|"&amp;Theme_One_F_Custom1_V_resolved,All_Questions_Value_Keys,0)),Theme_One_F_Custom1_V_resolved)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IFERROR(INDEX(All_Questions_Value_Data_Names,MATCH(Theme_One_F_Custom2_Q_resolved&amp;"|"&amp;Theme_One_F_Custom2_V_resolved,All_Questions_Value_Keys,0)),IFERROR(INDEX(All_Questions_Data_Names,MATCH(Theme_One_F_Custom2_Q_resolved,All_Questions,0)),"'_RawData'!$A:$A"))</f>
        <v>respondent_id_data</v>
      </c>
      <c r="G8" t="str">
        <f>IFERROR(INDEX(All_Questions_Value_Criteria,MATCH(Theme_One_F_Custom2_Q_resolved&amp;"|"&amp;Theme_One_F_Custom2_V_resolved,All_Questions_Value_Keys,0)),Theme_One_F_Custom2_V_resolved)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IFERROR(INDEX(All_Questions_Value_Data_Names,MATCH(Theme_One_Q_SS_EXPORT_F_Q&amp;"|"&amp;Theme_One_Q_SS_EXPORT_F_V,All_Questions_Value_Keys,0)),IFERROR(INDEX(All_Questions_Data_Names,MATCH(Theme_One_Q_SS_EXPORT_F_Q,All_Questions,0)),"'_RawData'!$A:$A"))</f>
        <v>respondent_id_data</v>
      </c>
      <c r="G13" t="str">
        <f>"|" &amp; SUBSTITUTE(Theme_One_Q_SS_EXPORT_F_V, ", ", "|") &amp; "|"</f>
        <v>|(All)|</v>
      </c>
      <c r="H13" t="str">
        <f>IFERROR(INDEX(All_Questions_Value_Criteria,MATCH(Theme_One_Q_SS_EXPORT_F_Q&amp;"|"&amp;Theme_One_Q_SS_EXPORT_F_V,All_Questions_Value_Keys,0)),Theme_One_Q_SS_EXPORT_F_V)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IF(Theme_One_Q_SS_EXPORT_CT="(None)","",IFERROR(INDEX(INDIRECT(IFERROR(INDEX(Cross_Tab_Questions_Options_Names,MATCH(Theme_One_Q_SS_EXPORT_CT,Cross_Tab_Questions,0)),"'_Options'!$E$2:$E$2")),2),""))</f>
        <v/>
      </c>
      <c r="C21" s="2" t="str">
        <f>IF(Theme_One_Q_SS_EXPORT_CT="(None)","",IFERROR(INDEX(INDIRECT(IFERROR(INDEX(Cross_Tab_Questions_Options_Names,MATCH(Theme_One_Q_SS_EXPORT_CT,Cross_Tab_Questions,0)),"'_Options'!$E$2:$E$2")),3),""))</f>
        <v/>
      </c>
      <c r="D21" s="2" t="str">
        <f>IF(Theme_One_Q_SS_EXPORT_CT="(None)","",IFERROR(INDEX(INDIRECT(IFERROR(INDEX(Cross_Tab_Questions_Options_Names,MATCH(Theme_One_Q_SS_EXPORT_CT,Cross_Tab_Questions,0)),"'_Options'!$E$2:$E$2")),4),""))</f>
        <v/>
      </c>
      <c r="E21" s="2" t="str">
        <f>IF(Theme_One_Q_SS_EXPORT_CT="(None)","",IFERROR(INDEX(INDIRECT(IFERROR(INDEX(Cross_Tab_Questions_Options_Names,MATCH(Theme_One_Q_SS_EXPORT_CT,Cross_Tab_Questions,0)),"'_Options'!$E$2:$E$2")),5),""))</f>
        <v/>
      </c>
      <c r="F21" s="2" t="str">
        <f>IF(Theme_One_Q_SS_EXPORT_CT="(None)","",IFERROR(INDEX(INDIRECT(IFERROR(INDEX(Cross_Tab_Questions_Options_Names,MATCH(Theme_One_Q_SS_EXPORT_CT,Cross_Tab_Questions,0)),"'_Options'!$E$2:$E$2")),6),""))</f>
        <v/>
      </c>
      <c r="G21" s="2" t="str">
        <f>IF(Theme_One_Q_SS_EXPORT_CT="(None)","",IFERROR(INDEX(INDIRECT(IFERROR(INDEX(Cross_Tab_Questions_Options_Names,MATCH(Theme_One_Q_SS_EXPORT_CT,Cross_Tab_Questions,0)),"'_Options'!$E$2:$E$2")),7),""))</f>
        <v/>
      </c>
      <c r="H21" s="2" t="str">
        <f>IF(Theme_One_Q_SS_EXPORT_CT="(None)","",IFERROR(INDEX(INDIRECT(IFERROR(INDEX(Cross_Tab_Questions_Options_Names,MATCH(Theme_One_Q_SS_EXPORT_CT,Cross_Tab_Questions,0)),"'_Options'!$E$2:$E$2")),8),""))</f>
        <v/>
      </c>
      <c r="I21" s="2" t="str">
        <f>IF(Theme_One_Q_SS_EXPORT_CT="(None)","",IFERROR(INDEX(INDIRECT(IFERROR(INDEX(Cross_Tab_Questions_Options_Names,MATCH(Theme_One_Q_SS_EXPORT_CT,Cross_Tab_Questions,0)),"'_Options'!$E$2:$E$2")),9),""))</f>
        <v/>
      </c>
      <c r="J21" s="2" t="str">
        <f>IF(Theme_One_Q_SS_EXPORT_CT="(None)","",IFERROR(INDEX(INDIRECT(IFERROR(INDEX(Cross_Tab_Questions_Options_Names,MATCH(Theme_One_Q_SS_EXPORT_CT,Cross_Tab_Questions,0)),"'_Options'!$E$2:$E$2")),10),""))</f>
        <v/>
      </c>
      <c r="K21" s="2" t="str">
        <f>IF(Theme_One_Q_SS_EXPORT_CT="(None)","",IFERROR(INDEX(INDIRECT(IFERROR(INDEX(Cross_Tab_Questions_Options_Names,MATCH(Theme_One_Q_SS_EXPORT_CT,Cross_Tab_Questions,0)),"'_Options'!$E$2:$E$2")),11),""))</f>
        <v/>
      </c>
      <c r="L21" s="2" t="str">
        <f>IF(Theme_One_Q_SS_EXPORT_CT="(None)","",IFERROR(INDEX(INDIRECT(IFERROR(INDEX(Cross_Tab_Questions_Options_Names,MATCH(Theme_One_Q_SS_EXPORT_CT,Cross_Tab_Questions,0)),"'_Options'!$E$2:$E$2")),12),""))</f>
        <v/>
      </c>
      <c r="M21" s="2" t="str">
        <f>IF(Theme_One_Q_SS_EXPORT_CT="(None)","",IF(COUNTA(INDIRECT(IFERROR(INDEX(Cross_Tab_Questions_Options_Names,MATCH(Theme_One_Q_SS_EXPORT_CT,Cross_Tab_Questions,0)),"'_Options'!$E$2:$E$2")))-1&gt;11,"Other",IFERROR(INDEX(INDIRECT(IFERROR(INDEX(Cross_Tab_Questions_Options_Names,MATCH(Theme_One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Theme_One_Q_SS_EXPORT_CT="(None)",B$21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B$21))</f>
        <v>0</v>
      </c>
      <c r="C23" s="14">
        <f>IF(OR(Theme_One_Q_SS_EXPORT_CT="(None)",C$21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C$21))</f>
        <v>0</v>
      </c>
      <c r="D23" s="14">
        <f>IF(OR(Theme_One_Q_SS_EXPORT_CT="(None)",D$21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D$21))</f>
        <v>0</v>
      </c>
      <c r="E23" s="14">
        <f>IF(OR(Theme_One_Q_SS_EXPORT_CT="(None)",E$21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E$21))</f>
        <v>0</v>
      </c>
      <c r="F23" s="14">
        <f>IF(OR(Theme_One_Q_SS_EXPORT_CT="(None)",F$21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F$21))</f>
        <v>0</v>
      </c>
      <c r="G23" s="14">
        <f>IF(OR(Theme_One_Q_SS_EXPORT_CT="(None)",G$21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G$21))</f>
        <v>0</v>
      </c>
      <c r="H23" s="14">
        <f>IF(OR(Theme_One_Q_SS_EXPORT_CT="(None)",H$21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H$21))</f>
        <v>0</v>
      </c>
      <c r="I23" s="14">
        <f>IF(OR(Theme_One_Q_SS_EXPORT_CT="(None)",I$21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I$21))</f>
        <v>0</v>
      </c>
      <c r="J23" s="14">
        <f>IF(OR(Theme_One_Q_SS_EXPORT_CT="(None)",J$21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J$21))</f>
        <v>0</v>
      </c>
      <c r="K23" s="14">
        <f>IF(OR(Theme_One_Q_SS_EXPORT_CT="(None)",K$21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K$21))</f>
        <v>0</v>
      </c>
      <c r="L23" s="14">
        <f>IF(OR(Theme_One_Q_SS_EXPORT_CT="(None)",L$21=""),""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L$21))</f>
        <v>0</v>
      </c>
      <c r="M23" s="14">
        <f>IF(OR(Theme_One_Q_SS_EXPORT_CT="(None)",M$21=""),"",IF(M$21="Other",COUNTIFS(Q_SS_EXPORT_data,"Yes",passes_workbook_filters_data,1,passes_workbook_custom_filters_data,1,Theme_One_passes_local_filters_data,1,Theme_One_Q_SS_EXPORT_F_passes_per_q_filter_data,1)-SUM(B23,C23,D23,E23,F23,G23,H23,I23,J23,K23,L23),COUNTIFS(Q_SS_EXPORT_data,"Yes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M$21)))</f>
        <v>0</v>
      </c>
      <c r="N23" s="14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24">
      <c r="A24" t="inlineStr">
        <is>
          <t>No</t>
        </is>
      </c>
      <c r="B24" s="14">
        <f>IF(OR(Theme_One_Q_SS_EXPORT_CT="(None)",B$21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B$21))</f>
        <v>0</v>
      </c>
      <c r="C24" s="14">
        <f>IF(OR(Theme_One_Q_SS_EXPORT_CT="(None)",C$21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C$21))</f>
        <v>0</v>
      </c>
      <c r="D24" s="14">
        <f>IF(OR(Theme_One_Q_SS_EXPORT_CT="(None)",D$21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D$21))</f>
        <v>0</v>
      </c>
      <c r="E24" s="14">
        <f>IF(OR(Theme_One_Q_SS_EXPORT_CT="(None)",E$21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E$21))</f>
        <v>0</v>
      </c>
      <c r="F24" s="14">
        <f>IF(OR(Theme_One_Q_SS_EXPORT_CT="(None)",F$21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F$21))</f>
        <v>0</v>
      </c>
      <c r="G24" s="14">
        <f>IF(OR(Theme_One_Q_SS_EXPORT_CT="(None)",G$21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G$21))</f>
        <v>0</v>
      </c>
      <c r="H24" s="14">
        <f>IF(OR(Theme_One_Q_SS_EXPORT_CT="(None)",H$21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H$21))</f>
        <v>0</v>
      </c>
      <c r="I24" s="14">
        <f>IF(OR(Theme_One_Q_SS_EXPORT_CT="(None)",I$21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I$21))</f>
        <v>0</v>
      </c>
      <c r="J24" s="14">
        <f>IF(OR(Theme_One_Q_SS_EXPORT_CT="(None)",J$21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J$21))</f>
        <v>0</v>
      </c>
      <c r="K24" s="14">
        <f>IF(OR(Theme_One_Q_SS_EXPORT_CT="(None)",K$21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K$21))</f>
        <v>0</v>
      </c>
      <c r="L24" s="14">
        <f>IF(OR(Theme_One_Q_SS_EXPORT_CT="(None)",L$21=""),""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L$21))</f>
        <v>0</v>
      </c>
      <c r="M24" s="14">
        <f>IF(OR(Theme_One_Q_SS_EXPORT_CT="(None)",M$21=""),"",IF(M$21="Other",COUNTIFS(Q_SS_EXPORT_data,"No",passes_workbook_filters_data,1,passes_workbook_custom_filters_data,1,Theme_One_passes_local_filters_data,1,Theme_One_Q_SS_EXPORT_F_passes_per_q_filter_data,1)-SUM(B24,C24,D24,E24,F24,G24,H24,I24,J24,K24,L24),COUNTIFS(Q_SS_EXPORT_data,"No",passes_workbook_filters_data,1,passes_workbook_custom_filters_data,1,Theme_One_passes_local_filters_data,1,Theme_One_Q_SS_EXPORT_F_passes_per_q_filter_data,1,INDIRECT(IFERROR(INDEX(Cross_Tab_Questions_Data_Names,MATCH(Theme_One_Q_SS_EXPORT_CT,Cross_Tab_Questions,0)),"'_RawData'!$A:$A")),M$21)))</f>
        <v>0</v>
      </c>
      <c r="N24" s="14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IFERROR(INDEX(All_Questions_Value_Data_Names,MATCH(Theme_Two_F_Custom1_Q_resolved&amp;"|"&amp;Theme_Two_F_Custom1_V_resolved,All_Questions_Value_Keys,0)),IFERROR(INDEX(All_Questions_Data_Names,MATCH(Theme_Two_F_Custom1_Q_resolved,All_Questions,0)),"'_RawData'!$A:$A"))</f>
        <v>respondent_id_data</v>
      </c>
      <c r="G6" t="str">
        <f>IFERROR(INDEX(All_Questions_Value_Criteria,MATCH(Theme_Two_F_Custom1_Q_resolved&amp;"|"&amp;Theme_Two_F_Custom1_V_resolved,All_Questions_Value_Keys,0)),Theme_Two_F_Custom1_V_resolved)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IFERROR(INDEX(All_Questions_Value_Data_Names,MATCH(Theme_Two_F_Custom2_Q_resolved&amp;"|"&amp;Theme_Two_F_Custom2_V_resolved,All_Questions_Value_Keys,0)),IFERROR(INDEX(All_Questions_Data_Names,MATCH(Theme_Two_F_Custom2_Q_resolved,All_Questions,0)),"'_RawData'!$A:$A"))</f>
        <v>respondent_id_data</v>
      </c>
      <c r="G8" t="str">
        <f>IFERROR(INDEX(All_Questions_Value_Criteria,MATCH(Theme_Two_F_Custom2_Q_resolved&amp;"|"&amp;Theme_Two_F_Custom2_V_resolved,All_Questions_Value_Keys,0)),Theme_Two_F_Custom2_V_resolved)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IFERROR(INDEX(All_Questions_Value_Data_Names,MATCH(Theme_Two_Q_NUM_EXPORT_F_Q&amp;"|"&amp;Theme_Two_Q_NUM_EXPORT_F_V,All_Questions_Value_Keys,0)),IFERROR(INDEX(All_Questions_Data_Names,MATCH(Theme_Two_Q_NUM_EXPORT_F_Q,All_Questions,0)),"'_RawData'!$A:$A"))</f>
        <v>respondent_id_data</v>
      </c>
      <c r="G13" t="str">
        <f>"|" &amp; SUBSTITUTE(Theme_Two_Q_NUM_EXPORT_F_V, ", ", "|") &amp; "|"</f>
        <v>|(All)|</v>
      </c>
      <c r="H13" t="str">
        <f>IFERROR(INDEX(All_Questions_Value_Criteria,MATCH(Theme_Two_Q_NUM_EXPORT_F_Q&amp;"|"&amp;Theme_Two_Q_NUM_EXPORT_F_V,All_Questions_Value_Keys,0)),Theme_Two_Q_NUM_EXPORT_F_V)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6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 s="16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 s="16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s="16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t="inlineStr">
        <is>
          <t>Median</t>
        </is>
      </c>
      <c r="B21" s="16" t="n">
        <v>5.5</v>
      </c>
      <c r="C21" t="inlineStr">
        <is>
          <t>static baseline</t>
        </is>
      </c>
      <c r="D21" s="14" t="n">
        <v>10</v>
      </c>
    </row>
    <row r="22"/>
    <row r="23">
      <c r="A23" s="4" t="inlineStr">
        <is>
          <t>Option</t>
        </is>
      </c>
      <c r="B23" s="2" t="str">
        <f>IF(Theme_Two_Q_NUM_EXPORT_CT="(None)","",IFERROR(INDEX(INDIRECT(IFERROR(INDEX(Cross_Tab_Questions_Options_Names,MATCH(Theme_Two_Q_NUM_EXPORT_CT,Cross_Tab_Questions,0)),"'_Options'!$E$2:$E$2")),2),""))</f>
        <v/>
      </c>
      <c r="C23" s="2" t="str">
        <f>IF(Theme_Two_Q_NUM_EXPORT_CT="(None)","",IFERROR(INDEX(INDIRECT(IFERROR(INDEX(Cross_Tab_Questions_Options_Names,MATCH(Theme_Two_Q_NUM_EXPORT_CT,Cross_Tab_Questions,0)),"'_Options'!$E$2:$E$2")),3),""))</f>
        <v/>
      </c>
      <c r="D23" s="2" t="str">
        <f>IF(Theme_Two_Q_NUM_EXPORT_CT="(None)","",IFERROR(INDEX(INDIRECT(IFERROR(INDEX(Cross_Tab_Questions_Options_Names,MATCH(Theme_Two_Q_NUM_EXPORT_CT,Cross_Tab_Questions,0)),"'_Options'!$E$2:$E$2")),4),""))</f>
        <v/>
      </c>
      <c r="E23" s="2" t="str">
        <f>IF(Theme_Two_Q_NUM_EXPORT_CT="(None)","",IFERROR(INDEX(INDIRECT(IFERROR(INDEX(Cross_Tab_Questions_Options_Names,MATCH(Theme_Two_Q_NUM_EXPORT_CT,Cross_Tab_Questions,0)),"'_Options'!$E$2:$E$2")),5),""))</f>
        <v/>
      </c>
      <c r="F23" s="2" t="str">
        <f>IF(Theme_Two_Q_NUM_EXPORT_CT="(None)","",IFERROR(INDEX(INDIRECT(IFERROR(INDEX(Cross_Tab_Questions_Options_Names,MATCH(Theme_Two_Q_NUM_EXPORT_CT,Cross_Tab_Questions,0)),"'_Options'!$E$2:$E$2")),6),""))</f>
        <v/>
      </c>
      <c r="G23" s="2" t="str">
        <f>IF(Theme_Two_Q_NUM_EXPORT_CT="(None)","",IFERROR(INDEX(INDIRECT(IFERROR(INDEX(Cross_Tab_Questions_Options_Names,MATCH(Theme_Two_Q_NUM_EXPORT_CT,Cross_Tab_Questions,0)),"'_Options'!$E$2:$E$2")),7),""))</f>
        <v/>
      </c>
      <c r="H23" s="2" t="str">
        <f>IF(Theme_Two_Q_NUM_EXPORT_CT="(None)","",IFERROR(INDEX(INDIRECT(IFERROR(INDEX(Cross_Tab_Questions_Options_Names,MATCH(Theme_Two_Q_NUM_EXPORT_CT,Cross_Tab_Questions,0)),"'_Options'!$E$2:$E$2")),8),""))</f>
        <v/>
      </c>
      <c r="I23" s="2" t="str">
        <f>IF(Theme_Two_Q_NUM_EXPORT_CT="(None)","",IFERROR(INDEX(INDIRECT(IFERROR(INDEX(Cross_Tab_Questions_Options_Names,MATCH(Theme_Two_Q_NUM_EXPORT_CT,Cross_Tab_Questions,0)),"'_Options'!$E$2:$E$2")),9),""))</f>
        <v/>
      </c>
      <c r="J23" s="2" t="str">
        <f>IF(Theme_Two_Q_NUM_EXPORT_CT="(None)","",IFERROR(INDEX(INDIRECT(IFERROR(INDEX(Cross_Tab_Questions_Options_Names,MATCH(Theme_Two_Q_NUM_EXPORT_CT,Cross_Tab_Questions,0)),"'_Options'!$E$2:$E$2")),10),""))</f>
        <v/>
      </c>
      <c r="K23" s="2" t="str">
        <f>IF(Theme_Two_Q_NUM_EXPORT_CT="(None)","",IFERROR(INDEX(INDIRECT(IFERROR(INDEX(Cross_Tab_Questions_Options_Names,MATCH(Theme_Two_Q_NUM_EXPORT_CT,Cross_Tab_Questions,0)),"'_Options'!$E$2:$E$2")),11),""))</f>
        <v/>
      </c>
      <c r="L23" s="2" t="str">
        <f>IF(Theme_Two_Q_NUM_EXPORT_CT="(None)","",IFERROR(INDEX(INDIRECT(IFERROR(INDEX(Cross_Tab_Questions_Options_Names,MATCH(Theme_Two_Q_NUM_EXPORT_CT,Cross_Tab_Questions,0)),"'_Options'!$E$2:$E$2")),12),""))</f>
        <v/>
      </c>
      <c r="M23" s="2" t="str">
        <f>IF(Theme_Two_Q_NUM_EXPORT_CT="(None)","",IF(COUNTA(INDIRECT(IFERROR(INDEX(Cross_Tab_Questions_Options_Names,MATCH(Theme_Two_Q_NUM_EXPORT_CT,Cross_Tab_Questions,0)),"'_Options'!$E$2:$E$2")))-1&gt;11,"Other",IFERROR(INDEX(INDIRECT(IFERROR(INDEX(Cross_Tab_Questions_Options_Names,MATCH(Theme_Two_Q_NUM_EXPORT_CT,Cross_Tab_Questions,0)),"'_Options'!$E$2:$E$2")),13),"")))</f>
        <v/>
      </c>
      <c r="N23" s="4" t="inlineStr">
        <is>
          <t>Total</t>
        </is>
      </c>
    </row>
    <row r="24">
      <c r="A24" s="4" t="inlineStr"/>
      <c r="B24" s="4" t="inlineStr">
        <is>
          <t>Mean</t>
        </is>
      </c>
      <c r="C24" s="4" t="inlineStr">
        <is>
          <t>Mean</t>
        </is>
      </c>
      <c r="D24" s="4" t="inlineStr">
        <is>
          <t>Mean</t>
        </is>
      </c>
      <c r="E24" s="4" t="inlineStr">
        <is>
          <t>Mean</t>
        </is>
      </c>
      <c r="F24" s="4" t="inlineStr">
        <is>
          <t>Mean</t>
        </is>
      </c>
      <c r="G24" s="4" t="inlineStr">
        <is>
          <t>Mean</t>
        </is>
      </c>
      <c r="H24" s="4" t="inlineStr">
        <is>
          <t>Mean</t>
        </is>
      </c>
      <c r="I24" s="4" t="inlineStr">
        <is>
          <t>Mean</t>
        </is>
      </c>
      <c r="J24" s="4" t="inlineStr">
        <is>
          <t>Mean</t>
        </is>
      </c>
      <c r="K24" s="4" t="inlineStr">
        <is>
          <t>Mean</t>
        </is>
      </c>
      <c r="L24" s="4" t="inlineStr">
        <is>
          <t>Mean</t>
        </is>
      </c>
      <c r="M24" s="4" t="inlineStr">
        <is>
          <t>Mean</t>
        </is>
      </c>
      <c r="N24" s="4" t="inlineStr">
        <is>
          <t>Mean</t>
        </is>
      </c>
    </row>
    <row r="25">
      <c r="A25" t="inlineStr">
        <is>
          <t>Numeric export question</t>
        </is>
      </c>
      <c r="B25" s="16">
        <f>IF(OR(Theme_Two_Q_NUM_EXPORT_CT="(None)",B$23=""),"",IF(B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B$23),"")))</f>
        <v>5.5</v>
      </c>
      <c r="C25" s="16">
        <f>IF(OR(Theme_Two_Q_NUM_EXPORT_CT="(None)",C$23=""),"",IF(C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C$23),"")))</f>
        <v>5.5</v>
      </c>
      <c r="D25" s="16">
        <f>IF(OR(Theme_Two_Q_NUM_EXPORT_CT="(None)",D$23=""),"",IF(D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D$23),"")))</f>
        <v>5.5</v>
      </c>
      <c r="E25" s="16">
        <f>IF(OR(Theme_Two_Q_NUM_EXPORT_CT="(None)",E$23=""),"",IF(E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E$23),"")))</f>
        <v>5.5</v>
      </c>
      <c r="F25" s="16">
        <f>IF(OR(Theme_Two_Q_NUM_EXPORT_CT="(None)",F$23=""),"",IF(F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F$23),"")))</f>
        <v>5.5</v>
      </c>
      <c r="G25" s="16">
        <f>IF(OR(Theme_Two_Q_NUM_EXPORT_CT="(None)",G$23=""),"",IF(G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G$23),"")))</f>
        <v>5.5</v>
      </c>
      <c r="H25" s="16">
        <f>IF(OR(Theme_Two_Q_NUM_EXPORT_CT="(None)",H$23=""),"",IF(H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H$23),"")))</f>
        <v>5.5</v>
      </c>
      <c r="I25" s="16">
        <f>IF(OR(Theme_Two_Q_NUM_EXPORT_CT="(None)",I$23=""),"",IF(I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I$23),"")))</f>
        <v>5.5</v>
      </c>
      <c r="J25" s="16">
        <f>IF(OR(Theme_Two_Q_NUM_EXPORT_CT="(None)",J$23=""),"",IF(J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J$23),"")))</f>
        <v>5.5</v>
      </c>
      <c r="K25" s="16">
        <f>IF(OR(Theme_Two_Q_NUM_EXPORT_CT="(None)",K$23=""),"",IF(K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K$23),"")))</f>
        <v>5.5</v>
      </c>
      <c r="L25" s="16">
        <f>IF(OR(Theme_Two_Q_NUM_EXPORT_CT="(None)",L$23=""),"",IF(L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L$23),"")))</f>
        <v>5.5</v>
      </c>
      <c r="M25" s="16">
        <f>IF(OR(Theme_Two_Q_NUM_EXPORT_CT="(None)",M$23=""),"",IF(M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M$23),"")))</f>
        <v>5.5</v>
      </c>
      <c r="N25" s="16">
        <f>IF(Theme_Two_Q_NUM_EXPORT_CT="(None)","",IFERROR(AVERAGEIFS(Q_NUM_EXPORT_data,Q_NUM_EXPORT_data,"&lt;&gt;",passes_workbook_filters_data,1,passes_workbook_custom_filters_data,1,Theme_Two_passes_local_filters_data,1,Theme_Two_Q_NUM_EXPORT_F_passes_per_q_filter_data,1),""))</f>
        <v>5.5</v>
      </c>
    </row>
    <row r="26">
      <c r="A26" s="4" t="inlineStr">
        <is>
          <t>Total respondents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>
        <f>IF(Theme_Two_Q_NUM_EXPORT_CT="(None)","",COUNTIFS(respondent_id_data,"&lt;&gt;",passes_workbook_filters_data,1,passes_workbook_custom_filters_data,1,Theme_Two_passes_local_filters_data,1,Theme_Two_Q_NUM_EXPORT_F_passes_per_q_filter_data,1))</f>
        <v>0</v>
      </c>
    </row>
  </sheetData>
  <mergeCells count="1">
    <mergeCell ref="A1:J1"/>
  </mergeCells>
  <conditionalFormatting sqref="B2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13" t="str">
        <f>"|" &amp; SUBSTITUTE(All_Questions_Q_MS_EXPORT_F_V, ", ", "|") &amp; "|"</f>
        <v>|(All)|</v>
      </c>
      <c r="H13" t="str">
        <f>IFERROR(INDEX(All_Questions_Value_Criteria,MATCH(All_Questions_Q_MS_EXPORT_F_Q&amp;"|"&amp;All_Questions_Q_MS_EXPORT_F_V,All_Questions_Value_Keys,0)),All_Questions_Q_MS_EXPORT_F_V)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>
      <c r="A20" s="4" t="inlineStr">
        <is>
          <t>Total responses</t>
        </is>
      </c>
      <c r="B20" s="4" t="n">
        <v>7</v>
      </c>
      <c r="C20" s="4" t="n"/>
      <c r="D20" s="4" t="n"/>
    </row>
    <row r="21"/>
    <row r="22">
      <c r="A22" s="4" t="inlineStr">
        <is>
          <t>Option</t>
        </is>
      </c>
      <c r="B22" s="2" t="str">
        <f>IF(All_Questions_Q_MS_EXPORT_CT="(None)","",IFERROR(INDEX(INDIRECT(IFERROR(INDEX(Cross_Tab_Questions_Options_Names,MATCH(All_Questions_Q_MS_EXPORT_CT,Cross_Tab_Questions,0)),"'_Options'!$E$2:$E$2")),2),""))</f>
        <v/>
      </c>
      <c r="C22" s="2" t="str">
        <f>IF(All_Questions_Q_MS_EXPORT_CT="(None)","",IFERROR(INDEX(INDIRECT(IFERROR(INDEX(Cross_Tab_Questions_Options_Names,MATCH(All_Questions_Q_MS_EXPORT_CT,Cross_Tab_Questions,0)),"'_Options'!$E$2:$E$2")),3),""))</f>
        <v/>
      </c>
      <c r="D22" s="2" t="str">
        <f>IF(All_Questions_Q_MS_EXPORT_CT="(None)","",IFERROR(INDEX(INDIRECT(IFERROR(INDEX(Cross_Tab_Questions_Options_Names,MATCH(All_Questions_Q_MS_EXPORT_CT,Cross_Tab_Questions,0)),"'_Options'!$E$2:$E$2")),4),""))</f>
        <v/>
      </c>
      <c r="E22" s="2" t="str">
        <f>IF(All_Questions_Q_MS_EXPORT_CT="(None)","",IFERROR(INDEX(INDIRECT(IFERROR(INDEX(Cross_Tab_Questions_Options_Names,MATCH(All_Questions_Q_MS_EXPORT_CT,Cross_Tab_Questions,0)),"'_Options'!$E$2:$E$2")),5),""))</f>
        <v/>
      </c>
      <c r="F22" s="2" t="str">
        <f>IF(All_Questions_Q_MS_EXPORT_CT="(None)","",IFERROR(INDEX(INDIRECT(IFERROR(INDEX(Cross_Tab_Questions_Options_Names,MATCH(All_Questions_Q_MS_EXPORT_CT,Cross_Tab_Questions,0)),"'_Options'!$E$2:$E$2")),6),""))</f>
        <v/>
      </c>
      <c r="G22" s="2" t="str">
        <f>IF(All_Questions_Q_MS_EXPORT_CT="(None)","",IFERROR(INDEX(INDIRECT(IFERROR(INDEX(Cross_Tab_Questions_Options_Names,MATCH(All_Questions_Q_MS_EXPORT_CT,Cross_Tab_Questions,0)),"'_Options'!$E$2:$E$2")),7),""))</f>
        <v/>
      </c>
      <c r="H22" s="2" t="str">
        <f>IF(All_Questions_Q_MS_EXPORT_CT="(None)","",IFERROR(INDEX(INDIRECT(IFERROR(INDEX(Cross_Tab_Questions_Options_Names,MATCH(All_Questions_Q_MS_EXPORT_CT,Cross_Tab_Questions,0)),"'_Options'!$E$2:$E$2")),8),""))</f>
        <v/>
      </c>
      <c r="I22" s="2" t="str">
        <f>IF(All_Questions_Q_MS_EXPORT_CT="(None)","",IFERROR(INDEX(INDIRECT(IFERROR(INDEX(Cross_Tab_Questions_Options_Names,MATCH(All_Questions_Q_MS_EXPORT_CT,Cross_Tab_Questions,0)),"'_Options'!$E$2:$E$2")),9),""))</f>
        <v/>
      </c>
      <c r="J22" s="2" t="str">
        <f>IF(All_Questions_Q_MS_EXPORT_CT="(None)","",IFERROR(INDEX(INDIRECT(IFERROR(INDEX(Cross_Tab_Questions_Options_Names,MATCH(All_Questions_Q_MS_EXPORT_CT,Cross_Tab_Questions,0)),"'_Options'!$E$2:$E$2")),10),""))</f>
        <v/>
      </c>
      <c r="K22" s="2" t="str">
        <f>IF(All_Questions_Q_MS_EXPORT_CT="(None)","",IFERROR(INDEX(INDIRECT(IFERROR(INDEX(Cross_Tab_Questions_Options_Names,MATCH(All_Questions_Q_MS_EXPORT_CT,Cross_Tab_Questions,0)),"'_Options'!$E$2:$E$2")),11),""))</f>
        <v/>
      </c>
      <c r="L22" s="2" t="str">
        <f>IF(All_Questions_Q_MS_EXPORT_CT="(None)","",IFERROR(INDEX(INDIRECT(IFERROR(INDEX(Cross_Tab_Questions_Options_Names,MATCH(All_Questions_Q_MS_EXPORT_CT,Cross_Tab_Questions,0)),"'_Options'!$E$2:$E$2")),12),""))</f>
        <v/>
      </c>
      <c r="M22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22" s="4" t="inlineStr">
        <is>
          <t>Total</t>
        </is>
      </c>
    </row>
    <row r="23">
      <c r="A23" s="4" t="inlineStr"/>
      <c r="B23" s="4" t="inlineStr">
        <is>
          <t>% selected</t>
        </is>
      </c>
      <c r="C23" s="4" t="inlineStr">
        <is>
          <t>% selected</t>
        </is>
      </c>
      <c r="D23" s="4" t="inlineStr">
        <is>
          <t>% selected</t>
        </is>
      </c>
      <c r="E23" s="4" t="inlineStr">
        <is>
          <t>% selected</t>
        </is>
      </c>
      <c r="F23" s="4" t="inlineStr">
        <is>
          <t>% selected</t>
        </is>
      </c>
      <c r="G23" s="4" t="inlineStr">
        <is>
          <t>% selected</t>
        </is>
      </c>
      <c r="H23" s="4" t="inlineStr">
        <is>
          <t>% selected</t>
        </is>
      </c>
      <c r="I23" s="4" t="inlineStr">
        <is>
          <t>% selected</t>
        </is>
      </c>
      <c r="J23" s="4" t="inlineStr">
        <is>
          <t>% selected</t>
        </is>
      </c>
      <c r="K23" s="4" t="inlineStr">
        <is>
          <t>% selected</t>
        </is>
      </c>
      <c r="L23" s="4" t="inlineStr">
        <is>
          <t>% selected</t>
        </is>
      </c>
      <c r="M23" s="4" t="inlineStr">
        <is>
          <t>% selected</t>
        </is>
      </c>
      <c r="N23" s="4" t="inlineStr">
        <is>
          <t>% selected</t>
        </is>
      </c>
    </row>
    <row r="24">
      <c r="A24" t="inlineStr">
        <is>
          <t>First</t>
        </is>
      </c>
      <c r="B24" s="7">
        <f>IF(OR(All_Questions_Q_MS_EXPORT_CT="(None)",B$22=""),"",IF(B$22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$22)),"")))</f>
        <v>0.5</v>
      </c>
      <c r="C24" s="7">
        <f>IF(OR(All_Questions_Q_MS_EXPORT_CT="(None)",C$22=""),"",IF(C$22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$22)),"")))</f>
        <v>0.5</v>
      </c>
      <c r="D24" s="7">
        <f>IF(OR(All_Questions_Q_MS_EXPORT_CT="(None)",D$22=""),"",IF(D$22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$22)),"")))</f>
        <v>0.5</v>
      </c>
      <c r="E24" s="7">
        <f>IF(OR(All_Questions_Q_MS_EXPORT_CT="(None)",E$22=""),"",IF(E$22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$22)),"")))</f>
        <v>0.5</v>
      </c>
      <c r="F24" s="7">
        <f>IF(OR(All_Questions_Q_MS_EXPORT_CT="(None)",F$22=""),"",IF(F$22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$22)),"")))</f>
        <v>0.5</v>
      </c>
      <c r="G24" s="7">
        <f>IF(OR(All_Questions_Q_MS_EXPORT_CT="(None)",G$22=""),"",IF(G$22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$22)),"")))</f>
        <v>0.5</v>
      </c>
      <c r="H24" s="7">
        <f>IF(OR(All_Questions_Q_MS_EXPORT_CT="(None)",H$22=""),"",IF(H$22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$22)),"")))</f>
        <v>0.5</v>
      </c>
      <c r="I24" s="7">
        <f>IF(OR(All_Questions_Q_MS_EXPORT_CT="(None)",I$22=""),"",IF(I$22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$22)),"")))</f>
        <v>0.5</v>
      </c>
      <c r="J24" s="7">
        <f>IF(OR(All_Questions_Q_MS_EXPORT_CT="(None)",J$22=""),"",IF(J$22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$22)),"")))</f>
        <v>0.5</v>
      </c>
      <c r="K24" s="7">
        <f>IF(OR(All_Questions_Q_MS_EXPORT_CT="(None)",K$22=""),"",IF(K$22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$22)),"")))</f>
        <v>0.5</v>
      </c>
      <c r="L24" s="7">
        <f>IF(OR(All_Questions_Q_MS_EXPORT_CT="(None)",L$22=""),"",IF(L$22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$22)),"")))</f>
        <v>0.5</v>
      </c>
      <c r="M24" s="7">
        <f>IF(OR(All_Questions_Q_MS_EXPORT_CT="(None)",M$22=""),"",IF(M$22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$22)),"")))</f>
        <v>0.5</v>
      </c>
      <c r="N24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25">
      <c r="A25" t="inlineStr">
        <is>
          <t>Second</t>
        </is>
      </c>
      <c r="B25" s="7">
        <f>IF(OR(All_Questions_Q_MS_EXPORT_CT="(None)",B$22=""),"",IF(B$22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$22)),"")))</f>
        <v>0.2</v>
      </c>
      <c r="C25" s="7">
        <f>IF(OR(All_Questions_Q_MS_EXPORT_CT="(None)",C$22=""),"",IF(C$22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$22)),"")))</f>
        <v>0.2</v>
      </c>
      <c r="D25" s="7">
        <f>IF(OR(All_Questions_Q_MS_EXPORT_CT="(None)",D$22=""),"",IF(D$22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$22)),"")))</f>
        <v>0.2</v>
      </c>
      <c r="E25" s="7">
        <f>IF(OR(All_Questions_Q_MS_EXPORT_CT="(None)",E$22=""),"",IF(E$22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$22)),"")))</f>
        <v>0.2</v>
      </c>
      <c r="F25" s="7">
        <f>IF(OR(All_Questions_Q_MS_EXPORT_CT="(None)",F$22=""),"",IF(F$22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$22)),"")))</f>
        <v>0.2</v>
      </c>
      <c r="G25" s="7">
        <f>IF(OR(All_Questions_Q_MS_EXPORT_CT="(None)",G$22=""),"",IF(G$22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$22)),"")))</f>
        <v>0.2</v>
      </c>
      <c r="H25" s="7">
        <f>IF(OR(All_Questions_Q_MS_EXPORT_CT="(None)",H$22=""),"",IF(H$22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$22)),"")))</f>
        <v>0.2</v>
      </c>
      <c r="I25" s="7">
        <f>IF(OR(All_Questions_Q_MS_EXPORT_CT="(None)",I$22=""),"",IF(I$22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$22)),"")))</f>
        <v>0.2</v>
      </c>
      <c r="J25" s="7">
        <f>IF(OR(All_Questions_Q_MS_EXPORT_CT="(None)",J$22=""),"",IF(J$22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$22)),"")))</f>
        <v>0.2</v>
      </c>
      <c r="K25" s="7">
        <f>IF(OR(All_Questions_Q_MS_EXPORT_CT="(None)",K$22=""),"",IF(K$22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$22)),"")))</f>
        <v>0.2</v>
      </c>
      <c r="L25" s="7">
        <f>IF(OR(All_Questions_Q_MS_EXPORT_CT="(None)",L$22=""),"",IF(L$22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$22)),"")))</f>
        <v>0.2</v>
      </c>
      <c r="M25" s="7">
        <f>IF(OR(All_Questions_Q_MS_EXPORT_CT="(None)",M$22=""),"",IF(M$22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$22)),"")))</f>
        <v>0.2</v>
      </c>
      <c r="N25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26">
      <c r="A26" s="4" t="inlineStr">
        <is>
          <t>Total respondents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7"/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>
      <c r="A29" s="12" t="inlineStr">
        <is>
          <t>Q_GRID_EXPORT - Grid export question</t>
        </is>
      </c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</row>
    <row r="30">
      <c r="A30" s="13" t="inlineStr">
        <is>
          <t>Per-question filter</t>
        </is>
      </c>
      <c r="B30" t="inlineStr">
        <is>
          <t>Filter Q</t>
        </is>
      </c>
      <c r="C30" t="inlineStr">
        <is>
          <t>(None)</t>
        </is>
      </c>
      <c r="D30" t="inlineStr">
        <is>
          <t>Value</t>
        </is>
      </c>
      <c r="E30" t="inlineStr">
        <is>
          <t>(All)</t>
        </is>
      </c>
      <c r="F30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30" t="str">
        <f>"|" &amp; SUBSTITUTE(All_Questions_Q_GRID_EXPORT_F_V, ", ", "|") &amp; "|"</f>
        <v>|(All)|</v>
      </c>
      <c r="H30" t="str">
        <f>IFERROR(INDEX(All_Questions_Value_Criteria,MATCH(All_Questions_Q_GRID_EXPORT_F_Q&amp;"|"&amp;All_Questions_Q_GRID_EXPORT_F_V,All_Questions_Value_Keys,0)),All_Questions_Q_GRID_EXPORT_F_V)</f>
        <v>(All)</v>
      </c>
    </row>
    <row r="31"/>
    <row r="32">
      <c r="A32" s="4" t="inlineStr">
        <is>
          <t>Sub-question ID</t>
        </is>
      </c>
      <c r="B32" s="4" t="inlineStr">
        <is>
          <t>Sub-question</t>
        </is>
      </c>
      <c r="C32" s="4" t="inlineStr">
        <is>
          <t>High</t>
        </is>
      </c>
      <c r="D32" s="2" t="n"/>
      <c r="E32" s="4" t="inlineStr">
        <is>
          <t>Low</t>
        </is>
      </c>
      <c r="F32" s="2" t="n"/>
    </row>
    <row r="33">
      <c r="A33" s="2" t="inlineStr"/>
      <c r="B33" s="2" t="inlineStr"/>
      <c r="C33" s="4" t="inlineStr">
        <is>
          <t>Count</t>
        </is>
      </c>
      <c r="D33" s="4" t="inlineStr">
        <is>
          <t>%</t>
        </is>
      </c>
      <c r="E33" s="4" t="inlineStr">
        <is>
          <t>Count</t>
        </is>
      </c>
      <c r="F33" s="4" t="inlineStr">
        <is>
          <t>%</t>
        </is>
      </c>
    </row>
    <row r="34">
      <c r="A34" s="17" t="inlineStr">
        <is>
          <t>Q_GRID_EXPORTr1</t>
        </is>
      </c>
      <c r="B34" t="inlineStr">
        <is>
          <t>Grid first row</t>
        </is>
      </c>
      <c r="C34">
        <f>COUNTIFS(Q_GRID_EXPORTr1_data,"High",passes_workbook_filters_data,1,passes_workbook_custom_filters_data,1,All_Questions_passes_local_filters_data,1,All_Questions_Q_GRID_EXPORT_F_passes_per_q_filter_data,1)</f>
        <v>6</v>
      </c>
      <c r="D34" s="7">
        <f>IFERROR(C34/10,0)</f>
        <v>0.6</v>
      </c>
      <c r="E34">
        <f>COUNTIFS(Q_GRID_EXPORTr1_data,"Low",passes_workbook_filters_data,1,passes_workbook_custom_filters_data,1,All_Questions_passes_local_filters_data,1,All_Questions_Q_GRID_EXPORT_F_passes_per_q_filter_data,1)</f>
        <v>4</v>
      </c>
      <c r="F34" s="7">
        <f>IFERROR(E34/10,0)</f>
        <v>0.4</v>
      </c>
    </row>
    <row r="35">
      <c r="A35" s="17" t="inlineStr">
        <is>
          <t>Q_GRID_EXPORTr2</t>
        </is>
      </c>
      <c r="B35" t="inlineStr">
        <is>
          <t>Grid second row</t>
        </is>
      </c>
      <c r="C35">
        <f>COUNTIFS(Q_GRID_EXPORTr2_data,"High",passes_workbook_filters_data,1,passes_workbook_custom_filters_data,1,All_Questions_passes_local_filters_data,1,All_Questions_Q_GRID_EXPORT_F_passes_per_q_filter_data,1)</f>
        <v>5</v>
      </c>
      <c r="D35" s="7">
        <f>IFERROR(C35/10,0)</f>
        <v>0.5</v>
      </c>
      <c r="E35">
        <f>COUNTIFS(Q_GRID_EXPORTr2_data,"Low",passes_workbook_filters_data,1,passes_workbook_custom_filters_data,1,All_Questions_passes_local_filters_data,1,All_Questions_Q_GRID_EXPORT_F_passes_per_q_filter_data,1)</f>
        <v>5</v>
      </c>
      <c r="F35" s="7">
        <f>IFERROR(E35/10,0)</f>
        <v>0.5</v>
      </c>
    </row>
    <row r="36">
      <c r="A36" s="15" t="inlineStr">
        <is>
          <t>Total respondents</t>
        </is>
      </c>
      <c r="B36" s="15" t="n">
        <v>10</v>
      </c>
      <c r="C36" s="15" t="n"/>
      <c r="D36" s="15" t="n"/>
      <c r="E36" s="15" t="n"/>
      <c r="F36" s="15" t="n"/>
    </row>
    <row r="37">
      <c r="A37" s="4" t="inlineStr">
        <is>
          <t>Total responses</t>
        </is>
      </c>
      <c r="B37" s="4" t="n">
        <v>20</v>
      </c>
      <c r="C37" s="4" t="n"/>
      <c r="D37" s="4" t="n"/>
      <c r="E37" s="4" t="n"/>
      <c r="F37" s="4" t="n"/>
    </row>
    <row r="38"/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</row>
    <row r="40">
      <c r="A40" s="12" t="inlineStr">
        <is>
          <t>Q_VERY_LONG_SINGLE_SELECT_EXPORT_NAME - Long sheet name export question</t>
        </is>
      </c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</row>
    <row r="41">
      <c r="A41" s="13" t="inlineStr">
        <is>
          <t>Per-question filter</t>
        </is>
      </c>
      <c r="B41" t="inlineStr">
        <is>
          <t>Filter Q</t>
        </is>
      </c>
      <c r="C41" t="inlineStr">
        <is>
          <t>(None)</t>
        </is>
      </c>
      <c r="D41" t="inlineStr">
        <is>
          <t>Value</t>
        </is>
      </c>
      <c r="E41" t="inlineStr">
        <is>
          <t>(All)</t>
        </is>
      </c>
      <c r="F41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41" t="str">
        <f>"|" &amp; SUBSTITUTE(All_Questions_Q_VERY_LONG_SINGLE_SELECT_EXPORT_NAME_F_V, ", ", "|") &amp; "|"</f>
        <v>|(All)|</v>
      </c>
      <c r="H41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42">
      <c r="A42" s="13" t="inlineStr">
        <is>
          <t>Cross-tab by</t>
        </is>
      </c>
      <c r="C42" t="inlineStr">
        <is>
          <t>(None)</t>
        </is>
      </c>
    </row>
    <row r="43"/>
    <row r="44">
      <c r="A44" s="4" t="inlineStr">
        <is>
          <t>Option</t>
        </is>
      </c>
      <c r="B44" s="4" t="inlineStr">
        <is>
          <t>Count</t>
        </is>
      </c>
      <c r="C44" s="4" t="inlineStr">
        <is>
          <t>%</t>
        </is>
      </c>
      <c r="D44" s="4" t="inlineStr">
        <is>
          <t>Denominator</t>
        </is>
      </c>
    </row>
    <row r="45">
      <c r="A45" t="inlineStr">
        <is>
          <t>A</t>
        </is>
      </c>
      <c r="B45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5" s="7">
        <f>IFERROR(B45/SUBTOTAL(9,B45:B46),0)</f>
        <v>0.7</v>
      </c>
      <c r="D45" s="14">
        <f>SUBTOTAL(9,B45:B46)</f>
        <v>10</v>
      </c>
    </row>
    <row r="46">
      <c r="A46" t="inlineStr">
        <is>
          <t>B</t>
        </is>
      </c>
      <c r="B46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6" s="7">
        <f>IFERROR(B46/SUBTOTAL(9,B45:B46),0)</f>
        <v>0.3</v>
      </c>
      <c r="D46" s="14">
        <f>SUBTOTAL(9,B45:B46)</f>
        <v>10</v>
      </c>
    </row>
    <row r="47">
      <c r="A47" s="15" t="inlineStr">
        <is>
          <t>Total respondents</t>
        </is>
      </c>
      <c r="B47" s="15" t="n">
        <v>10</v>
      </c>
      <c r="C47" s="15" t="n"/>
      <c r="D47" s="15" t="n"/>
    </row>
    <row r="48"/>
    <row r="49">
      <c r="A49" s="4" t="inlineStr">
        <is>
          <t>Option</t>
        </is>
      </c>
      <c r="B49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49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49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49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49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49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49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49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49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49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49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49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49" s="4" t="inlineStr">
        <is>
          <t>Total</t>
        </is>
      </c>
    </row>
    <row r="50">
      <c r="A50" s="4" t="inlineStr"/>
      <c r="B50" s="4" t="inlineStr">
        <is>
          <t># of resp</t>
        </is>
      </c>
      <c r="C50" s="4" t="inlineStr">
        <is>
          <t># of resp</t>
        </is>
      </c>
      <c r="D50" s="4" t="inlineStr">
        <is>
          <t># of resp</t>
        </is>
      </c>
      <c r="E50" s="4" t="inlineStr">
        <is>
          <t># of resp</t>
        </is>
      </c>
      <c r="F50" s="4" t="inlineStr">
        <is>
          <t># of resp</t>
        </is>
      </c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</row>
    <row r="51">
      <c r="A51" t="inlineStr">
        <is>
          <t>A</t>
        </is>
      </c>
      <c r="B51" s="14">
        <f>IF(OR(All_Questions_Q_VERY_LONG_SINGLE_SELECT_EXPORT_NAME_CT="(None)",B$49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$49))</f>
        <v>0</v>
      </c>
      <c r="C51" s="14">
        <f>IF(OR(All_Questions_Q_VERY_LONG_SINGLE_SELECT_EXPORT_NAME_CT="(None)",C$49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$49))</f>
        <v>0</v>
      </c>
      <c r="D51" s="14">
        <f>IF(OR(All_Questions_Q_VERY_LONG_SINGLE_SELECT_EXPORT_NAME_CT="(None)",D$49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$49))</f>
        <v>0</v>
      </c>
      <c r="E51" s="14">
        <f>IF(OR(All_Questions_Q_VERY_LONG_SINGLE_SELECT_EXPORT_NAME_CT="(None)",E$49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$49))</f>
        <v>0</v>
      </c>
      <c r="F51" s="14">
        <f>IF(OR(All_Questions_Q_VERY_LONG_SINGLE_SELECT_EXPORT_NAME_CT="(None)",F$49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$49))</f>
        <v>0</v>
      </c>
      <c r="G51" s="14">
        <f>IF(OR(All_Questions_Q_VERY_LONG_SINGLE_SELECT_EXPORT_NAME_CT="(None)",G$49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$49))</f>
        <v>0</v>
      </c>
      <c r="H51" s="14">
        <f>IF(OR(All_Questions_Q_VERY_LONG_SINGLE_SELECT_EXPORT_NAME_CT="(None)",H$49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$49))</f>
        <v>0</v>
      </c>
      <c r="I51" s="14">
        <f>IF(OR(All_Questions_Q_VERY_LONG_SINGLE_SELECT_EXPORT_NAME_CT="(None)",I$49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$49))</f>
        <v>0</v>
      </c>
      <c r="J51" s="14">
        <f>IF(OR(All_Questions_Q_VERY_LONG_SINGLE_SELECT_EXPORT_NAME_CT="(None)",J$49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$49))</f>
        <v>0</v>
      </c>
      <c r="K51" s="14">
        <f>IF(OR(All_Questions_Q_VERY_LONG_SINGLE_SELECT_EXPORT_NAME_CT="(None)",K$49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$49))</f>
        <v>0</v>
      </c>
      <c r="L51" s="14">
        <f>IF(OR(All_Questions_Q_VERY_LONG_SINGLE_SELECT_EXPORT_NAME_CT="(None)",L$49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$49))</f>
        <v>0</v>
      </c>
      <c r="M51" s="14">
        <f>IF(OR(All_Questions_Q_VERY_LONG_SINGLE_SELECT_EXPORT_NAME_CT="(None)",M$49=""),"",IF(M$49="Other",COUNTIFS(Q_VERY_LONG_SINGLE_SELECT_EXPOR_data,"A",passes_workbook_filters_data,1,passes_workbook_custom_filters_data,1,All_Questions_passes_local_filters_data,1,All_Questions_Q_VERY_LONG_SINGLE_SELECT_EXPORT_NAME_F_passes_per_q_filter_data,1)-SUM(B51,C51,D51,E51,F51,G51,H51,I51,J51,K51,L51)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$49)))</f>
        <v>0</v>
      </c>
      <c r="N51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2">
      <c r="A52" t="inlineStr">
        <is>
          <t>B</t>
        </is>
      </c>
      <c r="B52" s="14">
        <f>IF(OR(All_Questions_Q_VERY_LONG_SINGLE_SELECT_EXPORT_NAME_CT="(None)",B$49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$49))</f>
        <v>0</v>
      </c>
      <c r="C52" s="14">
        <f>IF(OR(All_Questions_Q_VERY_LONG_SINGLE_SELECT_EXPORT_NAME_CT="(None)",C$49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$49))</f>
        <v>0</v>
      </c>
      <c r="D52" s="14">
        <f>IF(OR(All_Questions_Q_VERY_LONG_SINGLE_SELECT_EXPORT_NAME_CT="(None)",D$49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$49))</f>
        <v>0</v>
      </c>
      <c r="E52" s="14">
        <f>IF(OR(All_Questions_Q_VERY_LONG_SINGLE_SELECT_EXPORT_NAME_CT="(None)",E$49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$49))</f>
        <v>0</v>
      </c>
      <c r="F52" s="14">
        <f>IF(OR(All_Questions_Q_VERY_LONG_SINGLE_SELECT_EXPORT_NAME_CT="(None)",F$49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$49))</f>
        <v>0</v>
      </c>
      <c r="G52" s="14">
        <f>IF(OR(All_Questions_Q_VERY_LONG_SINGLE_SELECT_EXPORT_NAME_CT="(None)",G$49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$49))</f>
        <v>0</v>
      </c>
      <c r="H52" s="14">
        <f>IF(OR(All_Questions_Q_VERY_LONG_SINGLE_SELECT_EXPORT_NAME_CT="(None)",H$49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$49))</f>
        <v>0</v>
      </c>
      <c r="I52" s="14">
        <f>IF(OR(All_Questions_Q_VERY_LONG_SINGLE_SELECT_EXPORT_NAME_CT="(None)",I$49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$49))</f>
        <v>0</v>
      </c>
      <c r="J52" s="14">
        <f>IF(OR(All_Questions_Q_VERY_LONG_SINGLE_SELECT_EXPORT_NAME_CT="(None)",J$49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$49))</f>
        <v>0</v>
      </c>
      <c r="K52" s="14">
        <f>IF(OR(All_Questions_Q_VERY_LONG_SINGLE_SELECT_EXPORT_NAME_CT="(None)",K$49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$49))</f>
        <v>0</v>
      </c>
      <c r="L52" s="14">
        <f>IF(OR(All_Questions_Q_VERY_LONG_SINGLE_SELECT_EXPORT_NAME_CT="(None)",L$49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$49))</f>
        <v>0</v>
      </c>
      <c r="M52" s="14">
        <f>IF(OR(All_Questions_Q_VERY_LONG_SINGLE_SELECT_EXPORT_NAME_CT="(None)",M$49=""),"",IF(M$49="Other",COUNTIFS(Q_VERY_LONG_SINGLE_SELECT_EXPOR_data,"B",passes_workbook_filters_data,1,passes_workbook_custom_filters_data,1,All_Questions_passes_local_filters_data,1,All_Questions_Q_VERY_LONG_SINGLE_SELECT_EXPORT_NAME_F_passes_per_q_filter_data,1)-SUM(B52,C52,D52,E52,F52,G52,H52,I52,J52,K52,L52)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$49)))</f>
        <v>0</v>
      </c>
      <c r="N52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3">
      <c r="A53" s="4" t="inlineStr">
        <is>
          <t>Total respondents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32:F32"/>
    <mergeCell ref="A1:J1"/>
    <mergeCell ref="C32:D32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4:B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4:C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4:D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4:E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4:F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34:D3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4:F3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5:B4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5:C4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1:E5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30" showDropDown="0" showInputMessage="0" showErrorMessage="0" allowBlank="1" type="list">
      <formula1>=All_Questions</formula1>
    </dataValidation>
    <dataValidation sqref="E30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1" showDropDown="0" showInputMessage="0" showErrorMessage="0" allowBlank="1" type="list">
      <formula1>=All_Questions</formula1>
    </dataValidation>
    <dataValidation sqref="E41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2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7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Theme Two</t>
        </is>
      </c>
      <c r="B9" t="inlineStr">
        <is>
          <t>cross_tab_by_mean</t>
        </is>
      </c>
      <c r="C9" t="inlineStr">
        <is>
          <t>Q_NUM_EXPORT</t>
        </is>
      </c>
      <c r="D9" t="inlineStr">
        <is>
          <t>Q_NUM_EXPORT</t>
        </is>
      </c>
      <c r="E9" t="inlineStr">
        <is>
          <t>Theme_Two_Q_NUM_EXPORT_CT = B$23</t>
        </is>
      </c>
      <c r="H9">
        <f>IF(OR(Theme_Two_Q_NUM_EXPORT_CT="(None)",B$23=""),"",IF(B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B$23),"")))</f>
        <v>0</v>
      </c>
      <c r="I9" t="n">
        <v>5.5</v>
      </c>
      <c r="J9" t="n">
        <v>0</v>
      </c>
      <c r="K9" t="n">
        <v>0</v>
      </c>
      <c r="L9" t="inlineStr">
        <is>
          <t>2026-06-09T11:22:56.366172+00:00</t>
        </is>
      </c>
    </row>
    <row r="10">
      <c r="A10" t="inlineStr">
        <is>
          <t>Theme Two</t>
        </is>
      </c>
      <c r="B10" t="inlineStr">
        <is>
          <t>cross_tab_by_mean</t>
        </is>
      </c>
      <c r="C10" t="inlineStr">
        <is>
          <t>Q_NUM_EXPORT</t>
        </is>
      </c>
      <c r="D10" t="inlineStr">
        <is>
          <t>Q_NUM_EXPORT</t>
        </is>
      </c>
      <c r="E10" t="inlineStr">
        <is>
          <t>Theme_Two_Q_NUM_EXPORT_CT = C$23</t>
        </is>
      </c>
      <c r="H10">
        <f>IF(OR(Theme_Two_Q_NUM_EXPORT_CT="(None)",C$23=""),"",IF(C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C$23),"")))</f>
        <v>0</v>
      </c>
      <c r="I10" t="n">
        <v>5.5</v>
      </c>
      <c r="J10" t="n">
        <v>0</v>
      </c>
      <c r="K10" t="n">
        <v>0</v>
      </c>
      <c r="L10" t="inlineStr">
        <is>
          <t>2026-06-09T11:22:56.366403+00:00</t>
        </is>
      </c>
    </row>
    <row r="11">
      <c r="A11" t="inlineStr">
        <is>
          <t>Theme Two</t>
        </is>
      </c>
      <c r="B11" t="inlineStr">
        <is>
          <t>cross_tab_by_mean</t>
        </is>
      </c>
      <c r="C11" t="inlineStr">
        <is>
          <t>Q_NUM_EXPORT</t>
        </is>
      </c>
      <c r="D11" t="inlineStr">
        <is>
          <t>Q_NUM_EXPORT</t>
        </is>
      </c>
      <c r="E11" t="inlineStr">
        <is>
          <t>Theme_Two_Q_NUM_EXPORT_CT = D$23</t>
        </is>
      </c>
      <c r="H11">
        <f>IF(OR(Theme_Two_Q_NUM_EXPORT_CT="(None)",D$23=""),"",IF(D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D$23),"")))</f>
        <v>0</v>
      </c>
      <c r="I11" t="n">
        <v>5.5</v>
      </c>
      <c r="J11" t="n">
        <v>0</v>
      </c>
      <c r="K11" t="n">
        <v>0</v>
      </c>
      <c r="L11" t="inlineStr">
        <is>
          <t>2026-06-09T11:22:56.366593+00:00</t>
        </is>
      </c>
    </row>
    <row r="12">
      <c r="A12" t="inlineStr">
        <is>
          <t>Theme Two</t>
        </is>
      </c>
      <c r="B12" t="inlineStr">
        <is>
          <t>cross_tab_by_mean</t>
        </is>
      </c>
      <c r="C12" t="inlineStr">
        <is>
          <t>Q_NUM_EXPORT</t>
        </is>
      </c>
      <c r="D12" t="inlineStr">
        <is>
          <t>Q_NUM_EXPORT</t>
        </is>
      </c>
      <c r="E12" t="inlineStr">
        <is>
          <t>Theme_Two_Q_NUM_EXPORT_CT = E$23</t>
        </is>
      </c>
      <c r="H12">
        <f>IF(OR(Theme_Two_Q_NUM_EXPORT_CT="(None)",E$23=""),"",IF(E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E$23),"")))</f>
        <v>0</v>
      </c>
      <c r="I12" t="n">
        <v>5.5</v>
      </c>
      <c r="J12" t="n">
        <v>0</v>
      </c>
      <c r="K12" t="n">
        <v>0</v>
      </c>
      <c r="L12" t="inlineStr">
        <is>
          <t>2026-06-09T11:22:56.366779+00:00</t>
        </is>
      </c>
    </row>
    <row r="13">
      <c r="A13" t="inlineStr">
        <is>
          <t>Theme Two</t>
        </is>
      </c>
      <c r="B13" t="inlineStr">
        <is>
          <t>cross_tab_by_mean</t>
        </is>
      </c>
      <c r="C13" t="inlineStr">
        <is>
          <t>Q_NUM_EXPORT</t>
        </is>
      </c>
      <c r="D13" t="inlineStr">
        <is>
          <t>Q_NUM_EXPORT</t>
        </is>
      </c>
      <c r="E13" t="inlineStr">
        <is>
          <t>Theme_Two_Q_NUM_EXPORT_CT = F$23</t>
        </is>
      </c>
      <c r="H13">
        <f>IF(OR(Theme_Two_Q_NUM_EXPORT_CT="(None)",F$23=""),"",IF(F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F$23),"")))</f>
        <v>0</v>
      </c>
      <c r="I13" t="n">
        <v>5.5</v>
      </c>
      <c r="J13" t="n">
        <v>0</v>
      </c>
      <c r="K13" t="n">
        <v>0</v>
      </c>
      <c r="L13" t="inlineStr">
        <is>
          <t>2026-06-09T11:22:56.367010+00:00</t>
        </is>
      </c>
    </row>
    <row r="14">
      <c r="A14" t="inlineStr">
        <is>
          <t>Theme Two</t>
        </is>
      </c>
      <c r="B14" t="inlineStr">
        <is>
          <t>cross_tab_by_mean</t>
        </is>
      </c>
      <c r="C14" t="inlineStr">
        <is>
          <t>Q_NUM_EXPORT</t>
        </is>
      </c>
      <c r="D14" t="inlineStr">
        <is>
          <t>Q_NUM_EXPORT</t>
        </is>
      </c>
      <c r="E14" t="inlineStr">
        <is>
          <t>Theme_Two_Q_NUM_EXPORT_CT = G$23</t>
        </is>
      </c>
      <c r="H14">
        <f>IF(OR(Theme_Two_Q_NUM_EXPORT_CT="(None)",G$23=""),"",IF(G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G$23),"")))</f>
        <v>0</v>
      </c>
      <c r="I14" t="n">
        <v>5.5</v>
      </c>
      <c r="J14" t="n">
        <v>0</v>
      </c>
      <c r="K14" t="n">
        <v>0</v>
      </c>
      <c r="L14" t="inlineStr">
        <is>
          <t>2026-06-09T11:22:56.367209+00:00</t>
        </is>
      </c>
    </row>
    <row r="15">
      <c r="A15" t="inlineStr">
        <is>
          <t>Theme Two</t>
        </is>
      </c>
      <c r="B15" t="inlineStr">
        <is>
          <t>cross_tab_by_mean</t>
        </is>
      </c>
      <c r="C15" t="inlineStr">
        <is>
          <t>Q_NUM_EXPORT</t>
        </is>
      </c>
      <c r="D15" t="inlineStr">
        <is>
          <t>Q_NUM_EXPORT</t>
        </is>
      </c>
      <c r="E15" t="inlineStr">
        <is>
          <t>Theme_Two_Q_NUM_EXPORT_CT = H$23</t>
        </is>
      </c>
      <c r="H15">
        <f>IF(OR(Theme_Two_Q_NUM_EXPORT_CT="(None)",H$23=""),"",IF(H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H$23),"")))</f>
        <v>0</v>
      </c>
      <c r="I15" t="n">
        <v>5.5</v>
      </c>
      <c r="J15" t="n">
        <v>0</v>
      </c>
      <c r="K15" t="n">
        <v>0</v>
      </c>
      <c r="L15" t="inlineStr">
        <is>
          <t>2026-06-09T11:22:56.367395+00:00</t>
        </is>
      </c>
    </row>
    <row r="16">
      <c r="A16" t="inlineStr">
        <is>
          <t>Theme Two</t>
        </is>
      </c>
      <c r="B16" t="inlineStr">
        <is>
          <t>cross_tab_by_mean</t>
        </is>
      </c>
      <c r="C16" t="inlineStr">
        <is>
          <t>Q_NUM_EXPORT</t>
        </is>
      </c>
      <c r="D16" t="inlineStr">
        <is>
          <t>Q_NUM_EXPORT</t>
        </is>
      </c>
      <c r="E16" t="inlineStr">
        <is>
          <t>Theme_Two_Q_NUM_EXPORT_CT = I$23</t>
        </is>
      </c>
      <c r="H16">
        <f>IF(OR(Theme_Two_Q_NUM_EXPORT_CT="(None)",I$23=""),"",IF(I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I$23),"")))</f>
        <v>0</v>
      </c>
      <c r="I16" t="n">
        <v>5.5</v>
      </c>
      <c r="J16" t="n">
        <v>0</v>
      </c>
      <c r="K16" t="n">
        <v>0</v>
      </c>
      <c r="L16" t="inlineStr">
        <is>
          <t>2026-06-09T11:22:56.367579+00:00</t>
        </is>
      </c>
    </row>
    <row r="17">
      <c r="A17" t="inlineStr">
        <is>
          <t>Theme Two</t>
        </is>
      </c>
      <c r="B17" t="inlineStr">
        <is>
          <t>cross_tab_by_mean</t>
        </is>
      </c>
      <c r="C17" t="inlineStr">
        <is>
          <t>Q_NUM_EXPORT</t>
        </is>
      </c>
      <c r="D17" t="inlineStr">
        <is>
          <t>Q_NUM_EXPORT</t>
        </is>
      </c>
      <c r="E17" t="inlineStr">
        <is>
          <t>Theme_Two_Q_NUM_EXPORT_CT = J$23</t>
        </is>
      </c>
      <c r="H17">
        <f>IF(OR(Theme_Two_Q_NUM_EXPORT_CT="(None)",J$23=""),"",IF(J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J$23),"")))</f>
        <v>0</v>
      </c>
      <c r="I17" t="n">
        <v>5.5</v>
      </c>
      <c r="J17" t="n">
        <v>0</v>
      </c>
      <c r="K17" t="n">
        <v>0</v>
      </c>
      <c r="L17" t="inlineStr">
        <is>
          <t>2026-06-09T11:22:56.367760+00:00</t>
        </is>
      </c>
    </row>
    <row r="18">
      <c r="A18" t="inlineStr">
        <is>
          <t>Theme Two</t>
        </is>
      </c>
      <c r="B18" t="inlineStr">
        <is>
          <t>cross_tab_by_mean</t>
        </is>
      </c>
      <c r="C18" t="inlineStr">
        <is>
          <t>Q_NUM_EXPORT</t>
        </is>
      </c>
      <c r="D18" t="inlineStr">
        <is>
          <t>Q_NUM_EXPORT</t>
        </is>
      </c>
      <c r="E18" t="inlineStr">
        <is>
          <t>Theme_Two_Q_NUM_EXPORT_CT = K$23</t>
        </is>
      </c>
      <c r="H18">
        <f>IF(OR(Theme_Two_Q_NUM_EXPORT_CT="(None)",K$23=""),"",IF(K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K$23),"")))</f>
        <v>0</v>
      </c>
      <c r="I18" t="n">
        <v>5.5</v>
      </c>
      <c r="J18" t="n">
        <v>0</v>
      </c>
      <c r="K18" t="n">
        <v>0</v>
      </c>
      <c r="L18" t="inlineStr">
        <is>
          <t>2026-06-09T11:22:56.367976+00:00</t>
        </is>
      </c>
    </row>
    <row r="19">
      <c r="A19" t="inlineStr">
        <is>
          <t>Theme Two</t>
        </is>
      </c>
      <c r="B19" t="inlineStr">
        <is>
          <t>cross_tab_by_mean</t>
        </is>
      </c>
      <c r="C19" t="inlineStr">
        <is>
          <t>Q_NUM_EXPORT</t>
        </is>
      </c>
      <c r="D19" t="inlineStr">
        <is>
          <t>Q_NUM_EXPORT</t>
        </is>
      </c>
      <c r="E19" t="inlineStr">
        <is>
          <t>Theme_Two_Q_NUM_EXPORT_CT = L$23</t>
        </is>
      </c>
      <c r="H19">
        <f>IF(OR(Theme_Two_Q_NUM_EXPORT_CT="(None)",L$23=""),"",IF(L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L$23),"")))</f>
        <v>0</v>
      </c>
      <c r="I19" t="n">
        <v>5.5</v>
      </c>
      <c r="J19" t="n">
        <v>0</v>
      </c>
      <c r="K19" t="n">
        <v>0</v>
      </c>
      <c r="L19" t="inlineStr">
        <is>
          <t>2026-06-09T11:22:56.368171+00:00</t>
        </is>
      </c>
    </row>
    <row r="20">
      <c r="A20" t="inlineStr">
        <is>
          <t>Theme Two</t>
        </is>
      </c>
      <c r="B20" t="inlineStr">
        <is>
          <t>cross_tab_by_mean</t>
        </is>
      </c>
      <c r="C20" t="inlineStr">
        <is>
          <t>Q_NUM_EXPORT</t>
        </is>
      </c>
      <c r="D20" t="inlineStr">
        <is>
          <t>Q_NUM_EXPORT</t>
        </is>
      </c>
      <c r="E20" t="inlineStr">
        <is>
          <t>Theme_Two_Q_NUM_EXPORT_CT = M$23</t>
        </is>
      </c>
      <c r="H20">
        <f>IF(OR(Theme_Two_Q_NUM_EXPORT_CT="(None)",M$23=""),"",IF(M$23="Other","",IFERROR(AVERAGEIFS(Q_NUM_EXPORT_data,Q_NUM_EXPORT_data,"&lt;&gt;",passes_workbook_filters_data,1,passes_workbook_custom_filters_data,1,Theme_Two_passes_local_filters_data,1,Theme_Two_Q_NUM_EXPORT_F_passes_per_q_filter_data,1,INDIRECT(IFERROR(INDEX(Cross_Tab_Questions_Data_Names,MATCH(Theme_Two_Q_NUM_EXPORT_CT,Cross_Tab_Questions,0)),"'_RawData'!$A:$A")),M$23),"")))</f>
        <v>0</v>
      </c>
      <c r="I20" t="n">
        <v>5.5</v>
      </c>
      <c r="J20" t="n">
        <v>0</v>
      </c>
      <c r="K20" t="n">
        <v>0</v>
      </c>
      <c r="L20" t="inlineStr">
        <is>
          <t>2026-06-09T11:22:56.368424+00:00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B$22</t>
        </is>
      </c>
      <c r="H21">
        <f>IF(OR(All_Questions_Q_MS_EXPORT_CT="(None)",B$22=""),"",IF(B$22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$22)),"")))</f>
        <v>0</v>
      </c>
      <c r="I21" t="n">
        <v>0.5</v>
      </c>
      <c r="J21" t="n">
        <v>0</v>
      </c>
      <c r="K21" t="n">
        <v>0</v>
      </c>
      <c r="L21" t="inlineStr">
        <is>
          <t>2026-06-09T11:22:56.406572+00:00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C$22</t>
        </is>
      </c>
      <c r="H22">
        <f>IF(OR(All_Questions_Q_MS_EXPORT_CT="(None)",C$22=""),"",IF(C$22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$22)),"")))</f>
        <v>0</v>
      </c>
      <c r="I22" t="n">
        <v>0.5</v>
      </c>
      <c r="J22" t="n">
        <v>0</v>
      </c>
      <c r="K22" t="n">
        <v>0</v>
      </c>
      <c r="L22" t="inlineStr">
        <is>
          <t>2026-06-09T11:22:56.406879+00:00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D$22</t>
        </is>
      </c>
      <c r="H23">
        <f>IF(OR(All_Questions_Q_MS_EXPORT_CT="(None)",D$22=""),"",IF(D$22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$22)),"")))</f>
        <v>0</v>
      </c>
      <c r="I23" t="n">
        <v>0.5</v>
      </c>
      <c r="J23" t="n">
        <v>0</v>
      </c>
      <c r="K23" t="n">
        <v>0</v>
      </c>
      <c r="L23" t="inlineStr">
        <is>
          <t>2026-06-09T11:22:56.407203+00:00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E$22</t>
        </is>
      </c>
      <c r="H24">
        <f>IF(OR(All_Questions_Q_MS_EXPORT_CT="(None)",E$22=""),"",IF(E$22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$22)),"")))</f>
        <v>0</v>
      </c>
      <c r="I24" t="n">
        <v>0.5</v>
      </c>
      <c r="J24" t="n">
        <v>0</v>
      </c>
      <c r="K24" t="n">
        <v>0</v>
      </c>
      <c r="L24" t="inlineStr">
        <is>
          <t>2026-06-09T11:22:56.407476+00:00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F$22</t>
        </is>
      </c>
      <c r="H25">
        <f>IF(OR(All_Questions_Q_MS_EXPORT_CT="(None)",F$22=""),"",IF(F$22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$22)),"")))</f>
        <v>0</v>
      </c>
      <c r="I25" t="n">
        <v>0.5</v>
      </c>
      <c r="J25" t="n">
        <v>0</v>
      </c>
      <c r="K25" t="n">
        <v>0</v>
      </c>
      <c r="L25" t="inlineStr">
        <is>
          <t>2026-06-09T11:22:56.407744+00:00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G$22</t>
        </is>
      </c>
      <c r="H26">
        <f>IF(OR(All_Questions_Q_MS_EXPORT_CT="(None)",G$22=""),"",IF(G$22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$22)),"")))</f>
        <v>0</v>
      </c>
      <c r="I26" t="n">
        <v>0.5</v>
      </c>
      <c r="J26" t="n">
        <v>0</v>
      </c>
      <c r="K26" t="n">
        <v>0</v>
      </c>
      <c r="L26" t="inlineStr">
        <is>
          <t>2026-06-09T11:22:56.408072+00:00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H$22</t>
        </is>
      </c>
      <c r="H27">
        <f>IF(OR(All_Questions_Q_MS_EXPORT_CT="(None)",H$22=""),"",IF(H$22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$22)),"")))</f>
        <v>0</v>
      </c>
      <c r="I27" t="n">
        <v>0.5</v>
      </c>
      <c r="J27" t="n">
        <v>0</v>
      </c>
      <c r="K27" t="n">
        <v>0</v>
      </c>
      <c r="L27" t="inlineStr">
        <is>
          <t>2026-06-09T11:22:56.408351+00:00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I$22</t>
        </is>
      </c>
      <c r="H28">
        <f>IF(OR(All_Questions_Q_MS_EXPORT_CT="(None)",I$22=""),"",IF(I$22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$22)),"")))</f>
        <v>0</v>
      </c>
      <c r="I28" t="n">
        <v>0.5</v>
      </c>
      <c r="J28" t="n">
        <v>0</v>
      </c>
      <c r="K28" t="n">
        <v>0</v>
      </c>
      <c r="L28" t="inlineStr">
        <is>
          <t>2026-06-09T11:22:56.408618+00:00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J$22</t>
        </is>
      </c>
      <c r="H29">
        <f>IF(OR(All_Questions_Q_MS_EXPORT_CT="(None)",J$22=""),"",IF(J$22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$22)),"")))</f>
        <v>0</v>
      </c>
      <c r="I29" t="n">
        <v>0.5</v>
      </c>
      <c r="J29" t="n">
        <v>0</v>
      </c>
      <c r="K29" t="n">
        <v>0</v>
      </c>
      <c r="L29" t="inlineStr">
        <is>
          <t>2026-06-09T11:22:56.408886+00:00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K$22</t>
        </is>
      </c>
      <c r="H30">
        <f>IF(OR(All_Questions_Q_MS_EXPORT_CT="(None)",K$22=""),"",IF(K$22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$22)),"")))</f>
        <v>0</v>
      </c>
      <c r="I30" t="n">
        <v>0.5</v>
      </c>
      <c r="J30" t="n">
        <v>0</v>
      </c>
      <c r="K30" t="n">
        <v>0</v>
      </c>
      <c r="L30" t="inlineStr">
        <is>
          <t>2026-06-09T11:22:56.409204+00:00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L$22</t>
        </is>
      </c>
      <c r="H31">
        <f>IF(OR(All_Questions_Q_MS_EXPORT_CT="(None)",L$22=""),"",IF(L$22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$22)),"")))</f>
        <v>0</v>
      </c>
      <c r="I31" t="n">
        <v>0.5</v>
      </c>
      <c r="J31" t="n">
        <v>0</v>
      </c>
      <c r="K31" t="n">
        <v>0</v>
      </c>
      <c r="L31" t="inlineStr">
        <is>
          <t>2026-06-09T11:22:56.409477+00:00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M$22</t>
        </is>
      </c>
      <c r="H32">
        <f>IF(OR(All_Questions_Q_MS_EXPORT_CT="(None)",M$22=""),"",IF(M$22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$22)),"")))</f>
        <v>0</v>
      </c>
      <c r="I32" t="n">
        <v>0.5</v>
      </c>
      <c r="J32" t="n">
        <v>0</v>
      </c>
      <c r="K32" t="n">
        <v>0</v>
      </c>
      <c r="L32" t="inlineStr">
        <is>
          <t>2026-06-09T11:22:56.409825+00:00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B$22</t>
        </is>
      </c>
      <c r="H33">
        <f>IF(OR(All_Questions_Q_MS_EXPORT_CT="(None)",B$22=""),"",IF(B$22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$22)),"")))</f>
        <v>0</v>
      </c>
      <c r="I33" t="n">
        <v>0.2</v>
      </c>
      <c r="J33" t="n">
        <v>0</v>
      </c>
      <c r="K33" t="n">
        <v>0</v>
      </c>
      <c r="L33" t="inlineStr">
        <is>
          <t>2026-06-09T11:22:56.410351+00:00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C$22</t>
        </is>
      </c>
      <c r="H34">
        <f>IF(OR(All_Questions_Q_MS_EXPORT_CT="(None)",C$22=""),"",IF(C$22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$22)),"")))</f>
        <v>0</v>
      </c>
      <c r="I34" t="n">
        <v>0.2</v>
      </c>
      <c r="J34" t="n">
        <v>0</v>
      </c>
      <c r="K34" t="n">
        <v>0</v>
      </c>
      <c r="L34" t="inlineStr">
        <is>
          <t>2026-06-09T11:22:56.410619+00:00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D$22</t>
        </is>
      </c>
      <c r="H35">
        <f>IF(OR(All_Questions_Q_MS_EXPORT_CT="(None)",D$22=""),"",IF(D$22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$22)),"")))</f>
        <v>0</v>
      </c>
      <c r="I35" t="n">
        <v>0.2</v>
      </c>
      <c r="J35" t="n">
        <v>0</v>
      </c>
      <c r="K35" t="n">
        <v>0</v>
      </c>
      <c r="L35" t="inlineStr">
        <is>
          <t>2026-06-09T11:22:56.410884+00:00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E$22</t>
        </is>
      </c>
      <c r="H36">
        <f>IF(OR(All_Questions_Q_MS_EXPORT_CT="(None)",E$22=""),"",IF(E$22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$22)),"")))</f>
        <v>0</v>
      </c>
      <c r="I36" t="n">
        <v>0.2</v>
      </c>
      <c r="J36" t="n">
        <v>0</v>
      </c>
      <c r="K36" t="n">
        <v>0</v>
      </c>
      <c r="L36" t="inlineStr">
        <is>
          <t>2026-06-09T11:22:56.411209+00:00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F$22</t>
        </is>
      </c>
      <c r="H37">
        <f>IF(OR(All_Questions_Q_MS_EXPORT_CT="(None)",F$22=""),"",IF(F$22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$22)),"")))</f>
        <v>0</v>
      </c>
      <c r="I37" t="n">
        <v>0.2</v>
      </c>
      <c r="J37" t="n">
        <v>0</v>
      </c>
      <c r="K37" t="n">
        <v>0</v>
      </c>
      <c r="L37" t="inlineStr">
        <is>
          <t>2026-06-09T11:22:56.411482+00:00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G$22</t>
        </is>
      </c>
      <c r="H38">
        <f>IF(OR(All_Questions_Q_MS_EXPORT_CT="(None)",G$22=""),"",IF(G$22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$22)),"")))</f>
        <v>0</v>
      </c>
      <c r="I38" t="n">
        <v>0.2</v>
      </c>
      <c r="J38" t="n">
        <v>0</v>
      </c>
      <c r="K38" t="n">
        <v>0</v>
      </c>
      <c r="L38" t="inlineStr">
        <is>
          <t>2026-06-09T11:22:56.411747+00:00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H$22</t>
        </is>
      </c>
      <c r="H39">
        <f>IF(OR(All_Questions_Q_MS_EXPORT_CT="(None)",H$22=""),"",IF(H$22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$22)),"")))</f>
        <v>0</v>
      </c>
      <c r="I39" t="n">
        <v>0.2</v>
      </c>
      <c r="J39" t="n">
        <v>0</v>
      </c>
      <c r="K39" t="n">
        <v>0</v>
      </c>
      <c r="L39" t="inlineStr">
        <is>
          <t>2026-06-09T11:22:56.412057+00:00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I$22</t>
        </is>
      </c>
      <c r="H40">
        <f>IF(OR(All_Questions_Q_MS_EXPORT_CT="(None)",I$22=""),"",IF(I$22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$22)),"")))</f>
        <v>0</v>
      </c>
      <c r="I40" t="n">
        <v>0.2</v>
      </c>
      <c r="J40" t="n">
        <v>0</v>
      </c>
      <c r="K40" t="n">
        <v>0</v>
      </c>
      <c r="L40" t="inlineStr">
        <is>
          <t>2026-06-09T11:22:56.412332+00:00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J$22</t>
        </is>
      </c>
      <c r="H41">
        <f>IF(OR(All_Questions_Q_MS_EXPORT_CT="(None)",J$22=""),"",IF(J$22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$22)),"")))</f>
        <v>0</v>
      </c>
      <c r="I41" t="n">
        <v>0.2</v>
      </c>
      <c r="J41" t="n">
        <v>0</v>
      </c>
      <c r="K41" t="n">
        <v>0</v>
      </c>
      <c r="L41" t="inlineStr">
        <is>
          <t>2026-06-09T11:22:56.412596+00:00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K$22</t>
        </is>
      </c>
      <c r="H42">
        <f>IF(OR(All_Questions_Q_MS_EXPORT_CT="(None)",K$22=""),"",IF(K$22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$22)),"")))</f>
        <v>0</v>
      </c>
      <c r="I42" t="n">
        <v>0.2</v>
      </c>
      <c r="J42" t="n">
        <v>0</v>
      </c>
      <c r="K42" t="n">
        <v>0</v>
      </c>
      <c r="L42" t="inlineStr">
        <is>
          <t>2026-06-09T11:22:56.412863+00:00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L$22</t>
        </is>
      </c>
      <c r="H43">
        <f>IF(OR(All_Questions_Q_MS_EXPORT_CT="(None)",L$22=""),"",IF(L$22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$22)),"")))</f>
        <v>0</v>
      </c>
      <c r="I43" t="n">
        <v>0.2</v>
      </c>
      <c r="J43" t="n">
        <v>0</v>
      </c>
      <c r="K43" t="n">
        <v>0</v>
      </c>
      <c r="L43" t="inlineStr">
        <is>
          <t>2026-06-09T11:22:56.413180+00:00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M$22</t>
        </is>
      </c>
      <c r="H44">
        <f>IF(OR(All_Questions_Q_MS_EXPORT_CT="(None)",M$22=""),"",IF(M$22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$22)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$22)),"")))</f>
        <v>0</v>
      </c>
      <c r="I44" t="n">
        <v>0.2</v>
      </c>
      <c r="J44" t="n">
        <v>0</v>
      </c>
      <c r="K44" t="n">
        <v>0</v>
      </c>
      <c r="L44" t="inlineStr">
        <is>
          <t>2026-06-09T11:22:56.413525+00:00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2026-06-09T11:22:56Z</dcterms:created>
  <dcterms:modified xmlns:dcterms="http://purl.org/dc/terms/" xmlns:xsi="http://www.w3.org/2001/XMLSchema-instance" xsi:type="dcterms:W3CDTF">2026-06-09T11:22:56Z</dcterms:modified>
</cp:coreProperties>
</file>