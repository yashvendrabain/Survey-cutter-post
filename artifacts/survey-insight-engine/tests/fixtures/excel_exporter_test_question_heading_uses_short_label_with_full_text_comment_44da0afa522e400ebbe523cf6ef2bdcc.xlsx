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7_data">'_RawData'!$B$2:$B$5</definedName>
    <definedName name="All_Questions">'_Options'!$A$2:$A$3</definedName>
    <definedName name="All_Questions_Local">'_Options'!$B$2:$B$4</definedName>
    <definedName name="All_Questions_Data_Names">'_Options'!$C$2:$C$3</definedName>
    <definedName name="All_Questions_Options_Names">'_Options'!$D$2:$D$3</definedName>
    <definedName name="None_options">'_Options'!$E$2:$E$2</definedName>
    <definedName name="Q7_options">'_Options'!$F$2:$F$4</definedName>
    <definedName name="Q7_local_options">'_Options'!$G$2:$G$5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'_RawData'!$C$2:$C$5</definedName>
    <definedName name="F_Custom1_match_data">'_RawData'!$D$2:$D$5</definedName>
    <definedName name="F_Custom2_match_data">'_RawData'!$E$2:$E$5</definedName>
    <definedName name="passes_workbook_custom_filters_data">'_RawData'!$F$2:$F$5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'_RawData'!$G$2:$G$5</definedName>
    <definedName name="All_Questions_Q7_F_Q">'All Questions'!$C$13</definedName>
    <definedName name="All_Questions_Q7_F_V">'All Questions'!$E$13</definedName>
    <definedName name="All_Questions_Q7_F_resolved_column">'All Questions'!$F$13</definedName>
    <definedName name="All_Questions_Q7_F_wrapped">'All Questions'!$G$13</definedName>
    <definedName name="All_Questions_Q7_F_passes_per_q_filter_data">'_RawData'!$H$2:$H$5</definedName>
    <definedName name="All_Questions_Q7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Q7 - Which of the following best describes your current seniority within your organization?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Q7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All_Questions_Q7_F_passes_per_q_filter</t>
        </is>
      </c>
    </row>
    <row r="2">
      <c r="A2" t="n">
        <v>1</v>
      </c>
      <c r="B2" t="inlineStr">
        <is>
          <t>Executive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7_F_Q="(None)",All_Questions_Q7_F_Q="",ISBLANK(All_Questions_Q7_F_Q),All_Questions_Q7_F_V="(All)",All_Questions_Q7_F_V="",ISBLANK(All_Questions_Q7_F_V)),1,IFERROR(IF(ISNUMBER(SEARCH("|"&amp;INDEX(INDIRECT(All_Questions_Q7_F_resolved_column),1)&amp;"|",All_Questions_Q7_F_wrapped)),1,0),0))</f>
        <v>1</v>
      </c>
    </row>
    <row r="3">
      <c r="A3" t="n">
        <v>2</v>
      </c>
      <c r="B3" t="inlineStr">
        <is>
          <t>Manager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7_F_Q="(None)",All_Questions_Q7_F_Q="",ISBLANK(All_Questions_Q7_F_Q),All_Questions_Q7_F_V="(All)",All_Questions_Q7_F_V="",ISBLANK(All_Questions_Q7_F_V)),1,IFERROR(IF(ISNUMBER(SEARCH("|"&amp;INDEX(INDIRECT(All_Questions_Q7_F_resolved_column),2)&amp;"|",All_Questions_Q7_F_wrapped)),1,0),0))</f>
        <v>1</v>
      </c>
    </row>
    <row r="4">
      <c r="A4" t="n">
        <v>3</v>
      </c>
      <c r="B4" t="inlineStr">
        <is>
          <t>Manager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7_F_Q="(None)",All_Questions_Q7_F_Q="",ISBLANK(All_Questions_Q7_F_Q),All_Questions_Q7_F_V="(All)",All_Questions_Q7_F_V="",ISBLANK(All_Questions_Q7_F_V)),1,IFERROR(IF(ISNUMBER(SEARCH("|"&amp;INDEX(INDIRECT(All_Questions_Q7_F_resolved_column),3)&amp;"|",All_Questions_Q7_F_wrapped)),1,0),0))</f>
        <v>1</v>
      </c>
    </row>
    <row r="5">
      <c r="A5" t="n">
        <v>4</v>
      </c>
      <c r="B5" t="inlineStr">
        <is>
          <t>Manager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7_F_Q="(None)",All_Questions_Q7_F_Q="",ISBLANK(All_Questions_Q7_F_Q),All_Questions_Q7_F_V="(All)",All_Questions_Q7_F_V="",ISBLANK(All_Questions_Q7_F_V)),1,IFERROR(IF(ISNUMBER(SEARCH("|"&amp;INDEX(INDIRECT(All_Questions_Q7_F_resolved_column),4)&amp;"|",All_Questions_Q7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Q7_options</t>
        </is>
      </c>
      <c r="G1" t="inlineStr">
        <is>
          <t>Q7_local_options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Q7 - Seniority</t>
        </is>
      </c>
      <c r="B3" t="inlineStr">
        <is>
          <t>(None)</t>
        </is>
      </c>
      <c r="C3" t="inlineStr">
        <is>
          <t>Q7_data</t>
        </is>
      </c>
      <c r="D3" t="inlineStr">
        <is>
          <t>Q7_options</t>
        </is>
      </c>
      <c r="F3" t="inlineStr">
        <is>
          <t>Executive</t>
        </is>
      </c>
      <c r="G3" t="inlineStr">
        <is>
          <t>(All)</t>
        </is>
      </c>
    </row>
    <row r="4">
      <c r="B4" t="inlineStr">
        <is>
          <t>Q7 - Seniority</t>
        </is>
      </c>
      <c r="F4" t="inlineStr">
        <is>
          <t>Manager</t>
        </is>
      </c>
      <c r="G4" t="inlineStr">
        <is>
          <t>Executive</t>
        </is>
      </c>
    </row>
    <row r="5">
      <c r="G5" t="inlineStr">
        <is>
          <t>Manager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[Q7]</t>
        </is>
      </c>
      <c r="B2" t="inlineStr">
        <is>
          <t>Q7</t>
        </is>
      </c>
      <c r="C2" t="inlineStr">
        <is>
          <t>Q7 - Which of the following best describes your current seniority within your organization?</t>
        </is>
      </c>
      <c r="D2" t="inlineStr">
        <is>
          <t>SINGLE_SELECT</t>
        </is>
      </c>
      <c r="E2" t="inlineStr">
        <is>
          <t>Q7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Q7</t>
        </is>
      </c>
      <c r="B2" t="inlineStr">
        <is>
          <t>Q7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Q7 - Seniority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XLOOKUP(All_Questions_Q7_F_Q,All_Questions,All_Questions_Data_Names,"respondent_id_data")</f>
        <v>respondent_id_data</v>
      </c>
      <c r="G13" t="str">
        <f>"|" &amp; SUBSTITUTE(All_Questions_Q7_F_V,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IFERROR(INDEX(INDIRECT(XLOOKUP(All_Questions_Q7_CT,All_Questions,All_Questions_Options_Names,"None_options")),2),"")</f>
        <v/>
      </c>
      <c r="H16" t="str">
        <f>IFERROR(INDEX(INDIRECT(XLOOKUP(All_Questions_Q7_CT,All_Questions,All_Questions_Options_Names,"None_options")),3),"")</f>
        <v/>
      </c>
      <c r="I16" t="str">
        <f>IFERROR(INDEX(INDIRECT(XLOOKUP(All_Questions_Q7_CT,All_Questions,All_Questions_Options_Names,"None_options")),4),"")</f>
        <v/>
      </c>
      <c r="J16" t="str">
        <f>IFERROR(INDEX(INDIRECT(XLOOKUP(All_Questions_Q7_CT,All_Questions,All_Questions_Options_Names,"None_options")),5),"")</f>
        <v/>
      </c>
      <c r="K16" t="str">
        <f>IFERROR(INDEX(INDIRECT(XLOOKUP(All_Questions_Q7_CT,All_Questions,All_Questions_Options_Names,"None_options")),6),"")</f>
        <v/>
      </c>
      <c r="L16" t="str">
        <f>IFERROR(INDEX(INDIRECT(XLOOKUP(All_Questions_Q7_CT,All_Questions,All_Questions_Options_Names,"None_options")),7),"")</f>
        <v/>
      </c>
      <c r="M16" t="str">
        <f>IFERROR(INDEX(INDIRECT(XLOOKUP(All_Questions_Q7_CT,All_Questions,All_Questions_Options_Names,"None_options")),8),"")</f>
        <v/>
      </c>
      <c r="N16" t="str">
        <f>IFERROR(INDEX(INDIRECT(XLOOKUP(All_Questions_Q7_CT,All_Questions,All_Questions_Options_Names,"None_options")),9),"")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Manager</t>
        </is>
      </c>
      <c r="B17">
        <f>COUNTIFS(Q7_data,"Manager",passes_workbook_filters_data,1,passes_workbook_custom_filters_data,1,All_Questions_passes_local_filters_data,1,All_Questions_Q7_F_passes_per_q_filter_data,1)</f>
        <v>3</v>
      </c>
      <c r="C17" s="7">
        <f>IFERROR(B17/SUBTOTAL(9,B17:B18),0)</f>
        <v>0.75</v>
      </c>
      <c r="D17" s="14">
        <f>SUBTOTAL(9,B17:B18)</f>
        <v>4</v>
      </c>
      <c r="F17" t="inlineStr">
        <is>
          <t>Manager</t>
        </is>
      </c>
      <c r="G17">
        <f>(All_Questions_Q7_CT&lt;&gt;"(None)")*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G$16)</f>
        <v>0</v>
      </c>
      <c r="H17">
        <f>(All_Questions_Q7_CT&lt;&gt;"(None)")*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H$16)</f>
        <v>0</v>
      </c>
      <c r="I17">
        <f>(All_Questions_Q7_CT&lt;&gt;"(None)")*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I$16)</f>
        <v>0</v>
      </c>
      <c r="J17">
        <f>(All_Questions_Q7_CT&lt;&gt;"(None)")*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J$16)</f>
        <v>0</v>
      </c>
      <c r="K17">
        <f>(All_Questions_Q7_CT&lt;&gt;"(None)")*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K$16)</f>
        <v>0</v>
      </c>
      <c r="L17">
        <f>(All_Questions_Q7_CT&lt;&gt;"(None)")*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L$16)</f>
        <v>0</v>
      </c>
      <c r="M17">
        <f>(All_Questions_Q7_CT&lt;&gt;"(None)")*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M$16)</f>
        <v>0</v>
      </c>
      <c r="N17">
        <f>(All_Questions_Q7_CT&lt;&gt;"(None)")*COUNTIFS(Q7_data,"Manager",passes_workbook_filters_data,1,passes_workbook_custom_filters_data,1,All_Questions_passes_local_filters_data,1,All_Questions_Q7_F_passes_per_q_filter_data,1,INDIRECT(XLOOKUP(All_Questions_Q7_CT,All_Questions,All_Questions_Data_Names,"respondent_id_data")),N$16)</f>
        <v>0</v>
      </c>
      <c r="O17">
        <f>SUM(G17:N17)</f>
        <v>0</v>
      </c>
    </row>
    <row r="18">
      <c r="A18" t="inlineStr">
        <is>
          <t>Executive</t>
        </is>
      </c>
      <c r="B18">
        <f>COUNTIFS(Q7_data,"Executive",passes_workbook_filters_data,1,passes_workbook_custom_filters_data,1,All_Questions_passes_local_filters_data,1,All_Questions_Q7_F_passes_per_q_filter_data,1)</f>
        <v>1</v>
      </c>
      <c r="C18" s="7">
        <f>IFERROR(B18/SUBTOTAL(9,B17:B18),0)</f>
        <v>0.25</v>
      </c>
      <c r="D18" s="14">
        <f>SUBTOTAL(9,B17:B18)</f>
        <v>4</v>
      </c>
      <c r="F18" t="inlineStr">
        <is>
          <t>Executive</t>
        </is>
      </c>
      <c r="G18">
        <f>(All_Questions_Q7_CT&lt;&gt;"(None)")*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G$16)</f>
        <v>0</v>
      </c>
      <c r="H18">
        <f>(All_Questions_Q7_CT&lt;&gt;"(None)")*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H$16)</f>
        <v>0</v>
      </c>
      <c r="I18">
        <f>(All_Questions_Q7_CT&lt;&gt;"(None)")*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I$16)</f>
        <v>0</v>
      </c>
      <c r="J18">
        <f>(All_Questions_Q7_CT&lt;&gt;"(None)")*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J$16)</f>
        <v>0</v>
      </c>
      <c r="K18">
        <f>(All_Questions_Q7_CT&lt;&gt;"(None)")*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K$16)</f>
        <v>0</v>
      </c>
      <c r="L18">
        <f>(All_Questions_Q7_CT&lt;&gt;"(None)")*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L$16)</f>
        <v>0</v>
      </c>
      <c r="M18">
        <f>(All_Questions_Q7_CT&lt;&gt;"(None)")*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M$16)</f>
        <v>0</v>
      </c>
      <c r="N18">
        <f>(All_Questions_Q7_CT&lt;&gt;"(None)")*COUNTIFS(Q7_data,"Executive",passes_workbook_filters_data,1,passes_workbook_custom_filters_data,1,All_Questions_passes_local_filters_data,1,All_Questions_Q7_F_passes_per_q_filter_data,1,INDIRECT(XLOOKUP(All_Questions_Q7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=INDIRECT(XLOOKUP(All_Questions_Q7_F_Q,All_Questions,All_Questions_Options_Names,"None_options"))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2026-05-15T22:04:22Z</dcterms:created>
  <dcterms:modified xmlns:dcterms="http://purl.org/dc/terms/" xmlns:xsi="http://www.w3.org/2001/XMLSchema-instance" xsi:type="dcterms:W3CDTF">2026-05-15T22:04:23Z</dcterms:modified>
</cp:coreProperties>
</file>