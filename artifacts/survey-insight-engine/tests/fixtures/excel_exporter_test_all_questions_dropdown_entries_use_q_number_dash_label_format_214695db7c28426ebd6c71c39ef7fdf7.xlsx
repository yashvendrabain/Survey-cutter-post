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Cross_Tab_Questions">'_Options'!$L$2:$L$4</definedName>
    <definedName name="Cross_Tab_Questions_Data_Names">'_Options'!$M$2:$M$4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Cross_Tab_Questions_Options_Names">'_Options'!$N$2:$N$4</definedName>
    <definedName name="All_Questions_Value_Keys">'_Options'!$T$2:$T$2</definedName>
    <definedName name="All_Questions_Value_Data_Names">'_Options'!$U$2:$U$2</definedName>
    <definedName name="All_Questions_Value_Criteria">'_Options'!$V$2:$V$2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resolved_criteria">'Demographics'!$H$14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resolved_criteria">'All Questions'!$H$14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IF(OR(Demographics_Q1_F_Q="(None)",Demographics_Q1_F_Q="",ISBLANK(Demographics_Q1_F_Q),Demographics_Q1_F_V="(All)",Demographics_Q1_F_V="",ISBLANK(Demographics_Q1_F_V)),1,IFERROR(IF(ISNUMBER(SEARCH("|"&amp;INDEX(INDIRECT(Demographics_Q1_F_resolved_column),1)&amp;"|",("|" &amp; SUBSTITUTE(Demographics_Q1_F_resolved_criteria, ", ", "|") &amp; "|"))),1,0),0))*1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IF(OR(All_Questions_Q2_F_Q="(None)",All_Questions_Q2_F_Q="",ISBLANK(All_Questions_Q2_F_Q),All_Questions_Q2_F_V="(All)",All_Questions_Q2_F_V="",ISBLANK(All_Questions_Q2_F_V)),1,IFERROR(IF(ISNUMBER(SEARCH("|"&amp;INDEX(INDIRECT(All_Questions_Q2_F_resolved_column),1)&amp;"|",("|" &amp; SUBSTITUTE(All_Questions_Q2_F_resolved_criteria, ", ", "|") &amp; "|"))),1,0),0))*1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IF(OR(Demographics_Q1_F_Q="(None)",Demographics_Q1_F_Q="",ISBLANK(Demographics_Q1_F_Q),Demographics_Q1_F_V="(All)",Demographics_Q1_F_V="",ISBLANK(Demographics_Q1_F_V)),1,IFERROR(IF(ISNUMBER(SEARCH("|"&amp;INDEX(INDIRECT(Demographics_Q1_F_resolved_column),2)&amp;"|",("|" &amp; SUBSTITUTE(Demographics_Q1_F_resolved_criteria, ", ", "|") &amp; "|"))),1,0),0))*1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IF(OR(All_Questions_Q2_F_Q="(None)",All_Questions_Q2_F_Q="",ISBLANK(All_Questions_Q2_F_Q),All_Questions_Q2_F_V="(All)",All_Questions_Q2_F_V="",ISBLANK(All_Questions_Q2_F_V)),1,IFERROR(IF(ISNUMBER(SEARCH("|"&amp;INDEX(INDIRECT(All_Questions_Q2_F_resolved_column),2)&amp;"|",("|" &amp; SUBSTITUTE(All_Questions_Q2_F_resolved_criteria, ", ", "|") &amp; "|"))),1,0),0))*1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IF(OR(Demographics_Q1_F_Q="(None)",Demographics_Q1_F_Q="",ISBLANK(Demographics_Q1_F_Q),Demographics_Q1_F_V="(All)",Demographics_Q1_F_V="",ISBLANK(Demographics_Q1_F_V)),1,IFERROR(IF(ISNUMBER(SEARCH("|"&amp;INDEX(INDIRECT(Demographics_Q1_F_resolved_column),3)&amp;"|",("|" &amp; SUBSTITUTE(Demographics_Q1_F_resolved_criteria, ", ", "|") &amp; "|"))),1,0),0))*1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IF(OR(All_Questions_Q2_F_Q="(None)",All_Questions_Q2_F_Q="",ISBLANK(All_Questions_Q2_F_Q),All_Questions_Q2_F_V="(All)",All_Questions_Q2_F_V="",ISBLANK(All_Questions_Q2_F_V)),1,IFERROR(IF(ISNUMBER(SEARCH("|"&amp;INDEX(INDIRECT(All_Questions_Q2_F_resolved_column),3)&amp;"|",("|" &amp; SUBSTITUTE(All_Questions_Q2_F_resolved_criteria, ", ", "|") &amp; "|"))),1,0),0))*1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IF(OR(Demographics_Q1_F_Q="(None)",Demographics_Q1_F_Q="",ISBLANK(Demographics_Q1_F_Q),Demographics_Q1_F_V="(All)",Demographics_Q1_F_V="",ISBLANK(Demographics_Q1_F_V)),1,IFERROR(IF(ISNUMBER(SEARCH("|"&amp;INDEX(INDIRECT(Demographics_Q1_F_resolved_column),4)&amp;"|",("|" &amp; SUBSTITUTE(Demographics_Q1_F_resolved_criteria, ", ", "|") &amp; "|"))),1,0),0))*1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IF(OR(All_Questions_Q2_F_Q="(None)",All_Questions_Q2_F_Q="",ISBLANK(All_Questions_Q2_F_Q),All_Questions_Q2_F_V="(All)",All_Questions_Q2_F_V="",ISBLANK(All_Questions_Q2_F_V)),1,IFERROR(IF(ISNUMBER(SEARCH("|"&amp;INDEX(INDIRECT(All_Questions_Q2_F_resolved_column),4)&amp;"|",("|" &amp; SUBSTITUTE(All_Questions_Q2_F_resolved_criteria,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T1" t="inlineStr">
        <is>
          <t>All_Questions_Value_Keys</t>
        </is>
      </c>
      <c r="U1" t="inlineStr">
        <is>
          <t>All_Questions_Value_Data_Names</t>
        </is>
      </c>
      <c r="V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Country</t>
        </is>
      </c>
      <c r="M3" t="inlineStr">
        <is>
          <t>'_RawData'!$B$2:$B$5</t>
        </is>
      </c>
      <c r="N3" t="inlineStr">
        <is>
          <t>'_Options'!$F$2:$F$5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  <c r="L4" t="inlineStr">
        <is>
          <t>Q2 - Survey Version</t>
        </is>
      </c>
      <c r="M4" t="inlineStr">
        <is>
          <t>'_RawData'!$C$2:$C$5</t>
        </is>
      </c>
      <c r="N4" t="inlineStr">
        <is>
          <t>'_Options'!$G$2:$G$4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IFERROR(INDEX(All_Questions_Value_Data_Names,MATCH(Demographics_Q1_F_Q&amp;"|"&amp;Demographics_Q1_F_V,All_Questions_Value_Keys,0)),IFERROR(INDEX(All_Questions_Data_Names,MATCH(Demographics_Q1_F_Q,All_Questions,0)),"'_RawData'!$A:$A"))</f>
        <v>respondent_id_data</v>
      </c>
      <c r="G14" t="str">
        <f>"|" &amp; SUBSTITUTE(Demographics_Q1_F_V, ", ", "|") &amp; "|"</f>
        <v>|(All)|</v>
      </c>
      <c r="H14" t="str">
        <f>IFERROR(INDEX(All_Questions_Value_Criteria,MATCH(Demographics_Q1_F_Q&amp;"|"&amp;Demographics_Q1_F_V,All_Questions_Value_Keys,0)),Demographics_Q1_F_V)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IF(Demographics_Q1_CT="(None)","",IFERROR(INDEX(INDIRECT(IFERROR(INDEX(Cross_Tab_Questions_Options_Names,MATCH(Demographics_Q1_CT,Cross_Tab_Questions,0)),"'_Options'!$E$2:$E$2")),2),""))</f>
        <v/>
      </c>
      <c r="H17" s="2" t="str">
        <f>IF(Demographics_Q1_CT="(None)","",IFERROR(INDEX(INDIRECT(IFERROR(INDEX(Cross_Tab_Questions_Options_Names,MATCH(Demographics_Q1_CT,Cross_Tab_Questions,0)),"'_Options'!$E$2:$E$2")),3),""))</f>
        <v/>
      </c>
      <c r="I17" s="2" t="str">
        <f>IF(Demographics_Q1_CT="(None)","",IFERROR(INDEX(INDIRECT(IFERROR(INDEX(Cross_Tab_Questions_Options_Names,MATCH(Demographics_Q1_CT,Cross_Tab_Questions,0)),"'_Options'!$E$2:$E$2")),4),""))</f>
        <v/>
      </c>
      <c r="J17" s="2" t="str">
        <f>IF(Demographics_Q1_CT="(None)","",IFERROR(INDEX(INDIRECT(IFERROR(INDEX(Cross_Tab_Questions_Options_Names,MATCH(Demographics_Q1_CT,Cross_Tab_Questions,0)),"'_Options'!$E$2:$E$2")),5),""))</f>
        <v/>
      </c>
      <c r="K17" s="2" t="str">
        <f>IF(Demographics_Q1_CT="(None)","",IFERROR(INDEX(INDIRECT(IFERROR(INDEX(Cross_Tab_Questions_Options_Names,MATCH(Demographics_Q1_CT,Cross_Tab_Questions,0)),"'_Options'!$E$2:$E$2")),6),""))</f>
        <v/>
      </c>
      <c r="L17" s="2" t="str">
        <f>IF(Demographics_Q1_CT="(None)","",IFERROR(INDEX(INDIRECT(IFERROR(INDEX(Cross_Tab_Questions_Options_Names,MATCH(Demographics_Q1_CT,Cross_Tab_Questions,0)),"'_Options'!$E$2:$E$2")),7),""))</f>
        <v/>
      </c>
      <c r="M17" s="2" t="str">
        <f>IF(Demographics_Q1_CT="(None)","",IFERROR(INDEX(INDIRECT(IFERROR(INDEX(Cross_Tab_Questions_Options_Names,MATCH(Demographics_Q1_CT,Cross_Tab_Questions,0)),"'_Options'!$E$2:$E$2")),8),""))</f>
        <v/>
      </c>
      <c r="N17" s="2" t="str">
        <f>IF(Demographics_Q1_CT="(None)","",IFERROR(INDEX(INDIRECT(IFERROR(INDEX(Cross_Tab_Questions_Options_Names,MATCH(Demographics_Q1_CT,Cross_Tab_Questions,0)),"'_Options'!$E$2:$E$2")),9),""))</f>
        <v/>
      </c>
      <c r="O17" s="2" t="str">
        <f>IF(Demographics_Q1_CT="(None)","",IFERROR(INDEX(INDIRECT(IFERROR(INDEX(Cross_Tab_Questions_Options_Names,MATCH(Demographics_Q1_CT,Cross_Tab_Questions,0)),"'_Options'!$E$2:$E$2")),10),""))</f>
        <v/>
      </c>
      <c r="P17" s="2" t="str">
        <f>IF(Demographics_Q1_CT="(None)","",IFERROR(INDEX(INDIRECT(IFERROR(INDEX(Cross_Tab_Questions_Options_Names,MATCH(Demographics_Q1_CT,Cross_Tab_Questions,0)),"'_Options'!$E$2:$E$2")),11),""))</f>
        <v/>
      </c>
      <c r="Q17" s="2" t="str">
        <f>IF(Demographics_Q1_CT="(None)","",IFERROR(INDEX(INDIRECT(IFERROR(INDEX(Cross_Tab_Questions_Options_Names,MATCH(Demographics_Q1_CT,Cross_Tab_Questions,0)),"'_Options'!$E$2:$E$2")),12),""))</f>
        <v/>
      </c>
      <c r="R17" s="2" t="str">
        <f>IF(Demographics_Q1_CT="(None)","",IF(COUNTA(INDIRECT(IFERROR(INDEX(Cross_Tab_Questions_Options_Names,MATCH(Demographics_Q1_CT,Cross_Tab_Questions,0)),"'_Options'!$E$2:$E$2")))-1&gt;11,"Other",IFERROR(INDEX(INDIRECT(IFERROR(INDEX(Cross_Tab_Questions_Options_Names,MATCH(Demographics_Q1_CT,Cross_Tab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 s="14">
        <f>IF(OR(Demographics_Q1_CT="(None)",G$17=""),"",COUNTIFS(Q1_data,"United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19" s="14">
        <f>IF(OR(Demographics_Q1_CT="(None)",H$17=""),"",COUNTIFS(Q1_data,"United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19" s="14">
        <f>IF(OR(Demographics_Q1_CT="(None)",I$17=""),"",COUNTIFS(Q1_data,"United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19" s="14">
        <f>IF(OR(Demographics_Q1_CT="(None)",J$17=""),"",COUNTIFS(Q1_data,"United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19" s="14">
        <f>IF(OR(Demographics_Q1_CT="(None)",K$17=""),"",COUNTIFS(Q1_data,"United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19" s="14">
        <f>IF(OR(Demographics_Q1_CT="(None)",L$17=""),"",COUNTIFS(Q1_data,"United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19" s="14">
        <f>IF(OR(Demographics_Q1_CT="(None)",M$17=""),"",COUNTIFS(Q1_data,"United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19" s="14">
        <f>IF(OR(Demographics_Q1_CT="(None)",N$17=""),"",COUNTIFS(Q1_data,"United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19" s="14">
        <f>IF(OR(Demographics_Q1_CT="(None)",O$17=""),"",COUNTIFS(Q1_data,"United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19" s="14">
        <f>IF(OR(Demographics_Q1_CT="(None)",P$17=""),"",COUNTIFS(Q1_data,"United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19" s="14">
        <f>IF(OR(Demographics_Q1_CT="(None)",Q$17=""),"",COUNTIFS(Q1_data,"United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19" s="14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19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 s="14">
        <f>IF(OR(Demographics_Q1_CT="(None)",G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0" s="14">
        <f>IF(OR(Demographics_Q1_CT="(None)",H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0" s="14">
        <f>IF(OR(Demographics_Q1_CT="(None)",I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0" s="14">
        <f>IF(OR(Demographics_Q1_CT="(None)",J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0" s="14">
        <f>IF(OR(Demographics_Q1_CT="(None)",K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0" s="14">
        <f>IF(OR(Demographics_Q1_CT="(None)",L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0" s="14">
        <f>IF(OR(Demographics_Q1_CT="(None)",M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0" s="14">
        <f>IF(OR(Demographics_Q1_CT="(None)",N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0" s="14">
        <f>IF(OR(Demographics_Q1_CT="(None)",O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0" s="14">
        <f>IF(OR(Demographics_Q1_CT="(None)",P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0" s="14">
        <f>IF(OR(Demographics_Q1_CT="(None)",Q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0" s="14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0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 s="14">
        <f>IF(OR(Demographics_Q1_CT="(None)",G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1" s="14">
        <f>IF(OR(Demographics_Q1_CT="(None)",H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1" s="14">
        <f>IF(OR(Demographics_Q1_CT="(None)",I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1" s="14">
        <f>IF(OR(Demographics_Q1_CT="(None)",J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1" s="14">
        <f>IF(OR(Demographics_Q1_CT="(None)",K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1" s="14">
        <f>IF(OR(Demographics_Q1_CT="(None)",L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1" s="14">
        <f>IF(OR(Demographics_Q1_CT="(None)",M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1" s="14">
        <f>IF(OR(Demographics_Q1_CT="(None)",N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1" s="14">
        <f>IF(OR(Demographics_Q1_CT="(None)",O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1" s="14">
        <f>IF(OR(Demographics_Q1_CT="(None)",P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1" s="14">
        <f>IF(OR(Demographics_Q1_CT="(None)",Q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1" s="14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1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IFERROR(INDEX(All_Questions_Value_Data_Names,MATCH(All_Questions_Q2_F_Q&amp;"|"&amp;All_Questions_Q2_F_V,All_Questions_Value_Keys,0)),IFERROR(INDEX(All_Questions_Data_Names,MATCH(All_Questions_Q2_F_Q,All_Questions,0)),"'_RawData'!$A:$A"))</f>
        <v>respondent_id_data</v>
      </c>
      <c r="G14" t="str">
        <f>"|" &amp; SUBSTITUTE(All_Questions_Q2_F_V, ", ", "|") &amp; "|"</f>
        <v>|(All)|</v>
      </c>
      <c r="H14" t="str">
        <f>IFERROR(INDEX(All_Questions_Value_Criteria,MATCH(All_Questions_Q2_F_Q&amp;"|"&amp;All_Questions_Q2_F_V,All_Questions_Value_Keys,0)),All_Questions_Q2_F_V)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IF(All_Questions_Q2_CT="(None)","",IFERROR(INDEX(INDIRECT(IFERROR(INDEX(Cross_Tab_Questions_Options_Names,MATCH(All_Questions_Q2_CT,Cross_Tab_Questions,0)),"'_Options'!$E$2:$E$2")),2),""))</f>
        <v/>
      </c>
      <c r="H17" s="2" t="str">
        <f>IF(All_Questions_Q2_CT="(None)","",IFERROR(INDEX(INDIRECT(IFERROR(INDEX(Cross_Tab_Questions_Options_Names,MATCH(All_Questions_Q2_CT,Cross_Tab_Questions,0)),"'_Options'!$E$2:$E$2")),3),""))</f>
        <v/>
      </c>
      <c r="I17" s="2" t="str">
        <f>IF(All_Questions_Q2_CT="(None)","",IFERROR(INDEX(INDIRECT(IFERROR(INDEX(Cross_Tab_Questions_Options_Names,MATCH(All_Questions_Q2_CT,Cross_Tab_Questions,0)),"'_Options'!$E$2:$E$2")),4),""))</f>
        <v/>
      </c>
      <c r="J17" s="2" t="str">
        <f>IF(All_Questions_Q2_CT="(None)","",IFERROR(INDEX(INDIRECT(IFERROR(INDEX(Cross_Tab_Questions_Options_Names,MATCH(All_Questions_Q2_CT,Cross_Tab_Questions,0)),"'_Options'!$E$2:$E$2")),5),""))</f>
        <v/>
      </c>
      <c r="K17" s="2" t="str">
        <f>IF(All_Questions_Q2_CT="(None)","",IFERROR(INDEX(INDIRECT(IFERROR(INDEX(Cross_Tab_Questions_Options_Names,MATCH(All_Questions_Q2_CT,Cross_Tab_Questions,0)),"'_Options'!$E$2:$E$2")),6),""))</f>
        <v/>
      </c>
      <c r="L17" s="2" t="str">
        <f>IF(All_Questions_Q2_CT="(None)","",IFERROR(INDEX(INDIRECT(IFERROR(INDEX(Cross_Tab_Questions_Options_Names,MATCH(All_Questions_Q2_CT,Cross_Tab_Questions,0)),"'_Options'!$E$2:$E$2")),7),""))</f>
        <v/>
      </c>
      <c r="M17" s="2" t="str">
        <f>IF(All_Questions_Q2_CT="(None)","",IFERROR(INDEX(INDIRECT(IFERROR(INDEX(Cross_Tab_Questions_Options_Names,MATCH(All_Questions_Q2_CT,Cross_Tab_Questions,0)),"'_Options'!$E$2:$E$2")),8),""))</f>
        <v/>
      </c>
      <c r="N17" s="2" t="str">
        <f>IF(All_Questions_Q2_CT="(None)","",IFERROR(INDEX(INDIRECT(IFERROR(INDEX(Cross_Tab_Questions_Options_Names,MATCH(All_Questions_Q2_CT,Cross_Tab_Questions,0)),"'_Options'!$E$2:$E$2")),9),""))</f>
        <v/>
      </c>
      <c r="O17" s="2" t="str">
        <f>IF(All_Questions_Q2_CT="(None)","",IFERROR(INDEX(INDIRECT(IFERROR(INDEX(Cross_Tab_Questions_Options_Names,MATCH(All_Questions_Q2_CT,Cross_Tab_Questions,0)),"'_Options'!$E$2:$E$2")),10),""))</f>
        <v/>
      </c>
      <c r="P17" s="2" t="str">
        <f>IF(All_Questions_Q2_CT="(None)","",IFERROR(INDEX(INDIRECT(IFERROR(INDEX(Cross_Tab_Questions_Options_Names,MATCH(All_Questions_Q2_CT,Cross_Tab_Questions,0)),"'_Options'!$E$2:$E$2")),11),""))</f>
        <v/>
      </c>
      <c r="Q17" s="2" t="str">
        <f>IF(All_Questions_Q2_CT="(None)","",IFERROR(INDEX(INDIRECT(IFERROR(INDEX(Cross_Tab_Questions_Options_Names,MATCH(All_Questions_Q2_CT,Cross_Tab_Questions,0)),"'_Options'!$E$2:$E$2")),12),""))</f>
        <v/>
      </c>
      <c r="R17" s="2" t="str">
        <f>IF(All_Questions_Q2_CT="(None)","",IF(COUNTA(INDIRECT(IFERROR(INDEX(Cross_Tab_Questions_Options_Names,MATCH(All_Questions_Q2_CT,Cross_Tab_Questions,0)),"'_Options'!$E$2:$E$2")))-1&gt;11,"Other",IFERROR(INDEX(INDIRECT(IFERROR(INDEX(Cross_Tab_Questions_Options_Names,MATCH(All_Questions_Q2_CT,Cross_Tab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 s="14">
        <f>IF(OR(All_Questions_Q2_CT="(None)",G$17=""),"",COUNTIFS(Q2_data,"Version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19" s="14">
        <f>IF(OR(All_Questions_Q2_CT="(None)",H$17=""),"",COUNTIFS(Q2_data,"Version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19" s="14">
        <f>IF(OR(All_Questions_Q2_CT="(None)",I$17=""),"",COUNTIFS(Q2_data,"Version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19" s="14">
        <f>IF(OR(All_Questions_Q2_CT="(None)",J$17=""),"",COUNTIFS(Q2_data,"Version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19" s="14">
        <f>IF(OR(All_Questions_Q2_CT="(None)",K$17=""),"",COUNTIFS(Q2_data,"Version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19" s="14">
        <f>IF(OR(All_Questions_Q2_CT="(None)",L$17=""),"",COUNTIFS(Q2_data,"Version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19" s="14">
        <f>IF(OR(All_Questions_Q2_CT="(None)",M$17=""),"",COUNTIFS(Q2_data,"Version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19" s="14">
        <f>IF(OR(All_Questions_Q2_CT="(None)",N$17=""),"",COUNTIFS(Q2_data,"Version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19" s="14">
        <f>IF(OR(All_Questions_Q2_CT="(None)",O$17=""),"",COUNTIFS(Q2_data,"Version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19" s="14">
        <f>IF(OR(All_Questions_Q2_CT="(None)",P$17=""),"",COUNTIFS(Q2_data,"Version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19" s="14">
        <f>IF(OR(All_Questions_Q2_CT="(None)",Q$17=""),"",COUNTIFS(Q2_data,"Version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19" s="14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19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 s="14">
        <f>IF(OR(All_Questions_Q2_CT="(None)",G$17=""),"",COUNTIFS(Q2_data,"Version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20" s="14">
        <f>IF(OR(All_Questions_Q2_CT="(None)",H$17=""),"",COUNTIFS(Q2_data,"Version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20" s="14">
        <f>IF(OR(All_Questions_Q2_CT="(None)",I$17=""),"",COUNTIFS(Q2_data,"Version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20" s="14">
        <f>IF(OR(All_Questions_Q2_CT="(None)",J$17=""),"",COUNTIFS(Q2_data,"Version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20" s="14">
        <f>IF(OR(All_Questions_Q2_CT="(None)",K$17=""),"",COUNTIFS(Q2_data,"Version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20" s="14">
        <f>IF(OR(All_Questions_Q2_CT="(None)",L$17=""),"",COUNTIFS(Q2_data,"Version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20" s="14">
        <f>IF(OR(All_Questions_Q2_CT="(None)",M$17=""),"",COUNTIFS(Q2_data,"Version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20" s="14">
        <f>IF(OR(All_Questions_Q2_CT="(None)",N$17=""),"",COUNTIFS(Q2_data,"Version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20" s="14">
        <f>IF(OR(All_Questions_Q2_CT="(None)",O$17=""),"",COUNTIFS(Q2_data,"Version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20" s="14">
        <f>IF(OR(All_Questions_Q2_CT="(None)",P$17=""),"",COUNTIFS(Q2_data,"Version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20" s="14">
        <f>IF(OR(All_Questions_Q2_CT="(None)",Q$17=""),"",COUNTIFS(Q2_data,"Version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20" s="14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20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2026-06-08T13:42:27Z</dcterms:created>
  <dcterms:modified xmlns:dcterms="http://purl.org/dc/terms/" xmlns:xsi="http://www.w3.org/2001/XMLSchema-instance" xsi:type="dcterms:W3CDTF">2026-06-08T13:42:27Z</dcterms:modified>
</cp:coreProperties>
</file>