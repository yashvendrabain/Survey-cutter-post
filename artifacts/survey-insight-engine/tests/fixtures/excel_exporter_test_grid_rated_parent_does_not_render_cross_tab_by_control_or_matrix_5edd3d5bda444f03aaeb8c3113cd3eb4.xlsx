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H17" i="7"/>
  <c r="J17" i="7"/>
  <c r="K17" i="7"/>
  <c r="C18" i="7"/>
  <c r="D18" i="7"/>
  <c r="F18" i="7"/>
  <c r="H18" i="7"/>
  <c r="J18" i="7"/>
  <c r="K18" i="7"/>
  <c r="C19" i="7"/>
  <c r="D19" i="7"/>
  <c r="F19" i="7"/>
  <c r="H19" i="7"/>
  <c r="J19" i="7"/>
  <c r="K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Winner - All</t>
        </is>
      </c>
      <c r="G15" s="2" t="n"/>
      <c r="H15" s="4" t="inlineStr">
        <is>
          <t>Other considered vendor</t>
        </is>
      </c>
      <c r="I15" s="2" t="n"/>
      <c r="J15" s="4" t="inlineStr">
        <is>
          <t>Delta</t>
        </is>
      </c>
      <c r="K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  <c r="H16" s="4" t="inlineStr">
        <is>
          <t>Mean</t>
        </is>
      </c>
      <c r="I16" s="4" t="inlineStr">
        <is>
          <t>Median</t>
        </is>
      </c>
      <c r="J16" s="4" t="inlineStr">
        <is>
          <t>Mean</t>
        </is>
      </c>
      <c r="K16" s="4" t="inlineStr">
        <is>
          <t>Median</t>
        </is>
      </c>
    </row>
    <row r="17">
      <c r="A17" s="14" t="inlineStr">
        <is>
          <t>Q_RATEDr1</t>
        </is>
      </c>
      <c r="B17" t="inlineStr">
        <is>
          <t>Implementation speed</t>
        </is>
      </c>
      <c r="C17">
        <f>COUNTIFS(Q_RATEDr1c1_data,"&lt;&gt;",passes_workbook_filters_data,1,passes_workbook_custom_filters_data,1,All_Questions_passes_local_filters_data,1,All_Questions_Q_RATED_F_passes_per_q_filter_data,1)</f>
        <v>4</v>
      </c>
      <c r="D17" s="7">
        <f>IFERROR(C17/COUNTIFS(respondent_id_data,"&lt;&gt;",passes_workbook_filters_data,1,passes_workbook_custom_filters_data,1,All_Questions_passes_local_filters_data,1,All_Questions_Q_RATED_F_passes_per_q_filter_data,1),0)</f>
        <v>1.0</v>
      </c>
      <c r="F17" s="15">
        <f>IFERROR(AVERAGEIFS(Q_RATEDr1c1_data,passes_workbook_filters_data,1,passes_workbook_custom_filters_data,1,All_Questions_passes_local_filters_data,1,All_Questions_Q_RATED_F_passes_per_q_filter_data,1),0)</f>
        <v>8.5</v>
      </c>
      <c r="G17" s="15" t="n">
        <v>8.5</v>
      </c>
      <c r="H17" s="15">
        <f>IFERROR(AVERAGEIFS(Q_RATEDr1c2_data,passes_workbook_filters_data,1,passes_workbook_custom_filters_data,1,All_Questions_passes_local_filters_data,1,All_Questions_Q_RATED_F_passes_per_q_filter_data,1),0)</f>
        <v>6.5</v>
      </c>
      <c r="I17" s="15" t="n">
        <v>6.5</v>
      </c>
      <c r="J17" s="15">
        <f>ROUND(F17-H17,1)</f>
        <v>2.0</v>
      </c>
      <c r="K17" s="15">
        <f>ROUND(G17-I17,1)</f>
        <v>2.0</v>
      </c>
    </row>
    <row r="18">
      <c r="A18" s="14" t="inlineStr">
        <is>
          <t>Q_RATEDr2</t>
        </is>
      </c>
      <c r="B18" t="inlineStr">
        <is>
          <t>Integration fit</t>
        </is>
      </c>
      <c r="C18">
        <f>COUNTIFS(Q_RATEDr2c1_data,"&lt;&gt;",passes_workbook_filters_data,1,passes_workbook_custom_filters_data,1,All_Questions_passes_local_filters_data,1,All_Questions_Q_RATED_F_passes_per_q_filter_data,1)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IFERROR(AVERAGEIFS(Q_RATEDr2c1_data,passes_workbook_filters_data,1,passes_workbook_custom_filters_data,1,All_Questions_passes_local_filters_data,1,All_Questions_Q_RATED_F_passes_per_q_filter_data,1),0)</f>
        <v>8.8</v>
      </c>
      <c r="G18" s="15" t="n">
        <v>9</v>
      </c>
      <c r="H18" s="15">
        <f>IFERROR(AVERAGEIFS(Q_RATEDr2c2_data,passes_workbook_filters_data,1,passes_workbook_custom_filters_data,1,All_Questions_passes_local_filters_data,1,All_Questions_Q_RATED_F_passes_per_q_filter_data,1),0)</f>
        <v>6.8</v>
      </c>
      <c r="I18" s="15" t="n">
        <v>7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Q_RATEDr3</t>
        </is>
      </c>
      <c r="B19" t="inlineStr">
        <is>
          <t>Efficiency gains</t>
        </is>
      </c>
      <c r="C19">
        <f>COUNTIFS(Q_RATEDr3c1_data,"&lt;&gt;",passes_workbook_filters_data,1,passes_workbook_custom_filters_data,1,All_Questions_passes_local_filters_data,1,All_Questions_Q_RATED_F_passes_per_q_filter_data,1)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IFERROR(AVERAGEIFS(Q_RATEDr3c1_data,passes_workbook_filters_data,1,passes_workbook_custom_filters_data,1,All_Questions_passes_local_filters_data,1,All_Questions_Q_RATED_F_passes_per_q_filter_data,1),0)</f>
        <v>7.5</v>
      </c>
      <c r="G19" s="15" t="n">
        <v>7.5</v>
      </c>
      <c r="H19" s="15">
        <f>IFERROR(AVERAGEIFS(Q_RATEDr3c2_data,passes_workbook_filters_data,1,passes_workbook_custom_filters_data,1,All_Questions_passes_local_filters_data,1,All_Questions_Q_RATED_F_passes_per_q_filter_data,1),0)</f>
        <v>5.5</v>
      </c>
      <c r="I19" s="15" t="n">
        <v>5.5</v>
      </c>
      <c r="J19" s="15">
        <f>ROUND(F19-H19,1)</f>
        <v>2.0</v>
      </c>
      <c r="K19" s="15">
        <f>ROUND(G19-I19,1)</f>
        <v>2.0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</sheetData>
  <mergeCells count="4">
    <mergeCell ref="F15:G15"/>
    <mergeCell ref="A1:J1"/>
    <mergeCell ref="J15:K15"/>
    <mergeCell ref="H15:I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2026-06-09T11:19:18Z</dcterms:created>
  <dcterms:modified xmlns:dcterms="http://purl.org/dc/terms/" xmlns:xsi="http://www.w3.org/2001/XMLSchema-instance" xsi:type="dcterms:W3CDTF">2026-06-09T11:19:19Z</dcterms:modified>
</cp:coreProperties>
</file>