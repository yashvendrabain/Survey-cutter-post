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One_Q_MS_EXPORT_F_Q">'Theme One'!$C$29</definedName>
    <definedName name="Theme_One_Q_MS_EXPORT_F_V">'Theme One'!$E$29</definedName>
    <definedName name="Theme_One_Q_MS_EXPORT_F_resolved_column">'Theme One'!$F$29</definedName>
    <definedName name="Theme_One_Q_MS_EXPORT_F_wrapped">'Theme One'!$G$29</definedName>
    <definedName name="Theme_One_Q_MS_EXPORT_F_resolved_criteria">'Theme One'!$H$29</definedName>
    <definedName name="Theme_One_Q_MS_EXPORT_F_passes_per_q_filter_data">'_RawData'!$O$2:$O$11</definedName>
    <definedName name="Theme_One_Q_MS_EXPORT_CT">'Theme One'!$C$30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resolved_criteria">'All Questions'!$H$13</definedName>
    <definedName name="All_Questions_Q_GRID_EXPORT_F_passes_per_q_filter_data">'_RawData'!$S$2:$S$11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resolved_criteria">'All Questions'!$H$24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N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C17" i="9"/>
  <c r="D17" i="9"/>
  <c r="E17" i="9"/>
  <c r="F17" i="9"/>
  <c r="C18" i="9"/>
  <c r="D18" i="9"/>
  <c r="E18" i="9"/>
  <c r="F18" i="9"/>
  <c r="F24" i="9"/>
  <c r="G24" i="9"/>
  <c r="H24" i="9"/>
  <c r="B28" i="9"/>
  <c r="C28" i="9"/>
  <c r="D28" i="9"/>
  <c r="B29" i="9"/>
  <c r="C29" i="9"/>
  <c r="D29" i="9"/>
  <c r="B32" i="9"/>
  <c r="C32" i="9"/>
  <c r="D32" i="9"/>
  <c r="E32" i="9"/>
  <c r="F32" i="9"/>
  <c r="G32" i="9"/>
  <c r="H32" i="9"/>
  <c r="I32" i="9"/>
  <c r="J32" i="9"/>
  <c r="K32" i="9"/>
  <c r="L32" i="9"/>
  <c r="M32" i="9"/>
  <c r="B34" i="9"/>
  <c r="C34" i="9"/>
  <c r="D34" i="9"/>
  <c r="E34" i="9"/>
  <c r="F34" i="9"/>
  <c r="G34" i="9"/>
  <c r="H34" i="9"/>
  <c r="I34" i="9"/>
  <c r="J34" i="9"/>
  <c r="K34" i="9"/>
  <c r="L34" i="9"/>
  <c r="M34" i="9"/>
  <c r="N34" i="9"/>
  <c r="B35" i="9"/>
  <c r="C35" i="9"/>
  <c r="D35" i="9"/>
  <c r="E35" i="9"/>
  <c r="F35" i="9"/>
  <c r="G35" i="9"/>
  <c r="H35" i="9"/>
  <c r="I35" i="9"/>
  <c r="J35" i="9"/>
  <c r="K35" i="9"/>
  <c r="L35" i="9"/>
  <c r="M35" i="9"/>
  <c r="N35" i="9"/>
  <c r="N36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32_1" displayName="T_Theme_One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("|" &amp; SUBSTITUTE(Theme_One_Q_MS_EXPORT_F_resolved_criteria, ", ", "|") &amp; "|"))),1,0),0))*1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("|" &amp; SUBSTITUTE(Theme_One_Q_MS_EXPORT_F_resolved_criteria, ", ", "|") &amp; "|"))),1,0),0))*1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("|" &amp; SUBSTITUTE(Theme_One_Q_MS_EXPORT_F_resolved_criteria, ", ", "|") &amp; "|"))),1,0),0))*1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("|" &amp; SUBSTITUTE(Theme_One_Q_MS_EXPORT_F_resolved_criteria, ", ", "|") &amp; "|"))),1,0),0))*1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("|" &amp; SUBSTITUTE(Theme_One_Q_MS_EXPORT_F_resolved_criteria, ", ", "|") &amp; "|"))),1,0),0))*1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("|" &amp; SUBSTITUTE(Theme_One_Q_MS_EXPORT_F_resolved_criteria, ", ", "|") &amp; "|"))),1,0),0))*1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("|" &amp; SUBSTITUTE(Theme_One_Q_MS_EXPORT_F_resolved_criteria, ", ", "|") &amp; "|"))),1,0),0))*1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("|" &amp; SUBSTITUTE(Theme_One_Q_MS_EXPORT_F_resolved_criteria, ", ", "|") &amp; "|"))),1,0),0))*1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("|" &amp; SUBSTITUTE(Theme_One_Q_MS_EXPORT_F_resolved_criteria, ", ", "|") &amp; "|"))),1,0),0))*1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("|" &amp; SUBSTITUTE(Theme_One_Q_MS_EXPORT_F_resolved_criteria, ", ", "|") &amp; "|"))),1,0),0))*1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IF(Theme_One_Q_SS_EXPORT_CT="(None)","",IFERROR(INDEX(INDIRECT(IFERROR(INDEX(Cross_Tab_Questions_Options_Names,MATCH(Theme_One_Q_SS_EXPORT_CT,Cross_Tab_Questions,0)),"'_Options'!$E$2:$E$2")),2),""))</f>
        <v/>
      </c>
      <c r="C21" s="2" t="str">
        <f>IF(Theme_One_Q_SS_EXPORT_CT="(None)","",IFERROR(INDEX(INDIRECT(IFERROR(INDEX(Cross_Tab_Questions_Options_Names,MATCH(Theme_One_Q_SS_EXPORT_CT,Cross_Tab_Questions,0)),"'_Options'!$E$2:$E$2")),3),""))</f>
        <v/>
      </c>
      <c r="D21" s="2" t="str">
        <f>IF(Theme_One_Q_SS_EXPORT_CT="(None)","",IFERROR(INDEX(INDIRECT(IFERROR(INDEX(Cross_Tab_Questions_Options_Names,MATCH(Theme_One_Q_SS_EXPORT_CT,Cross_Tab_Questions,0)),"'_Options'!$E$2:$E$2")),4),""))</f>
        <v/>
      </c>
      <c r="E21" s="2" t="str">
        <f>IF(Theme_One_Q_SS_EXPORT_CT="(None)","",IFERROR(INDEX(INDIRECT(IFERROR(INDEX(Cross_Tab_Questions_Options_Names,MATCH(Theme_One_Q_SS_EXPORT_CT,Cross_Tab_Questions,0)),"'_Options'!$E$2:$E$2")),5),""))</f>
        <v/>
      </c>
      <c r="F21" s="2" t="str">
        <f>IF(Theme_One_Q_SS_EXPORT_CT="(None)","",IFERROR(INDEX(INDIRECT(IFERROR(INDEX(Cross_Tab_Questions_Options_Names,MATCH(Theme_One_Q_SS_EXPORT_CT,Cross_Tab_Questions,0)),"'_Options'!$E$2:$E$2")),6),""))</f>
        <v/>
      </c>
      <c r="G21" s="2" t="str">
        <f>IF(Theme_One_Q_SS_EXPORT_CT="(None)","",IFERROR(INDEX(INDIRECT(IFERROR(INDEX(Cross_Tab_Questions_Options_Names,MATCH(Theme_One_Q_SS_EXPORT_CT,Cross_Tab_Questions,0)),"'_Options'!$E$2:$E$2")),7),""))</f>
        <v/>
      </c>
      <c r="H21" s="2" t="str">
        <f>IF(Theme_One_Q_SS_EXPORT_CT="(None)","",IFERROR(INDEX(INDIRECT(IFERROR(INDEX(Cross_Tab_Questions_Options_Names,MATCH(Theme_One_Q_SS_EXPORT_CT,Cross_Tab_Questions,0)),"'_Options'!$E$2:$E$2")),8),""))</f>
        <v/>
      </c>
      <c r="I21" s="2" t="str">
        <f>IF(Theme_One_Q_SS_EXPORT_CT="(None)","",IFERROR(INDEX(INDIRECT(IFERROR(INDEX(Cross_Tab_Questions_Options_Names,MATCH(Theme_One_Q_SS_EXPORT_CT,Cross_Tab_Questions,0)),"'_Options'!$E$2:$E$2")),9),""))</f>
        <v/>
      </c>
      <c r="J21" s="2" t="str">
        <f>IF(Theme_One_Q_SS_EXPORT_CT="(None)","",IFERROR(INDEX(INDIRECT(IFERROR(INDEX(Cross_Tab_Questions_Options_Names,MATCH(Theme_One_Q_SS_EXPORT_CT,Cross_Tab_Questions,0)),"'_Options'!$E$2:$E$2")),10),""))</f>
        <v/>
      </c>
      <c r="K21" s="2" t="str">
        <f>IF(Theme_One_Q_SS_EXPORT_CT="(None)","",IFERROR(INDEX(INDIRECT(IFERROR(INDEX(Cross_Tab_Questions_Options_Names,MATCH(Theme_One_Q_SS_EXPORT_CT,Cross_Tab_Questions,0)),"'_Options'!$E$2:$E$2")),11),""))</f>
        <v/>
      </c>
      <c r="L21" s="2" t="str">
        <f>IF(Theme_One_Q_SS_EXPORT_CT="(None)","",IFERROR(INDEX(INDIRECT(IFERROR(INDEX(Cross_Tab_Questions_Options_Names,MATCH(Theme_One_Q_SS_EXPORT_CT,Cross_Tab_Questions,0)),"'_Options'!$E$2:$E$2")),12),""))</f>
        <v/>
      </c>
      <c r="M21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Theme_One_Q_SS_EXPORT_CT="(None)",B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3" s="14">
        <f>IF(OR(Theme_One_Q_SS_EXPORT_CT="(None)",C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3" s="14">
        <f>IF(OR(Theme_One_Q_SS_EXPORT_CT="(None)",D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3" s="14">
        <f>IF(OR(Theme_One_Q_SS_EXPORT_CT="(None)",E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3" s="14">
        <f>IF(OR(Theme_One_Q_SS_EXPORT_CT="(None)",F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3" s="14">
        <f>IF(OR(Theme_One_Q_SS_EXPORT_CT="(None)",G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3" s="14">
        <f>IF(OR(Theme_One_Q_SS_EXPORT_CT="(None)",H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3" s="14">
        <f>IF(OR(Theme_One_Q_SS_EXPORT_CT="(None)",I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3" s="14">
        <f>IF(OR(Theme_One_Q_SS_EXPORT_CT="(None)",J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3" s="14">
        <f>IF(OR(Theme_One_Q_SS_EXPORT_CT="(None)",K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3" s="14">
        <f>IF(OR(Theme_One_Q_SS_EXPORT_CT="(None)",L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3" s="14">
        <f>IF(OR(Theme_One_Q_SS_EXPORT_CT="(None)",M$21=""),"",IF(M$21="Other",COUNTIFS(Q_SS_EXPORT_data,"Yes",passes_workbook_filters_data,1,passes_workbook_custom_filters_data,1,Theme_One_passes_local_filters_data,1,Theme_One_Q_SS_EXPORT_F_passes_per_q_filter_data,1)-SUM(B23,C23,D23,E23,F23,G23,H23,I23,J23,K23,L23)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3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24">
      <c r="A24" t="inlineStr">
        <is>
          <t>No</t>
        </is>
      </c>
      <c r="B24" s="14">
        <f>IF(OR(Theme_One_Q_SS_EXPORT_CT="(None)",B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4" s="14">
        <f>IF(OR(Theme_One_Q_SS_EXPORT_CT="(None)",C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4" s="14">
        <f>IF(OR(Theme_One_Q_SS_EXPORT_CT="(None)",D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4" s="14">
        <f>IF(OR(Theme_One_Q_SS_EXPORT_CT="(None)",E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4" s="14">
        <f>IF(OR(Theme_One_Q_SS_EXPORT_CT="(None)",F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4" s="14">
        <f>IF(OR(Theme_One_Q_SS_EXPORT_CT="(None)",G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4" s="14">
        <f>IF(OR(Theme_One_Q_SS_EXPORT_CT="(None)",H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4" s="14">
        <f>IF(OR(Theme_One_Q_SS_EXPORT_CT="(None)",I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4" s="14">
        <f>IF(OR(Theme_One_Q_SS_EXPORT_CT="(None)",J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4" s="14">
        <f>IF(OR(Theme_One_Q_SS_EXPORT_CT="(None)",K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4" s="14">
        <f>IF(OR(Theme_One_Q_SS_EXPORT_CT="(None)",L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4" s="14">
        <f>IF(OR(Theme_One_Q_SS_EXPORT_CT="(None)",M$21=""),"",IF(M$21="Other",COUNTIFS(Q_SS_EXPORT_data,"No",passes_workbook_filters_data,1,passes_workbook_custom_filters_data,1,Theme_One_passes_local_filters_data,1,Theme_One_Q_SS_EXPORT_F_passes_per_q_filter_data,1)-SUM(B24,C24,D24,E24,F24,G24,H24,I24,J24,K24,L24)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4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IFERROR(INDEX(All_Questions_Value_Data_Names,MATCH(Theme_One_Q_MS_EXPORT_F_Q&amp;"|"&amp;Theme_One_Q_MS_EXPORT_F_V,All_Questions_Value_Keys,0)),IFERROR(INDEX(All_Questions_Data_Names,MATCH(Theme_One_Q_MS_EXPORT_F_Q,All_Questions,0)),"'_RawData'!$A:$A"))</f>
        <v>respondent_id_data</v>
      </c>
      <c r="G29" t="str">
        <f>"|" &amp; SUBSTITUTE(Theme_One_Q_MS_EXPORT_F_V, ", ", "|") &amp; "|"</f>
        <v>|(All)|</v>
      </c>
      <c r="H29" t="str">
        <f>IFERROR(INDEX(All_Questions_Value_Criteria,MATCH(Theme_One_Q_MS_EXPORT_F_Q&amp;"|"&amp;Theme_One_Q_MS_EXPORT_F_V,All_Questions_Value_Keys,0)),Theme_One_Q_MS_EXPORT_F_V)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COUNTIFS(Q_MS_EXPORTr1_data,"Selected",passes_workbook_filters_data,1,passes_workbook_custom_filters_data,1,Theme_One_passes_local_filters_data,1,Theme_One_Q_MS_EXPORT_F_passes_per_q_filter_data,1)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COUNTIFS(Q_MS_EXPORTr2_data,"Selected",passes_workbook_filters_data,1,passes_workbook_custom_filters_data,1,Theme_One_passes_local_filters_data,1,Theme_One_Q_MS_EXPORT_F_passes_per_q_filter_data,1)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IF(Theme_One_Q_MS_EXPORT_CT="(None)","",IFERROR(INDEX(INDIRECT(IFERROR(INDEX(Cross_Tab_Questions_Options_Names,MATCH(Theme_One_Q_MS_EXPORT_CT,Cross_Tab_Questions,0)),"'_Options'!$E$2:$E$2")),2),""))</f>
        <v/>
      </c>
      <c r="C38" s="2" t="str">
        <f>IF(Theme_One_Q_MS_EXPORT_CT="(None)","",IFERROR(INDEX(INDIRECT(IFERROR(INDEX(Cross_Tab_Questions_Options_Names,MATCH(Theme_One_Q_MS_EXPORT_CT,Cross_Tab_Questions,0)),"'_Options'!$E$2:$E$2")),3),""))</f>
        <v/>
      </c>
      <c r="D38" s="2" t="str">
        <f>IF(Theme_One_Q_MS_EXPORT_CT="(None)","",IFERROR(INDEX(INDIRECT(IFERROR(INDEX(Cross_Tab_Questions_Options_Names,MATCH(Theme_One_Q_MS_EXPORT_CT,Cross_Tab_Questions,0)),"'_Options'!$E$2:$E$2")),4),""))</f>
        <v/>
      </c>
      <c r="E38" s="2" t="str">
        <f>IF(Theme_One_Q_MS_EXPORT_CT="(None)","",IFERROR(INDEX(INDIRECT(IFERROR(INDEX(Cross_Tab_Questions_Options_Names,MATCH(Theme_One_Q_MS_EXPORT_CT,Cross_Tab_Questions,0)),"'_Options'!$E$2:$E$2")),5),""))</f>
        <v/>
      </c>
      <c r="F38" s="2" t="str">
        <f>IF(Theme_One_Q_MS_EXPORT_CT="(None)","",IFERROR(INDEX(INDIRECT(IFERROR(INDEX(Cross_Tab_Questions_Options_Names,MATCH(Theme_One_Q_MS_EXPORT_CT,Cross_Tab_Questions,0)),"'_Options'!$E$2:$E$2")),6),""))</f>
        <v/>
      </c>
      <c r="G38" s="2" t="str">
        <f>IF(Theme_One_Q_MS_EXPORT_CT="(None)","",IFERROR(INDEX(INDIRECT(IFERROR(INDEX(Cross_Tab_Questions_Options_Names,MATCH(Theme_One_Q_MS_EXPORT_CT,Cross_Tab_Questions,0)),"'_Options'!$E$2:$E$2")),7),""))</f>
        <v/>
      </c>
      <c r="H38" s="2" t="str">
        <f>IF(Theme_One_Q_MS_EXPORT_CT="(None)","",IFERROR(INDEX(INDIRECT(IFERROR(INDEX(Cross_Tab_Questions_Options_Names,MATCH(Theme_One_Q_MS_EXPORT_CT,Cross_Tab_Questions,0)),"'_Options'!$E$2:$E$2")),8),""))</f>
        <v/>
      </c>
      <c r="I38" s="2" t="str">
        <f>IF(Theme_One_Q_MS_EXPORT_CT="(None)","",IFERROR(INDEX(INDIRECT(IFERROR(INDEX(Cross_Tab_Questions_Options_Names,MATCH(Theme_One_Q_MS_EXPORT_CT,Cross_Tab_Questions,0)),"'_Options'!$E$2:$E$2")),9),""))</f>
        <v/>
      </c>
      <c r="J38" s="2" t="str">
        <f>IF(Theme_One_Q_MS_EXPORT_CT="(None)","",IFERROR(INDEX(INDIRECT(IFERROR(INDEX(Cross_Tab_Questions_Options_Names,MATCH(Theme_One_Q_MS_EXPORT_CT,Cross_Tab_Questions,0)),"'_Options'!$E$2:$E$2")),10),""))</f>
        <v/>
      </c>
      <c r="K38" s="2" t="str">
        <f>IF(Theme_One_Q_MS_EXPORT_CT="(None)","",IFERROR(INDEX(INDIRECT(IFERROR(INDEX(Cross_Tab_Questions_Options_Names,MATCH(Theme_One_Q_MS_EXPORT_CT,Cross_Tab_Questions,0)),"'_Options'!$E$2:$E$2")),11),""))</f>
        <v/>
      </c>
      <c r="L38" s="2" t="str">
        <f>IF(Theme_One_Q_MS_EXPORT_CT="(None)","",IFERROR(INDEX(INDIRECT(IFERROR(INDEX(Cross_Tab_Questions_Options_Names,MATCH(Theme_One_Q_MS_EXPORT_CT,Cross_Tab_Questions,0)),"'_Options'!$E$2:$E$2")),12),""))</f>
        <v/>
      </c>
      <c r="M38" s="2" t="str">
        <f>IF(Theme_One_Q_MS_EXPORT_CT="(None)","",IF(COUNTA(INDIRECT(IFERROR(INDEX(Cross_Tab_Questions_Options_Names,MATCH(Theme_One_Q_MS_EXPORT_CT,Cross_Tab_Questions,0)),"'_Options'!$E$2:$E$2")))-1&gt;11,"Other",IFERROR(INDEX(INDIRECT(IFERROR(INDEX(Cross_Tab_Questions_Options_Names,MATCH(Theme_One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Theme_One_Q_MS_EXPORT_CT="(None)",B$38=""),"",IF(B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0.5</v>
      </c>
      <c r="C40" s="7">
        <f>IF(OR(Theme_One_Q_MS_EXPORT_CT="(None)",C$38=""),"",IF(C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0.5</v>
      </c>
      <c r="D40" s="7">
        <f>IF(OR(Theme_One_Q_MS_EXPORT_CT="(None)",D$38=""),"",IF(D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0.5</v>
      </c>
      <c r="E40" s="7">
        <f>IF(OR(Theme_One_Q_MS_EXPORT_CT="(None)",E$38=""),"",IF(E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0.5</v>
      </c>
      <c r="F40" s="7">
        <f>IF(OR(Theme_One_Q_MS_EXPORT_CT="(None)",F$38=""),"",IF(F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0.5</v>
      </c>
      <c r="G40" s="7">
        <f>IF(OR(Theme_One_Q_MS_EXPORT_CT="(None)",G$38=""),"",IF(G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0.5</v>
      </c>
      <c r="H40" s="7">
        <f>IF(OR(Theme_One_Q_MS_EXPORT_CT="(None)",H$38=""),"",IF(H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0.5</v>
      </c>
      <c r="I40" s="7">
        <f>IF(OR(Theme_One_Q_MS_EXPORT_CT="(None)",I$38=""),"",IF(I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0.5</v>
      </c>
      <c r="J40" s="7">
        <f>IF(OR(Theme_One_Q_MS_EXPORT_CT="(None)",J$38=""),"",IF(J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0.5</v>
      </c>
      <c r="K40" s="7">
        <f>IF(OR(Theme_One_Q_MS_EXPORT_CT="(None)",K$38=""),"",IF(K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0.5</v>
      </c>
      <c r="L40" s="7">
        <f>IF(OR(Theme_One_Q_MS_EXPORT_CT="(None)",L$38=""),"",IF(L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0.5</v>
      </c>
      <c r="M40" s="7">
        <f>IF(OR(Theme_One_Q_MS_EXPORT_CT="(None)",M$38=""),"",IF(M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0.5</v>
      </c>
      <c r="N40" s="7">
        <f>IF(Theme_One_Q_MS_EXPORT_CT="(None)","",IFERROR(COUNTIFS(Q_MS_EXPORTr1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0.5</v>
      </c>
    </row>
    <row r="41">
      <c r="A41" t="inlineStr">
        <is>
          <t>Second</t>
        </is>
      </c>
      <c r="B41" s="7">
        <f>IF(OR(Theme_One_Q_MS_EXPORT_CT="(None)",B$38=""),"",IF(B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0.2</v>
      </c>
      <c r="C41" s="7">
        <f>IF(OR(Theme_One_Q_MS_EXPORT_CT="(None)",C$38=""),"",IF(C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0.2</v>
      </c>
      <c r="D41" s="7">
        <f>IF(OR(Theme_One_Q_MS_EXPORT_CT="(None)",D$38=""),"",IF(D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0.2</v>
      </c>
      <c r="E41" s="7">
        <f>IF(OR(Theme_One_Q_MS_EXPORT_CT="(None)",E$38=""),"",IF(E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0.2</v>
      </c>
      <c r="F41" s="7">
        <f>IF(OR(Theme_One_Q_MS_EXPORT_CT="(None)",F$38=""),"",IF(F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0.2</v>
      </c>
      <c r="G41" s="7">
        <f>IF(OR(Theme_One_Q_MS_EXPORT_CT="(None)",G$38=""),"",IF(G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0.2</v>
      </c>
      <c r="H41" s="7">
        <f>IF(OR(Theme_One_Q_MS_EXPORT_CT="(None)",H$38=""),"",IF(H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0.2</v>
      </c>
      <c r="I41" s="7">
        <f>IF(OR(Theme_One_Q_MS_EXPORT_CT="(None)",I$38=""),"",IF(I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0.2</v>
      </c>
      <c r="J41" s="7">
        <f>IF(OR(Theme_One_Q_MS_EXPORT_CT="(None)",J$38=""),"",IF(J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0.2</v>
      </c>
      <c r="K41" s="7">
        <f>IF(OR(Theme_One_Q_MS_EXPORT_CT="(None)",K$38=""),"",IF(K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0.2</v>
      </c>
      <c r="L41" s="7">
        <f>IF(OR(Theme_One_Q_MS_EXPORT_CT="(None)",L$38=""),"",IF(L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0.2</v>
      </c>
      <c r="M41" s="7">
        <f>IF(OR(Theme_One_Q_MS_EXPORT_CT="(None)",M$38=""),"",IF(M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0.2</v>
      </c>
      <c r="N41" s="7">
        <f>IF(Theme_One_Q_MS_EXPORT_CT="(None)","",IFERROR(COUNTIFS(Q_MS_EXPORTr2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A23" s="4" t="inlineStr">
        <is>
          <t>Option</t>
        </is>
      </c>
      <c r="B23" s="2" t="str">
        <f>IF(Theme_Two_Q_NUM_EXPORT_CT="(None)","",IFERROR(INDEX(INDIRECT(IFERROR(INDEX(Cross_Tab_Questions_Options_Names,MATCH(Theme_Two_Q_NUM_EXPORT_CT,Cross_Tab_Questions,0)),"'_Options'!$E$2:$E$2")),2),""))</f>
        <v/>
      </c>
      <c r="C23" s="2" t="str">
        <f>IF(Theme_Two_Q_NUM_EXPORT_CT="(None)","",IFERROR(INDEX(INDIRECT(IFERROR(INDEX(Cross_Tab_Questions_Options_Names,MATCH(Theme_Two_Q_NUM_EXPORT_CT,Cross_Tab_Questions,0)),"'_Options'!$E$2:$E$2")),3),""))</f>
        <v/>
      </c>
      <c r="D23" s="2" t="str">
        <f>IF(Theme_Two_Q_NUM_EXPORT_CT="(None)","",IFERROR(INDEX(INDIRECT(IFERROR(INDEX(Cross_Tab_Questions_Options_Names,MATCH(Theme_Two_Q_NUM_EXPORT_CT,Cross_Tab_Questions,0)),"'_Options'!$E$2:$E$2")),4),""))</f>
        <v/>
      </c>
      <c r="E23" s="2" t="str">
        <f>IF(Theme_Two_Q_NUM_EXPORT_CT="(None)","",IFERROR(INDEX(INDIRECT(IFERROR(INDEX(Cross_Tab_Questions_Options_Names,MATCH(Theme_Two_Q_NUM_EXPORT_CT,Cross_Tab_Questions,0)),"'_Options'!$E$2:$E$2")),5),""))</f>
        <v/>
      </c>
      <c r="F23" s="2" t="str">
        <f>IF(Theme_Two_Q_NUM_EXPORT_CT="(None)","",IFERROR(INDEX(INDIRECT(IFERROR(INDEX(Cross_Tab_Questions_Options_Names,MATCH(Theme_Two_Q_NUM_EXPORT_CT,Cross_Tab_Questions,0)),"'_Options'!$E$2:$E$2")),6),""))</f>
        <v/>
      </c>
      <c r="G23" s="2" t="str">
        <f>IF(Theme_Two_Q_NUM_EXPORT_CT="(None)","",IFERROR(INDEX(INDIRECT(IFERROR(INDEX(Cross_Tab_Questions_Options_Names,MATCH(Theme_Two_Q_NUM_EXPORT_CT,Cross_Tab_Questions,0)),"'_Options'!$E$2:$E$2")),7),""))</f>
        <v/>
      </c>
      <c r="H23" s="2" t="str">
        <f>IF(Theme_Two_Q_NUM_EXPORT_CT="(None)","",IFERROR(INDEX(INDIRECT(IFERROR(INDEX(Cross_Tab_Questions_Options_Names,MATCH(Theme_Two_Q_NUM_EXPORT_CT,Cross_Tab_Questions,0)),"'_Options'!$E$2:$E$2")),8),""))</f>
        <v/>
      </c>
      <c r="I23" s="2" t="str">
        <f>IF(Theme_Two_Q_NUM_EXPORT_CT="(None)","",IFERROR(INDEX(INDIRECT(IFERROR(INDEX(Cross_Tab_Questions_Options_Names,MATCH(Theme_Two_Q_NUM_EXPORT_CT,Cross_Tab_Questions,0)),"'_Options'!$E$2:$E$2")),9),""))</f>
        <v/>
      </c>
      <c r="J23" s="2" t="str">
        <f>IF(Theme_Two_Q_NUM_EXPORT_CT="(None)","",IFERROR(INDEX(INDIRECT(IFERROR(INDEX(Cross_Tab_Questions_Options_Names,MATCH(Theme_Two_Q_NUM_EXPORT_CT,Cross_Tab_Questions,0)),"'_Options'!$E$2:$E$2")),10),""))</f>
        <v/>
      </c>
      <c r="K23" s="2" t="str">
        <f>IF(Theme_Two_Q_NUM_EXPORT_CT="(None)","",IFERROR(INDEX(INDIRECT(IFERROR(INDEX(Cross_Tab_Questions_Options_Names,MATCH(Theme_Two_Q_NUM_EXPORT_CT,Cross_Tab_Questions,0)),"'_Options'!$E$2:$E$2")),11),""))</f>
        <v/>
      </c>
      <c r="L23" s="2" t="str">
        <f>IF(Theme_Two_Q_NUM_EXPORT_CT="(None)","",IFERROR(INDEX(INDIRECT(IFERROR(INDEX(Cross_Tab_Questions_Options_Names,MATCH(Theme_Two_Q_NUM_EXPORT_CT,Cross_Tab_Questions,0)),"'_Options'!$E$2:$E$2")),12),""))</f>
        <v/>
      </c>
      <c r="M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Mean</t>
        </is>
      </c>
      <c r="C24" s="4" t="inlineStr">
        <is>
          <t>Mean</t>
        </is>
      </c>
      <c r="D24" s="4" t="inlineStr">
        <is>
          <t>Mean</t>
        </is>
      </c>
      <c r="E24" s="4" t="inlineStr">
        <is>
          <t>Mean</t>
        </is>
      </c>
      <c r="F24" s="4" t="inlineStr">
        <is>
          <t>Mean</t>
        </is>
      </c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</row>
    <row r="25">
      <c r="A25" t="inlineStr">
        <is>
          <t>Numeric export question</t>
        </is>
      </c>
      <c r="B25" s="16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5.5</v>
      </c>
      <c r="C25" s="16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5.5</v>
      </c>
      <c r="D25" s="16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5.5</v>
      </c>
      <c r="E25" s="16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5.5</v>
      </c>
      <c r="F25" s="16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5.5</v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B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13" t="str">
        <f>"|" &amp; SUBSTITUTE(All_Questions_Q_GRID_EXPORT_F_V, ", ", "|") &amp; "|"</f>
        <v>|(All)|</v>
      </c>
      <c r="H13" t="str">
        <f>IFERROR(INDEX(All_Questions_Value_Criteria,MATCH(All_Questions_Q_GRID_EXPORT_F_Q&amp;"|"&amp;All_Questions_Q_GRID_EXPORT_F_V,All_Questions_Value_Keys,0)),All_Questions_Q_GRID_EXPORT_F_V)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High</t>
        </is>
      </c>
      <c r="D15" s="2" t="n"/>
      <c r="E15" s="4" t="inlineStr">
        <is>
          <t>Low</t>
        </is>
      </c>
      <c r="F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</row>
    <row r="17">
      <c r="A17" s="17" t="inlineStr">
        <is>
          <t>Q_GRID_EXPORTr1</t>
        </is>
      </c>
      <c r="B17" t="inlineStr">
        <is>
          <t>Grid first row</t>
        </is>
      </c>
      <c r="C17">
        <f>COUNTIFS(Q_GRID_EXPORTr1_data,"High",passes_workbook_filters_data,1,passes_workbook_custom_filters_data,1,All_Questions_passes_local_filters_data,1,All_Questions_Q_GRID_EXPORT_F_passes_per_q_filter_data,1)</f>
        <v>6</v>
      </c>
      <c r="D17" s="7">
        <f>IFERROR(C17/10,0)</f>
        <v>0.6</v>
      </c>
      <c r="E17">
        <f>COUNTIFS(Q_GRID_EXPORTr1_data,"Low",passes_workbook_filters_data,1,passes_workbook_custom_filters_data,1,All_Questions_passes_local_filters_data,1,All_Questions_Q_GRID_EXPORT_F_passes_per_q_filter_data,1)</f>
        <v>4</v>
      </c>
      <c r="F17" s="7">
        <f>IFERROR(E17/10,0)</f>
        <v>0.4</v>
      </c>
    </row>
    <row r="18">
      <c r="A18" s="17" t="inlineStr">
        <is>
          <t>Q_GRID_EXPORTr2</t>
        </is>
      </c>
      <c r="B18" t="inlineStr">
        <is>
          <t>Grid second row</t>
        </is>
      </c>
      <c r="C18">
        <f>COUNTIFS(Q_GRID_EXPORTr2_data,"High",passes_workbook_filters_data,1,passes_workbook_custom_filters_data,1,All_Questions_passes_local_filters_data,1,All_Questions_Q_GRID_EXPORT_F_passes_per_q_filter_data,1)</f>
        <v>5</v>
      </c>
      <c r="D18" s="7">
        <f>IFERROR(C18/10,0)</f>
        <v>0.5</v>
      </c>
      <c r="E18">
        <f>COUNTIFS(Q_GRID_EXPORTr2_data,"Low",passes_workbook_filters_data,1,passes_workbook_custom_filters_data,1,All_Questions_passes_local_filters_data,1,All_Questions_Q_GRID_EXPORT_F_passes_per_q_filter_data,1)</f>
        <v>5</v>
      </c>
      <c r="F18" s="7">
        <f>IFERROR(E18/10,0)</f>
        <v>0.5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E19" s="15" t="n"/>
      <c r="F19" s="15" t="n"/>
    </row>
    <row r="20">
      <c r="A20" s="4" t="inlineStr">
        <is>
          <t>Total responses</t>
        </is>
      </c>
      <c r="B20" s="4" t="n">
        <v>20</v>
      </c>
      <c r="C20" s="4" t="n"/>
      <c r="D20" s="4" t="n"/>
      <c r="E20" s="4" t="n"/>
      <c r="F20" s="4" t="n"/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24" t="str">
        <f>"|" &amp; SUBSTITUTE(All_Questions_Q_VERY_LONG_SINGLE_SELECT_EXPORT_NAME_F_V, ", ", "|") &amp; "|"</f>
        <v>|(All)|</v>
      </c>
      <c r="H2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</row>
    <row r="31"/>
    <row r="32">
      <c r="A32" s="4" t="inlineStr">
        <is>
          <t>Option</t>
        </is>
      </c>
      <c r="B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3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32" s="4" t="inlineStr">
        <is>
          <t>Total</t>
        </is>
      </c>
    </row>
    <row r="33">
      <c r="A33" s="4" t="inlineStr"/>
      <c r="B33" s="4" t="inlineStr">
        <is>
          <t># of resp</t>
        </is>
      </c>
      <c r="C33" s="4" t="inlineStr">
        <is>
          <t># of resp</t>
        </is>
      </c>
      <c r="D33" s="4" t="inlineStr">
        <is>
          <t># of resp</t>
        </is>
      </c>
      <c r="E33" s="4" t="inlineStr">
        <is>
          <t># of resp</t>
        </is>
      </c>
      <c r="F33" s="4" t="inlineStr">
        <is>
          <t># of resp</t>
        </is>
      </c>
      <c r="G33" s="4" t="inlineStr">
        <is>
          <t># of resp</t>
        </is>
      </c>
      <c r="H33" s="4" t="inlineStr">
        <is>
          <t># of resp</t>
        </is>
      </c>
      <c r="I33" s="4" t="inlineStr">
        <is>
          <t># of resp</t>
        </is>
      </c>
      <c r="J33" s="4" t="inlineStr">
        <is>
          <t># of resp</t>
        </is>
      </c>
      <c r="K33" s="4" t="inlineStr">
        <is>
          <t># of resp</t>
        </is>
      </c>
      <c r="L33" s="4" t="inlineStr">
        <is>
          <t># of resp</t>
        </is>
      </c>
      <c r="M33" s="4" t="inlineStr">
        <is>
          <t># of resp</t>
        </is>
      </c>
      <c r="N33" s="4" t="inlineStr">
        <is>
          <t># of resp</t>
        </is>
      </c>
    </row>
    <row r="34">
      <c r="A34" t="inlineStr">
        <is>
          <t>A</t>
        </is>
      </c>
      <c r="B34" s="14">
        <f>IF(OR(All_Questions_Q_VERY_LONG_SINGLE_SELECT_EXPORT_NAME_CT="(None)",B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$32))</f>
        <v>0</v>
      </c>
      <c r="C34" s="14">
        <f>IF(OR(All_Questions_Q_VERY_LONG_SINGLE_SELECT_EXPORT_NAME_CT="(None)",C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$32))</f>
        <v>0</v>
      </c>
      <c r="D34" s="14">
        <f>IF(OR(All_Questions_Q_VERY_LONG_SINGLE_SELECT_EXPORT_NAME_CT="(None)",D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$32))</f>
        <v>0</v>
      </c>
      <c r="E34" s="14">
        <f>IF(OR(All_Questions_Q_VERY_LONG_SINGLE_SELECT_EXPORT_NAME_CT="(None)",E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$32))</f>
        <v>0</v>
      </c>
      <c r="F34" s="14">
        <f>IF(OR(All_Questions_Q_VERY_LONG_SINGLE_SELECT_EXPORT_NAME_CT="(None)",F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$32))</f>
        <v>0</v>
      </c>
      <c r="G34" s="14">
        <f>IF(OR(All_Questions_Q_VERY_LONG_SINGLE_SELECT_EXPORT_NAME_CT="(None)",G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$32))</f>
        <v>0</v>
      </c>
      <c r="H34" s="14">
        <f>IF(OR(All_Questions_Q_VERY_LONG_SINGLE_SELECT_EXPORT_NAME_CT="(None)",H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$32))</f>
        <v>0</v>
      </c>
      <c r="I34" s="14">
        <f>IF(OR(All_Questions_Q_VERY_LONG_SINGLE_SELECT_EXPORT_NAME_CT="(None)",I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$32))</f>
        <v>0</v>
      </c>
      <c r="J34" s="14">
        <f>IF(OR(All_Questions_Q_VERY_LONG_SINGLE_SELECT_EXPORT_NAME_CT="(None)",J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$32))</f>
        <v>0</v>
      </c>
      <c r="K34" s="14">
        <f>IF(OR(All_Questions_Q_VERY_LONG_SINGLE_SELECT_EXPORT_NAME_CT="(None)",K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$32))</f>
        <v>0</v>
      </c>
      <c r="L34" s="14">
        <f>IF(OR(All_Questions_Q_VERY_LONG_SINGLE_SELECT_EXPORT_NAME_CT="(None)",L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$32))</f>
        <v>0</v>
      </c>
      <c r="M34" s="14">
        <f>IF(OR(All_Questions_Q_VERY_LONG_SINGLE_SELECT_EXPORT_NAME_CT="(None)",M$32=""),"",IF(M$32="Other",COUNTIFS(Q_VERY_LONG_SINGLE_SELECT_EXPOR_data,"A",passes_workbook_filters_data,1,passes_workbook_custom_filters_data,1,All_Questions_passes_local_filters_data,1,All_Questions_Q_VERY_LONG_SINGLE_SELECT_EXPORT_NAME_F_passes_per_q_filter_data,1)-SUM(B34,C34,D34,E34,F34,G34,H34,I34,J34,K34,L34)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$32)))</f>
        <v>0</v>
      </c>
      <c r="N3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5">
      <c r="A35" t="inlineStr">
        <is>
          <t>B</t>
        </is>
      </c>
      <c r="B35" s="14">
        <f>IF(OR(All_Questions_Q_VERY_LONG_SINGLE_SELECT_EXPORT_NAME_CT="(None)",B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$32))</f>
        <v>0</v>
      </c>
      <c r="C35" s="14">
        <f>IF(OR(All_Questions_Q_VERY_LONG_SINGLE_SELECT_EXPORT_NAME_CT="(None)",C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$32))</f>
        <v>0</v>
      </c>
      <c r="D35" s="14">
        <f>IF(OR(All_Questions_Q_VERY_LONG_SINGLE_SELECT_EXPORT_NAME_CT="(None)",D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$32))</f>
        <v>0</v>
      </c>
      <c r="E35" s="14">
        <f>IF(OR(All_Questions_Q_VERY_LONG_SINGLE_SELECT_EXPORT_NAME_CT="(None)",E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$32))</f>
        <v>0</v>
      </c>
      <c r="F35" s="14">
        <f>IF(OR(All_Questions_Q_VERY_LONG_SINGLE_SELECT_EXPORT_NAME_CT="(None)",F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$32))</f>
        <v>0</v>
      </c>
      <c r="G35" s="14">
        <f>IF(OR(All_Questions_Q_VERY_LONG_SINGLE_SELECT_EXPORT_NAME_CT="(None)",G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$32))</f>
        <v>0</v>
      </c>
      <c r="H35" s="14">
        <f>IF(OR(All_Questions_Q_VERY_LONG_SINGLE_SELECT_EXPORT_NAME_CT="(None)",H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$32))</f>
        <v>0</v>
      </c>
      <c r="I35" s="14">
        <f>IF(OR(All_Questions_Q_VERY_LONG_SINGLE_SELECT_EXPORT_NAME_CT="(None)",I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$32))</f>
        <v>0</v>
      </c>
      <c r="J35" s="14">
        <f>IF(OR(All_Questions_Q_VERY_LONG_SINGLE_SELECT_EXPORT_NAME_CT="(None)",J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$32))</f>
        <v>0</v>
      </c>
      <c r="K35" s="14">
        <f>IF(OR(All_Questions_Q_VERY_LONG_SINGLE_SELECT_EXPORT_NAME_CT="(None)",K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$32))</f>
        <v>0</v>
      </c>
      <c r="L35" s="14">
        <f>IF(OR(All_Questions_Q_VERY_LONG_SINGLE_SELECT_EXPORT_NAME_CT="(None)",L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$32))</f>
        <v>0</v>
      </c>
      <c r="M35" s="14">
        <f>IF(OR(All_Questions_Q_VERY_LONG_SINGLE_SELECT_EXPORT_NAME_CT="(None)",M$32=""),"",IF(M$32="Other",COUNTIFS(Q_VERY_LONG_SINGLE_SELECT_EXPOR_data,"B",passes_workbook_filters_data,1,passes_workbook_custom_filters_data,1,All_Questions_passes_local_filters_data,1,All_Questions_Q_VERY_LONG_SINGLE_SELECT_EXPORT_NAME_F_passes_per_q_filter_data,1)-SUM(B35,C35,D35,E35,F35,G35,H35,I35,J35,K35,L35)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$32)))</f>
        <v>0</v>
      </c>
      <c r="N3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6">
      <c r="A36" s="4" t="inlineStr">
        <is>
          <t>Total respondents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15:F15"/>
    <mergeCell ref="C15:D15"/>
    <mergeCell ref="A1:J1"/>
  </mergeCells>
  <conditionalFormatting sqref="D17:D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4:B3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4:C3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4:D3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4:E3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4:F3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4:G3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4:H3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4:I3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4:J3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4:K3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4:L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4:M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4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One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Theme_One_Q_MS_EXPORT_CT = B$38</t>
        </is>
      </c>
      <c r="H9">
        <f>IF(OR(Theme_One_Q_MS_EXPORT_CT="(None)",B$38=""),"",IF(B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2026-06-09T11:20:34.001302+00:00</t>
        </is>
      </c>
    </row>
    <row r="10">
      <c r="A10" t="inlineStr">
        <is>
          <t>Theme One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Theme_One_Q_MS_EXPORT_CT = C$38</t>
        </is>
      </c>
      <c r="H10">
        <f>IF(OR(Theme_One_Q_MS_EXPORT_CT="(None)",C$38=""),"",IF(C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2026-06-09T11:20:34.001596+00:00</t>
        </is>
      </c>
    </row>
    <row r="11">
      <c r="A11" t="inlineStr">
        <is>
          <t>Theme One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Theme_One_Q_MS_EXPORT_CT = D$38</t>
        </is>
      </c>
      <c r="H11">
        <f>IF(OR(Theme_One_Q_MS_EXPORT_CT="(None)",D$38=""),"",IF(D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2026-06-09T11:20:34.001872+00:00</t>
        </is>
      </c>
    </row>
    <row r="12">
      <c r="A12" t="inlineStr">
        <is>
          <t>Theme One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Theme_One_Q_MS_EXPORT_CT = E$38</t>
        </is>
      </c>
      <c r="H12">
        <f>IF(OR(Theme_One_Q_MS_EXPORT_CT="(None)",E$38=""),"",IF(E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2026-06-09T11:20:34.002204+00:00</t>
        </is>
      </c>
    </row>
    <row r="13">
      <c r="A13" t="inlineStr">
        <is>
          <t>Theme One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Theme_One_Q_MS_EXPORT_CT = F$38</t>
        </is>
      </c>
      <c r="H13">
        <f>IF(OR(Theme_One_Q_MS_EXPORT_CT="(None)",F$38=""),"",IF(F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2026-06-09T11:20:34.002474+00:00</t>
        </is>
      </c>
    </row>
    <row r="14">
      <c r="A14" t="inlineStr">
        <is>
          <t>Theme One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Theme_One_Q_MS_EXPORT_CT = G$38</t>
        </is>
      </c>
      <c r="H14">
        <f>IF(OR(Theme_One_Q_MS_EXPORT_CT="(None)",G$38=""),"",IF(G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2026-06-09T11:20:34.002742+00:00</t>
        </is>
      </c>
    </row>
    <row r="15">
      <c r="A15" t="inlineStr">
        <is>
          <t>Theme One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Theme_One_Q_MS_EXPORT_CT = H$38</t>
        </is>
      </c>
      <c r="H15">
        <f>IF(OR(Theme_One_Q_MS_EXPORT_CT="(None)",H$38=""),"",IF(H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2026-06-09T11:20:34.003064+00:00</t>
        </is>
      </c>
    </row>
    <row r="16">
      <c r="A16" t="inlineStr">
        <is>
          <t>Theme One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Theme_One_Q_MS_EXPORT_CT = I$38</t>
        </is>
      </c>
      <c r="H16">
        <f>IF(OR(Theme_One_Q_MS_EXPORT_CT="(None)",I$38=""),"",IF(I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2026-06-09T11:20:34.003339+00:00</t>
        </is>
      </c>
    </row>
    <row r="17">
      <c r="A17" t="inlineStr">
        <is>
          <t>Theme One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Theme_One_Q_MS_EXPORT_CT = J$38</t>
        </is>
      </c>
      <c r="H17">
        <f>IF(OR(Theme_One_Q_MS_EXPORT_CT="(None)",J$38=""),"",IF(J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2026-06-09T11:20:34.003604+00:00</t>
        </is>
      </c>
    </row>
    <row r="18">
      <c r="A18" t="inlineStr">
        <is>
          <t>Theme One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Theme_One_Q_MS_EXPORT_CT = K$38</t>
        </is>
      </c>
      <c r="H18">
        <f>IF(OR(Theme_One_Q_MS_EXPORT_CT="(None)",K$38=""),"",IF(K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2026-06-09T11:20:34.003868+00:00</t>
        </is>
      </c>
    </row>
    <row r="19">
      <c r="A19" t="inlineStr">
        <is>
          <t>Theme One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Theme_One_Q_MS_EXPORT_CT = L$38</t>
        </is>
      </c>
      <c r="H19">
        <f>IF(OR(Theme_One_Q_MS_EXPORT_CT="(None)",L$38=""),"",IF(L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2026-06-09T11:20:34.004222+00:00</t>
        </is>
      </c>
    </row>
    <row r="20">
      <c r="A20" t="inlineStr">
        <is>
          <t>Theme One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Theme_One_Q_MS_EXPORT_CT = M$38</t>
        </is>
      </c>
      <c r="H20">
        <f>IF(OR(Theme_One_Q_MS_EXPORT_CT="(None)",M$38=""),"",IF(M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2026-06-09T11:20:34.004571+00:00</t>
        </is>
      </c>
    </row>
    <row r="21">
      <c r="A21" t="inlineStr">
        <is>
          <t>Theme One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Theme_One_Q_MS_EXPORT_CT = B$38</t>
        </is>
      </c>
      <c r="H21">
        <f>IF(OR(Theme_One_Q_MS_EXPORT_CT="(None)",B$38=""),"",IF(B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2026-06-09T11:20:34.005109+00:00</t>
        </is>
      </c>
    </row>
    <row r="22">
      <c r="A22" t="inlineStr">
        <is>
          <t>Theme One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Theme_One_Q_MS_EXPORT_CT = C$38</t>
        </is>
      </c>
      <c r="H22">
        <f>IF(OR(Theme_One_Q_MS_EXPORT_CT="(None)",C$38=""),"",IF(C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2026-06-09T11:20:34.005381+00:00</t>
        </is>
      </c>
    </row>
    <row r="23">
      <c r="A23" t="inlineStr">
        <is>
          <t>Theme One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Theme_One_Q_MS_EXPORT_CT = D$38</t>
        </is>
      </c>
      <c r="H23">
        <f>IF(OR(Theme_One_Q_MS_EXPORT_CT="(None)",D$38=""),"",IF(D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2026-06-09T11:20:34.005648+00:00</t>
        </is>
      </c>
    </row>
    <row r="24">
      <c r="A24" t="inlineStr">
        <is>
          <t>Theme One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Theme_One_Q_MS_EXPORT_CT = E$38</t>
        </is>
      </c>
      <c r="H24">
        <f>IF(OR(Theme_One_Q_MS_EXPORT_CT="(None)",E$38=""),"",IF(E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2026-06-09T11:20:34.005929+00:00</t>
        </is>
      </c>
    </row>
    <row r="25">
      <c r="A25" t="inlineStr">
        <is>
          <t>Theme One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Theme_One_Q_MS_EXPORT_CT = F$38</t>
        </is>
      </c>
      <c r="H25">
        <f>IF(OR(Theme_One_Q_MS_EXPORT_CT="(None)",F$38=""),"",IF(F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2026-06-09T11:20:34.006232+00:00</t>
        </is>
      </c>
    </row>
    <row r="26">
      <c r="A26" t="inlineStr">
        <is>
          <t>Theme One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Theme_One_Q_MS_EXPORT_CT = G$38</t>
        </is>
      </c>
      <c r="H26">
        <f>IF(OR(Theme_One_Q_MS_EXPORT_CT="(None)",G$38=""),"",IF(G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2026-06-09T11:20:34.006498+00:00</t>
        </is>
      </c>
    </row>
    <row r="27">
      <c r="A27" t="inlineStr">
        <is>
          <t>Theme One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Theme_One_Q_MS_EXPORT_CT = H$38</t>
        </is>
      </c>
      <c r="H27">
        <f>IF(OR(Theme_One_Q_MS_EXPORT_CT="(None)",H$38=""),"",IF(H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2026-06-09T11:20:34.006761+00:00</t>
        </is>
      </c>
    </row>
    <row r="28">
      <c r="A28" t="inlineStr">
        <is>
          <t>Theme One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Theme_One_Q_MS_EXPORT_CT = I$38</t>
        </is>
      </c>
      <c r="H28">
        <f>IF(OR(Theme_One_Q_MS_EXPORT_CT="(None)",I$38=""),"",IF(I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2026-06-09T11:20:34.007075+00:00</t>
        </is>
      </c>
    </row>
    <row r="29">
      <c r="A29" t="inlineStr">
        <is>
          <t>Theme One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Theme_One_Q_MS_EXPORT_CT = J$38</t>
        </is>
      </c>
      <c r="H29">
        <f>IF(OR(Theme_One_Q_MS_EXPORT_CT="(None)",J$38=""),"",IF(J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2026-06-09T11:20:34.007344+00:00</t>
        </is>
      </c>
    </row>
    <row r="30">
      <c r="A30" t="inlineStr">
        <is>
          <t>Theme One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Theme_One_Q_MS_EXPORT_CT = K$38</t>
        </is>
      </c>
      <c r="H30">
        <f>IF(OR(Theme_One_Q_MS_EXPORT_CT="(None)",K$38=""),"",IF(K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2026-06-09T11:20:34.007608+00:00</t>
        </is>
      </c>
    </row>
    <row r="31">
      <c r="A31" t="inlineStr">
        <is>
          <t>Theme One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Theme_One_Q_MS_EXPORT_CT = L$38</t>
        </is>
      </c>
      <c r="H31">
        <f>IF(OR(Theme_One_Q_MS_EXPORT_CT="(None)",L$38=""),"",IF(L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2026-06-09T11:20:34.007873+00:00</t>
        </is>
      </c>
    </row>
    <row r="32">
      <c r="A32" t="inlineStr">
        <is>
          <t>Theme One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Theme_One_Q_MS_EXPORT_CT = M$38</t>
        </is>
      </c>
      <c r="H32">
        <f>IF(OR(Theme_One_Q_MS_EXPORT_CT="(None)",M$38=""),"",IF(M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2026-06-09T11:20:34.008269+00:00</t>
        </is>
      </c>
    </row>
    <row r="33">
      <c r="A33" t="inlineStr">
        <is>
          <t>Theme Two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Theme_Two_Q_NUM_EXPORT_CT = B$23</t>
        </is>
      </c>
      <c r="H33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0</v>
      </c>
      <c r="I33" t="n">
        <v>5.5</v>
      </c>
      <c r="J33" t="n">
        <v>0</v>
      </c>
      <c r="K33" t="n">
        <v>0</v>
      </c>
      <c r="L33" t="inlineStr">
        <is>
          <t>2026-06-09T11:20:34.045628+00:00</t>
        </is>
      </c>
    </row>
    <row r="34">
      <c r="A34" t="inlineStr">
        <is>
          <t>Theme Two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Theme_Two_Q_NUM_EXPORT_CT = C$23</t>
        </is>
      </c>
      <c r="H34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0</v>
      </c>
      <c r="I34" t="n">
        <v>5.5</v>
      </c>
      <c r="J34" t="n">
        <v>0</v>
      </c>
      <c r="K34" t="n">
        <v>0</v>
      </c>
      <c r="L34" t="inlineStr">
        <is>
          <t>2026-06-09T11:20:34.045841+00:00</t>
        </is>
      </c>
    </row>
    <row r="35">
      <c r="A35" t="inlineStr">
        <is>
          <t>Theme Two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Theme_Two_Q_NUM_EXPORT_CT = D$23</t>
        </is>
      </c>
      <c r="H35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0</v>
      </c>
      <c r="I35" t="n">
        <v>5.5</v>
      </c>
      <c r="J35" t="n">
        <v>0</v>
      </c>
      <c r="K35" t="n">
        <v>0</v>
      </c>
      <c r="L35" t="inlineStr">
        <is>
          <t>2026-06-09T11:20:34.046084+00:00</t>
        </is>
      </c>
    </row>
    <row r="36">
      <c r="A36" t="inlineStr">
        <is>
          <t>Theme Two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Theme_Two_Q_NUM_EXPORT_CT = E$23</t>
        </is>
      </c>
      <c r="H36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0</v>
      </c>
      <c r="I36" t="n">
        <v>5.5</v>
      </c>
      <c r="J36" t="n">
        <v>0</v>
      </c>
      <c r="K36" t="n">
        <v>0</v>
      </c>
      <c r="L36" t="inlineStr">
        <is>
          <t>2026-06-09T11:20:34.046276+00:00</t>
        </is>
      </c>
    </row>
    <row r="37">
      <c r="A37" t="inlineStr">
        <is>
          <t>Theme Two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Theme_Two_Q_NUM_EXPORT_CT = F$23</t>
        </is>
      </c>
      <c r="H37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0</v>
      </c>
      <c r="I37" t="n">
        <v>5.5</v>
      </c>
      <c r="J37" t="n">
        <v>0</v>
      </c>
      <c r="K37" t="n">
        <v>0</v>
      </c>
      <c r="L37" t="inlineStr">
        <is>
          <t>2026-06-09T11:20:34.046460+00:00</t>
        </is>
      </c>
    </row>
    <row r="38">
      <c r="A38" t="inlineStr">
        <is>
          <t>Theme Two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Theme_Two_Q_NUM_EXPORT_CT = G$23</t>
        </is>
      </c>
      <c r="H38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38" t="n">
        <v>5.5</v>
      </c>
      <c r="J38" t="n">
        <v>0</v>
      </c>
      <c r="K38" t="n">
        <v>0</v>
      </c>
      <c r="L38" t="inlineStr">
        <is>
          <t>2026-06-09T11:20:34.046643+00:00</t>
        </is>
      </c>
    </row>
    <row r="39">
      <c r="A39" t="inlineStr">
        <is>
          <t>Theme Two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Theme_Two_Q_NUM_EXPORT_CT = H$23</t>
        </is>
      </c>
      <c r="H39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39" t="n">
        <v>5.5</v>
      </c>
      <c r="J39" t="n">
        <v>0</v>
      </c>
      <c r="K39" t="n">
        <v>0</v>
      </c>
      <c r="L39" t="inlineStr">
        <is>
          <t>2026-06-09T11:20:34.046828+00:00</t>
        </is>
      </c>
    </row>
    <row r="40">
      <c r="A40" t="inlineStr">
        <is>
          <t>Theme Two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Theme_Two_Q_NUM_EXPORT_CT = I$23</t>
        </is>
      </c>
      <c r="H40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40" t="n">
        <v>5.5</v>
      </c>
      <c r="J40" t="n">
        <v>0</v>
      </c>
      <c r="K40" t="n">
        <v>0</v>
      </c>
      <c r="L40" t="inlineStr">
        <is>
          <t>2026-06-09T11:20:34.047068+00:00</t>
        </is>
      </c>
    </row>
    <row r="41">
      <c r="A41" t="inlineStr">
        <is>
          <t>Theme Two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Theme_Two_Q_NUM_EXPORT_CT = J$23</t>
        </is>
      </c>
      <c r="H41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41" t="n">
        <v>5.5</v>
      </c>
      <c r="J41" t="n">
        <v>0</v>
      </c>
      <c r="K41" t="n">
        <v>0</v>
      </c>
      <c r="L41" t="inlineStr">
        <is>
          <t>2026-06-09T11:20:34.047256+00:00</t>
        </is>
      </c>
    </row>
    <row r="42">
      <c r="A42" t="inlineStr">
        <is>
          <t>Theme Two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Theme_Two_Q_NUM_EXPORT_CT = K$23</t>
        </is>
      </c>
      <c r="H42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42" t="n">
        <v>5.5</v>
      </c>
      <c r="J42" t="n">
        <v>0</v>
      </c>
      <c r="K42" t="n">
        <v>0</v>
      </c>
      <c r="L42" t="inlineStr">
        <is>
          <t>2026-06-09T11:20:34.047441+00:00</t>
        </is>
      </c>
    </row>
    <row r="43">
      <c r="A43" t="inlineStr">
        <is>
          <t>Theme Two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Theme_Two_Q_NUM_EXPORT_CT = L$23</t>
        </is>
      </c>
      <c r="H43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43" t="n">
        <v>5.5</v>
      </c>
      <c r="J43" t="n">
        <v>0</v>
      </c>
      <c r="K43" t="n">
        <v>0</v>
      </c>
      <c r="L43" t="inlineStr">
        <is>
          <t>2026-06-09T11:20:34.047627+00:00</t>
        </is>
      </c>
    </row>
    <row r="44">
      <c r="A44" t="inlineStr">
        <is>
          <t>Theme Two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Theme_Two_Q_NUM_EXPORT_CT = M$23</t>
        </is>
      </c>
      <c r="H44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44" t="n">
        <v>5.5</v>
      </c>
      <c r="J44" t="n">
        <v>0</v>
      </c>
      <c r="K44" t="n">
        <v>0</v>
      </c>
      <c r="L44" t="inlineStr">
        <is>
          <t>2026-06-09T11:20:34.047890+00:00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2026-06-09T11:20:33Z</dcterms:created>
  <dcterms:modified xmlns:dcterms="http://purl.org/dc/terms/" xmlns:xsi="http://www.w3.org/2001/XMLSchema-instance" xsi:type="dcterms:W3CDTF">2026-06-09T11:20:34Z</dcterms:modified>
</cp:coreProperties>
</file>