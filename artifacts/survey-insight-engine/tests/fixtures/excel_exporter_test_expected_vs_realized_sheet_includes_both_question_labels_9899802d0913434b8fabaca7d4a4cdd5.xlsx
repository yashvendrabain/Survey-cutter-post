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'_Options'!$A$2:$A$8</definedName>
    <definedName name="All_Questions_Local">'_Options'!$B$2:$B$9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'_Options'!$C$2:$C$8</definedName>
    <definedName name="All_Questions_Options_Names">'_Options'!$D$2:$D$8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Questions'!$C$58</definedName>
    <definedName name="All_Questions_Q_VERY_LONG_SINGLE_SELECT_EXPORT_NAME_F_V">'All Questions'!$E$58</definedName>
    <definedName name="All_Questions_Q_VERY_LONG_SINGLE_SELECT_EXPORT_NAME_F_resolved_column">'All Questions'!$F$58</definedName>
    <definedName name="All_Questions_Q_VERY_LONG_SINGLE_SELECT_EXPORT_NAME_F_wrapped">'All Questions'!$G$58</definedName>
    <definedName name="All_Questions_Q_VERY_LONG_SINGLE_SELECT_EXPORT_NAME_F_passes_per_q_filter_data">'_RawData'!$W$2:$W$11</definedName>
    <definedName name="All_Questions_Q_VERY_LONG_SINGLE_SELECT_EXPORT_NAME_CT">'All Questions'!$C$59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C51" i="7"/>
  <c r="D51" i="7"/>
  <c r="E51" i="7"/>
  <c r="F51" i="7"/>
  <c r="C52" i="7"/>
  <c r="D52" i="7"/>
  <c r="E52" i="7"/>
  <c r="F52" i="7"/>
  <c r="F58" i="7"/>
  <c r="G58" i="7"/>
  <c r="G61" i="7"/>
  <c r="H61" i="7"/>
  <c r="I61" i="7"/>
  <c r="J61" i="7"/>
  <c r="K61" i="7"/>
  <c r="L61" i="7"/>
  <c r="M61" i="7"/>
  <c r="N61" i="7"/>
  <c r="O61" i="7"/>
  <c r="P61" i="7"/>
  <c r="Q61" i="7"/>
  <c r="R61" i="7"/>
  <c r="B62" i="7"/>
  <c r="C62" i="7"/>
  <c r="D62" i="7"/>
  <c r="B63" i="7"/>
  <c r="C63" i="7"/>
  <c r="D63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S65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2" headerRowCount="1">
  <autoFilter ref="A37:D4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61_1" displayName="T_All_Questions_61_1" ref="A61:D64" headerRowCount="1">
  <autoFilter ref="A61:D6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Q_MS_EXPORT - Multi Select Export Question - First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'_Options'!$G$2:$G$3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Q_MS_EXPORT - Multi Select Export Question - Second</t>
        </is>
      </c>
      <c r="B5" t="inlineStr">
        <is>
          <t>Q_MS_EXPORT - Multi Select Export Question - First</t>
        </is>
      </c>
      <c r="C5" t="inlineStr">
        <is>
          <t>'_RawData'!$D$2:$D$11</t>
        </is>
      </c>
      <c r="D5" t="inlineStr">
        <is>
          <t>'_Options'!$H$2:$H$3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Q_GRID_EXPORT - Grid Export Question - Grid first row</t>
        </is>
      </c>
      <c r="B6" t="inlineStr">
        <is>
          <t>Q_MS_EXPORT - Multi Select Export Question - Second</t>
        </is>
      </c>
      <c r="C6" t="inlineStr">
        <is>
          <t>'_RawData'!$F$2:$F$11</t>
        </is>
      </c>
      <c r="D6" t="inlineStr">
        <is>
          <t>'_Options'!$J$2:$J$4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A7" t="inlineStr">
        <is>
          <t>Q_GRID_EXPORT - Grid Export Question - Grid second row</t>
        </is>
      </c>
      <c r="B7" t="inlineStr">
        <is>
          <t>Q_GRID_EXPORT - Grid Export Question - Grid first row</t>
        </is>
      </c>
      <c r="C7" t="inlineStr">
        <is>
          <t>'_RawData'!$G$2:$G$11</t>
        </is>
      </c>
      <c r="D7" t="inlineStr">
        <is>
          <t>'_Options'!$K$2:$K$4</t>
        </is>
      </c>
      <c r="Z7" t="inlineStr">
        <is>
          <t>D</t>
        </is>
      </c>
    </row>
    <row r="8">
      <c r="A8" t="inlineStr">
        <is>
          <t>Q_VERY_LONG_SINGLE_SELECT_EXPORT_NAME - Long Sheet Name Export Question</t>
        </is>
      </c>
      <c r="B8" t="inlineStr">
        <is>
          <t>Q_GRID_EXPORT - Grid Export Question - Grid second row</t>
        </is>
      </c>
      <c r="C8" t="inlineStr">
        <is>
          <t>'_RawData'!$H$2:$H$11</t>
        </is>
      </c>
      <c r="D8" t="inlineStr">
        <is>
          <t>'_Options'!$L$2:$L$4</t>
        </is>
      </c>
    </row>
    <row r="9">
      <c r="B9" t="inlineStr">
        <is>
          <t>Q_VERY_LONG_SINGLE_SELECT_EXPORT_NAME - 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5"/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7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/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6"/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 s="16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 s="16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 s="16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s="16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Median</t>
        </is>
      </c>
      <c r="B42" s="16" t="n">
        <v>5.5</v>
      </c>
      <c r="C42" t="inlineStr">
        <is>
          <t>static baseline</t>
        </is>
      </c>
      <c r="D42" s="14" t="n">
        <v>10</v>
      </c>
    </row>
    <row r="43"/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8"/>
    <row r="49">
      <c r="A49" s="4" t="inlineStr">
        <is>
          <t>Sub-question ID</t>
        </is>
      </c>
      <c r="B49" s="4" t="inlineStr">
        <is>
          <t>Sub-question</t>
        </is>
      </c>
      <c r="C49" s="4" t="inlineStr">
        <is>
          <t>High</t>
        </is>
      </c>
      <c r="D49" s="2" t="n"/>
      <c r="E49" s="4" t="inlineStr">
        <is>
          <t>Low</t>
        </is>
      </c>
      <c r="F49" s="2" t="n"/>
    </row>
    <row r="50">
      <c r="A50" s="2" t="inlineStr"/>
      <c r="B50" s="2" t="inlineStr"/>
      <c r="C50" s="4" t="inlineStr">
        <is>
          <t>Count</t>
        </is>
      </c>
      <c r="D50" s="4" t="inlineStr">
        <is>
          <t>%</t>
        </is>
      </c>
      <c r="E50" s="4" t="inlineStr">
        <is>
          <t>Count</t>
        </is>
      </c>
      <c r="F50" s="4" t="inlineStr">
        <is>
          <t>%</t>
        </is>
      </c>
    </row>
    <row r="51">
      <c r="A51" s="17" t="inlineStr">
        <is>
          <t>Q_GRID_EXPORTr1</t>
        </is>
      </c>
      <c r="B51" t="inlineStr">
        <is>
          <t>Grid first row</t>
        </is>
      </c>
      <c r="C51">
        <f>COUNTIFS(Q_GRID_EXPORTr1_data,"High",passes_workbook_filters_data,1,passes_workbook_custom_filters_data,1,All_Questions_passes_local_filters_data,1,All_Questions_Q_GRID_EXPORT_F_passes_per_q_filter_data,1)</f>
        <v>6</v>
      </c>
      <c r="D51" s="7">
        <f>IFERROR(C51/10,0)</f>
        <v>0.6</v>
      </c>
      <c r="E51">
        <f>COUNTIFS(Q_GRID_EXPORTr1_data,"Low",passes_workbook_filters_data,1,passes_workbook_custom_filters_data,1,All_Questions_passes_local_filters_data,1,All_Questions_Q_GRID_EXPORT_F_passes_per_q_filter_data,1)</f>
        <v>4</v>
      </c>
      <c r="F51" s="7">
        <f>IFERROR(E51/10,0)</f>
        <v>0.4</v>
      </c>
    </row>
    <row r="52">
      <c r="A52" s="17" t="inlineStr">
        <is>
          <t>Q_GRID_EXPORTr2</t>
        </is>
      </c>
      <c r="B52" t="inlineStr">
        <is>
          <t>Grid second row</t>
        </is>
      </c>
      <c r="C52">
        <f>COUNTIFS(Q_GRID_EXPORTr2_data,"High",passes_workbook_filters_data,1,passes_workbook_custom_filters_data,1,All_Questions_passes_local_filters_data,1,All_Questions_Q_GRID_EXPORT_F_passes_per_q_filter_data,1)</f>
        <v>5</v>
      </c>
      <c r="D52" s="7">
        <f>IFERROR(C52/10,0)</f>
        <v>0.5</v>
      </c>
      <c r="E52">
        <f>COUNTIFS(Q_GRID_EXPORTr2_data,"Low",passes_workbook_filters_data,1,passes_workbook_custom_filters_data,1,All_Questions_passes_local_filters_data,1,All_Questions_Q_GRID_EXPORT_F_passes_per_q_filter_data,1)</f>
        <v>5</v>
      </c>
      <c r="F52" s="7">
        <f>IFERROR(E52/10,0)</f>
        <v>0.5</v>
      </c>
    </row>
    <row r="53">
      <c r="A53" s="15" t="inlineStr">
        <is>
          <t>Total respondents</t>
        </is>
      </c>
      <c r="B53" s="15" t="n">
        <v>10</v>
      </c>
      <c r="C53" s="15" t="n"/>
      <c r="D53" s="15" t="n"/>
      <c r="E53" s="15" t="n"/>
      <c r="F53" s="15" t="n"/>
    </row>
    <row r="54">
      <c r="A54" s="4" t="inlineStr">
        <is>
          <t>Total responses</t>
        </is>
      </c>
      <c r="B54" s="4" t="n">
        <v>20</v>
      </c>
      <c r="C54" s="4" t="n"/>
      <c r="D54" s="4" t="n"/>
      <c r="E54" s="4" t="n"/>
      <c r="F54" s="4" t="n"/>
    </row>
    <row r="55"/>
    <row r="56">
      <c r="A56" s="11" t="n"/>
      <c r="B56" s="11" t="n"/>
      <c r="C56" s="11" t="n"/>
      <c r="D56" s="11" t="n"/>
      <c r="E56" s="11" t="n"/>
      <c r="F56" s="11" t="n"/>
      <c r="G56" s="11" t="n"/>
      <c r="H56" s="11" t="n"/>
      <c r="I56" s="11" t="n"/>
      <c r="J56" s="11" t="n"/>
    </row>
    <row r="57">
      <c r="A57" s="12" t="inlineStr">
        <is>
          <t>Q_VERY_LONG_SINGLE_SELECT_EXPORT_NAME - Long sheet name export question</t>
        </is>
      </c>
      <c r="B57" s="12" t="n"/>
      <c r="C57" s="12" t="n"/>
      <c r="D57" s="12" t="n"/>
      <c r="E57" s="12" t="n"/>
      <c r="F57" s="12" t="n"/>
      <c r="G57" s="12" t="n"/>
      <c r="H57" s="12" t="n"/>
      <c r="I57" s="12" t="n"/>
      <c r="J57" s="12" t="n"/>
      <c r="K57" s="12" t="n"/>
      <c r="L57" s="12" t="n"/>
      <c r="M57" s="12" t="n"/>
      <c r="N57" s="12" t="n"/>
    </row>
    <row r="58">
      <c r="A58" s="13" t="inlineStr">
        <is>
          <t>Per-question filter</t>
        </is>
      </c>
      <c r="B58" t="inlineStr">
        <is>
          <t>Filter Q</t>
        </is>
      </c>
      <c r="C58" t="inlineStr">
        <is>
          <t>(None)</t>
        </is>
      </c>
      <c r="D58" t="inlineStr">
        <is>
          <t>Value</t>
        </is>
      </c>
      <c r="E58" t="inlineStr">
        <is>
          <t>(All)</t>
        </is>
      </c>
      <c r="F58" t="str">
        <f>IFERROR(INDEX(All_Questions_Data_Names,MATCH(All_Questions_Q_VERY_LONG_SINGLE_SELECT_EXPORT_NAME_F_Q,All_Questions,0)),"'_RawData'!$A:$A")</f>
        <v>respondent_id_data</v>
      </c>
      <c r="G58" t="str">
        <f>"|" &amp; SUBSTITUTE(All_Questions_Q_VERY_LONG_SINGLE_SELECT_EXPORT_NAME_F_V, ", ", "|") &amp; "|"</f>
        <v>|(All)|</v>
      </c>
    </row>
    <row r="59">
      <c r="A59" s="13" t="inlineStr">
        <is>
          <t>Cross-tab by</t>
        </is>
      </c>
      <c r="C59" t="inlineStr">
        <is>
          <t>(None)</t>
        </is>
      </c>
    </row>
    <row r="60"/>
    <row r="61">
      <c r="A61" s="4" t="inlineStr">
        <is>
          <t>Option</t>
        </is>
      </c>
      <c r="B61" s="4" t="inlineStr">
        <is>
          <t>Count</t>
        </is>
      </c>
      <c r="C61" s="4" t="inlineStr">
        <is>
          <t>%</t>
        </is>
      </c>
      <c r="D61" s="4" t="inlineStr">
        <is>
          <t>Denominator</t>
        </is>
      </c>
      <c r="F61" s="4" t="inlineStr">
        <is>
          <t>Option</t>
        </is>
      </c>
      <c r="G6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1" s="4" t="inlineStr">
        <is>
          <t>Total</t>
        </is>
      </c>
    </row>
    <row r="62">
      <c r="A62" t="inlineStr">
        <is>
          <t>A</t>
        </is>
      </c>
      <c r="B6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2" s="7">
        <f>IFERROR(B62/SUBTOTAL(9,B62:B63),0)</f>
        <v>0.7</v>
      </c>
      <c r="D62" s="14">
        <f>SUBTOTAL(9,B62:B63)</f>
        <v>10</v>
      </c>
      <c r="F62" s="4" t="inlineStr"/>
      <c r="G62" s="4" t="inlineStr">
        <is>
          <t># of resp</t>
        </is>
      </c>
      <c r="H62" s="4" t="inlineStr">
        <is>
          <t># of resp</t>
        </is>
      </c>
      <c r="I62" s="4" t="inlineStr">
        <is>
          <t># of resp</t>
        </is>
      </c>
      <c r="J62" s="4" t="inlineStr">
        <is>
          <t># of resp</t>
        </is>
      </c>
      <c r="K62" s="4" t="inlineStr">
        <is>
          <t># of resp</t>
        </is>
      </c>
      <c r="L62" s="4" t="inlineStr">
        <is>
          <t># of resp</t>
        </is>
      </c>
      <c r="M62" s="4" t="inlineStr">
        <is>
          <t># of resp</t>
        </is>
      </c>
      <c r="N62" s="4" t="inlineStr">
        <is>
          <t># of resp</t>
        </is>
      </c>
      <c r="O62" s="4" t="inlineStr">
        <is>
          <t># of resp</t>
        </is>
      </c>
      <c r="P62" s="4" t="inlineStr">
        <is>
          <t># of resp</t>
        </is>
      </c>
      <c r="Q62" s="4" t="inlineStr">
        <is>
          <t># of resp</t>
        </is>
      </c>
      <c r="R62" s="4" t="inlineStr">
        <is>
          <t># of resp</t>
        </is>
      </c>
      <c r="S62" s="4" t="inlineStr">
        <is>
          <t># of resp</t>
        </is>
      </c>
    </row>
    <row r="63">
      <c r="A63" t="inlineStr">
        <is>
          <t>B</t>
        </is>
      </c>
      <c r="B6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3" s="7">
        <f>IFERROR(B63/SUBTOTAL(9,B62:B63),0)</f>
        <v>0.3</v>
      </c>
      <c r="D63" s="14">
        <f>SUBTOTAL(9,B62:B63)</f>
        <v>10</v>
      </c>
      <c r="F63" t="inlineStr">
        <is>
          <t>A</t>
        </is>
      </c>
      <c r="G63">
        <f>IF(OR(All_Questions_Q_VERY_LONG_SINGLE_SELECT_EXPORT_NAME_CT="(None)",G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3">
        <f>IF(OR(All_Questions_Q_VERY_LONG_SINGLE_SELECT_EXPORT_NAME_CT="(None)",H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3">
        <f>IF(OR(All_Questions_Q_VERY_LONG_SINGLE_SELECT_EXPORT_NAME_CT="(None)",I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3">
        <f>IF(OR(All_Questions_Q_VERY_LONG_SINGLE_SELECT_EXPORT_NAME_CT="(None)",J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3">
        <f>IF(OR(All_Questions_Q_VERY_LONG_SINGLE_SELECT_EXPORT_NAME_CT="(None)",K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3">
        <f>IF(OR(All_Questions_Q_VERY_LONG_SINGLE_SELECT_EXPORT_NAME_CT="(None)",L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3">
        <f>IF(OR(All_Questions_Q_VERY_LONG_SINGLE_SELECT_EXPORT_NAME_CT="(None)",M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3">
        <f>IF(OR(All_Questions_Q_VERY_LONG_SINGLE_SELECT_EXPORT_NAME_CT="(None)",N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3">
        <f>IF(OR(All_Questions_Q_VERY_LONG_SINGLE_SELECT_EXPORT_NAME_CT="(None)",O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3">
        <f>IF(OR(All_Questions_Q_VERY_LONG_SINGLE_SELECT_EXPORT_NAME_CT="(None)",P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3">
        <f>IF(OR(All_Questions_Q_VERY_LONG_SINGLE_SELECT_EXPORT_NAME_CT="(None)",Q$61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3">
        <f>IF(OR(All_Questions_Q_VERY_LONG_SINGLE_SELECT_EXPORT_NAME_CT="(None)",R$61=""),"",IF(R$61="Other",COUNTIFS(Q_VERY_LONG_SINGLE_SELECT_EXPOR_data,"A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4">
      <c r="A64" s="15" t="inlineStr">
        <is>
          <t>Total respondents</t>
        </is>
      </c>
      <c r="B64" s="15" t="n">
        <v>10</v>
      </c>
      <c r="C64" s="15" t="n"/>
      <c r="D64" s="15" t="n"/>
      <c r="F64" t="inlineStr">
        <is>
          <t>B</t>
        </is>
      </c>
      <c r="G64">
        <f>IF(OR(All_Questions_Q_VERY_LONG_SINGLE_SELECT_EXPORT_NAME_CT="(None)",G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$61))</f>
        <v>0</v>
      </c>
      <c r="H64">
        <f>IF(OR(All_Questions_Q_VERY_LONG_SINGLE_SELECT_EXPORT_NAME_CT="(None)",H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$61))</f>
        <v>0</v>
      </c>
      <c r="I64">
        <f>IF(OR(All_Questions_Q_VERY_LONG_SINGLE_SELECT_EXPORT_NAME_CT="(None)",I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$61))</f>
        <v>0</v>
      </c>
      <c r="J64">
        <f>IF(OR(All_Questions_Q_VERY_LONG_SINGLE_SELECT_EXPORT_NAME_CT="(None)",J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$61))</f>
        <v>0</v>
      </c>
      <c r="K64">
        <f>IF(OR(All_Questions_Q_VERY_LONG_SINGLE_SELECT_EXPORT_NAME_CT="(None)",K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$61))</f>
        <v>0</v>
      </c>
      <c r="L64">
        <f>IF(OR(All_Questions_Q_VERY_LONG_SINGLE_SELECT_EXPORT_NAME_CT="(None)",L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$61))</f>
        <v>0</v>
      </c>
      <c r="M64">
        <f>IF(OR(All_Questions_Q_VERY_LONG_SINGLE_SELECT_EXPORT_NAME_CT="(None)",M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$61))</f>
        <v>0</v>
      </c>
      <c r="N64">
        <f>IF(OR(All_Questions_Q_VERY_LONG_SINGLE_SELECT_EXPORT_NAME_CT="(None)",N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$61))</f>
        <v>0</v>
      </c>
      <c r="O64">
        <f>IF(OR(All_Questions_Q_VERY_LONG_SINGLE_SELECT_EXPORT_NAME_CT="(None)",O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$61))</f>
        <v>0</v>
      </c>
      <c r="P64">
        <f>IF(OR(All_Questions_Q_VERY_LONG_SINGLE_SELECT_EXPORT_NAME_CT="(None)",P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$61))</f>
        <v>0</v>
      </c>
      <c r="Q64">
        <f>IF(OR(All_Questions_Q_VERY_LONG_SINGLE_SELECT_EXPORT_NAME_CT="(None)",Q$61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$61))</f>
        <v>0</v>
      </c>
      <c r="R64">
        <f>IF(OR(All_Questions_Q_VERY_LONG_SINGLE_SELECT_EXPORT_NAME_CT="(None)",R$61=""),"",IF(R$61="Other",COUNTIFS(Q_VERY_LONG_SINGLE_SELECT_EXPOR_data,"B",passes_workbook_filters_data,1,passes_workbook_custom_filters_data,1,All_Questions_passes_local_filters_data,1,All_Questions_Q_VERY_LONG_SINGLE_SELECT_EXPORT_NAME_F_passes_per_q_filter_data,1)-SUM(G64,H64,I64,J64,K64,L64,M64,N64,O64,P64,Q64)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$61)))</f>
        <v>0</v>
      </c>
      <c r="S6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5">
      <c r="F65" s="4" t="inlineStr">
        <is>
          <t>Total respondents</t>
        </is>
      </c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  <c r="Q65" s="2" t="n"/>
      <c r="R65" s="2" t="n"/>
      <c r="S6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E49:F49"/>
    <mergeCell ref="A1:J1"/>
    <mergeCell ref="C49:D49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1:D52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1:F52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2:B63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2:C63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3:G6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3:H6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3:I6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3:J6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3:K6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3:L6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3:M6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3:N6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3:O6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3:P6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3:Q64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3:R64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8" showDropDown="0" showInputMessage="0" showErrorMessage="0" allowBlank="1" type="list">
      <formula1>=All_Questions</formula1>
    </dataValidation>
    <dataValidation sqref="E5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9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2026-06-07T12:45:19.281654+00:00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2026-06-07T12:45:19.282384+00:00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2026-06-07T12:45:19.282433+00:00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2026-06-07T12:45:19.283665+00:00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2026-06-07T12:45:19.284468+00:00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2026-06-07T12:45:19.285334+00:00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2026-06-07T12:45:19.286001+00:00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2026-06-07T12:45:19.286019+00:00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2026-06-07T12:45:19.286901+00:00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2026-06-07T12:45:19.287488+00:00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2026-06-07T12:45:19.288105+00:00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2026-06-07T12:45:19.288192+00:00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2026-06-07T12:45:19Z</dcterms:created>
  <dcterms:modified xmlns:dcterms="http://purl.org/dc/terms/" xmlns:xsi="http://www.w3.org/2001/XMLSchema-instance" xsi:type="dcterms:W3CDTF">2026-06-07T12:45:19Z</dcterms:modified>
</cp:coreProperties>
</file>