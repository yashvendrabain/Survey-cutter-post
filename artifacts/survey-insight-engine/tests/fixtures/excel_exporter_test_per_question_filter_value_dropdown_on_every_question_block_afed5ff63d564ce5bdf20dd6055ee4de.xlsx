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'_Options'!$A$2:$A$11</definedName>
    <definedName name="All_Questions_Local">'_Options'!$B$2:$B$12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'_Options'!$J$2:$J$4</definedName>
    <definedName name="Q_GRID_EXPORTr1_local_options">'_Options'!$T$2:$T$5</definedName>
    <definedName name="Q_GRID_EXPORTr2_options">'_Options'!$K$2:$K$4</definedName>
    <definedName name="Q_GRID_EXPORTr2_local_options">'_Options'!$U$2:$U$5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'_Options'!$C$2:$C$11</definedName>
    <definedName name="All_Questions_Options_Names">'_Options'!$D$2:$D$11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'_RawData'!$R$2:$R$11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'_RawData'!$S$2:$S$11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'_RawData'!$T$2:$T$11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'_RawData'!$U$2:$U$11</definedName>
    <definedName name="All_Questions_Q_VERY_LONG_SINGLE_SELECT_EXPORT_NAME_CT">'All Questions'!$C$71</definedName>
    <definedName name="All_Questions_Q_EXTRA_1_F_Q">'All Questions'!$C$81</definedName>
    <definedName name="All_Questions_Q_EXTRA_1_F_V">'All Questions'!$E$81</definedName>
    <definedName name="All_Questions_Q_EXTRA_1_F_resolved_column">'All Questions'!$F$81</definedName>
    <definedName name="All_Questions_Q_EXTRA_1_F_wrapped">'All Questions'!$G$81</definedName>
    <definedName name="All_Questions_Q_EXTRA_1_F_passes_per_q_filter_data">'_RawData'!$V$2:$V$11</definedName>
    <definedName name="All_Questions_Q_EXTRA_1_CT">'All Questions'!$C$82</definedName>
    <definedName name="All_Questions_Q_EXTRA_2_F_Q">'All Questions'!$C$92</definedName>
    <definedName name="All_Questions_Q_EXTRA_2_F_V">'All Questions'!$E$92</definedName>
    <definedName name="All_Questions_Q_EXTRA_2_F_resolved_column">'All Questions'!$F$92</definedName>
    <definedName name="All_Questions_Q_EXTRA_2_F_wrapped">'All Questions'!$G$92</definedName>
    <definedName name="All_Questions_Q_EXTRA_2_F_passes_per_q_filter_data">'_RawData'!$W$2:$W$11</definedName>
    <definedName name="All_Questions_Q_EXTRA_2_CT">'All Questions'!$C$93</definedName>
    <definedName name="All_Questions_Q_EXTRA_3_F_Q">'All Questions'!$C$103</definedName>
    <definedName name="All_Questions_Q_EXTRA_3_F_V">'All Questions'!$E$103</definedName>
    <definedName name="All_Questions_Q_EXTRA_3_F_resolved_column">'All Questions'!$F$103</definedName>
    <definedName name="All_Questions_Q_EXTRA_3_F_wrapped">'All Questions'!$G$103</definedName>
    <definedName name="All_Questions_Q_EXTRA_3_F_passes_per_q_filter_data">'_RawData'!$X$2:$X$11</definedName>
    <definedName name="All_Questions_Q_EXTRA_3_CT">'All Questions'!$C$104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F81" i="7"/>
  <c r="G81" i="7"/>
  <c r="G84" i="7"/>
  <c r="H84" i="7"/>
  <c r="I84" i="7"/>
  <c r="J84" i="7"/>
  <c r="K84" i="7"/>
  <c r="L84" i="7"/>
  <c r="M84" i="7"/>
  <c r="N84" i="7"/>
  <c r="O84" i="7"/>
  <c r="P84" i="7"/>
  <c r="Q84" i="7"/>
  <c r="R84" i="7"/>
  <c r="B85" i="7"/>
  <c r="C85" i="7"/>
  <c r="D85" i="7"/>
  <c r="B86" i="7"/>
  <c r="C86" i="7"/>
  <c r="D86" i="7"/>
  <c r="G86" i="7"/>
  <c r="H86" i="7"/>
  <c r="I86" i="7"/>
  <c r="J86" i="7"/>
  <c r="K86" i="7"/>
  <c r="L86" i="7"/>
  <c r="M86" i="7"/>
  <c r="N86" i="7"/>
  <c r="O86" i="7"/>
  <c r="P86" i="7"/>
  <c r="Q86" i="7"/>
  <c r="R86" i="7"/>
  <c r="S86" i="7"/>
  <c r="G87" i="7"/>
  <c r="H87" i="7"/>
  <c r="I87" i="7"/>
  <c r="J87" i="7"/>
  <c r="K87" i="7"/>
  <c r="L87" i="7"/>
  <c r="M87" i="7"/>
  <c r="N87" i="7"/>
  <c r="O87" i="7"/>
  <c r="P87" i="7"/>
  <c r="Q87" i="7"/>
  <c r="R87" i="7"/>
  <c r="S87" i="7"/>
  <c r="S88" i="7"/>
  <c r="F92" i="7"/>
  <c r="G92" i="7"/>
  <c r="G95" i="7"/>
  <c r="H95" i="7"/>
  <c r="I95" i="7"/>
  <c r="J95" i="7"/>
  <c r="K95" i="7"/>
  <c r="L95" i="7"/>
  <c r="M95" i="7"/>
  <c r="N95" i="7"/>
  <c r="O95" i="7"/>
  <c r="P95" i="7"/>
  <c r="Q95" i="7"/>
  <c r="R95" i="7"/>
  <c r="B96" i="7"/>
  <c r="C96" i="7"/>
  <c r="D96" i="7"/>
  <c r="B97" i="7"/>
  <c r="C97" i="7"/>
  <c r="D97" i="7"/>
  <c r="G97" i="7"/>
  <c r="H97" i="7"/>
  <c r="I97" i="7"/>
  <c r="J97" i="7"/>
  <c r="K97" i="7"/>
  <c r="L97" i="7"/>
  <c r="M97" i="7"/>
  <c r="N97" i="7"/>
  <c r="O97" i="7"/>
  <c r="P97" i="7"/>
  <c r="Q97" i="7"/>
  <c r="R97" i="7"/>
  <c r="S97" i="7"/>
  <c r="G98" i="7"/>
  <c r="H98" i="7"/>
  <c r="I98" i="7"/>
  <c r="J98" i="7"/>
  <c r="K98" i="7"/>
  <c r="L98" i="7"/>
  <c r="M98" i="7"/>
  <c r="N98" i="7"/>
  <c r="O98" i="7"/>
  <c r="P98" i="7"/>
  <c r="Q98" i="7"/>
  <c r="R98" i="7"/>
  <c r="S98" i="7"/>
  <c r="S99" i="7"/>
  <c r="F103" i="7"/>
  <c r="G103" i="7"/>
  <c r="G106" i="7"/>
  <c r="H106" i="7"/>
  <c r="I106" i="7"/>
  <c r="J106" i="7"/>
  <c r="K106" i="7"/>
  <c r="L106" i="7"/>
  <c r="M106" i="7"/>
  <c r="N106" i="7"/>
  <c r="O106" i="7"/>
  <c r="P106" i="7"/>
  <c r="Q106" i="7"/>
  <c r="R106" i="7"/>
  <c r="B107" i="7"/>
  <c r="C107" i="7"/>
  <c r="D107" i="7"/>
  <c r="B108" i="7"/>
  <c r="C108" i="7"/>
  <c r="D108" i="7"/>
  <c r="G108" i="7"/>
  <c r="H108" i="7"/>
  <c r="I108" i="7"/>
  <c r="J108" i="7"/>
  <c r="K108" i="7"/>
  <c r="L108" i="7"/>
  <c r="M108" i="7"/>
  <c r="N108" i="7"/>
  <c r="O108" i="7"/>
  <c r="P108" i="7"/>
  <c r="Q108" i="7"/>
  <c r="R108" i="7"/>
  <c r="S108" i="7"/>
  <c r="G109" i="7"/>
  <c r="H109" i="7"/>
  <c r="I109" i="7"/>
  <c r="J109" i="7"/>
  <c r="K109" i="7"/>
  <c r="L109" i="7"/>
  <c r="M109" i="7"/>
  <c r="N109" i="7"/>
  <c r="O109" i="7"/>
  <c r="P109" i="7"/>
  <c r="Q109" i="7"/>
  <c r="R109" i="7"/>
  <c r="S109" i="7"/>
  <c r="S110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84_1" displayName="T_All_Questions_84_1" ref="A84:D87" headerRowCount="1">
  <autoFilter ref="A84:D8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95_1" displayName="T_All_Questions_95_1" ref="A95:D98" headerRowCount="1">
  <autoFilter ref="A95:D9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106_1" displayName="T_All_Questions_106_1" ref="A106:D109" headerRowCount="1">
  <autoFilter ref="A106:D10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Low</t>
        </is>
      </c>
      <c r="U4" t="inlineStr">
        <is>
          <t>Low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P5" t="inlineStr">
        <is>
          <t>No</t>
        </is>
      </c>
      <c r="T5" t="inlineStr">
        <is>
          <t>High</t>
        </is>
      </c>
      <c r="U5" t="inlineStr">
        <is>
          <t>High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A9" t="inlineStr">
        <is>
          <t>Q_EXTRA_1 - Mixed Block Question 1</t>
        </is>
      </c>
      <c r="B9" t="inlineStr">
        <is>
          <t>Q_VERY_LONG_SINGLE_SELECT_EXPORT_NAME - Long Sheet Name Export Question</t>
        </is>
      </c>
      <c r="C9" t="inlineStr">
        <is>
          <t>'_RawData'!$I$2:$I$11</t>
        </is>
      </c>
      <c r="D9" t="inlineStr">
        <is>
          <t>'_Options'!$M$2:$M$4</t>
        </is>
      </c>
    </row>
    <row r="10">
      <c r="A10" t="inlineStr">
        <is>
          <t>Q_EXTRA_2 - Mixed Block Question 2</t>
        </is>
      </c>
      <c r="B10" t="inlineStr">
        <is>
          <t>Q_EXTRA_1 - Mixed Block Question 1</t>
        </is>
      </c>
      <c r="C10" t="inlineStr">
        <is>
          <t>'_RawData'!$J$2:$J$11</t>
        </is>
      </c>
      <c r="D10" t="inlineStr">
        <is>
          <t>'_Options'!$N$2:$N$4</t>
        </is>
      </c>
    </row>
    <row r="11">
      <c r="A11" t="inlineStr">
        <is>
          <t>Q_EXTRA_3 - Mixed Block Question 3</t>
        </is>
      </c>
      <c r="B11" t="inlineStr">
        <is>
          <t>Q_EXTRA_2 - Mixed Block Question 2</t>
        </is>
      </c>
      <c r="C11" t="inlineStr">
        <is>
          <t>'_RawData'!$K$2:$K$11</t>
        </is>
      </c>
      <c r="D11" t="inlineStr">
        <is>
          <t>'_Options'!$O$2:$O$4</t>
        </is>
      </c>
    </row>
    <row r="12">
      <c r="B12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78"/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</row>
    <row r="80">
      <c r="A80" s="12" t="inlineStr">
        <is>
          <t>Q_EXTRA_1 - Extra mixed block question 1</t>
        </is>
      </c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</row>
    <row r="81">
      <c r="A81" s="13" t="inlineStr">
        <is>
          <t>Per-question filter</t>
        </is>
      </c>
      <c r="B81" t="inlineStr">
        <is>
          <t>Filter Q</t>
        </is>
      </c>
      <c r="C81" t="inlineStr">
        <is>
          <t>(None)</t>
        </is>
      </c>
      <c r="D81" t="inlineStr">
        <is>
          <t>Value</t>
        </is>
      </c>
      <c r="E81" t="inlineStr">
        <is>
          <t>(All)</t>
        </is>
      </c>
      <c r="F81" t="str">
        <f>IFERROR(INDEX(All_Questions_Data_Names,MATCH(All_Questions_Q_EXTRA_1_F_Q,All_Questions,0)),"'_RawData'!$A:$A")</f>
        <v>respondent_id_data</v>
      </c>
      <c r="G81" t="str">
        <f>"|" &amp; SUBSTITUTE(All_Questions_Q_EXTRA_1_F_V, ", ", "|") &amp; "|"</f>
        <v>|(All)|</v>
      </c>
    </row>
    <row r="82">
      <c r="A82" s="13" t="inlineStr">
        <is>
          <t>Cross-tab by</t>
        </is>
      </c>
      <c r="C82" t="inlineStr">
        <is>
          <t>(None)</t>
        </is>
      </c>
    </row>
    <row r="83"/>
    <row r="84">
      <c r="A84" s="4" t="inlineStr">
        <is>
          <t>Option</t>
        </is>
      </c>
      <c r="B84" s="4" t="inlineStr">
        <is>
          <t>Count</t>
        </is>
      </c>
      <c r="C84" s="4" t="inlineStr">
        <is>
          <t>%</t>
        </is>
      </c>
      <c r="D84" s="4" t="inlineStr">
        <is>
          <t>Denominator</t>
        </is>
      </c>
      <c r="F84" s="4" t="inlineStr">
        <is>
          <t>Option</t>
        </is>
      </c>
      <c r="G84" s="2" t="str">
        <f>IF(All_Questions_Q_EXTRA_1_CT="(None)","",IFERROR(INDEX(INDIRECT(IFERROR(INDEX(All_Questions_Options_Names,MATCH(All_Questions_Q_EXTRA_1_CT,All_Questions,0)),"'_Options'!$E$2:$E$2")),2),""))</f>
        <v/>
      </c>
      <c r="H84" s="2" t="str">
        <f>IF(All_Questions_Q_EXTRA_1_CT="(None)","",IFERROR(INDEX(INDIRECT(IFERROR(INDEX(All_Questions_Options_Names,MATCH(All_Questions_Q_EXTRA_1_CT,All_Questions,0)),"'_Options'!$E$2:$E$2")),3),""))</f>
        <v/>
      </c>
      <c r="I84" s="2" t="str">
        <f>IF(All_Questions_Q_EXTRA_1_CT="(None)","",IFERROR(INDEX(INDIRECT(IFERROR(INDEX(All_Questions_Options_Names,MATCH(All_Questions_Q_EXTRA_1_CT,All_Questions,0)),"'_Options'!$E$2:$E$2")),4),""))</f>
        <v/>
      </c>
      <c r="J84" s="2" t="str">
        <f>IF(All_Questions_Q_EXTRA_1_CT="(None)","",IFERROR(INDEX(INDIRECT(IFERROR(INDEX(All_Questions_Options_Names,MATCH(All_Questions_Q_EXTRA_1_CT,All_Questions,0)),"'_Options'!$E$2:$E$2")),5),""))</f>
        <v/>
      </c>
      <c r="K84" s="2" t="str">
        <f>IF(All_Questions_Q_EXTRA_1_CT="(None)","",IFERROR(INDEX(INDIRECT(IFERROR(INDEX(All_Questions_Options_Names,MATCH(All_Questions_Q_EXTRA_1_CT,All_Questions,0)),"'_Options'!$E$2:$E$2")),6),""))</f>
        <v/>
      </c>
      <c r="L84" s="2" t="str">
        <f>IF(All_Questions_Q_EXTRA_1_CT="(None)","",IFERROR(INDEX(INDIRECT(IFERROR(INDEX(All_Questions_Options_Names,MATCH(All_Questions_Q_EXTRA_1_CT,All_Questions,0)),"'_Options'!$E$2:$E$2")),7),""))</f>
        <v/>
      </c>
      <c r="M84" s="2" t="str">
        <f>IF(All_Questions_Q_EXTRA_1_CT="(None)","",IFERROR(INDEX(INDIRECT(IFERROR(INDEX(All_Questions_Options_Names,MATCH(All_Questions_Q_EXTRA_1_CT,All_Questions,0)),"'_Options'!$E$2:$E$2")),8),""))</f>
        <v/>
      </c>
      <c r="N84" s="2" t="str">
        <f>IF(All_Questions_Q_EXTRA_1_CT="(None)","",IFERROR(INDEX(INDIRECT(IFERROR(INDEX(All_Questions_Options_Names,MATCH(All_Questions_Q_EXTRA_1_CT,All_Questions,0)),"'_Options'!$E$2:$E$2")),9),""))</f>
        <v/>
      </c>
      <c r="O84" s="2" t="str">
        <f>IF(All_Questions_Q_EXTRA_1_CT="(None)","",IFERROR(INDEX(INDIRECT(IFERROR(INDEX(All_Questions_Options_Names,MATCH(All_Questions_Q_EXTRA_1_CT,All_Questions,0)),"'_Options'!$E$2:$E$2")),10),""))</f>
        <v/>
      </c>
      <c r="P84" s="2" t="str">
        <f>IF(All_Questions_Q_EXTRA_1_CT="(None)","",IFERROR(INDEX(INDIRECT(IFERROR(INDEX(All_Questions_Options_Names,MATCH(All_Questions_Q_EXTRA_1_CT,All_Questions,0)),"'_Options'!$E$2:$E$2")),11),""))</f>
        <v/>
      </c>
      <c r="Q84" s="2" t="str">
        <f>IF(All_Questions_Q_EXTRA_1_CT="(None)","",IFERROR(INDEX(INDIRECT(IFERROR(INDEX(All_Questions_Options_Names,MATCH(All_Questions_Q_EXTRA_1_CT,All_Questions,0)),"'_Options'!$E$2:$E$2")),12),""))</f>
        <v/>
      </c>
      <c r="R84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84" s="4" t="inlineStr">
        <is>
          <t>Total</t>
        </is>
      </c>
    </row>
    <row r="85">
      <c r="A85" t="inlineStr">
        <is>
          <t>Extra 1 A</t>
        </is>
      </c>
      <c r="B85">
        <f>COUNTIFS(Q_EXTRA_1_data,"Extra 1 A",passes_workbook_filters_data,1,passes_workbook_custom_filters_data,1,All_Questions_passes_local_filters_data,1,All_Questions_Q_EXTRA_1_F_passes_per_q_filter_data,1)</f>
        <v>6</v>
      </c>
      <c r="C85" s="7">
        <f>IFERROR(B85/SUBTOTAL(9,B85:B86),0)</f>
        <v>0.6</v>
      </c>
      <c r="D85" s="14">
        <f>SUBTOTAL(9,B85:B86)</f>
        <v>10</v>
      </c>
      <c r="F85" s="4" t="inlineStr"/>
      <c r="G85" s="4" t="inlineStr">
        <is>
          <t># of resp</t>
        </is>
      </c>
      <c r="H85" s="4" t="inlineStr">
        <is>
          <t># of resp</t>
        </is>
      </c>
      <c r="I85" s="4" t="inlineStr">
        <is>
          <t># of resp</t>
        </is>
      </c>
      <c r="J85" s="4" t="inlineStr">
        <is>
          <t># of resp</t>
        </is>
      </c>
      <c r="K85" s="4" t="inlineStr">
        <is>
          <t># of resp</t>
        </is>
      </c>
      <c r="L85" s="4" t="inlineStr">
        <is>
          <t># of resp</t>
        </is>
      </c>
      <c r="M85" s="4" t="inlineStr">
        <is>
          <t># of resp</t>
        </is>
      </c>
      <c r="N85" s="4" t="inlineStr">
        <is>
          <t># of resp</t>
        </is>
      </c>
      <c r="O85" s="4" t="inlineStr">
        <is>
          <t># of resp</t>
        </is>
      </c>
      <c r="P85" s="4" t="inlineStr">
        <is>
          <t># of resp</t>
        </is>
      </c>
      <c r="Q85" s="4" t="inlineStr">
        <is>
          <t># of resp</t>
        </is>
      </c>
      <c r="R85" s="4" t="inlineStr">
        <is>
          <t># of resp</t>
        </is>
      </c>
      <c r="S85" s="4" t="inlineStr">
        <is>
          <t># of resp</t>
        </is>
      </c>
    </row>
    <row r="86">
      <c r="A86" t="inlineStr">
        <is>
          <t>Extra 1 B</t>
        </is>
      </c>
      <c r="B86">
        <f>COUNTIFS(Q_EXTRA_1_data,"Extra 1 B",passes_workbook_filters_data,1,passes_workbook_custom_filters_data,1,All_Questions_passes_local_filters_data,1,All_Questions_Q_EXTRA_1_F_passes_per_q_filter_data,1)</f>
        <v>4</v>
      </c>
      <c r="C86" s="7">
        <f>IFERROR(B86/SUBTOTAL(9,B85:B86),0)</f>
        <v>0.4</v>
      </c>
      <c r="D86" s="14">
        <f>SUBTOTAL(9,B85:B86)</f>
        <v>10</v>
      </c>
      <c r="F86" t="inlineStr">
        <is>
          <t>Extra 1 A</t>
        </is>
      </c>
      <c r="G86" s="14">
        <f>IF(OR(All_Questions_Q_EXTRA_1_CT="(None)",G$84=""),"",COUNTIFS(Q_EXTRA_1_data,"Extra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$84))</f>
        <v>0</v>
      </c>
      <c r="H86" s="14">
        <f>IF(OR(All_Questions_Q_EXTRA_1_CT="(None)",H$84=""),"",COUNTIFS(Q_EXTRA_1_data,"Extra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$84))</f>
        <v>0</v>
      </c>
      <c r="I86" s="14">
        <f>IF(OR(All_Questions_Q_EXTRA_1_CT="(None)",I$84=""),"",COUNTIFS(Q_EXTRA_1_data,"Extra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$84))</f>
        <v>0</v>
      </c>
      <c r="J86" s="14">
        <f>IF(OR(All_Questions_Q_EXTRA_1_CT="(None)",J$84=""),"",COUNTIFS(Q_EXTRA_1_data,"Extra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$84))</f>
        <v>0</v>
      </c>
      <c r="K86" s="14">
        <f>IF(OR(All_Questions_Q_EXTRA_1_CT="(None)",K$84=""),"",COUNTIFS(Q_EXTRA_1_data,"Extra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$84))</f>
        <v>0</v>
      </c>
      <c r="L86" s="14">
        <f>IF(OR(All_Questions_Q_EXTRA_1_CT="(None)",L$84=""),"",COUNTIFS(Q_EXTRA_1_data,"Extra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$84))</f>
        <v>0</v>
      </c>
      <c r="M86" s="14">
        <f>IF(OR(All_Questions_Q_EXTRA_1_CT="(None)",M$84=""),"",COUNTIFS(Q_EXTRA_1_data,"Extra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$84))</f>
        <v>0</v>
      </c>
      <c r="N86" s="14">
        <f>IF(OR(All_Questions_Q_EXTRA_1_CT="(None)",N$84=""),"",COUNTIFS(Q_EXTRA_1_data,"Extra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$84))</f>
        <v>0</v>
      </c>
      <c r="O86" s="14">
        <f>IF(OR(All_Questions_Q_EXTRA_1_CT="(None)",O$84=""),"",COUNTIFS(Q_EXTRA_1_data,"Extra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$84))</f>
        <v>0</v>
      </c>
      <c r="P86" s="14">
        <f>IF(OR(All_Questions_Q_EXTRA_1_CT="(None)",P$84=""),"",COUNTIFS(Q_EXTRA_1_data,"Extra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$84))</f>
        <v>0</v>
      </c>
      <c r="Q86" s="14">
        <f>IF(OR(All_Questions_Q_EXTRA_1_CT="(None)",Q$84=""),"",COUNTIFS(Q_EXTRA_1_data,"Extra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$84))</f>
        <v>0</v>
      </c>
      <c r="R86" s="14">
        <f>IF(OR(All_Questions_Q_EXTRA_1_CT="(None)",R$84=""),"",IF(R$84="Other",COUNTIFS(Q_EXTRA_1_data,"Extra 1 A",passes_workbook_filters_data,1,passes_workbook_custom_filters_data,1,All_Questions_passes_local_filters_data,1,All_Questions_Q_EXTRA_1_F_passes_per_q_filter_data,1)-SUM(G86,H86,I86,J86,K86,L86,M86,N86,O86,P86,Q86),COUNTIFS(Q_EXTRA_1_data,"Extra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$84)))</f>
        <v>0</v>
      </c>
      <c r="S86" s="14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87">
      <c r="A87" s="15" t="inlineStr">
        <is>
          <t>Total respondents</t>
        </is>
      </c>
      <c r="B87" s="15" t="n">
        <v>10</v>
      </c>
      <c r="C87" s="15" t="n"/>
      <c r="D87" s="15" t="n"/>
      <c r="F87" t="inlineStr">
        <is>
          <t>Extra 1 B</t>
        </is>
      </c>
      <c r="G87" s="14">
        <f>IF(OR(All_Questions_Q_EXTRA_1_CT="(None)",G$84=""),"",COUNTIFS(Q_EXTRA_1_data,"Extra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$84))</f>
        <v>0</v>
      </c>
      <c r="H87" s="14">
        <f>IF(OR(All_Questions_Q_EXTRA_1_CT="(None)",H$84=""),"",COUNTIFS(Q_EXTRA_1_data,"Extra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$84))</f>
        <v>0</v>
      </c>
      <c r="I87" s="14">
        <f>IF(OR(All_Questions_Q_EXTRA_1_CT="(None)",I$84=""),"",COUNTIFS(Q_EXTRA_1_data,"Extra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$84))</f>
        <v>0</v>
      </c>
      <c r="J87" s="14">
        <f>IF(OR(All_Questions_Q_EXTRA_1_CT="(None)",J$84=""),"",COUNTIFS(Q_EXTRA_1_data,"Extra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$84))</f>
        <v>0</v>
      </c>
      <c r="K87" s="14">
        <f>IF(OR(All_Questions_Q_EXTRA_1_CT="(None)",K$84=""),"",COUNTIFS(Q_EXTRA_1_data,"Extra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$84))</f>
        <v>0</v>
      </c>
      <c r="L87" s="14">
        <f>IF(OR(All_Questions_Q_EXTRA_1_CT="(None)",L$84=""),"",COUNTIFS(Q_EXTRA_1_data,"Extra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$84))</f>
        <v>0</v>
      </c>
      <c r="M87" s="14">
        <f>IF(OR(All_Questions_Q_EXTRA_1_CT="(None)",M$84=""),"",COUNTIFS(Q_EXTRA_1_data,"Extra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$84))</f>
        <v>0</v>
      </c>
      <c r="N87" s="14">
        <f>IF(OR(All_Questions_Q_EXTRA_1_CT="(None)",N$84=""),"",COUNTIFS(Q_EXTRA_1_data,"Extra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$84))</f>
        <v>0</v>
      </c>
      <c r="O87" s="14">
        <f>IF(OR(All_Questions_Q_EXTRA_1_CT="(None)",O$84=""),"",COUNTIFS(Q_EXTRA_1_data,"Extra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$84))</f>
        <v>0</v>
      </c>
      <c r="P87" s="14">
        <f>IF(OR(All_Questions_Q_EXTRA_1_CT="(None)",P$84=""),"",COUNTIFS(Q_EXTRA_1_data,"Extra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$84))</f>
        <v>0</v>
      </c>
      <c r="Q87" s="14">
        <f>IF(OR(All_Questions_Q_EXTRA_1_CT="(None)",Q$84=""),"",COUNTIFS(Q_EXTRA_1_data,"Extra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$84))</f>
        <v>0</v>
      </c>
      <c r="R87" s="14">
        <f>IF(OR(All_Questions_Q_EXTRA_1_CT="(None)",R$84=""),"",IF(R$84="Other",COUNTIFS(Q_EXTRA_1_data,"Extra 1 B",passes_workbook_filters_data,1,passes_workbook_custom_filters_data,1,All_Questions_passes_local_filters_data,1,All_Questions_Q_EXTRA_1_F_passes_per_q_filter_data,1)-SUM(G87,H87,I87,J87,K87,L87,M87,N87,O87,P87,Q87),COUNTIFS(Q_EXTRA_1_data,"Extra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$84)))</f>
        <v>0</v>
      </c>
      <c r="S87" s="14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88">
      <c r="F88" s="4" t="inlineStr">
        <is>
          <t>Total respondents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89"/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</row>
    <row r="91">
      <c r="A91" s="12" t="inlineStr">
        <is>
          <t>Q_EXTRA_2 - Extra mixed block question 2</t>
        </is>
      </c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</row>
    <row r="92">
      <c r="A92" s="13" t="inlineStr">
        <is>
          <t>Per-question filter</t>
        </is>
      </c>
      <c r="B92" t="inlineStr">
        <is>
          <t>Filter Q</t>
        </is>
      </c>
      <c r="C92" t="inlineStr">
        <is>
          <t>(None)</t>
        </is>
      </c>
      <c r="D92" t="inlineStr">
        <is>
          <t>Value</t>
        </is>
      </c>
      <c r="E92" t="inlineStr">
        <is>
          <t>(All)</t>
        </is>
      </c>
      <c r="F92" t="str">
        <f>IFERROR(INDEX(All_Questions_Data_Names,MATCH(All_Questions_Q_EXTRA_2_F_Q,All_Questions,0)),"'_RawData'!$A:$A")</f>
        <v>respondent_id_data</v>
      </c>
      <c r="G92" t="str">
        <f>"|" &amp; SUBSTITUTE(All_Questions_Q_EXTRA_2_F_V, ", ", "|") &amp; "|"</f>
        <v>|(All)|</v>
      </c>
    </row>
    <row r="93">
      <c r="A93" s="13" t="inlineStr">
        <is>
          <t>Cross-tab by</t>
        </is>
      </c>
      <c r="C93" t="inlineStr">
        <is>
          <t>(None)</t>
        </is>
      </c>
    </row>
    <row r="94"/>
    <row r="95">
      <c r="A95" s="4" t="inlineStr">
        <is>
          <t>Option</t>
        </is>
      </c>
      <c r="B95" s="4" t="inlineStr">
        <is>
          <t>Count</t>
        </is>
      </c>
      <c r="C95" s="4" t="inlineStr">
        <is>
          <t>%</t>
        </is>
      </c>
      <c r="D95" s="4" t="inlineStr">
        <is>
          <t>Denominator</t>
        </is>
      </c>
      <c r="F95" s="4" t="inlineStr">
        <is>
          <t>Option</t>
        </is>
      </c>
      <c r="G95" s="2" t="str">
        <f>IF(All_Questions_Q_EXTRA_2_CT="(None)","",IFERROR(INDEX(INDIRECT(IFERROR(INDEX(All_Questions_Options_Names,MATCH(All_Questions_Q_EXTRA_2_CT,All_Questions,0)),"'_Options'!$E$2:$E$2")),2),""))</f>
        <v/>
      </c>
      <c r="H95" s="2" t="str">
        <f>IF(All_Questions_Q_EXTRA_2_CT="(None)","",IFERROR(INDEX(INDIRECT(IFERROR(INDEX(All_Questions_Options_Names,MATCH(All_Questions_Q_EXTRA_2_CT,All_Questions,0)),"'_Options'!$E$2:$E$2")),3),""))</f>
        <v/>
      </c>
      <c r="I95" s="2" t="str">
        <f>IF(All_Questions_Q_EXTRA_2_CT="(None)","",IFERROR(INDEX(INDIRECT(IFERROR(INDEX(All_Questions_Options_Names,MATCH(All_Questions_Q_EXTRA_2_CT,All_Questions,0)),"'_Options'!$E$2:$E$2")),4),""))</f>
        <v/>
      </c>
      <c r="J95" s="2" t="str">
        <f>IF(All_Questions_Q_EXTRA_2_CT="(None)","",IFERROR(INDEX(INDIRECT(IFERROR(INDEX(All_Questions_Options_Names,MATCH(All_Questions_Q_EXTRA_2_CT,All_Questions,0)),"'_Options'!$E$2:$E$2")),5),""))</f>
        <v/>
      </c>
      <c r="K95" s="2" t="str">
        <f>IF(All_Questions_Q_EXTRA_2_CT="(None)","",IFERROR(INDEX(INDIRECT(IFERROR(INDEX(All_Questions_Options_Names,MATCH(All_Questions_Q_EXTRA_2_CT,All_Questions,0)),"'_Options'!$E$2:$E$2")),6),""))</f>
        <v/>
      </c>
      <c r="L95" s="2" t="str">
        <f>IF(All_Questions_Q_EXTRA_2_CT="(None)","",IFERROR(INDEX(INDIRECT(IFERROR(INDEX(All_Questions_Options_Names,MATCH(All_Questions_Q_EXTRA_2_CT,All_Questions,0)),"'_Options'!$E$2:$E$2")),7),""))</f>
        <v/>
      </c>
      <c r="M95" s="2" t="str">
        <f>IF(All_Questions_Q_EXTRA_2_CT="(None)","",IFERROR(INDEX(INDIRECT(IFERROR(INDEX(All_Questions_Options_Names,MATCH(All_Questions_Q_EXTRA_2_CT,All_Questions,0)),"'_Options'!$E$2:$E$2")),8),""))</f>
        <v/>
      </c>
      <c r="N95" s="2" t="str">
        <f>IF(All_Questions_Q_EXTRA_2_CT="(None)","",IFERROR(INDEX(INDIRECT(IFERROR(INDEX(All_Questions_Options_Names,MATCH(All_Questions_Q_EXTRA_2_CT,All_Questions,0)),"'_Options'!$E$2:$E$2")),9),""))</f>
        <v/>
      </c>
      <c r="O95" s="2" t="str">
        <f>IF(All_Questions_Q_EXTRA_2_CT="(None)","",IFERROR(INDEX(INDIRECT(IFERROR(INDEX(All_Questions_Options_Names,MATCH(All_Questions_Q_EXTRA_2_CT,All_Questions,0)),"'_Options'!$E$2:$E$2")),10),""))</f>
        <v/>
      </c>
      <c r="P95" s="2" t="str">
        <f>IF(All_Questions_Q_EXTRA_2_CT="(None)","",IFERROR(INDEX(INDIRECT(IFERROR(INDEX(All_Questions_Options_Names,MATCH(All_Questions_Q_EXTRA_2_CT,All_Questions,0)),"'_Options'!$E$2:$E$2")),11),""))</f>
        <v/>
      </c>
      <c r="Q95" s="2" t="str">
        <f>IF(All_Questions_Q_EXTRA_2_CT="(None)","",IFERROR(INDEX(INDIRECT(IFERROR(INDEX(All_Questions_Options_Names,MATCH(All_Questions_Q_EXTRA_2_CT,All_Questions,0)),"'_Options'!$E$2:$E$2")),12),""))</f>
        <v/>
      </c>
      <c r="R95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95" s="4" t="inlineStr">
        <is>
          <t>Total</t>
        </is>
      </c>
    </row>
    <row r="96">
      <c r="A96" t="inlineStr">
        <is>
          <t>Extra 2 A</t>
        </is>
      </c>
      <c r="B96">
        <f>COUNTIFS(Q_EXTRA_2_data,"Extra 2 A",passes_workbook_filters_data,1,passes_workbook_custom_filters_data,1,All_Questions_passes_local_filters_data,1,All_Questions_Q_EXTRA_2_F_passes_per_q_filter_data,1)</f>
        <v>6</v>
      </c>
      <c r="C96" s="7">
        <f>IFERROR(B96/SUBTOTAL(9,B96:B97),0)</f>
        <v>0.6</v>
      </c>
      <c r="D96" s="14">
        <f>SUBTOTAL(9,B96:B97)</f>
        <v>10</v>
      </c>
      <c r="F96" s="4" t="inlineStr"/>
      <c r="G96" s="4" t="inlineStr">
        <is>
          <t># of resp</t>
        </is>
      </c>
      <c r="H96" s="4" t="inlineStr">
        <is>
          <t># of resp</t>
        </is>
      </c>
      <c r="I96" s="4" t="inlineStr">
        <is>
          <t># of resp</t>
        </is>
      </c>
      <c r="J96" s="4" t="inlineStr">
        <is>
          <t># of resp</t>
        </is>
      </c>
      <c r="K96" s="4" t="inlineStr">
        <is>
          <t># of resp</t>
        </is>
      </c>
      <c r="L96" s="4" t="inlineStr">
        <is>
          <t># of resp</t>
        </is>
      </c>
      <c r="M96" s="4" t="inlineStr">
        <is>
          <t># of resp</t>
        </is>
      </c>
      <c r="N96" s="4" t="inlineStr">
        <is>
          <t># of resp</t>
        </is>
      </c>
      <c r="O96" s="4" t="inlineStr">
        <is>
          <t># of resp</t>
        </is>
      </c>
      <c r="P96" s="4" t="inlineStr">
        <is>
          <t># of resp</t>
        </is>
      </c>
      <c r="Q96" s="4" t="inlineStr">
        <is>
          <t># of resp</t>
        </is>
      </c>
      <c r="R96" s="4" t="inlineStr">
        <is>
          <t># of resp</t>
        </is>
      </c>
      <c r="S96" s="4" t="inlineStr">
        <is>
          <t># of resp</t>
        </is>
      </c>
    </row>
    <row r="97">
      <c r="A97" t="inlineStr">
        <is>
          <t>Extra 2 B</t>
        </is>
      </c>
      <c r="B97">
        <f>COUNTIFS(Q_EXTRA_2_data,"Extra 2 B",passes_workbook_filters_data,1,passes_workbook_custom_filters_data,1,All_Questions_passes_local_filters_data,1,All_Questions_Q_EXTRA_2_F_passes_per_q_filter_data,1)</f>
        <v>4</v>
      </c>
      <c r="C97" s="7">
        <f>IFERROR(B97/SUBTOTAL(9,B96:B97),0)</f>
        <v>0.4</v>
      </c>
      <c r="D97" s="14">
        <f>SUBTOTAL(9,B96:B97)</f>
        <v>10</v>
      </c>
      <c r="F97" t="inlineStr">
        <is>
          <t>Extra 2 A</t>
        </is>
      </c>
      <c r="G97" s="14">
        <f>IF(OR(All_Questions_Q_EXTRA_2_CT="(None)",G$95=""),"",COUNTIFS(Q_EXTRA_2_data,"Extra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$95))</f>
        <v>0</v>
      </c>
      <c r="H97" s="14">
        <f>IF(OR(All_Questions_Q_EXTRA_2_CT="(None)",H$95=""),"",COUNTIFS(Q_EXTRA_2_data,"Extra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$95))</f>
        <v>0</v>
      </c>
      <c r="I97" s="14">
        <f>IF(OR(All_Questions_Q_EXTRA_2_CT="(None)",I$95=""),"",COUNTIFS(Q_EXTRA_2_data,"Extra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$95))</f>
        <v>0</v>
      </c>
      <c r="J97" s="14">
        <f>IF(OR(All_Questions_Q_EXTRA_2_CT="(None)",J$95=""),"",COUNTIFS(Q_EXTRA_2_data,"Extra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$95))</f>
        <v>0</v>
      </c>
      <c r="K97" s="14">
        <f>IF(OR(All_Questions_Q_EXTRA_2_CT="(None)",K$95=""),"",COUNTIFS(Q_EXTRA_2_data,"Extra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$95))</f>
        <v>0</v>
      </c>
      <c r="L97" s="14">
        <f>IF(OR(All_Questions_Q_EXTRA_2_CT="(None)",L$95=""),"",COUNTIFS(Q_EXTRA_2_data,"Extra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$95))</f>
        <v>0</v>
      </c>
      <c r="M97" s="14">
        <f>IF(OR(All_Questions_Q_EXTRA_2_CT="(None)",M$95=""),"",COUNTIFS(Q_EXTRA_2_data,"Extra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$95))</f>
        <v>0</v>
      </c>
      <c r="N97" s="14">
        <f>IF(OR(All_Questions_Q_EXTRA_2_CT="(None)",N$95=""),"",COUNTIFS(Q_EXTRA_2_data,"Extra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$95))</f>
        <v>0</v>
      </c>
      <c r="O97" s="14">
        <f>IF(OR(All_Questions_Q_EXTRA_2_CT="(None)",O$95=""),"",COUNTIFS(Q_EXTRA_2_data,"Extra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$95))</f>
        <v>0</v>
      </c>
      <c r="P97" s="14">
        <f>IF(OR(All_Questions_Q_EXTRA_2_CT="(None)",P$95=""),"",COUNTIFS(Q_EXTRA_2_data,"Extra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$95))</f>
        <v>0</v>
      </c>
      <c r="Q97" s="14">
        <f>IF(OR(All_Questions_Q_EXTRA_2_CT="(None)",Q$95=""),"",COUNTIFS(Q_EXTRA_2_data,"Extra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$95))</f>
        <v>0</v>
      </c>
      <c r="R97" s="14">
        <f>IF(OR(All_Questions_Q_EXTRA_2_CT="(None)",R$95=""),"",IF(R$95="Other",COUNTIFS(Q_EXTRA_2_data,"Extra 2 A",passes_workbook_filters_data,1,passes_workbook_custom_filters_data,1,All_Questions_passes_local_filters_data,1,All_Questions_Q_EXTRA_2_F_passes_per_q_filter_data,1)-SUM(G97,H97,I97,J97,K97,L97,M97,N97,O97,P97,Q97),COUNTIFS(Q_EXTRA_2_data,"Extra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$95)))</f>
        <v>0</v>
      </c>
      <c r="S97" s="14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98">
      <c r="A98" s="15" t="inlineStr">
        <is>
          <t>Total respondents</t>
        </is>
      </c>
      <c r="B98" s="15" t="n">
        <v>10</v>
      </c>
      <c r="C98" s="15" t="n"/>
      <c r="D98" s="15" t="n"/>
      <c r="F98" t="inlineStr">
        <is>
          <t>Extra 2 B</t>
        </is>
      </c>
      <c r="G98" s="14">
        <f>IF(OR(All_Questions_Q_EXTRA_2_CT="(None)",G$95=""),"",COUNTIFS(Q_EXTRA_2_data,"Extra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$95))</f>
        <v>0</v>
      </c>
      <c r="H98" s="14">
        <f>IF(OR(All_Questions_Q_EXTRA_2_CT="(None)",H$95=""),"",COUNTIFS(Q_EXTRA_2_data,"Extra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$95))</f>
        <v>0</v>
      </c>
      <c r="I98" s="14">
        <f>IF(OR(All_Questions_Q_EXTRA_2_CT="(None)",I$95=""),"",COUNTIFS(Q_EXTRA_2_data,"Extra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$95))</f>
        <v>0</v>
      </c>
      <c r="J98" s="14">
        <f>IF(OR(All_Questions_Q_EXTRA_2_CT="(None)",J$95=""),"",COUNTIFS(Q_EXTRA_2_data,"Extra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$95))</f>
        <v>0</v>
      </c>
      <c r="K98" s="14">
        <f>IF(OR(All_Questions_Q_EXTRA_2_CT="(None)",K$95=""),"",COUNTIFS(Q_EXTRA_2_data,"Extra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$95))</f>
        <v>0</v>
      </c>
      <c r="L98" s="14">
        <f>IF(OR(All_Questions_Q_EXTRA_2_CT="(None)",L$95=""),"",COUNTIFS(Q_EXTRA_2_data,"Extra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$95))</f>
        <v>0</v>
      </c>
      <c r="M98" s="14">
        <f>IF(OR(All_Questions_Q_EXTRA_2_CT="(None)",M$95=""),"",COUNTIFS(Q_EXTRA_2_data,"Extra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$95))</f>
        <v>0</v>
      </c>
      <c r="N98" s="14">
        <f>IF(OR(All_Questions_Q_EXTRA_2_CT="(None)",N$95=""),"",COUNTIFS(Q_EXTRA_2_data,"Extra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$95))</f>
        <v>0</v>
      </c>
      <c r="O98" s="14">
        <f>IF(OR(All_Questions_Q_EXTRA_2_CT="(None)",O$95=""),"",COUNTIFS(Q_EXTRA_2_data,"Extra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$95))</f>
        <v>0</v>
      </c>
      <c r="P98" s="14">
        <f>IF(OR(All_Questions_Q_EXTRA_2_CT="(None)",P$95=""),"",COUNTIFS(Q_EXTRA_2_data,"Extra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$95))</f>
        <v>0</v>
      </c>
      <c r="Q98" s="14">
        <f>IF(OR(All_Questions_Q_EXTRA_2_CT="(None)",Q$95=""),"",COUNTIFS(Q_EXTRA_2_data,"Extra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$95))</f>
        <v>0</v>
      </c>
      <c r="R98" s="14">
        <f>IF(OR(All_Questions_Q_EXTRA_2_CT="(None)",R$95=""),"",IF(R$95="Other",COUNTIFS(Q_EXTRA_2_data,"Extra 2 B",passes_workbook_filters_data,1,passes_workbook_custom_filters_data,1,All_Questions_passes_local_filters_data,1,All_Questions_Q_EXTRA_2_F_passes_per_q_filter_data,1)-SUM(G98,H98,I98,J98,K98,L98,M98,N98,O98,P98,Q98),COUNTIFS(Q_EXTRA_2_data,"Extra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$95)))</f>
        <v>0</v>
      </c>
      <c r="S98" s="14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99">
      <c r="F99" s="4" t="inlineStr">
        <is>
          <t>Total respondents</t>
        </is>
      </c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100"/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</row>
    <row r="102">
      <c r="A102" s="12" t="inlineStr">
        <is>
          <t>Q_EXTRA_3 - Extra mixed block question 3</t>
        </is>
      </c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</row>
    <row r="103">
      <c r="A103" s="13" t="inlineStr">
        <is>
          <t>Per-question filter</t>
        </is>
      </c>
      <c r="B103" t="inlineStr">
        <is>
          <t>Filter Q</t>
        </is>
      </c>
      <c r="C103" t="inlineStr">
        <is>
          <t>(None)</t>
        </is>
      </c>
      <c r="D103" t="inlineStr">
        <is>
          <t>Value</t>
        </is>
      </c>
      <c r="E103" t="inlineStr">
        <is>
          <t>(All)</t>
        </is>
      </c>
      <c r="F103" t="str">
        <f>IFERROR(INDEX(All_Questions_Data_Names,MATCH(All_Questions_Q_EXTRA_3_F_Q,All_Questions,0)),"'_RawData'!$A:$A")</f>
        <v>respondent_id_data</v>
      </c>
      <c r="G103" t="str">
        <f>"|" &amp; SUBSTITUTE(All_Questions_Q_EXTRA_3_F_V, ", ", "|") &amp; "|"</f>
        <v>|(All)|</v>
      </c>
    </row>
    <row r="104">
      <c r="A104" s="13" t="inlineStr">
        <is>
          <t>Cross-tab by</t>
        </is>
      </c>
      <c r="C104" t="inlineStr">
        <is>
          <t>(None)</t>
        </is>
      </c>
    </row>
    <row r="105"/>
    <row r="106">
      <c r="A106" s="4" t="inlineStr">
        <is>
          <t>Option</t>
        </is>
      </c>
      <c r="B106" s="4" t="inlineStr">
        <is>
          <t>Count</t>
        </is>
      </c>
      <c r="C106" s="4" t="inlineStr">
        <is>
          <t>%</t>
        </is>
      </c>
      <c r="D106" s="4" t="inlineStr">
        <is>
          <t>Denominator</t>
        </is>
      </c>
      <c r="F106" s="4" t="inlineStr">
        <is>
          <t>Option</t>
        </is>
      </c>
      <c r="G106" s="2" t="str">
        <f>IF(All_Questions_Q_EXTRA_3_CT="(None)","",IFERROR(INDEX(INDIRECT(IFERROR(INDEX(All_Questions_Options_Names,MATCH(All_Questions_Q_EXTRA_3_CT,All_Questions,0)),"'_Options'!$E$2:$E$2")),2),""))</f>
        <v/>
      </c>
      <c r="H106" s="2" t="str">
        <f>IF(All_Questions_Q_EXTRA_3_CT="(None)","",IFERROR(INDEX(INDIRECT(IFERROR(INDEX(All_Questions_Options_Names,MATCH(All_Questions_Q_EXTRA_3_CT,All_Questions,0)),"'_Options'!$E$2:$E$2")),3),""))</f>
        <v/>
      </c>
      <c r="I106" s="2" t="str">
        <f>IF(All_Questions_Q_EXTRA_3_CT="(None)","",IFERROR(INDEX(INDIRECT(IFERROR(INDEX(All_Questions_Options_Names,MATCH(All_Questions_Q_EXTRA_3_CT,All_Questions,0)),"'_Options'!$E$2:$E$2")),4),""))</f>
        <v/>
      </c>
      <c r="J106" s="2" t="str">
        <f>IF(All_Questions_Q_EXTRA_3_CT="(None)","",IFERROR(INDEX(INDIRECT(IFERROR(INDEX(All_Questions_Options_Names,MATCH(All_Questions_Q_EXTRA_3_CT,All_Questions,0)),"'_Options'!$E$2:$E$2")),5),""))</f>
        <v/>
      </c>
      <c r="K106" s="2" t="str">
        <f>IF(All_Questions_Q_EXTRA_3_CT="(None)","",IFERROR(INDEX(INDIRECT(IFERROR(INDEX(All_Questions_Options_Names,MATCH(All_Questions_Q_EXTRA_3_CT,All_Questions,0)),"'_Options'!$E$2:$E$2")),6),""))</f>
        <v/>
      </c>
      <c r="L106" s="2" t="str">
        <f>IF(All_Questions_Q_EXTRA_3_CT="(None)","",IFERROR(INDEX(INDIRECT(IFERROR(INDEX(All_Questions_Options_Names,MATCH(All_Questions_Q_EXTRA_3_CT,All_Questions,0)),"'_Options'!$E$2:$E$2")),7),""))</f>
        <v/>
      </c>
      <c r="M106" s="2" t="str">
        <f>IF(All_Questions_Q_EXTRA_3_CT="(None)","",IFERROR(INDEX(INDIRECT(IFERROR(INDEX(All_Questions_Options_Names,MATCH(All_Questions_Q_EXTRA_3_CT,All_Questions,0)),"'_Options'!$E$2:$E$2")),8),""))</f>
        <v/>
      </c>
      <c r="N106" s="2" t="str">
        <f>IF(All_Questions_Q_EXTRA_3_CT="(None)","",IFERROR(INDEX(INDIRECT(IFERROR(INDEX(All_Questions_Options_Names,MATCH(All_Questions_Q_EXTRA_3_CT,All_Questions,0)),"'_Options'!$E$2:$E$2")),9),""))</f>
        <v/>
      </c>
      <c r="O106" s="2" t="str">
        <f>IF(All_Questions_Q_EXTRA_3_CT="(None)","",IFERROR(INDEX(INDIRECT(IFERROR(INDEX(All_Questions_Options_Names,MATCH(All_Questions_Q_EXTRA_3_CT,All_Questions,0)),"'_Options'!$E$2:$E$2")),10),""))</f>
        <v/>
      </c>
      <c r="P106" s="2" t="str">
        <f>IF(All_Questions_Q_EXTRA_3_CT="(None)","",IFERROR(INDEX(INDIRECT(IFERROR(INDEX(All_Questions_Options_Names,MATCH(All_Questions_Q_EXTRA_3_CT,All_Questions,0)),"'_Options'!$E$2:$E$2")),11),""))</f>
        <v/>
      </c>
      <c r="Q106" s="2" t="str">
        <f>IF(All_Questions_Q_EXTRA_3_CT="(None)","",IFERROR(INDEX(INDIRECT(IFERROR(INDEX(All_Questions_Options_Names,MATCH(All_Questions_Q_EXTRA_3_CT,All_Questions,0)),"'_Options'!$E$2:$E$2")),12),""))</f>
        <v/>
      </c>
      <c r="R106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106" s="4" t="inlineStr">
        <is>
          <t>Total</t>
        </is>
      </c>
    </row>
    <row r="107">
      <c r="A107" t="inlineStr">
        <is>
          <t>Extra 3 A</t>
        </is>
      </c>
      <c r="B107">
        <f>COUNTIFS(Q_EXTRA_3_data,"Extra 3 A",passes_workbook_filters_data,1,passes_workbook_custom_filters_data,1,All_Questions_passes_local_filters_data,1,All_Questions_Q_EXTRA_3_F_passes_per_q_filter_data,1)</f>
        <v>6</v>
      </c>
      <c r="C107" s="7">
        <f>IFERROR(B107/SUBTOTAL(9,B107:B108),0)</f>
        <v>0.6</v>
      </c>
      <c r="D107" s="14">
        <f>SUBTOTAL(9,B107:B108)</f>
        <v>10</v>
      </c>
      <c r="F107" s="4" t="inlineStr"/>
      <c r="G107" s="4" t="inlineStr">
        <is>
          <t># of resp</t>
        </is>
      </c>
      <c r="H107" s="4" t="inlineStr">
        <is>
          <t># of resp</t>
        </is>
      </c>
      <c r="I107" s="4" t="inlineStr">
        <is>
          <t># of resp</t>
        </is>
      </c>
      <c r="J107" s="4" t="inlineStr">
        <is>
          <t># of resp</t>
        </is>
      </c>
      <c r="K107" s="4" t="inlineStr">
        <is>
          <t># of resp</t>
        </is>
      </c>
      <c r="L107" s="4" t="inlineStr">
        <is>
          <t># of resp</t>
        </is>
      </c>
      <c r="M107" s="4" t="inlineStr">
        <is>
          <t># of resp</t>
        </is>
      </c>
      <c r="N107" s="4" t="inlineStr">
        <is>
          <t># of resp</t>
        </is>
      </c>
      <c r="O107" s="4" t="inlineStr">
        <is>
          <t># of resp</t>
        </is>
      </c>
      <c r="P107" s="4" t="inlineStr">
        <is>
          <t># of resp</t>
        </is>
      </c>
      <c r="Q107" s="4" t="inlineStr">
        <is>
          <t># of resp</t>
        </is>
      </c>
      <c r="R107" s="4" t="inlineStr">
        <is>
          <t># of resp</t>
        </is>
      </c>
      <c r="S107" s="4" t="inlineStr">
        <is>
          <t># of resp</t>
        </is>
      </c>
    </row>
    <row r="108">
      <c r="A108" t="inlineStr">
        <is>
          <t>Extra 3 B</t>
        </is>
      </c>
      <c r="B108">
        <f>COUNTIFS(Q_EXTRA_3_data,"Extra 3 B",passes_workbook_filters_data,1,passes_workbook_custom_filters_data,1,All_Questions_passes_local_filters_data,1,All_Questions_Q_EXTRA_3_F_passes_per_q_filter_data,1)</f>
        <v>4</v>
      </c>
      <c r="C108" s="7">
        <f>IFERROR(B108/SUBTOTAL(9,B107:B108),0)</f>
        <v>0.4</v>
      </c>
      <c r="D108" s="14">
        <f>SUBTOTAL(9,B107:B108)</f>
        <v>10</v>
      </c>
      <c r="F108" t="inlineStr">
        <is>
          <t>Extra 3 A</t>
        </is>
      </c>
      <c r="G108" s="14">
        <f>IF(OR(All_Questions_Q_EXTRA_3_CT="(None)",G$106=""),"",COUNTIFS(Q_EXTRA_3_data,"Extra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$106))</f>
        <v>0</v>
      </c>
      <c r="H108" s="14">
        <f>IF(OR(All_Questions_Q_EXTRA_3_CT="(None)",H$106=""),"",COUNTIFS(Q_EXTRA_3_data,"Extra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$106))</f>
        <v>0</v>
      </c>
      <c r="I108" s="14">
        <f>IF(OR(All_Questions_Q_EXTRA_3_CT="(None)",I$106=""),"",COUNTIFS(Q_EXTRA_3_data,"Extra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$106))</f>
        <v>0</v>
      </c>
      <c r="J108" s="14">
        <f>IF(OR(All_Questions_Q_EXTRA_3_CT="(None)",J$106=""),"",COUNTIFS(Q_EXTRA_3_data,"Extra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$106))</f>
        <v>0</v>
      </c>
      <c r="K108" s="14">
        <f>IF(OR(All_Questions_Q_EXTRA_3_CT="(None)",K$106=""),"",COUNTIFS(Q_EXTRA_3_data,"Extra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$106))</f>
        <v>0</v>
      </c>
      <c r="L108" s="14">
        <f>IF(OR(All_Questions_Q_EXTRA_3_CT="(None)",L$106=""),"",COUNTIFS(Q_EXTRA_3_data,"Extra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$106))</f>
        <v>0</v>
      </c>
      <c r="M108" s="14">
        <f>IF(OR(All_Questions_Q_EXTRA_3_CT="(None)",M$106=""),"",COUNTIFS(Q_EXTRA_3_data,"Extra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$106))</f>
        <v>0</v>
      </c>
      <c r="N108" s="14">
        <f>IF(OR(All_Questions_Q_EXTRA_3_CT="(None)",N$106=""),"",COUNTIFS(Q_EXTRA_3_data,"Extra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$106))</f>
        <v>0</v>
      </c>
      <c r="O108" s="14">
        <f>IF(OR(All_Questions_Q_EXTRA_3_CT="(None)",O$106=""),"",COUNTIFS(Q_EXTRA_3_data,"Extra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$106))</f>
        <v>0</v>
      </c>
      <c r="P108" s="14">
        <f>IF(OR(All_Questions_Q_EXTRA_3_CT="(None)",P$106=""),"",COUNTIFS(Q_EXTRA_3_data,"Extra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$106))</f>
        <v>0</v>
      </c>
      <c r="Q108" s="14">
        <f>IF(OR(All_Questions_Q_EXTRA_3_CT="(None)",Q$106=""),"",COUNTIFS(Q_EXTRA_3_data,"Extra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$106))</f>
        <v>0</v>
      </c>
      <c r="R108" s="14">
        <f>IF(OR(All_Questions_Q_EXTRA_3_CT="(None)",R$106=""),"",IF(R$106="Other",COUNTIFS(Q_EXTRA_3_data,"Extra 3 A",passes_workbook_filters_data,1,passes_workbook_custom_filters_data,1,All_Questions_passes_local_filters_data,1,All_Questions_Q_EXTRA_3_F_passes_per_q_filter_data,1)-SUM(G108,H108,I108,J108,K108,L108,M108,N108,O108,P108,Q108),COUNTIFS(Q_EXTRA_3_data,"Extra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$106)))</f>
        <v>0</v>
      </c>
      <c r="S108" s="14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109">
      <c r="A109" s="15" t="inlineStr">
        <is>
          <t>Total respondents</t>
        </is>
      </c>
      <c r="B109" s="15" t="n">
        <v>10</v>
      </c>
      <c r="C109" s="15" t="n"/>
      <c r="D109" s="15" t="n"/>
      <c r="F109" t="inlineStr">
        <is>
          <t>Extra 3 B</t>
        </is>
      </c>
      <c r="G109" s="14">
        <f>IF(OR(All_Questions_Q_EXTRA_3_CT="(None)",G$106=""),"",COUNTIFS(Q_EXTRA_3_data,"Extra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$106))</f>
        <v>0</v>
      </c>
      <c r="H109" s="14">
        <f>IF(OR(All_Questions_Q_EXTRA_3_CT="(None)",H$106=""),"",COUNTIFS(Q_EXTRA_3_data,"Extra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$106))</f>
        <v>0</v>
      </c>
      <c r="I109" s="14">
        <f>IF(OR(All_Questions_Q_EXTRA_3_CT="(None)",I$106=""),"",COUNTIFS(Q_EXTRA_3_data,"Extra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$106))</f>
        <v>0</v>
      </c>
      <c r="J109" s="14">
        <f>IF(OR(All_Questions_Q_EXTRA_3_CT="(None)",J$106=""),"",COUNTIFS(Q_EXTRA_3_data,"Extra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$106))</f>
        <v>0</v>
      </c>
      <c r="K109" s="14">
        <f>IF(OR(All_Questions_Q_EXTRA_3_CT="(None)",K$106=""),"",COUNTIFS(Q_EXTRA_3_data,"Extra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$106))</f>
        <v>0</v>
      </c>
      <c r="L109" s="14">
        <f>IF(OR(All_Questions_Q_EXTRA_3_CT="(None)",L$106=""),"",COUNTIFS(Q_EXTRA_3_data,"Extra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$106))</f>
        <v>0</v>
      </c>
      <c r="M109" s="14">
        <f>IF(OR(All_Questions_Q_EXTRA_3_CT="(None)",M$106=""),"",COUNTIFS(Q_EXTRA_3_data,"Extra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$106))</f>
        <v>0</v>
      </c>
      <c r="N109" s="14">
        <f>IF(OR(All_Questions_Q_EXTRA_3_CT="(None)",N$106=""),"",COUNTIFS(Q_EXTRA_3_data,"Extra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$106))</f>
        <v>0</v>
      </c>
      <c r="O109" s="14">
        <f>IF(OR(All_Questions_Q_EXTRA_3_CT="(None)",O$106=""),"",COUNTIFS(Q_EXTRA_3_data,"Extra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$106))</f>
        <v>0</v>
      </c>
      <c r="P109" s="14">
        <f>IF(OR(All_Questions_Q_EXTRA_3_CT="(None)",P$106=""),"",COUNTIFS(Q_EXTRA_3_data,"Extra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$106))</f>
        <v>0</v>
      </c>
      <c r="Q109" s="14">
        <f>IF(OR(All_Questions_Q_EXTRA_3_CT="(None)",Q$106=""),"",COUNTIFS(Q_EXTRA_3_data,"Extra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$106))</f>
        <v>0</v>
      </c>
      <c r="R109" s="14">
        <f>IF(OR(All_Questions_Q_EXTRA_3_CT="(None)",R$106=""),"",IF(R$106="Other",COUNTIFS(Q_EXTRA_3_data,"Extra 3 B",passes_workbook_filters_data,1,passes_workbook_custom_filters_data,1,All_Questions_passes_local_filters_data,1,All_Questions_Q_EXTRA_3_F_passes_per_q_filter_data,1)-SUM(G109,H109,I109,J109,K109,L109,M109,N109,O109,P109,Q109),COUNTIFS(Q_EXTRA_3_data,"Extra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$106)))</f>
        <v>0</v>
      </c>
      <c r="S109" s="14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110">
      <c r="F110" s="4" t="inlineStr">
        <is>
          <t>Total respondents</t>
        </is>
      </c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5:B86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5:C86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6:G87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6:H87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6:I87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6:J87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6:K87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6:L87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6:M87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6:N87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6:O87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6:P87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6:Q87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6:R87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6:B97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6:C97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7:G98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7:H98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7:I98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7:J98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7:K98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7:L98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7:M98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7:N98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7:O98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7:P98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7:Q98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7:R98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07:B108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07:C108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08:G109">
    <cfRule type="colorScale" priority="9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08:H109">
    <cfRule type="colorScale" priority="10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08:I109">
    <cfRule type="colorScale" priority="10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08:J109">
    <cfRule type="colorScale" priority="10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08:K109">
    <cfRule type="colorScale" priority="10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08:L109">
    <cfRule type="colorScale" priority="10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08:M109">
    <cfRule type="colorScale" priority="10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08:N109">
    <cfRule type="colorScale" priority="10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08:O109">
    <cfRule type="colorScale" priority="10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08:P109">
    <cfRule type="colorScale" priority="10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08:Q109">
    <cfRule type="colorScale" priority="10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08:R109">
    <cfRule type="colorScale" priority="1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  <dataValidation sqref="C81" showDropDown="0" showInputMessage="0" showErrorMessage="0" allowBlank="1" type="list">
      <formula1>=All_Questions</formula1>
    </dataValidation>
    <dataValidation sqref="E81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82" showDropDown="0" showInputMessage="0" showErrorMessage="0" allowBlank="1" type="list">
      <formula1>=All_Questions</formula1>
    </dataValidation>
    <dataValidation sqref="C92" showDropDown="0" showInputMessage="0" showErrorMessage="0" allowBlank="1" type="list">
      <formula1>=All_Questions</formula1>
    </dataValidation>
    <dataValidation sqref="E92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93" showDropDown="0" showInputMessage="0" showErrorMessage="0" allowBlank="1" type="list">
      <formula1>=All_Questions</formula1>
    </dataValidation>
    <dataValidation sqref="C103" showDropDown="0" showInputMessage="0" showErrorMessage="0" allowBlank="1" type="list">
      <formula1>=All_Questions</formula1>
    </dataValidation>
    <dataValidation sqref="E103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10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2026-06-08T08:49:57.773387+00:00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2026-06-08T08:49:57.773636+00:00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2026-06-08T08:49:57.773848+00:00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2026-06-08T08:49:57.774078+00:00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2026-06-08T08:49:57.774315+00:00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2026-06-08T08:49:57.774522+00:00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2026-06-08T08:49:57.774723+00:00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2026-06-08T08:49:57.774936+00:00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2026-06-08T08:49:57.775168+00:00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2026-06-08T08:49:57.775375+00:00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2026-06-08T08:49:57.775580+00:00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2026-06-08T08:49:57.775840+00:00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2026-06-08T08:49:57.776252+00:00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2026-06-08T08:49:57.776455+00:00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2026-06-08T08:49:57.776657+00:00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2026-06-08T08:49:57.776858+00:00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2026-06-08T08:49:57.777082+00:00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2026-06-08T08:49:57.777321+00:00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2026-06-08T08:49:57.777527+00:00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2026-06-08T08:49:57.777727+00:00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2026-06-08T08:49:57.777983+00:00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2026-06-08T08:49:57.778237+00:00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2026-06-08T08:49:57.778447+00:00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2026-06-08T08:49:57.778707+00:00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2026-06-08T08:49:57.797847+00:00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2026-06-08T08:49:57.798036+00:00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2026-06-08T08:49:57.798213+00:00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2026-06-08T08:49:57.798356+00:00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2026-06-08T08:49:57.798498+00:00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2026-06-08T08:49:57.798637+00:00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2026-06-08T08:49:57.798778+00:00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2026-06-08T08:49:57.798914+00:00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2026-06-08T08:49:57.799075+00:00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2026-06-08T08:49:57.799243+00:00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2026-06-08T08:49:57.799387+00:00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2026-06-08T08:49:57.799585+00:00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2026-06-08T08:49:54Z</dcterms:created>
  <dcterms:modified xmlns:dcterms="http://purl.org/dc/terms/" xmlns:xsi="http://www.w3.org/2001/XMLSchema-instance" xsi:type="dcterms:W3CDTF">2026-06-08T08:49:57Z</dcterms:modified>
</cp:coreProperties>
</file>