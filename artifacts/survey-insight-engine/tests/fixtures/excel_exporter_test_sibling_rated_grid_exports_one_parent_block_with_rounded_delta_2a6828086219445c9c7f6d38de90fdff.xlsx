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Q1_filter_values_options">'_Options'!$U$2:$U$32</definedName>
    <definedName name="Q1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Q1_filter_values_options</t>
        </is>
      </c>
      <c r="V1" t="inlineStr">
        <is>
          <t>Q1_filter_values_local_options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Q1 - Rate Each Vendor Attribute From 1 To 10|Implementation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Q1 - Rate Each Vendor Attribute From 1 To 10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Q1 - Rate Each Vendor Attribute From 1 To 10|Implementation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Q1 - Rate Each Vendor Attribute From 1 To 10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Q1 - Rate Each Vendor Attribute From 1 To 10|Implementation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Q1 - Rate Each Vendor Attribute From 1 To 10|Implementation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Q1 - Rate Each Vendor Attribute From 1 To 10|Implementation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Q1 - Rate Each Vendor Attribute From 1 To 10|Implementation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Q1 - Rate Each Vendor Attribute From 1 To 10|Implementation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Q1 - Rate Each Vendor Attribute From 1 To 10|Implementation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Q1 - Rate Each Vendor Attribute From 1 To 10|Implementation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Q1 - Rate Each Vendor Attribute From 1 To 10|Implementation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Q1 - Rate Each Vendor Attribute From 1 To 10|Implementation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Q1 - Rate Each Vendor Attribute From 1 To 10|Implementation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Q1 - Rate Each Vendor Attribute From 1 To 10|Implementation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Q1 - Rate Each Vendor Attribute From 1 To 10|Implementation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Q1 - Rate Each Vendor Attribute From 1 To 10|Implementation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Q1 - Rate Each Vendor Attribute From 1 To 10|Implementation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Q1 - Rate Each Vendor Attribute From 1 To 10|Implementation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Q1 - Rate Each Vendor Attribute From 1 To 10|Implementation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Q1 - Rate Each Vendor Attribute From 1 To 10|Implementation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Q1 - Rate Each Vendor Attribute From 1 To 10|Implementation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Q1 - Rate Each Vendor Attribute From 1 To 10|Integration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Q1 - Rate Each Vendor Attribute From 1 To 10|Integration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Q1 - Rate Each Vendor Attribute From 1 To 10|Integration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Q1 - Rate Each Vendor Attribute From 1 To 10|Integration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Q1 - Rate Each Vendor Attribute From 1 To 10|Integration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Q1 - Rate Each Vendor Attribute From 1 To 10|Integration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Q1 - Rate Each Vendor Attribute From 1 To 10|Integration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Q1 - Rate Each Vendor Attribute From 1 To 10|Integration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Q1 - Rate Each Vendor Attribute From 1 To 10|Integration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Q1 - Rate Each Vendor Attribute From 1 To 10|Integration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Q1 - Rate Each Vendor Attribute From 1 To 10|Integration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Q1 - Rate Each Vendor Attribute From 1 To 10|Integration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Q1 - Rate Each Vendor Attribute From 1 To 10|Integration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Q1 - Rate Each Vendor Attribute From 1 To 10|Integration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Q1 - Rate Each Vendor Attribute From 1 To 10|Integration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Q1 - Rate Each Vendor Attribute From 1 To 10|Integration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Q1 - Rate Each Vendor Attribute From 1 To 10|Integration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Q1 - Rate Each Vendor Attribute From 1 To 10|Integration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Q1 - Rate Each Vendor Attribute From 1 To 10|Integration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Q1 - Rate Each Vendor Attribute From 1 To 10|Integration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Q1 - Rate Each Vendor Attribute From 1 To 10|Efficiency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Q1 - Rate Each Vendor Attribute From 1 To 10|Efficiency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Q1 - Rate Each Vendor Attribute From 1 To 10|Efficiency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Q1 - Rate Each Vendor Attribute From 1 To 10|Efficiency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Q1 - Rate Each Vendor Attribute From 1 To 10|Efficiency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Q1 - Rate Each Vendor Attribute From 1 To 10|Efficiency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Q1 - Rate Each Vendor Attribute From 1 To 10|Efficiency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Q1 - Rate Each Vendor Attribute From 1 To 10|Efficiency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Q1 - Rate Each Vendor Attribute From 1 To 10|Efficiency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Q1 - Rate Each Vendor Attribute From 1 To 10|Efficiency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Q1 - Rate Each Vendor Attribute From 1 To 10|Efficiency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Q1 - Rate Each Vendor Attribute From 1 To 10|Efficiency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Q1 - Rate Each Vendor Attribute From 1 To 10|Efficiency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Q1 - Rate Each Vendor Attribute From 1 To 10|Efficiency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Q1 - Rate Each Vendor Attribute From 1 To 10|Efficiency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Q1 - Rate Each Vendor Attribute From 1 To 10|Efficiency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Q1 - Rate Each Vendor Attribute From 1 To 10|Efficiency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Q1 - Rate Each Vendor Attribute From 1 To 10|Efficiency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Q1 - Rate Each Vendor Attribute From 1 To 10|Efficiency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Q1 - Rate Each Vendor Attribute From 1 To 10|Efficiency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2026-06-09T11:31:26.334470+00:00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Q1r1</t>
        </is>
      </c>
      <c r="B17" t="inlineStr">
        <is>
          <t>Implementation speed</t>
        </is>
      </c>
      <c r="C17">
        <f>COUNTIFS(Q1r1c1_data,"&lt;&gt;",passes_workbook_filters_data,1,passes_workbook_custom_filters_data,1,All_Questions_passes_local_filters_data,1,All_Questions_Q1_F_passes_per_q_filter_data,1)</f>
        <v>4</v>
      </c>
      <c r="D17" s="7">
        <f>IFERROR(C17/COUNTIFS(respondent_id_data,"&lt;&gt;",passes_workbook_filters_data,1,passes_workbook_custom_filters_data,1,All_Questions_passes_local_filters_data,1,All_Questions_Q1_F_passes_per_q_filter_data,1),0)</f>
        <v>1.0</v>
      </c>
      <c r="F17" s="15">
        <f>IFERROR(AVERAGEIFS(Q1r1c1_data,passes_workbook_filters_data,1,passes_workbook_custom_filters_data,1,All_Questions_passes_local_filters_data,1,All_Questions_Q1_F_passes_per_q_filter_data,1),0)</f>
        <v>8.2</v>
      </c>
      <c r="G17" s="15" t="n">
        <v>8</v>
      </c>
      <c r="H17" s="15">
        <f>IFERROR(AVERAGEIFS(Q1r1c2_data,passes_workbook_filters_data,1,passes_workbook_custom_filters_data,1,All_Questions_passes_local_filters_data,1,All_Questions_Q1_F_passes_per_q_filter_data,1),0)</f>
        <v>6.5</v>
      </c>
      <c r="I17" s="15" t="n">
        <v>6.5</v>
      </c>
      <c r="J17" s="15">
        <f>ROUND(F17-H17,1)</f>
        <v>1.7</v>
      </c>
      <c r="K17" s="15">
        <f>ROUND(G17-I17,1)</f>
        <v>1.5</v>
      </c>
    </row>
    <row r="18">
      <c r="A18" s="14" t="inlineStr">
        <is>
          <t>Q1r2</t>
        </is>
      </c>
      <c r="B18" t="inlineStr">
        <is>
          <t>Integration fit</t>
        </is>
      </c>
      <c r="C18">
        <f>COUNTIFS(Q1r2c1_data,"&lt;&gt;",passes_workbook_filters_data,1,passes_workbook_custom_filters_data,1,All_Questions_passes_local_filters_data,1,All_Questions_Q1_F_passes_per_q_filter_data,1)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IFERROR(AVERAGEIFS(Q1r2c1_data,passes_workbook_filters_data,1,passes_workbook_custom_filters_data,1,All_Questions_passes_local_filters_data,1,All_Questions_Q1_F_passes_per_q_filter_data,1),0)</f>
        <v>8.8</v>
      </c>
      <c r="G18" s="15" t="n">
        <v>9</v>
      </c>
      <c r="H18" s="15">
        <f>IFERROR(AVERAGEIFS(Q1r2c2_data,passes_workbook_filters_data,1,passes_workbook_custom_filters_data,1,All_Questions_passes_local_filters_data,1,All_Questions_Q1_F_passes_per_q_filter_data,1),0)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Q1r3</t>
        </is>
      </c>
      <c r="B19" t="inlineStr">
        <is>
          <t>Efficiency gains</t>
        </is>
      </c>
      <c r="C19">
        <f>COUNTIFS(Q1r3c1_data,"&lt;&gt;",passes_workbook_filters_data,1,passes_workbook_custom_filters_data,1,All_Questions_passes_local_filters_data,1,All_Questions_Q1_F_passes_per_q_filter_data,1)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IFERROR(AVERAGEIFS(Q1r3c1_data,passes_workbook_filters_data,1,passes_workbook_custom_filters_data,1,All_Questions_passes_local_filters_data,1,All_Questions_Q1_F_passes_per_q_filter_data,1),0)</f>
        <v>7.8</v>
      </c>
      <c r="G19" s="15" t="n">
        <v>8</v>
      </c>
      <c r="H19" s="15">
        <f>IFERROR(AVERAGEIFS(Q1r3c2_data,passes_workbook_filters_data,1,passes_workbook_custom_filters_data,1,All_Questions_passes_local_filters_data,1,All_Questions_Q1_F_passes_per_q_filter_data,1),0)</f>
        <v>5.8</v>
      </c>
      <c r="I19" s="15" t="n">
        <v>6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2026-06-09T11:31:26Z</dcterms:created>
  <dcterms:modified xmlns:dcterms="http://purl.org/dc/terms/" xmlns:xsi="http://www.w3.org/2001/XMLSchema-instance" xsi:type="dcterms:W3CDTF">2026-06-09T11:31:27Z</dcterms:modified>
</cp:coreProperties>
</file>