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'_Options'!$A$2:$A$6</definedName>
    <definedName name="All_Questions_Local">'_Options'!$B$2:$B$7</definedName>
    <definedName name="Cross_Tab_Questions">'_Options'!$T$2:$T$4</definedName>
    <definedName name="Cross_Tab_Questions_Data_Names">'_Options'!$U$2:$U$4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'_Options'!$J$2:$J$4</definedName>
    <definedName name="Q_GRID_EXPORTr1_local_options">'_Options'!$Q$2:$Q$5</definedName>
    <definedName name="Q_GRID_EXPORTr2_options">'_Options'!$K$2:$K$4</definedName>
    <definedName name="Q_GRID_EXPORTr2_local_options">'_Options'!$R$2:$R$5</definedName>
    <definedName name="Q_VERY_LONG_SINGLE_SELECT_EXPOR_options">'_Options'!$L$2:$L$4</definedName>
    <definedName name="Q_VERY_LONG_SINGLE_SELECT_EXPOR_local_options">'_Options'!$S$2:$S$5</definedName>
    <definedName name="Q_MS_EXPORT_filter_values_options">'_Options'!$Y$2:$Y$4</definedName>
    <definedName name="Q_MS_EXPORT_filter_values_local_options">'_Options'!$Z$2:$Z$5</definedName>
    <definedName name="Q_GRID_EXPORT_filter_values_options">'_Options'!$AA$2:$AA$6</definedName>
    <definedName name="Q_GRID_EXPORT_filter_values_local_options">'_Options'!$AB$2:$AB$7</definedName>
    <definedName name="All_Questions_Data_Names">'_Options'!$C$2:$C$6</definedName>
    <definedName name="All_Questions_Options_Names">'_Options'!$D$2:$D$6</definedName>
    <definedName name="Cross_Tab_Questions_Options_Names">'_Options'!$V$2:$V$4</definedName>
    <definedName name="All_Questions_Value_Keys">'_Options'!$AF$2:$AF$7</definedName>
    <definedName name="All_Questions_Value_Data_Names">'_Options'!$AG$2:$AG$7</definedName>
    <definedName name="All_Questions_Value_Criteria">'_Options'!$AH$2:$AH$7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1_resolved_criteria">'Filters'!$G$6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F_Custom2_resolved_criteria">'Filters'!$G$7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1_resolved_criteria">'All Questions'!$G$6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F_Custom2_resolved_criteria">'All Questions'!$G$8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resolved_criteria">'All Questions'!$H$13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Questions'!$C$24</definedName>
    <definedName name="All_Questions_Q_MS_EXPORT_F_V">'All Questions'!$E$24</definedName>
    <definedName name="All_Questions_Q_MS_EXPORT_F_resolved_column">'All Questions'!$F$24</definedName>
    <definedName name="All_Questions_Q_MS_EXPORT_F_wrapped">'All Questions'!$G$24</definedName>
    <definedName name="All_Questions_Q_MS_EXPORT_F_resolved_criteria">'All Questions'!$H$24</definedName>
    <definedName name="All_Questions_Q_MS_EXPORT_F_passes_per_q_filter_data">'_RawData'!$O$2:$O$11</definedName>
    <definedName name="All_Questions_Q_MS_EXPORT_CT">'All Questions'!$C$25</definedName>
    <definedName name="All_Questions_Q_NUM_EXPORT_F_Q">'All Questions'!$C$35</definedName>
    <definedName name="All_Questions_Q_NUM_EXPORT_F_V">'All Questions'!$E$35</definedName>
    <definedName name="All_Questions_Q_NUM_EXPORT_F_resolved_column">'All Questions'!$F$35</definedName>
    <definedName name="All_Questions_Q_NUM_EXPORT_F_wrapped">'All Questions'!$G$35</definedName>
    <definedName name="All_Questions_Q_NUM_EXPORT_F_resolved_criteria">'All Questions'!$H$35</definedName>
    <definedName name="All_Questions_Q_NUM_EXPORT_F_passes_per_q_filter_data">'_RawData'!$P$2:$P$11</definedName>
    <definedName name="All_Questions_Q_NUM_EXPORT_CT">'All Questions'!$C$36</definedName>
    <definedName name="All_Questions_Q_GRID_EXPORT_F_Q">'All Questions'!$C$52</definedName>
    <definedName name="All_Questions_Q_GRID_EXPORT_F_V">'All Questions'!$E$52</definedName>
    <definedName name="All_Questions_Q_GRID_EXPORT_F_resolved_column">'All Questions'!$F$52</definedName>
    <definedName name="All_Questions_Q_GRID_EXPORT_F_wrapped">'All Questions'!$G$52</definedName>
    <definedName name="All_Questions_Q_GRID_EXPORT_F_resolved_criteria">'All Questions'!$H$52</definedName>
    <definedName name="All_Questions_Q_GRID_EXPORT_F_passes_per_q_filter_data">'_RawData'!$Q$2:$Q$11</definedName>
    <definedName name="All_Questions_Q_GRID_EXPORT_CT">'All Questions'!$C$53</definedName>
    <definedName name="All_Questions_Q_VERY_LONG_SINGLE_SELECT_EXPORT_NAME_F_Q">'All Questions'!$C$70</definedName>
    <definedName name="All_Questions_Q_VERY_LONG_SINGLE_SELECT_EXPORT_NAME_F_V">'All Questions'!$E$70</definedName>
    <definedName name="All_Questions_Q_VERY_LONG_SINGLE_SELECT_EXPORT_NAME_F_resolved_column">'All Questions'!$F$70</definedName>
    <definedName name="All_Questions_Q_VERY_LONG_SINGLE_SELECT_EXPORT_NAME_F_wrapped">'All Questions'!$G$70</definedName>
    <definedName name="All_Questions_Q_VERY_LONG_SINGLE_SELECT_EXPORT_NAME_F_resolved_criteria">'All Questions'!$H$70</definedName>
    <definedName name="All_Questions_Q_VERY_LONG_SINGLE_SELECT_EXPORT_NAME_F_passes_per_q_filter_data">'_RawData'!$R$2:$R$11</definedName>
    <definedName name="All_Questions_Q_VERY_LONG_SINGLE_SELECT_EXPORT_NAME_CT">'All Questions'!$C$71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G6" i="3"/>
  <c r="E7" i="3"/>
  <c r="F7" i="3"/>
  <c r="G7" i="3"/>
  <c r="C5" i="7"/>
  <c r="C6" i="7"/>
  <c r="D6" i="7"/>
  <c r="F6" i="7"/>
  <c r="G6" i="7"/>
  <c r="C7" i="7"/>
  <c r="C8" i="7"/>
  <c r="D8" i="7"/>
  <c r="F8" i="7"/>
  <c r="G8" i="7"/>
  <c r="F13" i="7"/>
  <c r="G13" i="7"/>
  <c r="H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4" i="7"/>
  <c r="G24" i="7"/>
  <c r="H24" i="7"/>
  <c r="G27" i="7"/>
  <c r="H27" i="7"/>
  <c r="I27" i="7"/>
  <c r="J27" i="7"/>
  <c r="K27" i="7"/>
  <c r="L27" i="7"/>
  <c r="M27" i="7"/>
  <c r="N27" i="7"/>
  <c r="O27" i="7"/>
  <c r="P27" i="7"/>
  <c r="Q27" i="7"/>
  <c r="R27" i="7"/>
  <c r="B28" i="7"/>
  <c r="C28" i="7"/>
  <c r="D28" i="7"/>
  <c r="B29" i="7"/>
  <c r="C29" i="7"/>
  <c r="D29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G30" i="7"/>
  <c r="H30" i="7"/>
  <c r="I30" i="7"/>
  <c r="J30" i="7"/>
  <c r="K30" i="7"/>
  <c r="L30" i="7"/>
  <c r="M30" i="7"/>
  <c r="N30" i="7"/>
  <c r="O30" i="7"/>
  <c r="P30" i="7"/>
  <c r="Q30" i="7"/>
  <c r="R30" i="7"/>
  <c r="S30" i="7"/>
  <c r="S31" i="7"/>
  <c r="F35" i="7"/>
  <c r="G35" i="7"/>
  <c r="H35" i="7"/>
  <c r="B39" i="7"/>
  <c r="D39" i="7"/>
  <c r="B40" i="7"/>
  <c r="D40" i="7"/>
  <c r="B41" i="7"/>
  <c r="D41" i="7"/>
  <c r="D42" i="7"/>
  <c r="G45" i="7"/>
  <c r="H45" i="7"/>
  <c r="I45" i="7"/>
  <c r="J45" i="7"/>
  <c r="K45" i="7"/>
  <c r="L45" i="7"/>
  <c r="M45" i="7"/>
  <c r="N45" i="7"/>
  <c r="O45" i="7"/>
  <c r="P45" i="7"/>
  <c r="Q45" i="7"/>
  <c r="R45" i="7"/>
  <c r="G47" i="7"/>
  <c r="H47" i="7"/>
  <c r="I47" i="7"/>
  <c r="J47" i="7"/>
  <c r="K47" i="7"/>
  <c r="L47" i="7"/>
  <c r="M47" i="7"/>
  <c r="N47" i="7"/>
  <c r="O47" i="7"/>
  <c r="P47" i="7"/>
  <c r="Q47" i="7"/>
  <c r="R47" i="7"/>
  <c r="S47" i="7"/>
  <c r="S48" i="7"/>
  <c r="F52" i="7"/>
  <c r="G52" i="7"/>
  <c r="H52" i="7"/>
  <c r="C57" i="7"/>
  <c r="D57" i="7"/>
  <c r="E57" i="7"/>
  <c r="F57" i="7"/>
  <c r="C58" i="7"/>
  <c r="D58" i="7"/>
  <c r="E58" i="7"/>
  <c r="F58" i="7"/>
  <c r="G62" i="7"/>
  <c r="H62" i="7"/>
  <c r="I62" i="7"/>
  <c r="J62" i="7"/>
  <c r="K62" i="7"/>
  <c r="L62" i="7"/>
  <c r="M62" i="7"/>
  <c r="N62" i="7"/>
  <c r="O62" i="7"/>
  <c r="P62" i="7"/>
  <c r="Q62" i="7"/>
  <c r="R62" i="7"/>
  <c r="G64" i="7"/>
  <c r="H64" i="7"/>
  <c r="I64" i="7"/>
  <c r="J64" i="7"/>
  <c r="K64" i="7"/>
  <c r="L64" i="7"/>
  <c r="M64" i="7"/>
  <c r="N64" i="7"/>
  <c r="O64" i="7"/>
  <c r="P64" i="7"/>
  <c r="Q64" i="7"/>
  <c r="R64" i="7"/>
  <c r="S64" i="7"/>
  <c r="G65" i="7"/>
  <c r="H65" i="7"/>
  <c r="I65" i="7"/>
  <c r="J65" i="7"/>
  <c r="K65" i="7"/>
  <c r="L65" i="7"/>
  <c r="M65" i="7"/>
  <c r="N65" i="7"/>
  <c r="O65" i="7"/>
  <c r="P65" i="7"/>
  <c r="Q65" i="7"/>
  <c r="R65" i="7"/>
  <c r="S65" i="7"/>
  <c r="S66" i="7"/>
  <c r="F70" i="7"/>
  <c r="G70" i="7"/>
  <c r="H70" i="7"/>
  <c r="G73" i="7"/>
  <c r="H73" i="7"/>
  <c r="I73" i="7"/>
  <c r="J73" i="7"/>
  <c r="K73" i="7"/>
  <c r="L73" i="7"/>
  <c r="M73" i="7"/>
  <c r="N73" i="7"/>
  <c r="O73" i="7"/>
  <c r="P73" i="7"/>
  <c r="Q73" i="7"/>
  <c r="R73" i="7"/>
  <c r="B74" i="7"/>
  <c r="C74" i="7"/>
  <c r="D74" i="7"/>
  <c r="B75" i="7"/>
  <c r="C75" i="7"/>
  <c r="D75" i="7"/>
  <c r="G75" i="7"/>
  <c r="H75" i="7"/>
  <c r="I75" i="7"/>
  <c r="J75" i="7"/>
  <c r="K75" i="7"/>
  <c r="L75" i="7"/>
  <c r="M75" i="7"/>
  <c r="N75" i="7"/>
  <c r="O75" i="7"/>
  <c r="P75" i="7"/>
  <c r="Q75" i="7"/>
  <c r="R75" i="7"/>
  <c r="S75" i="7"/>
  <c r="G76" i="7"/>
  <c r="H76" i="7"/>
  <c r="I76" i="7"/>
  <c r="J76" i="7"/>
  <c r="K76" i="7"/>
  <c r="L76" i="7"/>
  <c r="M76" i="7"/>
  <c r="N76" i="7"/>
  <c r="O76" i="7"/>
  <c r="P76" i="7"/>
  <c r="Q76" i="7"/>
  <c r="R76" i="7"/>
  <c r="S76" i="7"/>
  <c r="S77" i="7"/>
  <c r="H9" i="8"/>
  <c r="H10" i="8"/>
  <c r="H11" i="8"/>
  <c r="H12" i="8"/>
  <c r="H13" i="8"/>
  <c r="H14" i="8"/>
  <c r="H15" i="8"/>
  <c r="H16" i="8"/>
  <c r="H17" i="8"/>
  <c r="H18" i="8"/>
  <c r="H19" i="8"/>
  <c r="H20" i="8"/>
  <c r="H21" i="8"/>
  <c r="H22" i="8"/>
  <c r="H23" i="8"/>
  <c r="H24" i="8"/>
  <c r="H25" i="8"/>
  <c r="H26" i="8"/>
  <c r="H27" i="8"/>
  <c r="H28" i="8"/>
  <c r="H29" i="8"/>
  <c r="H30" i="8"/>
  <c r="H31" i="8"/>
  <c r="H32" i="8"/>
  <c r="H33" i="8"/>
  <c r="H34" i="8"/>
  <c r="H35" i="8"/>
  <c r="H36" i="8"/>
  <c r="H37" i="8"/>
  <c r="H38" i="8"/>
  <c r="H39" i="8"/>
  <c r="H40" i="8"/>
  <c r="H41" i="8"/>
  <c r="H42" i="8"/>
  <c r="H43" i="8"/>
  <c r="H44" i="8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7_1" displayName="T_All_Questions_27_1" ref="A27:D31" headerRowCount="1">
  <autoFilter ref="A27:D3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8_1" displayName="T_All_Questions_38_1" ref="A38:D43" headerRowCount="1">
  <autoFilter ref="A38:D43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73_1" displayName="T_All_Questions_73_1" ref="A73:D76" headerRowCount="1">
  <autoFilter ref="A73:D76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IF(OR(F_Custom1_Q="(None)",F_Custom1_Q="",ISBLANK(F_Custom1_Q),F_Custom1_V="(All)",F_Custom1_V="",ISBLANK(F_Custom1_V)),1,IFERROR(IF(ISNUMBER(SEARCH("|"&amp;INDEX(INDIRECT(F_Custom1_resolved_column),1)&amp;"|",("|" &amp; SUBSTITUTE(F_Custom1_resolved_criteria, ", ", "|") &amp; "|"))),1,0),0))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IF(OR(F_Custom2_Q="(None)",F_Custom2_Q="",ISBLANK(F_Custom2_Q),F_Custom2_V="(All)",F_Custom2_V="",ISBLANK(F_Custom2_V)),1,IFERROR(IF(ISNUMBER(SEARCH("|"&amp;INDEX(INDIRECT(F_Custom2_resolved_column),1)&amp;"|",("|" &amp; SUBSTITUTE(F_Custom2_resolved_criteria, ", ", "|") &amp; "|"))),1,0),0))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("|" &amp; SUBSTITUTE(All_Questions_Q_SS_EXPORT_F_resolved_criteria, ", ", "|") &amp; "|"))),1,0),0))*1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("|" &amp; SUBSTITUTE(All_Questions_Q_MS_EXPORT_F_resolved_criteria, ", ", "|") &amp; "|"))),1,0),0))*1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("|" &amp; SUBSTITUTE(All_Questions_Q_NUM_EXPORT_F_resolved_criteria, ", ", "|") &amp; "|"))),1,0),0))*1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("|" &amp; SUBSTITUTE(All_Questions_Q_GRID_EXPORT_F_resolved_criteria, ", ", "|") &amp; "|"))),1,0),0))*1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("|" &amp; SUBSTITUTE(All_Questions_Q_VERY_LONG_SINGLE_SELECT_EXPORT_NAME_F_resolved_criteria, ", ", "|") &amp; "|"))),1,0),0))*1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IF(OR(F_Custom1_Q="(None)",F_Custom1_Q="",ISBLANK(F_Custom1_Q),F_Custom1_V="(All)",F_Custom1_V="",ISBLANK(F_Custom1_V)),1,IFERROR(IF(ISNUMBER(SEARCH("|"&amp;INDEX(INDIRECT(F_Custom1_resolved_column),2)&amp;"|",("|" &amp; SUBSTITUTE(F_Custom1_resolved_criteria, ", ", "|") &amp; "|"))),1,0),0))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IF(OR(F_Custom2_Q="(None)",F_Custom2_Q="",ISBLANK(F_Custom2_Q),F_Custom2_V="(All)",F_Custom2_V="",ISBLANK(F_Custom2_V)),1,IFERROR(IF(ISNUMBER(SEARCH("|"&amp;INDEX(INDIRECT(F_Custom2_resolved_column),2)&amp;"|",("|" &amp; SUBSTITUTE(F_Custom2_resolved_criteria, ", ", "|") &amp; "|"))),1,0),0))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("|" &amp; SUBSTITUTE(All_Questions_Q_SS_EXPORT_F_resolved_criteria, ", ", "|") &amp; "|"))),1,0),0))*1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("|" &amp; SUBSTITUTE(All_Questions_Q_MS_EXPORT_F_resolved_criteria, ", ", "|") &amp; "|"))),1,0),0))*1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("|" &amp; SUBSTITUTE(All_Questions_Q_NUM_EXPORT_F_resolved_criteria, ", ", "|") &amp; "|"))),1,0),0))*1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("|" &amp; SUBSTITUTE(All_Questions_Q_GRID_EXPORT_F_resolved_criteria, ", ", "|") &amp; "|"))),1,0),0))*1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("|" &amp; SUBSTITUTE(All_Questions_Q_VERY_LONG_SINGLE_SELECT_EXPORT_NAME_F_resolved_criteria, ", ", "|") &amp; "|"))),1,0),0))*1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IF(OR(F_Custom1_Q="(None)",F_Custom1_Q="",ISBLANK(F_Custom1_Q),F_Custom1_V="(All)",F_Custom1_V="",ISBLANK(F_Custom1_V)),1,IFERROR(IF(ISNUMBER(SEARCH("|"&amp;INDEX(INDIRECT(F_Custom1_resolved_column),3)&amp;"|",("|" &amp; SUBSTITUTE(F_Custom1_resolved_criteria, ", ", "|") &amp; "|"))),1,0),0))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IF(OR(F_Custom2_Q="(None)",F_Custom2_Q="",ISBLANK(F_Custom2_Q),F_Custom2_V="(All)",F_Custom2_V="",ISBLANK(F_Custom2_V)),1,IFERROR(IF(ISNUMBER(SEARCH("|"&amp;INDEX(INDIRECT(F_Custom2_resolved_column),3)&amp;"|",("|" &amp; SUBSTITUTE(F_Custom2_resolved_criteria, ", ", "|") &amp; "|"))),1,0),0))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("|" &amp; SUBSTITUTE(All_Questions_Q_SS_EXPORT_F_resolved_criteria, ", ", "|") &amp; "|"))),1,0),0))*1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("|" &amp; SUBSTITUTE(All_Questions_Q_MS_EXPORT_F_resolved_criteria, ", ", "|") &amp; "|"))),1,0),0))*1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("|" &amp; SUBSTITUTE(All_Questions_Q_NUM_EXPORT_F_resolved_criteria, ", ", "|") &amp; "|"))),1,0),0))*1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("|" &amp; SUBSTITUTE(All_Questions_Q_GRID_EXPORT_F_resolved_criteria, ", ", "|") &amp; "|"))),1,0),0))*1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("|" &amp; SUBSTITUTE(All_Questions_Q_VERY_LONG_SINGLE_SELECT_EXPORT_NAME_F_resolved_criteria, ", ", "|") &amp; "|"))),1,0),0))*1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IF(OR(F_Custom1_Q="(None)",F_Custom1_Q="",ISBLANK(F_Custom1_Q),F_Custom1_V="(All)",F_Custom1_V="",ISBLANK(F_Custom1_V)),1,IFERROR(IF(ISNUMBER(SEARCH("|"&amp;INDEX(INDIRECT(F_Custom1_resolved_column),4)&amp;"|",("|" &amp; SUBSTITUTE(F_Custom1_resolved_criteria, ", ", "|") &amp; "|"))),1,0),0))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IF(OR(F_Custom2_Q="(None)",F_Custom2_Q="",ISBLANK(F_Custom2_Q),F_Custom2_V="(All)",F_Custom2_V="",ISBLANK(F_Custom2_V)),1,IFERROR(IF(ISNUMBER(SEARCH("|"&amp;INDEX(INDIRECT(F_Custom2_resolved_column),4)&amp;"|",("|" &amp; SUBSTITUTE(F_Custom2_resolved_criteria, ", ", "|") &amp; "|"))),1,0),0))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("|" &amp; SUBSTITUTE(All_Questions_Q_SS_EXPORT_F_resolved_criteria, ", ", "|") &amp; "|"))),1,0),0))*1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("|" &amp; SUBSTITUTE(All_Questions_Q_MS_EXPORT_F_resolved_criteria, ", ", "|") &amp; "|"))),1,0),0))*1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("|" &amp; SUBSTITUTE(All_Questions_Q_NUM_EXPORT_F_resolved_criteria, ", ", "|") &amp; "|"))),1,0),0))*1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("|" &amp; SUBSTITUTE(All_Questions_Q_GRID_EXPORT_F_resolved_criteria, ", ", "|") &amp; "|"))),1,0),0))*1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("|" &amp; SUBSTITUTE(All_Questions_Q_VERY_LONG_SINGLE_SELECT_EXPORT_NAME_F_resolved_criteria, ", ", "|") &amp; "|"))),1,0),0))*1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IF(OR(F_Custom1_Q="(None)",F_Custom1_Q="",ISBLANK(F_Custom1_Q),F_Custom1_V="(All)",F_Custom1_V="",ISBLANK(F_Custom1_V)),1,IFERROR(IF(ISNUMBER(SEARCH("|"&amp;INDEX(INDIRECT(F_Custom1_resolved_column),5)&amp;"|",("|" &amp; SUBSTITUTE(F_Custom1_resolved_criteria, ", ", "|") &amp; "|"))),1,0),0))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IF(OR(F_Custom2_Q="(None)",F_Custom2_Q="",ISBLANK(F_Custom2_Q),F_Custom2_V="(All)",F_Custom2_V="",ISBLANK(F_Custom2_V)),1,IFERROR(IF(ISNUMBER(SEARCH("|"&amp;INDEX(INDIRECT(F_Custom2_resolved_column),5)&amp;"|",("|" &amp; SUBSTITUTE(F_Custom2_resolved_criteria, ", ", "|") &amp; "|"))),1,0),0))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("|" &amp; SUBSTITUTE(All_Questions_Q_SS_EXPORT_F_resolved_criteria, ", ", "|") &amp; "|"))),1,0),0))*1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("|" &amp; SUBSTITUTE(All_Questions_Q_MS_EXPORT_F_resolved_criteria, ", ", "|") &amp; "|"))),1,0),0))*1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("|" &amp; SUBSTITUTE(All_Questions_Q_NUM_EXPORT_F_resolved_criteria, ", ", "|") &amp; "|"))),1,0),0))*1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("|" &amp; SUBSTITUTE(All_Questions_Q_GRID_EXPORT_F_resolved_criteria, ", ", "|") &amp; "|"))),1,0),0))*1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("|" &amp; SUBSTITUTE(All_Questions_Q_VERY_LONG_SINGLE_SELECT_EXPORT_NAME_F_resolved_criteria, ", ", "|") &amp; "|"))),1,0),0))*1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IF(OR(F_Custom1_Q="(None)",F_Custom1_Q="",ISBLANK(F_Custom1_Q),F_Custom1_V="(All)",F_Custom1_V="",ISBLANK(F_Custom1_V)),1,IFERROR(IF(ISNUMBER(SEARCH("|"&amp;INDEX(INDIRECT(F_Custom1_resolved_column),6)&amp;"|",("|" &amp; SUBSTITUTE(F_Custom1_resolved_criteria, ", ", "|") &amp; "|"))),1,0),0))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IF(OR(F_Custom2_Q="(None)",F_Custom2_Q="",ISBLANK(F_Custom2_Q),F_Custom2_V="(All)",F_Custom2_V="",ISBLANK(F_Custom2_V)),1,IFERROR(IF(ISNUMBER(SEARCH("|"&amp;INDEX(INDIRECT(F_Custom2_resolved_column),6)&amp;"|",("|" &amp; SUBSTITUTE(F_Custom2_resolved_criteria, ", ", "|") &amp; "|"))),1,0),0))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("|" &amp; SUBSTITUTE(All_Questions_Q_SS_EXPORT_F_resolved_criteria, ", ", "|") &amp; "|"))),1,0),0))*1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("|" &amp; SUBSTITUTE(All_Questions_Q_MS_EXPORT_F_resolved_criteria, ", ", "|") &amp; "|"))),1,0),0))*1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("|" &amp; SUBSTITUTE(All_Questions_Q_NUM_EXPORT_F_resolved_criteria, ", ", "|") &amp; "|"))),1,0),0))*1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("|" &amp; SUBSTITUTE(All_Questions_Q_GRID_EXPORT_F_resolved_criteria, ", ", "|") &amp; "|"))),1,0),0))*1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("|" &amp; SUBSTITUTE(All_Questions_Q_VERY_LONG_SINGLE_SELECT_EXPORT_NAME_F_resolved_criteria, ", ", "|") &amp; "|"))),1,0),0))*1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IF(OR(F_Custom1_Q="(None)",F_Custom1_Q="",ISBLANK(F_Custom1_Q),F_Custom1_V="(All)",F_Custom1_V="",ISBLANK(F_Custom1_V)),1,IFERROR(IF(ISNUMBER(SEARCH("|"&amp;INDEX(INDIRECT(F_Custom1_resolved_column),7)&amp;"|",("|" &amp; SUBSTITUTE(F_Custom1_resolved_criteria, ", ", "|") &amp; "|"))),1,0),0))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IF(OR(F_Custom2_Q="(None)",F_Custom2_Q="",ISBLANK(F_Custom2_Q),F_Custom2_V="(All)",F_Custom2_V="",ISBLANK(F_Custom2_V)),1,IFERROR(IF(ISNUMBER(SEARCH("|"&amp;INDEX(INDIRECT(F_Custom2_resolved_column),7)&amp;"|",("|" &amp; SUBSTITUTE(F_Custom2_resolved_criteria, ", ", "|") &amp; "|"))),1,0),0))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("|" &amp; SUBSTITUTE(All_Questions_Q_SS_EXPORT_F_resolved_criteria, ", ", "|") &amp; "|"))),1,0),0))*1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("|" &amp; SUBSTITUTE(All_Questions_Q_MS_EXPORT_F_resolved_criteria, ", ", "|") &amp; "|"))),1,0),0))*1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("|" &amp; SUBSTITUTE(All_Questions_Q_NUM_EXPORT_F_resolved_criteria, ", ", "|") &amp; "|"))),1,0),0))*1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("|" &amp; SUBSTITUTE(All_Questions_Q_GRID_EXPORT_F_resolved_criteria, ", ", "|") &amp; "|"))),1,0),0))*1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("|" &amp; SUBSTITUTE(All_Questions_Q_VERY_LONG_SINGLE_SELECT_EXPORT_NAME_F_resolved_criteria, ", ", "|") &amp; "|"))),1,0),0))*1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IF(OR(F_Custom1_Q="(None)",F_Custom1_Q="",ISBLANK(F_Custom1_Q),F_Custom1_V="(All)",F_Custom1_V="",ISBLANK(F_Custom1_V)),1,IFERROR(IF(ISNUMBER(SEARCH("|"&amp;INDEX(INDIRECT(F_Custom1_resolved_column),8)&amp;"|",("|" &amp; SUBSTITUTE(F_Custom1_resolved_criteria, ", ", "|") &amp; "|"))),1,0),0))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IF(OR(F_Custom2_Q="(None)",F_Custom2_Q="",ISBLANK(F_Custom2_Q),F_Custom2_V="(All)",F_Custom2_V="",ISBLANK(F_Custom2_V)),1,IFERROR(IF(ISNUMBER(SEARCH("|"&amp;INDEX(INDIRECT(F_Custom2_resolved_column),8)&amp;"|",("|" &amp; SUBSTITUTE(F_Custom2_resolved_criteria, ", ", "|") &amp; "|"))),1,0),0))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("|" &amp; SUBSTITUTE(All_Questions_Q_SS_EXPORT_F_resolved_criteria, ", ", "|") &amp; "|"))),1,0),0))*1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("|" &amp; SUBSTITUTE(All_Questions_Q_MS_EXPORT_F_resolved_criteria, ", ", "|") &amp; "|"))),1,0),0))*1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("|" &amp; SUBSTITUTE(All_Questions_Q_NUM_EXPORT_F_resolved_criteria, ", ", "|") &amp; "|"))),1,0),0))*1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("|" &amp; SUBSTITUTE(All_Questions_Q_GRID_EXPORT_F_resolved_criteria, ", ", "|") &amp; "|"))),1,0),0))*1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("|" &amp; SUBSTITUTE(All_Questions_Q_VERY_LONG_SINGLE_SELECT_EXPORT_NAME_F_resolved_criteria, ", ", "|") &amp; "|"))),1,0),0))*1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IF(OR(F_Custom1_Q="(None)",F_Custom1_Q="",ISBLANK(F_Custom1_Q),F_Custom1_V="(All)",F_Custom1_V="",ISBLANK(F_Custom1_V)),1,IFERROR(IF(ISNUMBER(SEARCH("|"&amp;INDEX(INDIRECT(F_Custom1_resolved_column),9)&amp;"|",("|" &amp; SUBSTITUTE(F_Custom1_resolved_criteria, ", ", "|") &amp; "|"))),1,0),0))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IF(OR(F_Custom2_Q="(None)",F_Custom2_Q="",ISBLANK(F_Custom2_Q),F_Custom2_V="(All)",F_Custom2_V="",ISBLANK(F_Custom2_V)),1,IFERROR(IF(ISNUMBER(SEARCH("|"&amp;INDEX(INDIRECT(F_Custom2_resolved_column),9)&amp;"|",("|" &amp; SUBSTITUTE(F_Custom2_resolved_criteria, ", ", "|") &amp; "|"))),1,0),0))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("|" &amp; SUBSTITUTE(All_Questions_Q_SS_EXPORT_F_resolved_criteria, ", ", "|") &amp; "|"))),1,0),0))*1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("|" &amp; SUBSTITUTE(All_Questions_Q_MS_EXPORT_F_resolved_criteria, ", ", "|") &amp; "|"))),1,0),0))*1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("|" &amp; SUBSTITUTE(All_Questions_Q_NUM_EXPORT_F_resolved_criteria, ", ", "|") &amp; "|"))),1,0),0))*1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("|" &amp; SUBSTITUTE(All_Questions_Q_GRID_EXPORT_F_resolved_criteria, ", ", "|") &amp; "|"))),1,0),0))*1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("|" &amp; SUBSTITUTE(All_Questions_Q_VERY_LONG_SINGLE_SELECT_EXPORT_NAME_F_resolved_criteria, ", ", "|") &amp; "|"))),1,0),0))*1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IF(OR(F_Custom1_Q="(None)",F_Custom1_Q="",ISBLANK(F_Custom1_Q),F_Custom1_V="(All)",F_Custom1_V="",ISBLANK(F_Custom1_V)),1,IFERROR(IF(ISNUMBER(SEARCH("|"&amp;INDEX(INDIRECT(F_Custom1_resolved_column),10)&amp;"|",("|" &amp; SUBSTITUTE(F_Custom1_resolved_criteria, ", ", "|") &amp; "|"))),1,0),0))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IF(OR(F_Custom2_Q="(None)",F_Custom2_Q="",ISBLANK(F_Custom2_Q),F_Custom2_V="(All)",F_Custom2_V="",ISBLANK(F_Custom2_V)),1,IFERROR(IF(ISNUMBER(SEARCH("|"&amp;INDEX(INDIRECT(F_Custom2_resolved_column),10)&amp;"|",("|" &amp; SUBSTITUTE(F_Custom2_resolved_criteria, ", ", "|") &amp; "|"))),1,0),0))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("|" &amp; SUBSTITUTE(All_Questions_Q_SS_EXPORT_F_resolved_criteria, ", ", "|") &amp; "|"))),1,0),0))*1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("|" &amp; SUBSTITUTE(All_Questions_Q_MS_EXPORT_F_resolved_criteria, ", ", "|") &amp; "|"))),1,0),0))*1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("|" &amp; SUBSTITUTE(All_Questions_Q_NUM_EXPORT_F_resolved_criteria, ", ", "|") &amp; "|"))),1,0),0))*1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("|" &amp; SUBSTITUTE(All_Questions_Q_GRID_EXPORT_F_resolved_criteria, ", ", "|") &amp; "|"))),1,0),0))*1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("|" &amp; SUBSTITUTE(All_Questions_Q_VERY_LONG_SINGLE_SELECT_EXPORT_NAME_F_resolved_criteria, ", ", "|") &amp; "|"))),1,0),0))*1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  <c r="T1" t="inlineStr">
        <is>
          <t>Cross_Tab_Questions</t>
        </is>
      </c>
      <c r="U1" t="inlineStr">
        <is>
          <t>Cross_Tab_Questions_Data_Names</t>
        </is>
      </c>
      <c r="V1" t="inlineStr">
        <is>
          <t>Cross_Tab_Questions_Options_Names</t>
        </is>
      </c>
      <c r="Y1" t="inlineStr">
        <is>
          <t>Q_MS_EXPORT_filter_values_options</t>
        </is>
      </c>
      <c r="Z1" t="inlineStr">
        <is>
          <t>Q_MS_EXPORT_filter_values_local_options</t>
        </is>
      </c>
      <c r="AA1" t="inlineStr">
        <is>
          <t>Q_GRID_EXPORT_filter_values_options</t>
        </is>
      </c>
      <c r="AB1" t="inlineStr">
        <is>
          <t>Q_GRID_EXPORT_filter_values_local_options</t>
        </is>
      </c>
      <c r="AF1" t="inlineStr">
        <is>
          <t>All_Questions_Value_Keys</t>
        </is>
      </c>
      <c r="AG1" t="inlineStr">
        <is>
          <t>All_Questions_Value_Data_Names</t>
        </is>
      </c>
      <c r="AH1" t="inlineStr">
        <is>
          <t>All_Questions_Value_Criteria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(None)</t>
        </is>
      </c>
      <c r="U2" t="inlineStr">
        <is>
          <t>'_RawData'!$A$2:$A$11</t>
        </is>
      </c>
      <c r="V2" t="inlineStr">
        <is>
          <t>'_Options'!$E$2:$E$2</t>
        </is>
      </c>
      <c r="Y2" t="inlineStr">
        <is>
          <t>(All)</t>
        </is>
      </c>
      <c r="Z2" t="inlineStr">
        <is>
          <t>(Inherit)</t>
        </is>
      </c>
      <c r="AA2" t="inlineStr">
        <is>
          <t>(All)</t>
        </is>
      </c>
      <c r="AB2" t="inlineStr">
        <is>
          <t>(Inherit)</t>
        </is>
      </c>
      <c r="AF2" t="inlineStr">
        <is>
          <t>Q_MS_EXPORT - Multi Select Export Question|First</t>
        </is>
      </c>
      <c r="AG2" t="inlineStr">
        <is>
          <t>'_RawData'!$C$2:$C$11</t>
        </is>
      </c>
      <c r="AH2" t="inlineStr">
        <is>
          <t>Selected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  <c r="T3" t="inlineStr">
        <is>
          <t>Q_SS_EXPORT - Single Select Export Question</t>
        </is>
      </c>
      <c r="U3" t="inlineStr">
        <is>
          <t>'_RawData'!$B$2:$B$11</t>
        </is>
      </c>
      <c r="V3" t="inlineStr">
        <is>
          <t>'_Options'!$F$2:$F$4</t>
        </is>
      </c>
      <c r="Y3" t="inlineStr">
        <is>
          <t>First</t>
        </is>
      </c>
      <c r="Z3" t="inlineStr">
        <is>
          <t>(All)</t>
        </is>
      </c>
      <c r="AA3" t="inlineStr">
        <is>
          <t>Grid first row: Low</t>
        </is>
      </c>
      <c r="AB3" t="inlineStr">
        <is>
          <t>(All)</t>
        </is>
      </c>
      <c r="AF3" t="inlineStr">
        <is>
          <t>Q_MS_EXPORT - Multi Select Export Question|Second</t>
        </is>
      </c>
      <c r="AG3" t="inlineStr">
        <is>
          <t>'_RawData'!$D$2:$D$11</t>
        </is>
      </c>
      <c r="AH3" t="inlineStr">
        <is>
          <t>Selected</t>
        </is>
      </c>
    </row>
    <row r="4">
      <c r="A4" t="inlineStr">
        <is>
          <t>Q_MS_EXPORT - Multi Select Export Question</t>
        </is>
      </c>
      <c r="B4" t="inlineStr">
        <is>
          <t>Q_SS_EXPORT - Single Select Export Question</t>
        </is>
      </c>
      <c r="C4" t="inlineStr">
        <is>
          <t>'_RawData'!$C$2:$C$11</t>
        </is>
      </c>
      <c r="D4" t="inlineStr">
        <is>
          <t>'_Options'!$Y$2:$Y$4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Low</t>
        </is>
      </c>
      <c r="R4" t="inlineStr">
        <is>
          <t>Low</t>
        </is>
      </c>
      <c r="S4" t="inlineStr">
        <is>
          <t>A</t>
        </is>
      </c>
      <c r="T4" t="inlineStr">
        <is>
          <t>Q_VERY_LONG_SINGLE_SELECT_EXPORT_NAME - Long Sheet Name Export Question</t>
        </is>
      </c>
      <c r="U4" t="inlineStr">
        <is>
          <t>'_RawData'!$H$2:$H$11</t>
        </is>
      </c>
      <c r="V4" t="inlineStr">
        <is>
          <t>'_Options'!$L$2:$L$4</t>
        </is>
      </c>
      <c r="Y4" t="inlineStr">
        <is>
          <t>Second</t>
        </is>
      </c>
      <c r="Z4" t="inlineStr">
        <is>
          <t>First</t>
        </is>
      </c>
      <c r="AA4" t="inlineStr">
        <is>
          <t>Grid first row: High</t>
        </is>
      </c>
      <c r="AB4" t="inlineStr">
        <is>
          <t>Grid first row: Low</t>
        </is>
      </c>
      <c r="AF4" t="inlineStr">
        <is>
          <t>Q_GRID_EXPORT - Grid Export Question|Grid first row: Low</t>
        </is>
      </c>
      <c r="AG4" t="inlineStr">
        <is>
          <t>'_RawData'!$F$2:$F$11</t>
        </is>
      </c>
      <c r="AH4" t="inlineStr">
        <is>
          <t>Low</t>
        </is>
      </c>
    </row>
    <row r="5">
      <c r="A5" t="inlineStr">
        <is>
          <t>Q_GRID_EXPORT - Grid Export Question</t>
        </is>
      </c>
      <c r="B5" t="inlineStr">
        <is>
          <t>Q_MS_EXPORT - Multi Select Export Question</t>
        </is>
      </c>
      <c r="C5" t="inlineStr">
        <is>
          <t>'_RawData'!$F$2:$F$11</t>
        </is>
      </c>
      <c r="D5" t="inlineStr">
        <is>
          <t>'_Options'!$AA$2:$AA$6</t>
        </is>
      </c>
      <c r="M5" t="inlineStr">
        <is>
          <t>No</t>
        </is>
      </c>
      <c r="Q5" t="inlineStr">
        <is>
          <t>High</t>
        </is>
      </c>
      <c r="R5" t="inlineStr">
        <is>
          <t>High</t>
        </is>
      </c>
      <c r="S5" t="inlineStr">
        <is>
          <t>B</t>
        </is>
      </c>
      <c r="Z5" t="inlineStr">
        <is>
          <t>Second</t>
        </is>
      </c>
      <c r="AA5" t="inlineStr">
        <is>
          <t>Grid second row: Low</t>
        </is>
      </c>
      <c r="AB5" t="inlineStr">
        <is>
          <t>Grid first row: High</t>
        </is>
      </c>
      <c r="AF5" t="inlineStr">
        <is>
          <t>Q_GRID_EXPORT - Grid Export Question|Grid first row: High</t>
        </is>
      </c>
      <c r="AG5" t="inlineStr">
        <is>
          <t>'_RawData'!$F$2:$F$11</t>
        </is>
      </c>
      <c r="AH5" t="inlineStr">
        <is>
          <t>High</t>
        </is>
      </c>
    </row>
    <row r="6">
      <c r="A6" t="inlineStr">
        <is>
          <t>Q_VERY_LONG_SINGLE_SELECT_EXPORT_NAME - Long Sheet Name Export Question</t>
        </is>
      </c>
      <c r="B6" t="inlineStr">
        <is>
          <t>Q_GRID_EXPORT - Grid Export Question</t>
        </is>
      </c>
      <c r="C6" t="inlineStr">
        <is>
          <t>'_RawData'!$H$2:$H$11</t>
        </is>
      </c>
      <c r="D6" t="inlineStr">
        <is>
          <t>'_Options'!$L$2:$L$4</t>
        </is>
      </c>
      <c r="AA6" t="inlineStr">
        <is>
          <t>Grid second row: High</t>
        </is>
      </c>
      <c r="AB6" t="inlineStr">
        <is>
          <t>Grid second row: Low</t>
        </is>
      </c>
      <c r="AF6" t="inlineStr">
        <is>
          <t>Q_GRID_EXPORT - Grid Export Question|Grid second row: Low</t>
        </is>
      </c>
      <c r="AG6" t="inlineStr">
        <is>
          <t>'_RawData'!$G$2:$G$11</t>
        </is>
      </c>
      <c r="AH6" t="inlineStr">
        <is>
          <t>Low</t>
        </is>
      </c>
    </row>
    <row r="7">
      <c r="B7" t="inlineStr">
        <is>
          <t>Q_VERY_LONG_SINGLE_SELECT_EXPORT_NAME - Long Sheet Name Export Question</t>
        </is>
      </c>
      <c r="AB7" t="inlineStr">
        <is>
          <t>Grid second row: High</t>
        </is>
      </c>
      <c r="AF7" t="inlineStr">
        <is>
          <t>Q_GRID_EXPORT - Grid Export Question|Grid second row: High</t>
        </is>
      </c>
      <c r="AG7" t="inlineStr">
        <is>
          <t>'_RawData'!$G$2:$G$11</t>
        </is>
      </c>
      <c r="AH7" t="inlineStr">
        <is>
          <t>High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IFERROR(INDEX(All_Questions_Value_Data_Names,MATCH(F_Custom1_Q&amp;"|"&amp;F_Custom1_V,All_Questions_Value_Keys,0)),IFERROR(INDEX(All_Questions_Data_Names,MATCH(F_Custom1_Q,All_Questions,0)),"'_RawData'!$A:$A"))</f>
        <v>respondent_id_data</v>
      </c>
      <c r="F6" t="str">
        <f>"|" &amp; SUBSTITUTE(F_Custom1_V, ", ", "|") &amp; "|"</f>
        <v>|(All)|</v>
      </c>
      <c r="G6" t="str">
        <f>IFERROR(INDEX(All_Questions_Value_Criteria,MATCH(F_Custom1_Q&amp;"|"&amp;F_Custom1_V,All_Questions_Value_Keys,0)),F_Custom1_V)</f>
        <v>(All)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IFERROR(INDEX(All_Questions_Value_Data_Names,MATCH(F_Custom2_Q&amp;"|"&amp;F_Custom2_V,All_Questions_Value_Keys,0)),IFERROR(INDEX(All_Questions_Data_Names,MATCH(F_Custom2_Q,All_Questions,0)),"'_RawData'!$A:$A"))</f>
        <v>respondent_id_data</v>
      </c>
      <c r="F7" t="str">
        <f>"|" &amp; SUBSTITUTE(F_Custom2_V, ", ", "|") &amp; "|"</f>
        <v>|(All)|</v>
      </c>
      <c r="G7" t="str">
        <f>IFERROR(INDEX(All_Questions_Value_Criteria,MATCH(F_Custom2_Q&amp;"|"&amp;F_Custom2_V,All_Questions_Value_Keys,0)),F_Custom2_V)</f>
        <v>(All)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7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Value_Data_Names,MATCH(All_Questions_F_Custom1_Q_resolved&amp;"|"&amp;All_Questions_F_Custom1_V_resolved,All_Questions_Value_Keys,0)),IFERROR(INDEX(All_Questions_Data_Names,MATCH(All_Questions_F_Custom1_Q_resolved,All_Questions,0)),"'_RawData'!$A:$A"))</f>
        <v>respondent_id_data</v>
      </c>
      <c r="G6" t="str">
        <f>IFERROR(INDEX(All_Questions_Value_Criteria,MATCH(All_Questions_F_Custom1_Q_resolved&amp;"|"&amp;All_Questions_F_Custom1_V_resolved,All_Questions_Value_Keys,0)),All_Questions_F_Custom1_V_resolved)</f>
        <v>(All)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Value_Data_Names,MATCH(All_Questions_F_Custom2_Q_resolved&amp;"|"&amp;All_Questions_F_Custom2_V_resolved,All_Questions_Value_Keys,0)),IFERROR(INDEX(All_Questions_Data_Names,MATCH(All_Questions_F_Custom2_Q_resolved,All_Questions,0)),"'_RawData'!$A:$A"))</f>
        <v>respondent_id_data</v>
      </c>
      <c r="G8" t="str">
        <f>IFERROR(INDEX(All_Questions_Value_Criteria,MATCH(All_Questions_F_Custom2_Q_resolved&amp;"|"&amp;All_Questions_F_Custom2_V_resolved,All_Questions_Value_Keys,0)),All_Questions_F_Custom2_V_resolved)</f>
        <v>(All)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IFERROR(INDEX(All_Questions_Value_Data_Names,MATCH(All_Questions_Q_SS_EXPORT_F_Q&amp;"|"&amp;All_Questions_Q_SS_EXPORT_F_V,All_Questions_Value_Keys,0)),IFERROR(INDEX(All_Questions_Data_Names,MATCH(All_Questions_Q_SS_EXPORT_F_Q,All_Questions,0)),"'_RawData'!$A:$A"))</f>
        <v>respondent_id_data</v>
      </c>
      <c r="G13" t="str">
        <f>"|" &amp; SUBSTITUTE(All_Questions_Q_SS_EXPORT_F_V, ", ", "|") &amp; "|"</f>
        <v>|(All)|</v>
      </c>
      <c r="H13" t="str">
        <f>IFERROR(INDEX(All_Questions_Value_Criteria,MATCH(All_Questions_Q_SS_EXPORT_F_Q&amp;"|"&amp;All_Questions_Q_SS_EXPORT_F_V,All_Questions_Value_Keys,0)),All_Questions_Q_SS_EXPORT_F_V)</f>
        <v>(All)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IF(All_Questions_Q_SS_EXPORT_CT="(None)","",IFERROR(INDEX(INDIRECT(IFERROR(INDEX(Cross_Tab_Questions_Options_Names,MATCH(All_Questions_Q_SS_EXPORT_CT,Cross_Tab_Questions,0)),"'_Options'!$E$2:$E$2")),2),""))</f>
        <v/>
      </c>
      <c r="H16" s="2" t="str">
        <f>IF(All_Questions_Q_SS_EXPORT_CT="(None)","",IFERROR(INDEX(INDIRECT(IFERROR(INDEX(Cross_Tab_Questions_Options_Names,MATCH(All_Questions_Q_SS_EXPORT_CT,Cross_Tab_Questions,0)),"'_Options'!$E$2:$E$2")),3),""))</f>
        <v/>
      </c>
      <c r="I16" s="2" t="str">
        <f>IF(All_Questions_Q_SS_EXPORT_CT="(None)","",IFERROR(INDEX(INDIRECT(IFERROR(INDEX(Cross_Tab_Questions_Options_Names,MATCH(All_Questions_Q_SS_EXPORT_CT,Cross_Tab_Questions,0)),"'_Options'!$E$2:$E$2")),4),""))</f>
        <v/>
      </c>
      <c r="J16" s="2" t="str">
        <f>IF(All_Questions_Q_SS_EXPORT_CT="(None)","",IFERROR(INDEX(INDIRECT(IFERROR(INDEX(Cross_Tab_Questions_Options_Names,MATCH(All_Questions_Q_SS_EXPORT_CT,Cross_Tab_Questions,0)),"'_Options'!$E$2:$E$2")),5),""))</f>
        <v/>
      </c>
      <c r="K16" s="2" t="str">
        <f>IF(All_Questions_Q_SS_EXPORT_CT="(None)","",IFERROR(INDEX(INDIRECT(IFERROR(INDEX(Cross_Tab_Questions_Options_Names,MATCH(All_Questions_Q_SS_EXPORT_CT,Cross_Tab_Questions,0)),"'_Options'!$E$2:$E$2")),6),""))</f>
        <v/>
      </c>
      <c r="L16" s="2" t="str">
        <f>IF(All_Questions_Q_SS_EXPORT_CT="(None)","",IFERROR(INDEX(INDIRECT(IFERROR(INDEX(Cross_Tab_Questions_Options_Names,MATCH(All_Questions_Q_SS_EXPORT_CT,Cross_Tab_Questions,0)),"'_Options'!$E$2:$E$2")),7),""))</f>
        <v/>
      </c>
      <c r="M16" s="2" t="str">
        <f>IF(All_Questions_Q_SS_EXPORT_CT="(None)","",IFERROR(INDEX(INDIRECT(IFERROR(INDEX(Cross_Tab_Questions_Options_Names,MATCH(All_Questions_Q_SS_EXPORT_CT,Cross_Tab_Questions,0)),"'_Options'!$E$2:$E$2")),8),""))</f>
        <v/>
      </c>
      <c r="N16" s="2" t="str">
        <f>IF(All_Questions_Q_SS_EXPORT_CT="(None)","",IFERROR(INDEX(INDIRECT(IFERROR(INDEX(Cross_Tab_Questions_Options_Names,MATCH(All_Questions_Q_SS_EXPORT_CT,Cross_Tab_Questions,0)),"'_Options'!$E$2:$E$2")),9),""))</f>
        <v/>
      </c>
      <c r="O16" s="2" t="str">
        <f>IF(All_Questions_Q_SS_EXPORT_CT="(None)","",IFERROR(INDEX(INDIRECT(IFERROR(INDEX(Cross_Tab_Questions_Options_Names,MATCH(All_Questions_Q_SS_EXPORT_CT,Cross_Tab_Questions,0)),"'_Options'!$E$2:$E$2")),10),""))</f>
        <v/>
      </c>
      <c r="P16" s="2" t="str">
        <f>IF(All_Questions_Q_SS_EXPORT_CT="(None)","",IFERROR(INDEX(INDIRECT(IFERROR(INDEX(Cross_Tab_Questions_Options_Names,MATCH(All_Questions_Q_SS_EXPORT_CT,Cross_Tab_Questions,0)),"'_Options'!$E$2:$E$2")),11),""))</f>
        <v/>
      </c>
      <c r="Q16" s="2" t="str">
        <f>IF(All_Questions_Q_SS_EXPORT_CT="(None)","",IFERROR(INDEX(INDIRECT(IFERROR(INDEX(Cross_Tab_Questions_Options_Names,MATCH(All_Questions_Q_SS_EXPORT_CT,Cross_Tab_Questions,0)),"'_Options'!$E$2:$E$2")),12),""))</f>
        <v/>
      </c>
      <c r="R16" s="2" t="str">
        <f>IF(All_Questions_Q_SS_EXPORT_CT="(None)","",IF(COUNTA(INDIRECT(IFERROR(INDEX(Cross_Tab_Questions_Options_Names,MATCH(All_Questions_Q_SS_EXPORT_CT,Cross_Tab_Questions,0)),"'_Options'!$E$2:$E$2")))-1&gt;11,"Other",IFERROR(INDEX(INDIRECT(IFERROR(INDEX(Cross_Tab_Questions_Options_Names,MATCH(All_Questions_Q_SS_EXPORT_CT,Cross_Tab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 s="14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G$16))</f>
        <v>0</v>
      </c>
      <c r="H18" s="14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H$16))</f>
        <v>0</v>
      </c>
      <c r="I18" s="14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I$16))</f>
        <v>0</v>
      </c>
      <c r="J18" s="14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J$16))</f>
        <v>0</v>
      </c>
      <c r="K18" s="14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K$16))</f>
        <v>0</v>
      </c>
      <c r="L18" s="14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L$16))</f>
        <v>0</v>
      </c>
      <c r="M18" s="14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M$16))</f>
        <v>0</v>
      </c>
      <c r="N18" s="14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N$16))</f>
        <v>0</v>
      </c>
      <c r="O18" s="14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O$16))</f>
        <v>0</v>
      </c>
      <c r="P18" s="14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P$16))</f>
        <v>0</v>
      </c>
      <c r="Q18" s="14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Q$16))</f>
        <v>0</v>
      </c>
      <c r="R18" s="14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R$16)))</f>
        <v>0</v>
      </c>
      <c r="S18" s="14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 s="14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G$16))</f>
        <v>0</v>
      </c>
      <c r="H19" s="14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H$16))</f>
        <v>0</v>
      </c>
      <c r="I19" s="14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I$16))</f>
        <v>0</v>
      </c>
      <c r="J19" s="14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J$16))</f>
        <v>0</v>
      </c>
      <c r="K19" s="14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K$16))</f>
        <v>0</v>
      </c>
      <c r="L19" s="14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L$16))</f>
        <v>0</v>
      </c>
      <c r="M19" s="14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M$16))</f>
        <v>0</v>
      </c>
      <c r="N19" s="14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N$16))</f>
        <v>0</v>
      </c>
      <c r="O19" s="14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O$16))</f>
        <v>0</v>
      </c>
      <c r="P19" s="14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P$16))</f>
        <v>0</v>
      </c>
      <c r="Q19" s="14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Q$16))</f>
        <v>0</v>
      </c>
      <c r="R19" s="14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R$16)))</f>
        <v>0</v>
      </c>
      <c r="S19" s="14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/>
    <row r="22">
      <c r="A22" s="11" t="n"/>
      <c r="B22" s="11" t="n"/>
      <c r="C22" s="11" t="n"/>
      <c r="D22" s="11" t="n"/>
      <c r="E22" s="11" t="n"/>
      <c r="F22" s="11" t="n"/>
      <c r="G22" s="11" t="n"/>
      <c r="H22" s="11" t="n"/>
      <c r="I22" s="11" t="n"/>
      <c r="J22" s="11" t="n"/>
    </row>
    <row r="23">
      <c r="A23" s="12" t="inlineStr">
        <is>
          <t>Q_MS_EXPORT - Multi select export question</t>
        </is>
      </c>
      <c r="B23" s="12" t="n"/>
      <c r="C23" s="12" t="n"/>
      <c r="D23" s="12" t="n"/>
      <c r="E23" s="12" t="n"/>
      <c r="F23" s="12" t="n"/>
      <c r="G23" s="12" t="n"/>
      <c r="H23" s="12" t="n"/>
      <c r="I23" s="12" t="n"/>
      <c r="J23" s="12" t="n"/>
      <c r="K23" s="12" t="n"/>
      <c r="L23" s="12" t="n"/>
      <c r="M23" s="12" t="n"/>
      <c r="N23" s="12" t="n"/>
    </row>
    <row r="24">
      <c r="A24" s="13" t="inlineStr">
        <is>
          <t>Per-question filter</t>
        </is>
      </c>
      <c r="B24" t="inlineStr">
        <is>
          <t>Filter Q</t>
        </is>
      </c>
      <c r="C24" t="inlineStr">
        <is>
          <t>(None)</t>
        </is>
      </c>
      <c r="D24" t="inlineStr">
        <is>
          <t>Value</t>
        </is>
      </c>
      <c r="E24" t="inlineStr">
        <is>
          <t>(All)</t>
        </is>
      </c>
      <c r="F24" t="str">
        <f>IFERROR(INDEX(All_Questions_Value_Data_Names,MATCH(All_Questions_Q_MS_EXPORT_F_Q&amp;"|"&amp;All_Questions_Q_MS_EXPORT_F_V,All_Questions_Value_Keys,0)),IFERROR(INDEX(All_Questions_Data_Names,MATCH(All_Questions_Q_MS_EXPORT_F_Q,All_Questions,0)),"'_RawData'!$A:$A"))</f>
        <v>respondent_id_data</v>
      </c>
      <c r="G24" t="str">
        <f>"|" &amp; SUBSTITUTE(All_Questions_Q_MS_EXPORT_F_V, ", ", "|") &amp; "|"</f>
        <v>|(All)|</v>
      </c>
      <c r="H24" t="str">
        <f>IFERROR(INDEX(All_Questions_Value_Criteria,MATCH(All_Questions_Q_MS_EXPORT_F_Q&amp;"|"&amp;All_Questions_Q_MS_EXPORT_F_V,All_Questions_Value_Keys,0)),All_Questions_Q_MS_EXPORT_F_V)</f>
        <v>(All)</v>
      </c>
    </row>
    <row r="25">
      <c r="A25" s="13" t="inlineStr">
        <is>
          <t>Cross-tab by</t>
        </is>
      </c>
      <c r="C25" t="inlineStr">
        <is>
          <t>(None)</t>
        </is>
      </c>
    </row>
    <row r="26"/>
    <row r="27">
      <c r="A27" s="4" t="inlineStr">
        <is>
          <t>Option</t>
        </is>
      </c>
      <c r="B27" s="4" t="inlineStr">
        <is>
          <t>Count</t>
        </is>
      </c>
      <c r="C27" s="4" t="inlineStr">
        <is>
          <t>%</t>
        </is>
      </c>
      <c r="D27" s="4" t="inlineStr">
        <is>
          <t>Denominator</t>
        </is>
      </c>
      <c r="F27" s="4" t="inlineStr">
        <is>
          <t>Option</t>
        </is>
      </c>
      <c r="G27" s="2" t="str">
        <f>IF(All_Questions_Q_MS_EXPORT_CT="(None)","",IFERROR(INDEX(INDIRECT(IFERROR(INDEX(Cross_Tab_Questions_Options_Names,MATCH(All_Questions_Q_MS_EXPORT_CT,Cross_Tab_Questions,0)),"'_Options'!$E$2:$E$2")),2),""))</f>
        <v/>
      </c>
      <c r="H27" s="2" t="str">
        <f>IF(All_Questions_Q_MS_EXPORT_CT="(None)","",IFERROR(INDEX(INDIRECT(IFERROR(INDEX(Cross_Tab_Questions_Options_Names,MATCH(All_Questions_Q_MS_EXPORT_CT,Cross_Tab_Questions,0)),"'_Options'!$E$2:$E$2")),3),""))</f>
        <v/>
      </c>
      <c r="I27" s="2" t="str">
        <f>IF(All_Questions_Q_MS_EXPORT_CT="(None)","",IFERROR(INDEX(INDIRECT(IFERROR(INDEX(Cross_Tab_Questions_Options_Names,MATCH(All_Questions_Q_MS_EXPORT_CT,Cross_Tab_Questions,0)),"'_Options'!$E$2:$E$2")),4),""))</f>
        <v/>
      </c>
      <c r="J27" s="2" t="str">
        <f>IF(All_Questions_Q_MS_EXPORT_CT="(None)","",IFERROR(INDEX(INDIRECT(IFERROR(INDEX(Cross_Tab_Questions_Options_Names,MATCH(All_Questions_Q_MS_EXPORT_CT,Cross_Tab_Questions,0)),"'_Options'!$E$2:$E$2")),5),""))</f>
        <v/>
      </c>
      <c r="K27" s="2" t="str">
        <f>IF(All_Questions_Q_MS_EXPORT_CT="(None)","",IFERROR(INDEX(INDIRECT(IFERROR(INDEX(Cross_Tab_Questions_Options_Names,MATCH(All_Questions_Q_MS_EXPORT_CT,Cross_Tab_Questions,0)),"'_Options'!$E$2:$E$2")),6),""))</f>
        <v/>
      </c>
      <c r="L27" s="2" t="str">
        <f>IF(All_Questions_Q_MS_EXPORT_CT="(None)","",IFERROR(INDEX(INDIRECT(IFERROR(INDEX(Cross_Tab_Questions_Options_Names,MATCH(All_Questions_Q_MS_EXPORT_CT,Cross_Tab_Questions,0)),"'_Options'!$E$2:$E$2")),7),""))</f>
        <v/>
      </c>
      <c r="M27" s="2" t="str">
        <f>IF(All_Questions_Q_MS_EXPORT_CT="(None)","",IFERROR(INDEX(INDIRECT(IFERROR(INDEX(Cross_Tab_Questions_Options_Names,MATCH(All_Questions_Q_MS_EXPORT_CT,Cross_Tab_Questions,0)),"'_Options'!$E$2:$E$2")),8),""))</f>
        <v/>
      </c>
      <c r="N27" s="2" t="str">
        <f>IF(All_Questions_Q_MS_EXPORT_CT="(None)","",IFERROR(INDEX(INDIRECT(IFERROR(INDEX(Cross_Tab_Questions_Options_Names,MATCH(All_Questions_Q_MS_EXPORT_CT,Cross_Tab_Questions,0)),"'_Options'!$E$2:$E$2")),9),""))</f>
        <v/>
      </c>
      <c r="O27" s="2" t="str">
        <f>IF(All_Questions_Q_MS_EXPORT_CT="(None)","",IFERROR(INDEX(INDIRECT(IFERROR(INDEX(Cross_Tab_Questions_Options_Names,MATCH(All_Questions_Q_MS_EXPORT_CT,Cross_Tab_Questions,0)),"'_Options'!$E$2:$E$2")),10),""))</f>
        <v/>
      </c>
      <c r="P27" s="2" t="str">
        <f>IF(All_Questions_Q_MS_EXPORT_CT="(None)","",IFERROR(INDEX(INDIRECT(IFERROR(INDEX(Cross_Tab_Questions_Options_Names,MATCH(All_Questions_Q_MS_EXPORT_CT,Cross_Tab_Questions,0)),"'_Options'!$E$2:$E$2")),11),""))</f>
        <v/>
      </c>
      <c r="Q27" s="2" t="str">
        <f>IF(All_Questions_Q_MS_EXPORT_CT="(None)","",IFERROR(INDEX(INDIRECT(IFERROR(INDEX(Cross_Tab_Questions_Options_Names,MATCH(All_Questions_Q_MS_EXPORT_CT,Cross_Tab_Questions,0)),"'_Options'!$E$2:$E$2")),12),""))</f>
        <v/>
      </c>
      <c r="R27" s="2" t="str">
        <f>IF(All_Questions_Q_MS_EXPORT_CT="(None)","",IF(COUNTA(INDIRECT(IFERROR(INDEX(Cross_Tab_Questions_Options_Names,MATCH(All_Questions_Q_MS_EXPORT_CT,Cross_Tab_Questions,0)),"'_Options'!$E$2:$E$2")))-1&gt;11,"Other",IFERROR(INDEX(INDIRECT(IFERROR(INDEX(Cross_Tab_Questions_Options_Names,MATCH(All_Questions_Q_MS_EXPORT_CT,Cross_Tab_Questions,0)),"'_Options'!$E$2:$E$2")),13),"")))</f>
        <v/>
      </c>
      <c r="S27" s="4" t="inlineStr">
        <is>
          <t>Total</t>
        </is>
      </c>
    </row>
    <row r="28">
      <c r="A28" t="inlineStr">
        <is>
          <t>First</t>
        </is>
      </c>
      <c r="B28">
        <f>COUNTIFS(Q_MS_EXPORTr1_data,"Selected",passes_workbook_filters_data,1,passes_workbook_custom_filters_data,1,All_Questions_passes_local_filters_data,1,All_Questions_Q_MS_EXPORT_F_passes_per_q_filter_data,1)</f>
        <v>5</v>
      </c>
      <c r="C28" s="7">
        <f>IFERROR(B28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0.5</v>
      </c>
      <c r="D28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8" s="4" t="inlineStr"/>
      <c r="G28" s="4" t="inlineStr">
        <is>
          <t>% selected</t>
        </is>
      </c>
      <c r="H28" s="4" t="inlineStr">
        <is>
          <t>% selected</t>
        </is>
      </c>
      <c r="I28" s="4" t="inlineStr">
        <is>
          <t>% selected</t>
        </is>
      </c>
      <c r="J28" s="4" t="inlineStr">
        <is>
          <t>% selected</t>
        </is>
      </c>
      <c r="K28" s="4" t="inlineStr">
        <is>
          <t>% selected</t>
        </is>
      </c>
      <c r="L28" s="4" t="inlineStr">
        <is>
          <t>% selected</t>
        </is>
      </c>
      <c r="M28" s="4" t="inlineStr">
        <is>
          <t>% selected</t>
        </is>
      </c>
      <c r="N28" s="4" t="inlineStr">
        <is>
          <t>% selected</t>
        </is>
      </c>
      <c r="O28" s="4" t="inlineStr">
        <is>
          <t>% selected</t>
        </is>
      </c>
      <c r="P28" s="4" t="inlineStr">
        <is>
          <t>% selected</t>
        </is>
      </c>
      <c r="Q28" s="4" t="inlineStr">
        <is>
          <t>% selected</t>
        </is>
      </c>
      <c r="R28" s="4" t="inlineStr">
        <is>
          <t>% selected</t>
        </is>
      </c>
      <c r="S28" s="4" t="inlineStr">
        <is>
          <t>% selected</t>
        </is>
      </c>
    </row>
    <row r="29">
      <c r="A29" t="inlineStr">
        <is>
          <t>Second</t>
        </is>
      </c>
      <c r="B29">
        <f>COUNTIFS(Q_MS_EXPORTr2_data,"Selected",passes_workbook_filters_data,1,passes_workbook_custom_filters_data,1,All_Questions_passes_local_filters_data,1,All_Questions_Q_MS_EXPORT_F_passes_per_q_filter_data,1)</f>
        <v>2</v>
      </c>
      <c r="C29" s="7">
        <f>IFERROR(B29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0.2</v>
      </c>
      <c r="D29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9" t="inlineStr">
        <is>
          <t>First</t>
        </is>
      </c>
      <c r="G29" s="7">
        <f>IF(OR(All_Questions_Q_MS_EXPORT_CT="(None)",G$27=""),"",IF(G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$27)),"")))</f>
        <v>0.5</v>
      </c>
      <c r="H29" s="7">
        <f>IF(OR(All_Questions_Q_MS_EXPORT_CT="(None)",H$27=""),"",IF(H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$27)),"")))</f>
        <v>0.5</v>
      </c>
      <c r="I29" s="7">
        <f>IF(OR(All_Questions_Q_MS_EXPORT_CT="(None)",I$27=""),"",IF(I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$27)),"")))</f>
        <v>0.5</v>
      </c>
      <c r="J29" s="7">
        <f>IF(OR(All_Questions_Q_MS_EXPORT_CT="(None)",J$27=""),"",IF(J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$27)),"")))</f>
        <v>0.5</v>
      </c>
      <c r="K29" s="7">
        <f>IF(OR(All_Questions_Q_MS_EXPORT_CT="(None)",K$27=""),"",IF(K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$27)),"")))</f>
        <v>0.5</v>
      </c>
      <c r="L29" s="7">
        <f>IF(OR(All_Questions_Q_MS_EXPORT_CT="(None)",L$27=""),"",IF(L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$27)),"")))</f>
        <v>0.5</v>
      </c>
      <c r="M29" s="7">
        <f>IF(OR(All_Questions_Q_MS_EXPORT_CT="(None)",M$27=""),"",IF(M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$27)),"")))</f>
        <v>0.5</v>
      </c>
      <c r="N29" s="7">
        <f>IF(OR(All_Questions_Q_MS_EXPORT_CT="(None)",N$27=""),"",IF(N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N$27)),"")))</f>
        <v>0.5</v>
      </c>
      <c r="O29" s="7">
        <f>IF(OR(All_Questions_Q_MS_EXPORT_CT="(None)",O$27=""),"",IF(O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O$27)),"")))</f>
        <v>0.5</v>
      </c>
      <c r="P29" s="7">
        <f>IF(OR(All_Questions_Q_MS_EXPORT_CT="(None)",P$27=""),"",IF(P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P$27)),"")))</f>
        <v>0.5</v>
      </c>
      <c r="Q29" s="7">
        <f>IF(OR(All_Questions_Q_MS_EXPORT_CT="(None)",Q$27=""),"",IF(Q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Q$27)),"")))</f>
        <v>0.5</v>
      </c>
      <c r="R29" s="7">
        <f>IF(OR(All_Questions_Q_MS_EXPORT_CT="(None)",R$27=""),"",IF(R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R$27)),"")))</f>
        <v>0.5</v>
      </c>
      <c r="S29" s="7">
        <f>IF(All_Questions_Q_MS_EXPORT_CT="(None)","",IFERROR(COUNTIFS(Q_MS_EXPORTr1_data,"Selected",passes_workbook_filters_data,1,passes_workbook_custom_filters_data,1,All_Questions_passes_local_filters_data,1,All_Questions_Q_MS_EXPORT_F_passes_per_q_filter_data,1)/SUMPRODUCT(--((--(Q_MS_EXPORTr1_data&lt;&gt;"")+--(Q_MS_EXPORTr2_data&lt;&gt;""))&gt;0),--(passes_workbook_filters_data=1),--(passes_workbook_custom_filters_data=1),--(All_Questions_passes_local_filters_data=1),--(All_Questions_Q_MS_EXPORT_F_passes_per_q_filter_data=1)),""))</f>
        <v>0.5</v>
      </c>
    </row>
    <row r="30">
      <c r="A30" s="15" t="inlineStr">
        <is>
          <t>Total respondents</t>
        </is>
      </c>
      <c r="B30" s="15" t="n">
        <v>10</v>
      </c>
      <c r="C30" s="15" t="n"/>
      <c r="D30" s="15" t="n"/>
      <c r="F30" t="inlineStr">
        <is>
          <t>Second</t>
        </is>
      </c>
      <c r="G30" s="7">
        <f>IF(OR(All_Questions_Q_MS_EXPORT_CT="(None)",G$27=""),"",IF(G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$27)),"")))</f>
        <v>0.2</v>
      </c>
      <c r="H30" s="7">
        <f>IF(OR(All_Questions_Q_MS_EXPORT_CT="(None)",H$27=""),"",IF(H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$27)),"")))</f>
        <v>0.2</v>
      </c>
      <c r="I30" s="7">
        <f>IF(OR(All_Questions_Q_MS_EXPORT_CT="(None)",I$27=""),"",IF(I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$27)),"")))</f>
        <v>0.2</v>
      </c>
      <c r="J30" s="7">
        <f>IF(OR(All_Questions_Q_MS_EXPORT_CT="(None)",J$27=""),"",IF(J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$27)),"")))</f>
        <v>0.2</v>
      </c>
      <c r="K30" s="7">
        <f>IF(OR(All_Questions_Q_MS_EXPORT_CT="(None)",K$27=""),"",IF(K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$27)),"")))</f>
        <v>0.2</v>
      </c>
      <c r="L30" s="7">
        <f>IF(OR(All_Questions_Q_MS_EXPORT_CT="(None)",L$27=""),"",IF(L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$27)),"")))</f>
        <v>0.2</v>
      </c>
      <c r="M30" s="7">
        <f>IF(OR(All_Questions_Q_MS_EXPORT_CT="(None)",M$27=""),"",IF(M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$27)),"")))</f>
        <v>0.2</v>
      </c>
      <c r="N30" s="7">
        <f>IF(OR(All_Questions_Q_MS_EXPORT_CT="(None)",N$27=""),"",IF(N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N$27)),"")))</f>
        <v>0.2</v>
      </c>
      <c r="O30" s="7">
        <f>IF(OR(All_Questions_Q_MS_EXPORT_CT="(None)",O$27=""),"",IF(O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O$27)),"")))</f>
        <v>0.2</v>
      </c>
      <c r="P30" s="7">
        <f>IF(OR(All_Questions_Q_MS_EXPORT_CT="(None)",P$27=""),"",IF(P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P$27)),"")))</f>
        <v>0.2</v>
      </c>
      <c r="Q30" s="7">
        <f>IF(OR(All_Questions_Q_MS_EXPORT_CT="(None)",Q$27=""),"",IF(Q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Q$27)),"")))</f>
        <v>0.2</v>
      </c>
      <c r="R30" s="7">
        <f>IF(OR(All_Questions_Q_MS_EXPORT_CT="(None)",R$27=""),"",IF(R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R$27)),"")))</f>
        <v>0.2</v>
      </c>
      <c r="S30" s="7">
        <f>IF(All_Questions_Q_MS_EXPORT_CT="(None)","",IFERROR(COUNTIFS(Q_MS_EXPORTr2_data,"Selected",passes_workbook_filters_data,1,passes_workbook_custom_filters_data,1,All_Questions_passes_local_filters_data,1,All_Questions_Q_MS_EXPORT_F_passes_per_q_filter_data,1)/SUMPRODUCT(--((--(Q_MS_EXPORTr1_data&lt;&gt;"")+--(Q_MS_EXPORTr2_data&lt;&gt;""))&gt;0),--(passes_workbook_filters_data=1),--(passes_workbook_custom_filters_data=1),--(All_Questions_passes_local_filters_data=1),--(All_Questions_Q_MS_EXPORT_F_passes_per_q_filter_data=1)),""))</f>
        <v>0.2</v>
      </c>
    </row>
    <row r="31">
      <c r="A31" s="4" t="inlineStr">
        <is>
          <t>Total responses</t>
        </is>
      </c>
      <c r="B31" s="4" t="n">
        <v>7</v>
      </c>
      <c r="C31" s="4" t="n"/>
      <c r="D31" s="4" t="n"/>
      <c r="F31" s="4" t="inlineStr">
        <is>
          <t>Total respondents</t>
        </is>
      </c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/>
    <row r="33">
      <c r="A33" s="11" t="n"/>
      <c r="B33" s="11" t="n"/>
      <c r="C33" s="11" t="n"/>
      <c r="D33" s="11" t="n"/>
      <c r="E33" s="11" t="n"/>
      <c r="F33" s="11" t="n"/>
      <c r="G33" s="11" t="n"/>
      <c r="H33" s="11" t="n"/>
      <c r="I33" s="11" t="n"/>
      <c r="J33" s="11" t="n"/>
    </row>
    <row r="34">
      <c r="A34" s="12" t="inlineStr">
        <is>
          <t>Q_NUM_EXPORT - Numeric export question</t>
        </is>
      </c>
      <c r="B34" s="12" t="n"/>
      <c r="C34" s="12" t="n"/>
      <c r="D34" s="12" t="n"/>
      <c r="E34" s="12" t="n"/>
      <c r="F34" s="12" t="n"/>
      <c r="G34" s="12" t="n"/>
      <c r="H34" s="12" t="n"/>
      <c r="I34" s="12" t="n"/>
      <c r="J34" s="12" t="n"/>
      <c r="K34" s="12" t="n"/>
      <c r="L34" s="12" t="n"/>
      <c r="M34" s="12" t="n"/>
      <c r="N34" s="12" t="n"/>
    </row>
    <row r="35">
      <c r="A35" s="13" t="inlineStr">
        <is>
          <t>Per-question filter</t>
        </is>
      </c>
      <c r="B35" t="inlineStr">
        <is>
          <t>Filter Q</t>
        </is>
      </c>
      <c r="C35" t="inlineStr">
        <is>
          <t>(None)</t>
        </is>
      </c>
      <c r="D35" t="inlineStr">
        <is>
          <t>Value</t>
        </is>
      </c>
      <c r="E35" t="inlineStr">
        <is>
          <t>(All)</t>
        </is>
      </c>
      <c r="F35" t="str">
        <f>IFERROR(INDEX(All_Questions_Value_Data_Names,MATCH(All_Questions_Q_NUM_EXPORT_F_Q&amp;"|"&amp;All_Questions_Q_NUM_EXPORT_F_V,All_Questions_Value_Keys,0)),IFERROR(INDEX(All_Questions_Data_Names,MATCH(All_Questions_Q_NUM_EXPORT_F_Q,All_Questions,0)),"'_RawData'!$A:$A"))</f>
        <v>respondent_id_data</v>
      </c>
      <c r="G35" t="str">
        <f>"|" &amp; SUBSTITUTE(All_Questions_Q_NUM_EXPORT_F_V, ", ", "|") &amp; "|"</f>
        <v>|(All)|</v>
      </c>
      <c r="H35" t="str">
        <f>IFERROR(INDEX(All_Questions_Value_Criteria,MATCH(All_Questions_Q_NUM_EXPORT_F_Q&amp;"|"&amp;All_Questions_Q_NUM_EXPORT_F_V,All_Questions_Value_Keys,0)),All_Questions_Q_NUM_EXPORT_F_V)</f>
        <v>(All)</v>
      </c>
    </row>
    <row r="36">
      <c r="A36" s="13" t="inlineStr">
        <is>
          <t>Cross-tab by</t>
        </is>
      </c>
      <c r="C36" t="inlineStr">
        <is>
          <t>(None)</t>
        </is>
      </c>
    </row>
    <row r="37"/>
    <row r="38">
      <c r="A38" s="4" t="inlineStr">
        <is>
          <t>Metric</t>
        </is>
      </c>
      <c r="B38" s="4" t="inlineStr">
        <is>
          <t>Value</t>
        </is>
      </c>
      <c r="C38" s="4" t="inlineStr">
        <is>
          <t>Note</t>
        </is>
      </c>
      <c r="D38" s="4" t="inlineStr">
        <is>
          <t>Denominator</t>
        </is>
      </c>
    </row>
    <row r="39">
      <c r="A39" t="inlineStr">
        <is>
          <t>Mean</t>
        </is>
      </c>
      <c r="B39" s="16">
        <f>IFERROR(AVERAGEIFS(Q_NUM_EXPORT_data,passes_workbook_filters_data,1,passes_workbook_custom_filters_data,1,All_Questions_passes_local_filters_data,1,All_Questions_Q_NUM_EXPORT_F_passes_per_q_filter_data,1),0)</f>
        <v>5.5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Min</t>
        </is>
      </c>
      <c r="B40" s="16">
        <f>IFERROR(MINIFS(Q_NUM_EXPORT_data,passes_workbook_filters_data,1,passes_workbook_custom_filters_data,1,All_Questions_passes_local_filters_data,1,All_Questions_Q_NUM_EXPORT_F_passes_per_q_filter_data,1),0)</f>
        <v>1.0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Max</t>
        </is>
      </c>
      <c r="B41" s="16">
        <f>IFERROR(MAXIFS(Q_NUM_EXPORT_data,passes_workbook_filters_data,1,passes_workbook_custom_filters_data,1,All_Questions_passes_local_filters_data,1,All_Questions_Q_NUM_EXPORT_F_passes_per_q_filter_data,1),0)</f>
        <v>10.0</v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t="inlineStr">
        <is>
          <t>Std</t>
        </is>
      </c>
      <c r="B42" s="16" t="n">
        <v>2.9</v>
      </c>
      <c r="C42" t="inlineStr">
        <is>
          <t>static baseline</t>
        </is>
      </c>
      <c r="D42">
        <f>COUNTIFS(Q_NUM_EXPORT_data,"&lt;&gt;",passes_workbook_filters_data,1,passes_workbook_custom_filters_data,1,All_Questions_passes_local_filters_data,1,All_Questions_Q_NUM_EXPORT_F_passes_per_q_filter_data,1)</f>
        <v>10</v>
      </c>
    </row>
    <row r="43">
      <c r="A43" t="inlineStr">
        <is>
          <t>Median</t>
        </is>
      </c>
      <c r="B43" s="16" t="n">
        <v>5.5</v>
      </c>
      <c r="C43" t="inlineStr">
        <is>
          <t>static baseline</t>
        </is>
      </c>
      <c r="D43" s="14" t="n">
        <v>10</v>
      </c>
    </row>
    <row r="44"/>
    <row r="45">
      <c r="F45" s="4" t="inlineStr">
        <is>
          <t>Option</t>
        </is>
      </c>
      <c r="G45" s="2" t="str">
        <f>IF(All_Questions_Q_NUM_EXPORT_CT="(None)","",IFERROR(INDEX(INDIRECT(IFERROR(INDEX(Cross_Tab_Questions_Options_Names,MATCH(All_Questions_Q_NUM_EXPORT_CT,Cross_Tab_Questions,0)),"'_Options'!$E$2:$E$2")),2),""))</f>
        <v/>
      </c>
      <c r="H45" s="2" t="str">
        <f>IF(All_Questions_Q_NUM_EXPORT_CT="(None)","",IFERROR(INDEX(INDIRECT(IFERROR(INDEX(Cross_Tab_Questions_Options_Names,MATCH(All_Questions_Q_NUM_EXPORT_CT,Cross_Tab_Questions,0)),"'_Options'!$E$2:$E$2")),3),""))</f>
        <v/>
      </c>
      <c r="I45" s="2" t="str">
        <f>IF(All_Questions_Q_NUM_EXPORT_CT="(None)","",IFERROR(INDEX(INDIRECT(IFERROR(INDEX(Cross_Tab_Questions_Options_Names,MATCH(All_Questions_Q_NUM_EXPORT_CT,Cross_Tab_Questions,0)),"'_Options'!$E$2:$E$2")),4),""))</f>
        <v/>
      </c>
      <c r="J45" s="2" t="str">
        <f>IF(All_Questions_Q_NUM_EXPORT_CT="(None)","",IFERROR(INDEX(INDIRECT(IFERROR(INDEX(Cross_Tab_Questions_Options_Names,MATCH(All_Questions_Q_NUM_EXPORT_CT,Cross_Tab_Questions,0)),"'_Options'!$E$2:$E$2")),5),""))</f>
        <v/>
      </c>
      <c r="K45" s="2" t="str">
        <f>IF(All_Questions_Q_NUM_EXPORT_CT="(None)","",IFERROR(INDEX(INDIRECT(IFERROR(INDEX(Cross_Tab_Questions_Options_Names,MATCH(All_Questions_Q_NUM_EXPORT_CT,Cross_Tab_Questions,0)),"'_Options'!$E$2:$E$2")),6),""))</f>
        <v/>
      </c>
      <c r="L45" s="2" t="str">
        <f>IF(All_Questions_Q_NUM_EXPORT_CT="(None)","",IFERROR(INDEX(INDIRECT(IFERROR(INDEX(Cross_Tab_Questions_Options_Names,MATCH(All_Questions_Q_NUM_EXPORT_CT,Cross_Tab_Questions,0)),"'_Options'!$E$2:$E$2")),7),""))</f>
        <v/>
      </c>
      <c r="M45" s="2" t="str">
        <f>IF(All_Questions_Q_NUM_EXPORT_CT="(None)","",IFERROR(INDEX(INDIRECT(IFERROR(INDEX(Cross_Tab_Questions_Options_Names,MATCH(All_Questions_Q_NUM_EXPORT_CT,Cross_Tab_Questions,0)),"'_Options'!$E$2:$E$2")),8),""))</f>
        <v/>
      </c>
      <c r="N45" s="2" t="str">
        <f>IF(All_Questions_Q_NUM_EXPORT_CT="(None)","",IFERROR(INDEX(INDIRECT(IFERROR(INDEX(Cross_Tab_Questions_Options_Names,MATCH(All_Questions_Q_NUM_EXPORT_CT,Cross_Tab_Questions,0)),"'_Options'!$E$2:$E$2")),9),""))</f>
        <v/>
      </c>
      <c r="O45" s="2" t="str">
        <f>IF(All_Questions_Q_NUM_EXPORT_CT="(None)","",IFERROR(INDEX(INDIRECT(IFERROR(INDEX(Cross_Tab_Questions_Options_Names,MATCH(All_Questions_Q_NUM_EXPORT_CT,Cross_Tab_Questions,0)),"'_Options'!$E$2:$E$2")),10),""))</f>
        <v/>
      </c>
      <c r="P45" s="2" t="str">
        <f>IF(All_Questions_Q_NUM_EXPORT_CT="(None)","",IFERROR(INDEX(INDIRECT(IFERROR(INDEX(Cross_Tab_Questions_Options_Names,MATCH(All_Questions_Q_NUM_EXPORT_CT,Cross_Tab_Questions,0)),"'_Options'!$E$2:$E$2")),11),""))</f>
        <v/>
      </c>
      <c r="Q45" s="2" t="str">
        <f>IF(All_Questions_Q_NUM_EXPORT_CT="(None)","",IFERROR(INDEX(INDIRECT(IFERROR(INDEX(Cross_Tab_Questions_Options_Names,MATCH(All_Questions_Q_NUM_EXPORT_CT,Cross_Tab_Questions,0)),"'_Options'!$E$2:$E$2")),12),""))</f>
        <v/>
      </c>
      <c r="R45" s="2" t="str">
        <f>IF(All_Questions_Q_NUM_EXPORT_CT="(None)","",IF(COUNTA(INDIRECT(IFERROR(INDEX(Cross_Tab_Questions_Options_Names,MATCH(All_Questions_Q_NUM_EXPORT_CT,Cross_Tab_Questions,0)),"'_Options'!$E$2:$E$2")))-1&gt;11,"Other",IFERROR(INDEX(INDIRECT(IFERROR(INDEX(Cross_Tab_Questions_Options_Names,MATCH(All_Questions_Q_NUM_EXPORT_CT,Cross_Tab_Questions,0)),"'_Options'!$E$2:$E$2")),13),"")))</f>
        <v/>
      </c>
      <c r="S45" s="4" t="inlineStr">
        <is>
          <t>Total</t>
        </is>
      </c>
    </row>
    <row r="46">
      <c r="F46" s="4" t="inlineStr"/>
      <c r="G46" s="4" t="inlineStr">
        <is>
          <t>Mean</t>
        </is>
      </c>
      <c r="H46" s="4" t="inlineStr">
        <is>
          <t>Mean</t>
        </is>
      </c>
      <c r="I46" s="4" t="inlineStr">
        <is>
          <t>Mean</t>
        </is>
      </c>
      <c r="J46" s="4" t="inlineStr">
        <is>
          <t>Mean</t>
        </is>
      </c>
      <c r="K46" s="4" t="inlineStr">
        <is>
          <t>Mean</t>
        </is>
      </c>
      <c r="L46" s="4" t="inlineStr">
        <is>
          <t>Mean</t>
        </is>
      </c>
      <c r="M46" s="4" t="inlineStr">
        <is>
          <t>Mean</t>
        </is>
      </c>
      <c r="N46" s="4" t="inlineStr">
        <is>
          <t>Mean</t>
        </is>
      </c>
      <c r="O46" s="4" t="inlineStr">
        <is>
          <t>Mean</t>
        </is>
      </c>
      <c r="P46" s="4" t="inlineStr">
        <is>
          <t>Mean</t>
        </is>
      </c>
      <c r="Q46" s="4" t="inlineStr">
        <is>
          <t>Mean</t>
        </is>
      </c>
      <c r="R46" s="4" t="inlineStr">
        <is>
          <t>Mean</t>
        </is>
      </c>
      <c r="S46" s="4" t="inlineStr">
        <is>
          <t>Mean</t>
        </is>
      </c>
    </row>
    <row r="47">
      <c r="F47" t="inlineStr">
        <is>
          <t>Numeric export question</t>
        </is>
      </c>
      <c r="G47" s="16">
        <f>IF(OR(All_Questions_Q_NUM_EXPORT_CT="(None)",G$45=""),"",IF(G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G$45),"")))</f>
        <v>5.5</v>
      </c>
      <c r="H47" s="16">
        <f>IF(OR(All_Questions_Q_NUM_EXPORT_CT="(None)",H$45=""),"",IF(H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H$45),"")))</f>
        <v>5.5</v>
      </c>
      <c r="I47" s="16">
        <f>IF(OR(All_Questions_Q_NUM_EXPORT_CT="(None)",I$45=""),"",IF(I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I$45),"")))</f>
        <v>5.5</v>
      </c>
      <c r="J47" s="16">
        <f>IF(OR(All_Questions_Q_NUM_EXPORT_CT="(None)",J$45=""),"",IF(J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J$45),"")))</f>
        <v>5.5</v>
      </c>
      <c r="K47" s="16">
        <f>IF(OR(All_Questions_Q_NUM_EXPORT_CT="(None)",K$45=""),"",IF(K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K$45),"")))</f>
        <v>5.5</v>
      </c>
      <c r="L47" s="16">
        <f>IF(OR(All_Questions_Q_NUM_EXPORT_CT="(None)",L$45=""),"",IF(L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L$45),"")))</f>
        <v>5.5</v>
      </c>
      <c r="M47" s="16">
        <f>IF(OR(All_Questions_Q_NUM_EXPORT_CT="(None)",M$45=""),"",IF(M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M$45),"")))</f>
        <v>5.5</v>
      </c>
      <c r="N47" s="16">
        <f>IF(OR(All_Questions_Q_NUM_EXPORT_CT="(None)",N$45=""),"",IF(N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N$45),"")))</f>
        <v>5.5</v>
      </c>
      <c r="O47" s="16">
        <f>IF(OR(All_Questions_Q_NUM_EXPORT_CT="(None)",O$45=""),"",IF(O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O$45),"")))</f>
        <v>5.5</v>
      </c>
      <c r="P47" s="16">
        <f>IF(OR(All_Questions_Q_NUM_EXPORT_CT="(None)",P$45=""),"",IF(P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P$45),"")))</f>
        <v>5.5</v>
      </c>
      <c r="Q47" s="16">
        <f>IF(OR(All_Questions_Q_NUM_EXPORT_CT="(None)",Q$45=""),"",IF(Q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Q$45),"")))</f>
        <v>5.5</v>
      </c>
      <c r="R47" s="16">
        <f>IF(OR(All_Questions_Q_NUM_EXPORT_CT="(None)",R$45=""),"",IF(R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R$45),"")))</f>
        <v>5.5</v>
      </c>
      <c r="S47" s="16">
        <f>IF(All_Questions_Q_NUM_EXPORT_CT="(None)","",IFERROR(AVERAGEIFS(Q_NUM_EXPORT_data,Q_NUM_EXPORT_data,"&lt;&gt;",passes_workbook_filters_data,1,passes_workbook_custom_filters_data,1,All_Questions_passes_local_filters_data,1,All_Questions_Q_NUM_EXPORT_F_passes_per_q_filter_data,1),""))</f>
        <v>5.5</v>
      </c>
    </row>
    <row r="48">
      <c r="F48" s="4" t="inlineStr">
        <is>
          <t>Total respondents</t>
        </is>
      </c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>
        <f>IF(All_Questions_Q_NUM_EXPORT_CT="(None)","",COUNTIFS(respondent_id_data,"&lt;&gt;",passes_workbook_filters_data,1,passes_workbook_custom_filters_data,1,All_Questions_passes_local_filters_data,1,All_Questions_Q_NUM_EXPORT_F_passes_per_q_filter_data,1))</f>
        <v>0</v>
      </c>
    </row>
    <row r="49"/>
    <row r="50">
      <c r="A50" s="11" t="n"/>
      <c r="B50" s="11" t="n"/>
      <c r="C50" s="11" t="n"/>
      <c r="D50" s="11" t="n"/>
      <c r="E50" s="11" t="n"/>
      <c r="F50" s="11" t="n"/>
      <c r="G50" s="11" t="n"/>
      <c r="H50" s="11" t="n"/>
      <c r="I50" s="11" t="n"/>
      <c r="J50" s="11" t="n"/>
    </row>
    <row r="51">
      <c r="A51" s="12" t="inlineStr">
        <is>
          <t>Q_GRID_EXPORT - Grid export question</t>
        </is>
      </c>
      <c r="B51" s="12" t="n"/>
      <c r="C51" s="12" t="n"/>
      <c r="D51" s="12" t="n"/>
      <c r="E51" s="12" t="n"/>
      <c r="F51" s="12" t="n"/>
      <c r="G51" s="12" t="n"/>
      <c r="H51" s="12" t="n"/>
      <c r="I51" s="12" t="n"/>
      <c r="J51" s="12" t="n"/>
      <c r="K51" s="12" t="n"/>
      <c r="L51" s="12" t="n"/>
      <c r="M51" s="12" t="n"/>
      <c r="N51" s="12" t="n"/>
    </row>
    <row r="52">
      <c r="A52" s="13" t="inlineStr">
        <is>
          <t>Per-question filter</t>
        </is>
      </c>
      <c r="B52" t="inlineStr">
        <is>
          <t>Filter Q</t>
        </is>
      </c>
      <c r="C52" t="inlineStr">
        <is>
          <t>(None)</t>
        </is>
      </c>
      <c r="D52" t="inlineStr">
        <is>
          <t>Value</t>
        </is>
      </c>
      <c r="E52" t="inlineStr">
        <is>
          <t>(All)</t>
        </is>
      </c>
      <c r="F52" t="str">
        <f>IFERROR(INDEX(All_Questions_Value_Data_Names,MATCH(All_Questions_Q_GRID_EXPORT_F_Q&amp;"|"&amp;All_Questions_Q_GRID_EXPORT_F_V,All_Questions_Value_Keys,0)),IFERROR(INDEX(All_Questions_Data_Names,MATCH(All_Questions_Q_GRID_EXPORT_F_Q,All_Questions,0)),"'_RawData'!$A:$A"))</f>
        <v>respondent_id_data</v>
      </c>
      <c r="G52" t="str">
        <f>"|" &amp; SUBSTITUTE(All_Questions_Q_GRID_EXPORT_F_V, ", ", "|") &amp; "|"</f>
        <v>|(All)|</v>
      </c>
      <c r="H52" t="str">
        <f>IFERROR(INDEX(All_Questions_Value_Criteria,MATCH(All_Questions_Q_GRID_EXPORT_F_Q&amp;"|"&amp;All_Questions_Q_GRID_EXPORT_F_V,All_Questions_Value_Keys,0)),All_Questions_Q_GRID_EXPORT_F_V)</f>
        <v>(All)</v>
      </c>
    </row>
    <row r="53">
      <c r="A53" s="13" t="inlineStr">
        <is>
          <t>Cross-tab by</t>
        </is>
      </c>
      <c r="C53" t="inlineStr">
        <is>
          <t>(None)</t>
        </is>
      </c>
    </row>
    <row r="54"/>
    <row r="55">
      <c r="A55" s="4" t="inlineStr">
        <is>
          <t>Sub-question ID</t>
        </is>
      </c>
      <c r="B55" s="4" t="inlineStr">
        <is>
          <t>Sub-question</t>
        </is>
      </c>
      <c r="C55" s="4" t="inlineStr">
        <is>
          <t>High</t>
        </is>
      </c>
      <c r="D55" s="2" t="n"/>
      <c r="E55" s="4" t="inlineStr">
        <is>
          <t>Low</t>
        </is>
      </c>
      <c r="F55" s="2" t="n"/>
    </row>
    <row r="56">
      <c r="A56" s="2" t="inlineStr"/>
      <c r="B56" s="2" t="inlineStr"/>
      <c r="C56" s="4" t="inlineStr">
        <is>
          <t>Count</t>
        </is>
      </c>
      <c r="D56" s="4" t="inlineStr">
        <is>
          <t>%</t>
        </is>
      </c>
      <c r="E56" s="4" t="inlineStr">
        <is>
          <t>Count</t>
        </is>
      </c>
      <c r="F56" s="4" t="inlineStr">
        <is>
          <t>%</t>
        </is>
      </c>
    </row>
    <row r="57">
      <c r="A57" s="17" t="inlineStr">
        <is>
          <t>Q_GRID_EXPORTr1</t>
        </is>
      </c>
      <c r="B57" t="inlineStr">
        <is>
          <t>Grid first row</t>
        </is>
      </c>
      <c r="C57">
        <f>COUNTIFS(Q_GRID_EXPORTr1_data,"High",passes_workbook_filters_data,1,passes_workbook_custom_filters_data,1,All_Questions_passes_local_filters_data,1,All_Questions_Q_GRID_EXPORT_F_passes_per_q_filter_data,1)</f>
        <v>6</v>
      </c>
      <c r="D57" s="7">
        <f>IFERROR(C57/10,0)</f>
        <v>0.6</v>
      </c>
      <c r="E57">
        <f>COUNTIFS(Q_GRID_EXPORTr1_data,"Low",passes_workbook_filters_data,1,passes_workbook_custom_filters_data,1,All_Questions_passes_local_filters_data,1,All_Questions_Q_GRID_EXPORT_F_passes_per_q_filter_data,1)</f>
        <v>4</v>
      </c>
      <c r="F57" s="7">
        <f>IFERROR(E57/10,0)</f>
        <v>0.4</v>
      </c>
    </row>
    <row r="58">
      <c r="A58" s="17" t="inlineStr">
        <is>
          <t>Q_GRID_EXPORTr2</t>
        </is>
      </c>
      <c r="B58" t="inlineStr">
        <is>
          <t>Grid second row</t>
        </is>
      </c>
      <c r="C58">
        <f>COUNTIFS(Q_GRID_EXPORTr2_data,"High",passes_workbook_filters_data,1,passes_workbook_custom_filters_data,1,All_Questions_passes_local_filters_data,1,All_Questions_Q_GRID_EXPORT_F_passes_per_q_filter_data,1)</f>
        <v>5</v>
      </c>
      <c r="D58" s="7">
        <f>IFERROR(C58/10,0)</f>
        <v>0.5</v>
      </c>
      <c r="E58">
        <f>COUNTIFS(Q_GRID_EXPORTr2_data,"Low",passes_workbook_filters_data,1,passes_workbook_custom_filters_data,1,All_Questions_passes_local_filters_data,1,All_Questions_Q_GRID_EXPORT_F_passes_per_q_filter_data,1)</f>
        <v>5</v>
      </c>
      <c r="F58" s="7">
        <f>IFERROR(E58/10,0)</f>
        <v>0.5</v>
      </c>
    </row>
    <row r="59">
      <c r="A59" s="15" t="inlineStr">
        <is>
          <t>Total respondents</t>
        </is>
      </c>
      <c r="B59" s="15" t="n">
        <v>10</v>
      </c>
      <c r="C59" s="15" t="n"/>
      <c r="D59" s="15" t="n"/>
      <c r="E59" s="15" t="n"/>
      <c r="F59" s="15" t="n"/>
    </row>
    <row r="60">
      <c r="A60" s="4" t="inlineStr">
        <is>
          <t>Total responses</t>
        </is>
      </c>
      <c r="B60" s="4" t="n">
        <v>20</v>
      </c>
      <c r="C60" s="4" t="n"/>
      <c r="D60" s="4" t="n"/>
      <c r="E60" s="4" t="n"/>
      <c r="F60" s="4" t="n"/>
    </row>
    <row r="61"/>
    <row r="62">
      <c r="F62" s="4" t="inlineStr">
        <is>
          <t>Option</t>
        </is>
      </c>
      <c r="G62" s="2" t="str">
        <f>IF(All_Questions_Q_GRID_EXPORT_CT="(None)","",IFERROR(INDEX(INDIRECT(IFERROR(INDEX(Cross_Tab_Questions_Options_Names,MATCH(All_Questions_Q_GRID_EXPORT_CT,Cross_Tab_Questions,0)),"'_Options'!$E$2:$E$2")),2),""))</f>
        <v/>
      </c>
      <c r="H62" s="2" t="str">
        <f>IF(All_Questions_Q_GRID_EXPORT_CT="(None)","",IFERROR(INDEX(INDIRECT(IFERROR(INDEX(Cross_Tab_Questions_Options_Names,MATCH(All_Questions_Q_GRID_EXPORT_CT,Cross_Tab_Questions,0)),"'_Options'!$E$2:$E$2")),3),""))</f>
        <v/>
      </c>
      <c r="I62" s="2" t="str">
        <f>IF(All_Questions_Q_GRID_EXPORT_CT="(None)","",IFERROR(INDEX(INDIRECT(IFERROR(INDEX(Cross_Tab_Questions_Options_Names,MATCH(All_Questions_Q_GRID_EXPORT_CT,Cross_Tab_Questions,0)),"'_Options'!$E$2:$E$2")),4),""))</f>
        <v/>
      </c>
      <c r="J62" s="2" t="str">
        <f>IF(All_Questions_Q_GRID_EXPORT_CT="(None)","",IFERROR(INDEX(INDIRECT(IFERROR(INDEX(Cross_Tab_Questions_Options_Names,MATCH(All_Questions_Q_GRID_EXPORT_CT,Cross_Tab_Questions,0)),"'_Options'!$E$2:$E$2")),5),""))</f>
        <v/>
      </c>
      <c r="K62" s="2" t="str">
        <f>IF(All_Questions_Q_GRID_EXPORT_CT="(None)","",IFERROR(INDEX(INDIRECT(IFERROR(INDEX(Cross_Tab_Questions_Options_Names,MATCH(All_Questions_Q_GRID_EXPORT_CT,Cross_Tab_Questions,0)),"'_Options'!$E$2:$E$2")),6),""))</f>
        <v/>
      </c>
      <c r="L62" s="2" t="str">
        <f>IF(All_Questions_Q_GRID_EXPORT_CT="(None)","",IFERROR(INDEX(INDIRECT(IFERROR(INDEX(Cross_Tab_Questions_Options_Names,MATCH(All_Questions_Q_GRID_EXPORT_CT,Cross_Tab_Questions,0)),"'_Options'!$E$2:$E$2")),7),""))</f>
        <v/>
      </c>
      <c r="M62" s="2" t="str">
        <f>IF(All_Questions_Q_GRID_EXPORT_CT="(None)","",IFERROR(INDEX(INDIRECT(IFERROR(INDEX(Cross_Tab_Questions_Options_Names,MATCH(All_Questions_Q_GRID_EXPORT_CT,Cross_Tab_Questions,0)),"'_Options'!$E$2:$E$2")),8),""))</f>
        <v/>
      </c>
      <c r="N62" s="2" t="str">
        <f>IF(All_Questions_Q_GRID_EXPORT_CT="(None)","",IFERROR(INDEX(INDIRECT(IFERROR(INDEX(Cross_Tab_Questions_Options_Names,MATCH(All_Questions_Q_GRID_EXPORT_CT,Cross_Tab_Questions,0)),"'_Options'!$E$2:$E$2")),9),""))</f>
        <v/>
      </c>
      <c r="O62" s="2" t="str">
        <f>IF(All_Questions_Q_GRID_EXPORT_CT="(None)","",IFERROR(INDEX(INDIRECT(IFERROR(INDEX(Cross_Tab_Questions_Options_Names,MATCH(All_Questions_Q_GRID_EXPORT_CT,Cross_Tab_Questions,0)),"'_Options'!$E$2:$E$2")),10),""))</f>
        <v/>
      </c>
      <c r="P62" s="2" t="str">
        <f>IF(All_Questions_Q_GRID_EXPORT_CT="(None)","",IFERROR(INDEX(INDIRECT(IFERROR(INDEX(Cross_Tab_Questions_Options_Names,MATCH(All_Questions_Q_GRID_EXPORT_CT,Cross_Tab_Questions,0)),"'_Options'!$E$2:$E$2")),11),""))</f>
        <v/>
      </c>
      <c r="Q62" s="2" t="str">
        <f>IF(All_Questions_Q_GRID_EXPORT_CT="(None)","",IFERROR(INDEX(INDIRECT(IFERROR(INDEX(Cross_Tab_Questions_Options_Names,MATCH(All_Questions_Q_GRID_EXPORT_CT,Cross_Tab_Questions,0)),"'_Options'!$E$2:$E$2")),12),""))</f>
        <v/>
      </c>
      <c r="R62" s="2" t="str">
        <f>IF(All_Questions_Q_GRID_EXPORT_CT="(None)","",IF(COUNTA(INDIRECT(IFERROR(INDEX(Cross_Tab_Questions_Options_Names,MATCH(All_Questions_Q_GRID_EXPORT_CT,Cross_Tab_Questions,0)),"'_Options'!$E$2:$E$2")))-1&gt;11,"Other",IFERROR(INDEX(INDIRECT(IFERROR(INDEX(Cross_Tab_Questions_Options_Names,MATCH(All_Questions_Q_GRID_EXPORT_CT,Cross_Tab_Questions,0)),"'_Options'!$E$2:$E$2")),13),"")))</f>
        <v/>
      </c>
      <c r="S62" s="4" t="inlineStr">
        <is>
          <t>Total</t>
        </is>
      </c>
    </row>
    <row r="63">
      <c r="F63" s="4" t="inlineStr"/>
      <c r="G63" s="4" t="inlineStr">
        <is>
          <t># of resp</t>
        </is>
      </c>
      <c r="H63" s="4" t="inlineStr">
        <is>
          <t># of resp</t>
        </is>
      </c>
      <c r="I63" s="4" t="inlineStr">
        <is>
          <t># of resp</t>
        </is>
      </c>
      <c r="J63" s="4" t="inlineStr">
        <is>
          <t># of resp</t>
        </is>
      </c>
      <c r="K63" s="4" t="inlineStr">
        <is>
          <t># of resp</t>
        </is>
      </c>
      <c r="L63" s="4" t="inlineStr">
        <is>
          <t># of resp</t>
        </is>
      </c>
      <c r="M63" s="4" t="inlineStr">
        <is>
          <t># of resp</t>
        </is>
      </c>
      <c r="N63" s="4" t="inlineStr">
        <is>
          <t># of resp</t>
        </is>
      </c>
      <c r="O63" s="4" t="inlineStr">
        <is>
          <t># of resp</t>
        </is>
      </c>
      <c r="P63" s="4" t="inlineStr">
        <is>
          <t># of resp</t>
        </is>
      </c>
      <c r="Q63" s="4" t="inlineStr">
        <is>
          <t># of resp</t>
        </is>
      </c>
      <c r="R63" s="4" t="inlineStr">
        <is>
          <t># of resp</t>
        </is>
      </c>
      <c r="S63" s="4" t="inlineStr">
        <is>
          <t># of resp</t>
        </is>
      </c>
    </row>
    <row r="64">
      <c r="F64" t="inlineStr">
        <is>
          <t>Grid first row</t>
        </is>
      </c>
      <c r="G64" s="14">
        <f>IF(OR(All_Questions_Q_GRID_EXPORT_CT="(None)",G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G$62))</f>
        <v>0</v>
      </c>
      <c r="H64" s="14">
        <f>IF(OR(All_Questions_Q_GRID_EXPORT_CT="(None)",H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H$62))</f>
        <v>0</v>
      </c>
      <c r="I64" s="14">
        <f>IF(OR(All_Questions_Q_GRID_EXPORT_CT="(None)",I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I$62))</f>
        <v>0</v>
      </c>
      <c r="J64" s="14">
        <f>IF(OR(All_Questions_Q_GRID_EXPORT_CT="(None)",J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J$62))</f>
        <v>0</v>
      </c>
      <c r="K64" s="14">
        <f>IF(OR(All_Questions_Q_GRID_EXPORT_CT="(None)",K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K$62))</f>
        <v>0</v>
      </c>
      <c r="L64" s="14">
        <f>IF(OR(All_Questions_Q_GRID_EXPORT_CT="(None)",L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L$62))</f>
        <v>0</v>
      </c>
      <c r="M64" s="14">
        <f>IF(OR(All_Questions_Q_GRID_EXPORT_CT="(None)",M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M$62))</f>
        <v>0</v>
      </c>
      <c r="N64" s="14">
        <f>IF(OR(All_Questions_Q_GRID_EXPORT_CT="(None)",N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N$62))</f>
        <v>0</v>
      </c>
      <c r="O64" s="14">
        <f>IF(OR(All_Questions_Q_GRID_EXPORT_CT="(None)",O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O$62))</f>
        <v>0</v>
      </c>
      <c r="P64" s="14">
        <f>IF(OR(All_Questions_Q_GRID_EXPORT_CT="(None)",P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P$62))</f>
        <v>0</v>
      </c>
      <c r="Q64" s="14">
        <f>IF(OR(All_Questions_Q_GRID_EXPORT_CT="(None)",Q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Q$62))</f>
        <v>0</v>
      </c>
      <c r="R64" s="14">
        <f>IF(OR(All_Questions_Q_GRID_EXPORT_CT="(None)",R$62=""),"",IF(R$62="Other",COUNTIFS(Q_GRID_EXPORTr1_data,"Selected",passes_workbook_filters_data,1,passes_workbook_custom_filters_data,1,All_Questions_passes_local_filters_data,1,All_Questions_Q_GRID_EXPORT_F_passes_per_q_filter_data,1)-SUM(G64,H64,I64,J64,K64,L64,M64,N64,O64,P64,Q64)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R$62)))</f>
        <v>0</v>
      </c>
      <c r="S64" s="14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65">
      <c r="F65" t="inlineStr">
        <is>
          <t>Grid second row</t>
        </is>
      </c>
      <c r="G65" s="14">
        <f>IF(OR(All_Questions_Q_GRID_EXPORT_CT="(None)",G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G$62))</f>
        <v>0</v>
      </c>
      <c r="H65" s="14">
        <f>IF(OR(All_Questions_Q_GRID_EXPORT_CT="(None)",H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H$62))</f>
        <v>0</v>
      </c>
      <c r="I65" s="14">
        <f>IF(OR(All_Questions_Q_GRID_EXPORT_CT="(None)",I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I$62))</f>
        <v>0</v>
      </c>
      <c r="J65" s="14">
        <f>IF(OR(All_Questions_Q_GRID_EXPORT_CT="(None)",J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J$62))</f>
        <v>0</v>
      </c>
      <c r="K65" s="14">
        <f>IF(OR(All_Questions_Q_GRID_EXPORT_CT="(None)",K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K$62))</f>
        <v>0</v>
      </c>
      <c r="L65" s="14">
        <f>IF(OR(All_Questions_Q_GRID_EXPORT_CT="(None)",L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L$62))</f>
        <v>0</v>
      </c>
      <c r="M65" s="14">
        <f>IF(OR(All_Questions_Q_GRID_EXPORT_CT="(None)",M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M$62))</f>
        <v>0</v>
      </c>
      <c r="N65" s="14">
        <f>IF(OR(All_Questions_Q_GRID_EXPORT_CT="(None)",N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N$62))</f>
        <v>0</v>
      </c>
      <c r="O65" s="14">
        <f>IF(OR(All_Questions_Q_GRID_EXPORT_CT="(None)",O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O$62))</f>
        <v>0</v>
      </c>
      <c r="P65" s="14">
        <f>IF(OR(All_Questions_Q_GRID_EXPORT_CT="(None)",P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P$62))</f>
        <v>0</v>
      </c>
      <c r="Q65" s="14">
        <f>IF(OR(All_Questions_Q_GRID_EXPORT_CT="(None)",Q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Q$62))</f>
        <v>0</v>
      </c>
      <c r="R65" s="14">
        <f>IF(OR(All_Questions_Q_GRID_EXPORT_CT="(None)",R$62=""),"",IF(R$62="Other",COUNTIFS(Q_GRID_EXPORTr2_data,"Selected",passes_workbook_filters_data,1,passes_workbook_custom_filters_data,1,All_Questions_passes_local_filters_data,1,All_Questions_Q_GRID_EXPORT_F_passes_per_q_filter_data,1)-SUM(G65,H65,I65,J65,K65,L65,M65,N65,O65,P65,Q65)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R$62)))</f>
        <v>0</v>
      </c>
      <c r="S65" s="14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66">
      <c r="F66" s="4" t="inlineStr">
        <is>
          <t>Total respondents</t>
        </is>
      </c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67"/>
    <row r="68">
      <c r="A68" s="11" t="n"/>
      <c r="B68" s="11" t="n"/>
      <c r="C68" s="11" t="n"/>
      <c r="D68" s="11" t="n"/>
      <c r="E68" s="11" t="n"/>
      <c r="F68" s="11" t="n"/>
      <c r="G68" s="11" t="n"/>
      <c r="H68" s="11" t="n"/>
      <c r="I68" s="11" t="n"/>
      <c r="J68" s="11" t="n"/>
    </row>
    <row r="69">
      <c r="A69" s="12" t="inlineStr">
        <is>
          <t>Q_VERY_LONG_SINGLE_SELECT_EXPORT_NAME - Long sheet name export question</t>
        </is>
      </c>
      <c r="B69" s="12" t="n"/>
      <c r="C69" s="12" t="n"/>
      <c r="D69" s="12" t="n"/>
      <c r="E69" s="12" t="n"/>
      <c r="F69" s="12" t="n"/>
      <c r="G69" s="12" t="n"/>
      <c r="H69" s="12" t="n"/>
      <c r="I69" s="12" t="n"/>
      <c r="J69" s="12" t="n"/>
      <c r="K69" s="12" t="n"/>
      <c r="L69" s="12" t="n"/>
      <c r="M69" s="12" t="n"/>
      <c r="N69" s="12" t="n"/>
    </row>
    <row r="70">
      <c r="A70" s="13" t="inlineStr">
        <is>
          <t>Per-question filter</t>
        </is>
      </c>
      <c r="B70" t="inlineStr">
        <is>
          <t>Filter Q</t>
        </is>
      </c>
      <c r="C70" t="inlineStr">
        <is>
          <t>(None)</t>
        </is>
      </c>
      <c r="D70" t="inlineStr">
        <is>
          <t>Value</t>
        </is>
      </c>
      <c r="E70" t="inlineStr">
        <is>
          <t>(All)</t>
        </is>
      </c>
      <c r="F70" t="str">
        <f>IFERROR(INDEX(All_Questions_Value_Data_Names,MATCH(All_Questions_Q_VERY_LONG_SINGLE_SELECT_EXPORT_NAME_F_Q&amp;"|"&amp;All_Questions_Q_VERY_LONG_SINGLE_SELECT_EXPORT_NAME_F_V,All_Questions_Value_Keys,0)),IFERROR(INDEX(All_Questions_Data_Names,MATCH(All_Questions_Q_VERY_LONG_SINGLE_SELECT_EXPORT_NAME_F_Q,All_Questions,0)),"'_RawData'!$A:$A"))</f>
        <v>respondent_id_data</v>
      </c>
      <c r="G70" t="str">
        <f>"|" &amp; SUBSTITUTE(All_Questions_Q_VERY_LONG_SINGLE_SELECT_EXPORT_NAME_F_V, ", ", "|") &amp; "|"</f>
        <v>|(All)|</v>
      </c>
      <c r="H70" t="str">
        <f>IFERROR(INDEX(All_Questions_Value_Criteria,MATCH(All_Questions_Q_VERY_LONG_SINGLE_SELECT_EXPORT_NAME_F_Q&amp;"|"&amp;All_Questions_Q_VERY_LONG_SINGLE_SELECT_EXPORT_NAME_F_V,All_Questions_Value_Keys,0)),All_Questions_Q_VERY_LONG_SINGLE_SELECT_EXPORT_NAME_F_V)</f>
        <v>(All)</v>
      </c>
    </row>
    <row r="71">
      <c r="A71" s="13" t="inlineStr">
        <is>
          <t>Cross-tab by</t>
        </is>
      </c>
      <c r="C71" t="inlineStr">
        <is>
          <t>(None)</t>
        </is>
      </c>
    </row>
    <row r="72"/>
    <row r="73">
      <c r="A73" s="4" t="inlineStr">
        <is>
          <t>Option</t>
        </is>
      </c>
      <c r="B73" s="4" t="inlineStr">
        <is>
          <t>Count</t>
        </is>
      </c>
      <c r="C73" s="4" t="inlineStr">
        <is>
          <t>%</t>
        </is>
      </c>
      <c r="D73" s="4" t="inlineStr">
        <is>
          <t>Denominator</t>
        </is>
      </c>
      <c r="F73" s="4" t="inlineStr">
        <is>
          <t>Option</t>
        </is>
      </c>
      <c r="G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IF(All_Questions_Q_VERY_LONG_SINGLE_SELECT_EXPORT_NAME_CT="(None)","",IFERROR(INDEX(INDIRECT(IFERROR(INDEX(Cross_Tab_Questions_Options_Names,MATCH(All_Questions_Q_VERY_LONG_SINGLE_SELECT_EXPORT_NAME_CT,Cross_Tab_Questions,0)),"'_Options'!$E$2:$E$2")),2),""))</f>
        <v/>
      </c>
      <c r="H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IF(All_Questions_Q_VERY_LONG_SINGLE_SELECT_EXPORT_NAME_CT="(None)","",IFERROR(INDEX(INDIRECT(IFERROR(INDEX(Cross_Tab_Questions_Options_Names,MATCH(All_Questions_Q_VERY_LONG_SINGLE_SELECT_EXPORT_NAME_CT,Cross_Tab_Questions,0)),"'_Options'!$E$2:$E$2")),3),""))</f>
        <v/>
      </c>
      <c r="I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IF(All_Questions_Q_VERY_LONG_SINGLE_SELECT_EXPORT_NAME_CT="(None)","",IFERROR(INDEX(INDIRECT(IFERROR(INDEX(Cross_Tab_Questions_Options_Names,MATCH(All_Questions_Q_VERY_LONG_SINGLE_SELECT_EXPORT_NAME_CT,Cross_Tab_Questions,0)),"'_Options'!$E$2:$E$2")),4),""))</f>
        <v/>
      </c>
      <c r="J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IF(All_Questions_Q_VERY_LONG_SINGLE_SELECT_EXPORT_NAME_CT="(None)","",IFERROR(INDEX(INDIRECT(IFERROR(INDEX(Cross_Tab_Questions_Options_Names,MATCH(All_Questions_Q_VERY_LONG_SINGLE_SELECT_EXPORT_NAME_CT,Cross_Tab_Questions,0)),"'_Options'!$E$2:$E$2")),5),""))</f>
        <v/>
      </c>
      <c r="K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IF(All_Questions_Q_VERY_LONG_SINGLE_SELECT_EXPORT_NAME_CT="(None)","",IFERROR(INDEX(INDIRECT(IFERROR(INDEX(Cross_Tab_Questions_Options_Names,MATCH(All_Questions_Q_VERY_LONG_SINGLE_SELECT_EXPORT_NAME_CT,Cross_Tab_Questions,0)),"'_Options'!$E$2:$E$2")),6),""))</f>
        <v/>
      </c>
      <c r="L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IF(All_Questions_Q_VERY_LONG_SINGLE_SELECT_EXPORT_NAME_CT="(None)","",IFERROR(INDEX(INDIRECT(IFERROR(INDEX(Cross_Tab_Questions_Options_Names,MATCH(All_Questions_Q_VERY_LONG_SINGLE_SELECT_EXPORT_NAME_CT,Cross_Tab_Questions,0)),"'_Options'!$E$2:$E$2")),7),""))</f>
        <v/>
      </c>
      <c r="M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IF(All_Questions_Q_VERY_LONG_SINGLE_SELECT_EXPORT_NAME_CT="(None)","",IFERROR(INDEX(INDIRECT(IFERROR(INDEX(Cross_Tab_Questions_Options_Names,MATCH(All_Questions_Q_VERY_LONG_SINGLE_SELECT_EXPORT_NAME_CT,Cross_Tab_Questions,0)),"'_Options'!$E$2:$E$2")),8),""))</f>
        <v/>
      </c>
      <c r="N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IF(All_Questions_Q_VERY_LONG_SINGLE_SELECT_EXPORT_NAME_CT="(None)","",IFERROR(INDEX(INDIRECT(IFERROR(INDEX(Cross_Tab_Questions_Options_Names,MATCH(All_Questions_Q_VERY_LONG_SINGLE_SELECT_EXPORT_NAME_CT,Cross_Tab_Questions,0)),"'_Options'!$E$2:$E$2")),9),""))</f>
        <v/>
      </c>
      <c r="O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IF(All_Questions_Q_VERY_LONG_SINGLE_SELECT_EXPORT_NAME_CT="(None)","",IFERROR(INDEX(INDIRECT(IFERROR(INDEX(Cross_Tab_Questions_Options_Names,MATCH(All_Questions_Q_VERY_LONG_SINGLE_SELECT_EXPORT_NAME_CT,Cross_Tab_Questions,0)),"'_Options'!$E$2:$E$2")),10),""))</f>
        <v/>
      </c>
      <c r="P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IF(All_Questions_Q_VERY_LONG_SINGLE_SELECT_EXPORT_NAME_CT="(None)","",IFERROR(INDEX(INDIRECT(IFERROR(INDEX(Cross_Tab_Questions_Options_Names,MATCH(All_Questions_Q_VERY_LONG_SINGLE_SELECT_EXPORT_NAME_CT,Cross_Tab_Questions,0)),"'_Options'!$E$2:$E$2")),11),""))</f>
        <v/>
      </c>
      <c r="Q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IF(All_Questions_Q_VERY_LONG_SINGLE_SELECT_EXPORT_NAME_CT="(None)","",IFERROR(INDEX(INDIRECT(IFERROR(INDEX(Cross_Tab_Questions_Options_Names,MATCH(All_Questions_Q_VERY_LONG_SINGLE_SELECT_EXPORT_NAME_CT,Cross_Tab_Questions,0)),"'_Options'!$E$2:$E$2")),12),""))</f>
        <v/>
      </c>
      <c r="R73" s="2" t="str">
        <f>IF(All_Questions_Q_VERY_LONG_SINGLE_SELECT_EXPORT_NAME_CT="(None)","",IF(COUNTA(INDIRECT(IFERROR(INDEX(Cross_Tab_Questions_Options_Names,MATCH(All_Questions_Q_VERY_LONG_SINGLE_SELECT_EXPORT_NAME_CT,Cross_Tab_Questions,0)),"'_Options'!$E$2:$E$2")))-1&gt;11,"Other",IFERROR(INDEX(INDIRECT(IFERROR(INDEX(Cross_Tab_Questions_Options_Names,MATCH(All_Questions_Q_VERY_LONG_SINGLE_SELECT_EXPORT_NAME_CT,Cross_Tab_Questions,0)),"'_Options'!$E$2:$E$2")),13),"")))</f>
        <v/>
      </c>
      <c r="S73" s="4" t="inlineStr">
        <is>
          <t>Total</t>
        </is>
      </c>
    </row>
    <row r="74">
      <c r="A74" t="inlineStr">
        <is>
          <t>A</t>
        </is>
      </c>
      <c r="B74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74" s="7">
        <f>IFERROR(B74/SUBTOTAL(9,B74:B75),0)</f>
        <v>0.7</v>
      </c>
      <c r="D74" s="14">
        <f>SUBTOTAL(9,B74:B75)</f>
        <v>10</v>
      </c>
      <c r="F74" s="4" t="inlineStr"/>
      <c r="G74" s="4" t="inlineStr">
        <is>
          <t># of resp</t>
        </is>
      </c>
      <c r="H74" s="4" t="inlineStr">
        <is>
          <t># of resp</t>
        </is>
      </c>
      <c r="I74" s="4" t="inlineStr">
        <is>
          <t># of resp</t>
        </is>
      </c>
      <c r="J74" s="4" t="inlineStr">
        <is>
          <t># of resp</t>
        </is>
      </c>
      <c r="K74" s="4" t="inlineStr">
        <is>
          <t># of resp</t>
        </is>
      </c>
      <c r="L74" s="4" t="inlineStr">
        <is>
          <t># of resp</t>
        </is>
      </c>
      <c r="M74" s="4" t="inlineStr">
        <is>
          <t># of resp</t>
        </is>
      </c>
      <c r="N74" s="4" t="inlineStr">
        <is>
          <t># of resp</t>
        </is>
      </c>
      <c r="O74" s="4" t="inlineStr">
        <is>
          <t># of resp</t>
        </is>
      </c>
      <c r="P74" s="4" t="inlineStr">
        <is>
          <t># of resp</t>
        </is>
      </c>
      <c r="Q74" s="4" t="inlineStr">
        <is>
          <t># of resp</t>
        </is>
      </c>
      <c r="R74" s="4" t="inlineStr">
        <is>
          <t># of resp</t>
        </is>
      </c>
      <c r="S74" s="4" t="inlineStr">
        <is>
          <t># of resp</t>
        </is>
      </c>
    </row>
    <row r="75">
      <c r="A75" t="inlineStr">
        <is>
          <t>B</t>
        </is>
      </c>
      <c r="B75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75" s="7">
        <f>IFERROR(B75/SUBTOTAL(9,B74:B75),0)</f>
        <v>0.3</v>
      </c>
      <c r="D75" s="14">
        <f>SUBTOTAL(9,B74:B75)</f>
        <v>10</v>
      </c>
      <c r="F75" t="inlineStr">
        <is>
          <t>A</t>
        </is>
      </c>
      <c r="G75" s="14">
        <f>IF(OR(All_Questions_Q_VERY_LONG_SINGLE_SELECT_EXPORT_NAME_CT="(None)",G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G$73))</f>
        <v>0</v>
      </c>
      <c r="H75" s="14">
        <f>IF(OR(All_Questions_Q_VERY_LONG_SINGLE_SELECT_EXPORT_NAME_CT="(None)",H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H$73))</f>
        <v>0</v>
      </c>
      <c r="I75" s="14">
        <f>IF(OR(All_Questions_Q_VERY_LONG_SINGLE_SELECT_EXPORT_NAME_CT="(None)",I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I$73))</f>
        <v>0</v>
      </c>
      <c r="J75" s="14">
        <f>IF(OR(All_Questions_Q_VERY_LONG_SINGLE_SELECT_EXPORT_NAME_CT="(None)",J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J$73))</f>
        <v>0</v>
      </c>
      <c r="K75" s="14">
        <f>IF(OR(All_Questions_Q_VERY_LONG_SINGLE_SELECT_EXPORT_NAME_CT="(None)",K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K$73))</f>
        <v>0</v>
      </c>
      <c r="L75" s="14">
        <f>IF(OR(All_Questions_Q_VERY_LONG_SINGLE_SELECT_EXPORT_NAME_CT="(None)",L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L$73))</f>
        <v>0</v>
      </c>
      <c r="M75" s="14">
        <f>IF(OR(All_Questions_Q_VERY_LONG_SINGLE_SELECT_EXPORT_NAME_CT="(None)",M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M$73))</f>
        <v>0</v>
      </c>
      <c r="N75" s="14">
        <f>IF(OR(All_Questions_Q_VERY_LONG_SINGLE_SELECT_EXPORT_NAME_CT="(None)",N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N$73))</f>
        <v>0</v>
      </c>
      <c r="O75" s="14">
        <f>IF(OR(All_Questions_Q_VERY_LONG_SINGLE_SELECT_EXPORT_NAME_CT="(None)",O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O$73))</f>
        <v>0</v>
      </c>
      <c r="P75" s="14">
        <f>IF(OR(All_Questions_Q_VERY_LONG_SINGLE_SELECT_EXPORT_NAME_CT="(None)",P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P$73))</f>
        <v>0</v>
      </c>
      <c r="Q75" s="14">
        <f>IF(OR(All_Questions_Q_VERY_LONG_SINGLE_SELECT_EXPORT_NAME_CT="(None)",Q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Q$73))</f>
        <v>0</v>
      </c>
      <c r="R75" s="14">
        <f>IF(OR(All_Questions_Q_VERY_LONG_SINGLE_SELECT_EXPORT_NAME_CT="(None)",R$73=""),"",IF(R$73="Other",COUNTIFS(Q_VERY_LONG_SINGLE_SELECT_EXPOR_data,"A",passes_workbook_filters_data,1,passes_workbook_custom_filters_data,1,All_Questions_passes_local_filters_data,1,All_Questions_Q_VERY_LONG_SINGLE_SELECT_EXPORT_NAME_F_passes_per_q_filter_data,1)-SUM(G75,H75,I75,J75,K75,L75,M75,N75,O75,P75,Q75)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R$73)))</f>
        <v>0</v>
      </c>
      <c r="S75" s="14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76">
      <c r="A76" s="15" t="inlineStr">
        <is>
          <t>Total respondents</t>
        </is>
      </c>
      <c r="B76" s="15" t="n">
        <v>10</v>
      </c>
      <c r="C76" s="15" t="n"/>
      <c r="D76" s="15" t="n"/>
      <c r="F76" t="inlineStr">
        <is>
          <t>B</t>
        </is>
      </c>
      <c r="G76" s="14">
        <f>IF(OR(All_Questions_Q_VERY_LONG_SINGLE_SELECT_EXPORT_NAME_CT="(None)",G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G$73))</f>
        <v>0</v>
      </c>
      <c r="H76" s="14">
        <f>IF(OR(All_Questions_Q_VERY_LONG_SINGLE_SELECT_EXPORT_NAME_CT="(None)",H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H$73))</f>
        <v>0</v>
      </c>
      <c r="I76" s="14">
        <f>IF(OR(All_Questions_Q_VERY_LONG_SINGLE_SELECT_EXPORT_NAME_CT="(None)",I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I$73))</f>
        <v>0</v>
      </c>
      <c r="J76" s="14">
        <f>IF(OR(All_Questions_Q_VERY_LONG_SINGLE_SELECT_EXPORT_NAME_CT="(None)",J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J$73))</f>
        <v>0</v>
      </c>
      <c r="K76" s="14">
        <f>IF(OR(All_Questions_Q_VERY_LONG_SINGLE_SELECT_EXPORT_NAME_CT="(None)",K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K$73))</f>
        <v>0</v>
      </c>
      <c r="L76" s="14">
        <f>IF(OR(All_Questions_Q_VERY_LONG_SINGLE_SELECT_EXPORT_NAME_CT="(None)",L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L$73))</f>
        <v>0</v>
      </c>
      <c r="M76" s="14">
        <f>IF(OR(All_Questions_Q_VERY_LONG_SINGLE_SELECT_EXPORT_NAME_CT="(None)",M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M$73))</f>
        <v>0</v>
      </c>
      <c r="N76" s="14">
        <f>IF(OR(All_Questions_Q_VERY_LONG_SINGLE_SELECT_EXPORT_NAME_CT="(None)",N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N$73))</f>
        <v>0</v>
      </c>
      <c r="O76" s="14">
        <f>IF(OR(All_Questions_Q_VERY_LONG_SINGLE_SELECT_EXPORT_NAME_CT="(None)",O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O$73))</f>
        <v>0</v>
      </c>
      <c r="P76" s="14">
        <f>IF(OR(All_Questions_Q_VERY_LONG_SINGLE_SELECT_EXPORT_NAME_CT="(None)",P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P$73))</f>
        <v>0</v>
      </c>
      <c r="Q76" s="14">
        <f>IF(OR(All_Questions_Q_VERY_LONG_SINGLE_SELECT_EXPORT_NAME_CT="(None)",Q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Q$73))</f>
        <v>0</v>
      </c>
      <c r="R76" s="14">
        <f>IF(OR(All_Questions_Q_VERY_LONG_SINGLE_SELECT_EXPORT_NAME_CT="(None)",R$73=""),"",IF(R$73="Other",COUNTIFS(Q_VERY_LONG_SINGLE_SELECT_EXPOR_data,"B",passes_workbook_filters_data,1,passes_workbook_custom_filters_data,1,All_Questions_passes_local_filters_data,1,All_Questions_Q_VERY_LONG_SINGLE_SELECT_EXPORT_NAME_F_passes_per_q_filter_data,1)-SUM(G76,H76,I76,J76,K76,L76,M76,N76,O76,P76,Q76)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R$73)))</f>
        <v>0</v>
      </c>
      <c r="S76" s="1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77">
      <c r="F77" s="4" t="inlineStr">
        <is>
          <t>Total respondents</t>
        </is>
      </c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C55:D55"/>
    <mergeCell ref="A1:J1"/>
    <mergeCell ref="E55:F55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8:B29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8:C29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9:G30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9:H30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9:I30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9:J30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9:K30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9:L30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9:M30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9:N30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9:O30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9:P30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9:Q30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9:R30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7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47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47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47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47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47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47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47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7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47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47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47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57:D58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57:F58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4:G65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4:H65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4:I65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4:J65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4:K65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4:L65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4:M65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4:N65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4:O65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4:P65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4:Q65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4:R65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74:B75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74:C75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75:G76">
    <cfRule type="colorScale" priority="5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75:H76">
    <cfRule type="colorScale" priority="5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75:I76">
    <cfRule type="colorScale" priority="5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75:J76">
    <cfRule type="colorScale" priority="6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75:K76">
    <cfRule type="colorScale" priority="6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75:L76">
    <cfRule type="colorScale" priority="6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75:M76">
    <cfRule type="colorScale" priority="6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75:N76">
    <cfRule type="colorScale" priority="6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75:O76">
    <cfRule type="colorScale" priority="6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75:P76">
    <cfRule type="colorScale" priority="6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75:Q76">
    <cfRule type="colorScale" priority="6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75:R76">
    <cfRule type="colorScale" priority="6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=Cross_Tab_Questions</formula1>
    </dataValidation>
    <dataValidation sqref="C24" showDropDown="0" showInputMessage="0" showErrorMessage="0" allowBlank="1" type="list">
      <formula1>=All_Questions</formula1>
    </dataValidation>
    <dataValidation sqref="E24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5" showDropDown="0" showInputMessage="0" showErrorMessage="0" allowBlank="1" type="list">
      <formula1>=Cross_Tab_Questions</formula1>
    </dataValidation>
    <dataValidation sqref="C35" showDropDown="0" showInputMessage="0" showErrorMessage="0" allowBlank="1" type="list">
      <formula1>=All_Questions</formula1>
    </dataValidation>
    <dataValidation sqref="E35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6" showDropDown="0" showInputMessage="0" showErrorMessage="0" allowBlank="1" type="list">
      <formula1>=Cross_Tab_Questions</formula1>
    </dataValidation>
    <dataValidation sqref="C52" showDropDown="0" showInputMessage="0" showErrorMessage="0" allowBlank="1" type="list">
      <formula1>=All_Questions</formula1>
    </dataValidation>
    <dataValidation sqref="E52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53" showDropDown="0" showInputMessage="0" showErrorMessage="0" allowBlank="1" type="list">
      <formula1>=Cross_Tab_Questions</formula1>
    </dataValidation>
    <dataValidation sqref="C70" showDropDown="0" showInputMessage="0" showErrorMessage="0" allowBlank="1" type="list">
      <formula1>=All_Questions</formula1>
    </dataValidation>
    <dataValidation sqref="E70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71" showDropDown="0" showInputMessage="0" showErrorMessage="0" allowBlank="1" type="list">
      <formula1>=Cross_Tab_Questions</formula1>
    </dataValidation>
  </dataValidations>
  <pageMargins left="0.75" right="0.75" top="1" bottom="1" header="0.5" footer="0.5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9" customWidth="1" min="2" max="2"/>
    <col width="39" customWidth="1" min="3" max="3"/>
    <col width="39" customWidth="1" min="4" max="4"/>
    <col width="38" customWidth="1" min="5" max="5"/>
    <col width="11" customWidth="1" min="6" max="6"/>
    <col width="13" customWidth="1" min="7" max="7"/>
    <col width="60" customWidth="1" min="8" max="8"/>
    <col width="11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All Questions</t>
        </is>
      </c>
      <c r="B9" t="inlineStr">
        <is>
          <t>cross_tab_by_selection_rate</t>
        </is>
      </c>
      <c r="C9" t="inlineStr">
        <is>
          <t>Q_MS_EXPORT</t>
        </is>
      </c>
      <c r="D9" t="inlineStr">
        <is>
          <t>Q_MS_EXPORTr1</t>
        </is>
      </c>
      <c r="E9" t="inlineStr">
        <is>
          <t>All_Questions_Q_MS_EXPORT_CT = G$27</t>
        </is>
      </c>
      <c r="H9">
        <f>IF(OR(All_Questions_Q_MS_EXPORT_CT="(None)",G$27=""),"",IF(G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$27)),"")))</f>
        <v>0</v>
      </c>
      <c r="I9" t="n">
        <v>0.5</v>
      </c>
      <c r="J9" t="n">
        <v>0</v>
      </c>
      <c r="K9" t="n">
        <v>0</v>
      </c>
      <c r="L9" t="inlineStr">
        <is>
          <t>2026-06-08T13:42:28.429837+00:00</t>
        </is>
      </c>
    </row>
    <row r="10">
      <c r="A10" t="inlineStr">
        <is>
          <t>All Questions</t>
        </is>
      </c>
      <c r="B10" t="inlineStr">
        <is>
          <t>cross_tab_by_selection_rate</t>
        </is>
      </c>
      <c r="C10" t="inlineStr">
        <is>
          <t>Q_MS_EXPORT</t>
        </is>
      </c>
      <c r="D10" t="inlineStr">
        <is>
          <t>Q_MS_EXPORTr1</t>
        </is>
      </c>
      <c r="E10" t="inlineStr">
        <is>
          <t>All_Questions_Q_MS_EXPORT_CT = H$27</t>
        </is>
      </c>
      <c r="H10">
        <f>IF(OR(All_Questions_Q_MS_EXPORT_CT="(None)",H$27=""),"",IF(H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$27)),"")))</f>
        <v>0</v>
      </c>
      <c r="I10" t="n">
        <v>0.5</v>
      </c>
      <c r="J10" t="n">
        <v>0</v>
      </c>
      <c r="K10" t="n">
        <v>0</v>
      </c>
      <c r="L10" t="inlineStr">
        <is>
          <t>2026-06-08T13:42:28.429894+00:00</t>
        </is>
      </c>
    </row>
    <row r="11">
      <c r="A11" t="inlineStr">
        <is>
          <t>All Questions</t>
        </is>
      </c>
      <c r="B11" t="inlineStr">
        <is>
          <t>cross_tab_by_selection_rate</t>
        </is>
      </c>
      <c r="C11" t="inlineStr">
        <is>
          <t>Q_MS_EXPORT</t>
        </is>
      </c>
      <c r="D11" t="inlineStr">
        <is>
          <t>Q_MS_EXPORTr1</t>
        </is>
      </c>
      <c r="E11" t="inlineStr">
        <is>
          <t>All_Questions_Q_MS_EXPORT_CT = I$27</t>
        </is>
      </c>
      <c r="H11">
        <f>IF(OR(All_Questions_Q_MS_EXPORT_CT="(None)",I$27=""),"",IF(I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$27)),"")))</f>
        <v>0</v>
      </c>
      <c r="I11" t="n">
        <v>0.5</v>
      </c>
      <c r="J11" t="n">
        <v>0</v>
      </c>
      <c r="K11" t="n">
        <v>0</v>
      </c>
      <c r="L11" t="inlineStr">
        <is>
          <t>2026-06-08T13:42:28.429953+00:00</t>
        </is>
      </c>
    </row>
    <row r="12">
      <c r="A12" t="inlineStr">
        <is>
          <t>All Questions</t>
        </is>
      </c>
      <c r="B12" t="inlineStr">
        <is>
          <t>cross_tab_by_selection_rate</t>
        </is>
      </c>
      <c r="C12" t="inlineStr">
        <is>
          <t>Q_MS_EXPORT</t>
        </is>
      </c>
      <c r="D12" t="inlineStr">
        <is>
          <t>Q_MS_EXPORTr1</t>
        </is>
      </c>
      <c r="E12" t="inlineStr">
        <is>
          <t>All_Questions_Q_MS_EXPORT_CT = J$27</t>
        </is>
      </c>
      <c r="H12">
        <f>IF(OR(All_Questions_Q_MS_EXPORT_CT="(None)",J$27=""),"",IF(J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$27)),"")))</f>
        <v>0</v>
      </c>
      <c r="I12" t="n">
        <v>0.5</v>
      </c>
      <c r="J12" t="n">
        <v>0</v>
      </c>
      <c r="K12" t="n">
        <v>0</v>
      </c>
      <c r="L12" t="inlineStr">
        <is>
          <t>2026-06-08T13:42:28.430006+00:00</t>
        </is>
      </c>
    </row>
    <row r="13">
      <c r="A13" t="inlineStr">
        <is>
          <t>All Questions</t>
        </is>
      </c>
      <c r="B13" t="inlineStr">
        <is>
          <t>cross_tab_by_selection_rate</t>
        </is>
      </c>
      <c r="C13" t="inlineStr">
        <is>
          <t>Q_MS_EXPORT</t>
        </is>
      </c>
      <c r="D13" t="inlineStr">
        <is>
          <t>Q_MS_EXPORTr1</t>
        </is>
      </c>
      <c r="E13" t="inlineStr">
        <is>
          <t>All_Questions_Q_MS_EXPORT_CT = K$27</t>
        </is>
      </c>
      <c r="H13">
        <f>IF(OR(All_Questions_Q_MS_EXPORT_CT="(None)",K$27=""),"",IF(K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$27)),"")))</f>
        <v>0</v>
      </c>
      <c r="I13" t="n">
        <v>0.5</v>
      </c>
      <c r="J13" t="n">
        <v>0</v>
      </c>
      <c r="K13" t="n">
        <v>0</v>
      </c>
      <c r="L13" t="inlineStr">
        <is>
          <t>2026-06-08T13:42:28.430048+00:00</t>
        </is>
      </c>
    </row>
    <row r="14">
      <c r="A14" t="inlineStr">
        <is>
          <t>All Questions</t>
        </is>
      </c>
      <c r="B14" t="inlineStr">
        <is>
          <t>cross_tab_by_selection_rate</t>
        </is>
      </c>
      <c r="C14" t="inlineStr">
        <is>
          <t>Q_MS_EXPORT</t>
        </is>
      </c>
      <c r="D14" t="inlineStr">
        <is>
          <t>Q_MS_EXPORTr1</t>
        </is>
      </c>
      <c r="E14" t="inlineStr">
        <is>
          <t>All_Questions_Q_MS_EXPORT_CT = L$27</t>
        </is>
      </c>
      <c r="H14">
        <f>IF(OR(All_Questions_Q_MS_EXPORT_CT="(None)",L$27=""),"",IF(L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$27)),"")))</f>
        <v>0</v>
      </c>
      <c r="I14" t="n">
        <v>0.5</v>
      </c>
      <c r="J14" t="n">
        <v>0</v>
      </c>
      <c r="K14" t="n">
        <v>0</v>
      </c>
      <c r="L14" t="inlineStr">
        <is>
          <t>2026-06-08T13:42:28.430086+00:00</t>
        </is>
      </c>
    </row>
    <row r="15">
      <c r="A15" t="inlineStr">
        <is>
          <t>All Questions</t>
        </is>
      </c>
      <c r="B15" t="inlineStr">
        <is>
          <t>cross_tab_by_selection_rate</t>
        </is>
      </c>
      <c r="C15" t="inlineStr">
        <is>
          <t>Q_MS_EXPORT</t>
        </is>
      </c>
      <c r="D15" t="inlineStr">
        <is>
          <t>Q_MS_EXPORTr1</t>
        </is>
      </c>
      <c r="E15" t="inlineStr">
        <is>
          <t>All_Questions_Q_MS_EXPORT_CT = M$27</t>
        </is>
      </c>
      <c r="H15">
        <f>IF(OR(All_Questions_Q_MS_EXPORT_CT="(None)",M$27=""),"",IF(M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$27)),"")))</f>
        <v>0</v>
      </c>
      <c r="I15" t="n">
        <v>0.5</v>
      </c>
      <c r="J15" t="n">
        <v>0</v>
      </c>
      <c r="K15" t="n">
        <v>0</v>
      </c>
      <c r="L15" t="inlineStr">
        <is>
          <t>2026-06-08T13:42:28.430127+00:00</t>
        </is>
      </c>
    </row>
    <row r="16">
      <c r="A16" t="inlineStr">
        <is>
          <t>All Questions</t>
        </is>
      </c>
      <c r="B16" t="inlineStr">
        <is>
          <t>cross_tab_by_selection_rate</t>
        </is>
      </c>
      <c r="C16" t="inlineStr">
        <is>
          <t>Q_MS_EXPORT</t>
        </is>
      </c>
      <c r="D16" t="inlineStr">
        <is>
          <t>Q_MS_EXPORTr1</t>
        </is>
      </c>
      <c r="E16" t="inlineStr">
        <is>
          <t>All_Questions_Q_MS_EXPORT_CT = N$27</t>
        </is>
      </c>
      <c r="H16">
        <f>IF(OR(All_Questions_Q_MS_EXPORT_CT="(None)",N$27=""),"",IF(N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N$27)),"")))</f>
        <v>0</v>
      </c>
      <c r="I16" t="n">
        <v>0.5</v>
      </c>
      <c r="J16" t="n">
        <v>0</v>
      </c>
      <c r="K16" t="n">
        <v>0</v>
      </c>
      <c r="L16" t="inlineStr">
        <is>
          <t>2026-06-08T13:42:28.430165+00:00</t>
        </is>
      </c>
    </row>
    <row r="17">
      <c r="A17" t="inlineStr">
        <is>
          <t>All Questions</t>
        </is>
      </c>
      <c r="B17" t="inlineStr">
        <is>
          <t>cross_tab_by_selection_rate</t>
        </is>
      </c>
      <c r="C17" t="inlineStr">
        <is>
          <t>Q_MS_EXPORT</t>
        </is>
      </c>
      <c r="D17" t="inlineStr">
        <is>
          <t>Q_MS_EXPORTr1</t>
        </is>
      </c>
      <c r="E17" t="inlineStr">
        <is>
          <t>All_Questions_Q_MS_EXPORT_CT = O$27</t>
        </is>
      </c>
      <c r="H17">
        <f>IF(OR(All_Questions_Q_MS_EXPORT_CT="(None)",O$27=""),"",IF(O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O$27)),"")))</f>
        <v>0</v>
      </c>
      <c r="I17" t="n">
        <v>0.5</v>
      </c>
      <c r="J17" t="n">
        <v>0</v>
      </c>
      <c r="K17" t="n">
        <v>0</v>
      </c>
      <c r="L17" t="inlineStr">
        <is>
          <t>2026-06-08T13:42:28.430202+00:00</t>
        </is>
      </c>
    </row>
    <row r="18">
      <c r="A18" t="inlineStr">
        <is>
          <t>All Questions</t>
        </is>
      </c>
      <c r="B18" t="inlineStr">
        <is>
          <t>cross_tab_by_selection_rate</t>
        </is>
      </c>
      <c r="C18" t="inlineStr">
        <is>
          <t>Q_MS_EXPORT</t>
        </is>
      </c>
      <c r="D18" t="inlineStr">
        <is>
          <t>Q_MS_EXPORTr1</t>
        </is>
      </c>
      <c r="E18" t="inlineStr">
        <is>
          <t>All_Questions_Q_MS_EXPORT_CT = P$27</t>
        </is>
      </c>
      <c r="H18">
        <f>IF(OR(All_Questions_Q_MS_EXPORT_CT="(None)",P$27=""),"",IF(P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P$27)),"")))</f>
        <v>0</v>
      </c>
      <c r="I18" t="n">
        <v>0.5</v>
      </c>
      <c r="J18" t="n">
        <v>0</v>
      </c>
      <c r="K18" t="n">
        <v>0</v>
      </c>
      <c r="L18" t="inlineStr">
        <is>
          <t>2026-06-08T13:42:28.430239+00:00</t>
        </is>
      </c>
    </row>
    <row r="19">
      <c r="A19" t="inlineStr">
        <is>
          <t>All Questions</t>
        </is>
      </c>
      <c r="B19" t="inlineStr">
        <is>
          <t>cross_tab_by_selection_rate</t>
        </is>
      </c>
      <c r="C19" t="inlineStr">
        <is>
          <t>Q_MS_EXPORT</t>
        </is>
      </c>
      <c r="D19" t="inlineStr">
        <is>
          <t>Q_MS_EXPORTr1</t>
        </is>
      </c>
      <c r="E19" t="inlineStr">
        <is>
          <t>All_Questions_Q_MS_EXPORT_CT = Q$27</t>
        </is>
      </c>
      <c r="H19">
        <f>IF(OR(All_Questions_Q_MS_EXPORT_CT="(None)",Q$27=""),"",IF(Q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Q$27)),"")))</f>
        <v>0</v>
      </c>
      <c r="I19" t="n">
        <v>0.5</v>
      </c>
      <c r="J19" t="n">
        <v>0</v>
      </c>
      <c r="K19" t="n">
        <v>0</v>
      </c>
      <c r="L19" t="inlineStr">
        <is>
          <t>2026-06-08T13:42:28.430325+00:00</t>
        </is>
      </c>
    </row>
    <row r="20">
      <c r="A20" t="inlineStr">
        <is>
          <t>All Questions</t>
        </is>
      </c>
      <c r="B20" t="inlineStr">
        <is>
          <t>cross_tab_by_selection_rate</t>
        </is>
      </c>
      <c r="C20" t="inlineStr">
        <is>
          <t>Q_MS_EXPORT</t>
        </is>
      </c>
      <c r="D20" t="inlineStr">
        <is>
          <t>Q_MS_EXPORTr1</t>
        </is>
      </c>
      <c r="E20" t="inlineStr">
        <is>
          <t>All_Questions_Q_MS_EXPORT_CT = R$27</t>
        </is>
      </c>
      <c r="H20">
        <f>IF(OR(All_Questions_Q_MS_EXPORT_CT="(None)",R$27=""),"",IF(R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R$27)),"")))</f>
        <v>0</v>
      </c>
      <c r="I20" t="n">
        <v>0.5</v>
      </c>
      <c r="J20" t="n">
        <v>0</v>
      </c>
      <c r="K20" t="n">
        <v>0</v>
      </c>
      <c r="L20" t="inlineStr">
        <is>
          <t>2026-06-08T13:42:28.430384+00:00</t>
        </is>
      </c>
    </row>
    <row r="21">
      <c r="A21" t="inlineStr">
        <is>
          <t>All Questions</t>
        </is>
      </c>
      <c r="B21" t="inlineStr">
        <is>
          <t>cross_tab_by_selection_rate</t>
        </is>
      </c>
      <c r="C21" t="inlineStr">
        <is>
          <t>Q_MS_EXPORT</t>
        </is>
      </c>
      <c r="D21" t="inlineStr">
        <is>
          <t>Q_MS_EXPORTr2</t>
        </is>
      </c>
      <c r="E21" t="inlineStr">
        <is>
          <t>All_Questions_Q_MS_EXPORT_CT = G$27</t>
        </is>
      </c>
      <c r="H21">
        <f>IF(OR(All_Questions_Q_MS_EXPORT_CT="(None)",G$27=""),"",IF(G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$27)),"")))</f>
        <v>0</v>
      </c>
      <c r="I21" t="n">
        <v>0.2</v>
      </c>
      <c r="J21" t="n">
        <v>0</v>
      </c>
      <c r="K21" t="n">
        <v>0</v>
      </c>
      <c r="L21" t="inlineStr">
        <is>
          <t>2026-06-08T13:42:28.430458+00:00</t>
        </is>
      </c>
    </row>
    <row r="22">
      <c r="A22" t="inlineStr">
        <is>
          <t>All Questions</t>
        </is>
      </c>
      <c r="B22" t="inlineStr">
        <is>
          <t>cross_tab_by_selection_rate</t>
        </is>
      </c>
      <c r="C22" t="inlineStr">
        <is>
          <t>Q_MS_EXPORT</t>
        </is>
      </c>
      <c r="D22" t="inlineStr">
        <is>
          <t>Q_MS_EXPORTr2</t>
        </is>
      </c>
      <c r="E22" t="inlineStr">
        <is>
          <t>All_Questions_Q_MS_EXPORT_CT = H$27</t>
        </is>
      </c>
      <c r="H22">
        <f>IF(OR(All_Questions_Q_MS_EXPORT_CT="(None)",H$27=""),"",IF(H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$27)),"")))</f>
        <v>0</v>
      </c>
      <c r="I22" t="n">
        <v>0.2</v>
      </c>
      <c r="J22" t="n">
        <v>0</v>
      </c>
      <c r="K22" t="n">
        <v>0</v>
      </c>
      <c r="L22" t="inlineStr">
        <is>
          <t>2026-06-08T13:42:28.430499+00:00</t>
        </is>
      </c>
    </row>
    <row r="23">
      <c r="A23" t="inlineStr">
        <is>
          <t>All Questions</t>
        </is>
      </c>
      <c r="B23" t="inlineStr">
        <is>
          <t>cross_tab_by_selection_rate</t>
        </is>
      </c>
      <c r="C23" t="inlineStr">
        <is>
          <t>Q_MS_EXPORT</t>
        </is>
      </c>
      <c r="D23" t="inlineStr">
        <is>
          <t>Q_MS_EXPORTr2</t>
        </is>
      </c>
      <c r="E23" t="inlineStr">
        <is>
          <t>All_Questions_Q_MS_EXPORT_CT = I$27</t>
        </is>
      </c>
      <c r="H23">
        <f>IF(OR(All_Questions_Q_MS_EXPORT_CT="(None)",I$27=""),"",IF(I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$27)),"")))</f>
        <v>0</v>
      </c>
      <c r="I23" t="n">
        <v>0.2</v>
      </c>
      <c r="J23" t="n">
        <v>0</v>
      </c>
      <c r="K23" t="n">
        <v>0</v>
      </c>
      <c r="L23" t="inlineStr">
        <is>
          <t>2026-06-08T13:42:28.430536+00:00</t>
        </is>
      </c>
    </row>
    <row r="24">
      <c r="A24" t="inlineStr">
        <is>
          <t>All Questions</t>
        </is>
      </c>
      <c r="B24" t="inlineStr">
        <is>
          <t>cross_tab_by_selection_rate</t>
        </is>
      </c>
      <c r="C24" t="inlineStr">
        <is>
          <t>Q_MS_EXPORT</t>
        </is>
      </c>
      <c r="D24" t="inlineStr">
        <is>
          <t>Q_MS_EXPORTr2</t>
        </is>
      </c>
      <c r="E24" t="inlineStr">
        <is>
          <t>All_Questions_Q_MS_EXPORT_CT = J$27</t>
        </is>
      </c>
      <c r="H24">
        <f>IF(OR(All_Questions_Q_MS_EXPORT_CT="(None)",J$27=""),"",IF(J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$27)),"")))</f>
        <v>0</v>
      </c>
      <c r="I24" t="n">
        <v>0.2</v>
      </c>
      <c r="J24" t="n">
        <v>0</v>
      </c>
      <c r="K24" t="n">
        <v>0</v>
      </c>
      <c r="L24" t="inlineStr">
        <is>
          <t>2026-06-08T13:42:28.430573+00:00</t>
        </is>
      </c>
    </row>
    <row r="25">
      <c r="A25" t="inlineStr">
        <is>
          <t>All Questions</t>
        </is>
      </c>
      <c r="B25" t="inlineStr">
        <is>
          <t>cross_tab_by_selection_rate</t>
        </is>
      </c>
      <c r="C25" t="inlineStr">
        <is>
          <t>Q_MS_EXPORT</t>
        </is>
      </c>
      <c r="D25" t="inlineStr">
        <is>
          <t>Q_MS_EXPORTr2</t>
        </is>
      </c>
      <c r="E25" t="inlineStr">
        <is>
          <t>All_Questions_Q_MS_EXPORT_CT = K$27</t>
        </is>
      </c>
      <c r="H25">
        <f>IF(OR(All_Questions_Q_MS_EXPORT_CT="(None)",K$27=""),"",IF(K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$27)),"")))</f>
        <v>0</v>
      </c>
      <c r="I25" t="n">
        <v>0.2</v>
      </c>
      <c r="J25" t="n">
        <v>0</v>
      </c>
      <c r="K25" t="n">
        <v>0</v>
      </c>
      <c r="L25" t="inlineStr">
        <is>
          <t>2026-06-08T13:42:28.430610+00:00</t>
        </is>
      </c>
    </row>
    <row r="26">
      <c r="A26" t="inlineStr">
        <is>
          <t>All Questions</t>
        </is>
      </c>
      <c r="B26" t="inlineStr">
        <is>
          <t>cross_tab_by_selection_rate</t>
        </is>
      </c>
      <c r="C26" t="inlineStr">
        <is>
          <t>Q_MS_EXPORT</t>
        </is>
      </c>
      <c r="D26" t="inlineStr">
        <is>
          <t>Q_MS_EXPORTr2</t>
        </is>
      </c>
      <c r="E26" t="inlineStr">
        <is>
          <t>All_Questions_Q_MS_EXPORT_CT = L$27</t>
        </is>
      </c>
      <c r="H26">
        <f>IF(OR(All_Questions_Q_MS_EXPORT_CT="(None)",L$27=""),"",IF(L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$27)),"")))</f>
        <v>0</v>
      </c>
      <c r="I26" t="n">
        <v>0.2</v>
      </c>
      <c r="J26" t="n">
        <v>0</v>
      </c>
      <c r="K26" t="n">
        <v>0</v>
      </c>
      <c r="L26" t="inlineStr">
        <is>
          <t>2026-06-08T13:42:28.430646+00:00</t>
        </is>
      </c>
    </row>
    <row r="27">
      <c r="A27" t="inlineStr">
        <is>
          <t>All Questions</t>
        </is>
      </c>
      <c r="B27" t="inlineStr">
        <is>
          <t>cross_tab_by_selection_rate</t>
        </is>
      </c>
      <c r="C27" t="inlineStr">
        <is>
          <t>Q_MS_EXPORT</t>
        </is>
      </c>
      <c r="D27" t="inlineStr">
        <is>
          <t>Q_MS_EXPORTr2</t>
        </is>
      </c>
      <c r="E27" t="inlineStr">
        <is>
          <t>All_Questions_Q_MS_EXPORT_CT = M$27</t>
        </is>
      </c>
      <c r="H27">
        <f>IF(OR(All_Questions_Q_MS_EXPORT_CT="(None)",M$27=""),"",IF(M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$27)),"")))</f>
        <v>0</v>
      </c>
      <c r="I27" t="n">
        <v>0.2</v>
      </c>
      <c r="J27" t="n">
        <v>0</v>
      </c>
      <c r="K27" t="n">
        <v>0</v>
      </c>
      <c r="L27" t="inlineStr">
        <is>
          <t>2026-06-08T13:42:28.430683+00:00</t>
        </is>
      </c>
    </row>
    <row r="28">
      <c r="A28" t="inlineStr">
        <is>
          <t>All Questions</t>
        </is>
      </c>
      <c r="B28" t="inlineStr">
        <is>
          <t>cross_tab_by_selection_rate</t>
        </is>
      </c>
      <c r="C28" t="inlineStr">
        <is>
          <t>Q_MS_EXPORT</t>
        </is>
      </c>
      <c r="D28" t="inlineStr">
        <is>
          <t>Q_MS_EXPORTr2</t>
        </is>
      </c>
      <c r="E28" t="inlineStr">
        <is>
          <t>All_Questions_Q_MS_EXPORT_CT = N$27</t>
        </is>
      </c>
      <c r="H28">
        <f>IF(OR(All_Questions_Q_MS_EXPORT_CT="(None)",N$27=""),"",IF(N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N$27)),"")))</f>
        <v>0</v>
      </c>
      <c r="I28" t="n">
        <v>0.2</v>
      </c>
      <c r="J28" t="n">
        <v>0</v>
      </c>
      <c r="K28" t="n">
        <v>0</v>
      </c>
      <c r="L28" t="inlineStr">
        <is>
          <t>2026-06-08T13:42:28.430719+00:00</t>
        </is>
      </c>
    </row>
    <row r="29">
      <c r="A29" t="inlineStr">
        <is>
          <t>All Questions</t>
        </is>
      </c>
      <c r="B29" t="inlineStr">
        <is>
          <t>cross_tab_by_selection_rate</t>
        </is>
      </c>
      <c r="C29" t="inlineStr">
        <is>
          <t>Q_MS_EXPORT</t>
        </is>
      </c>
      <c r="D29" t="inlineStr">
        <is>
          <t>Q_MS_EXPORTr2</t>
        </is>
      </c>
      <c r="E29" t="inlineStr">
        <is>
          <t>All_Questions_Q_MS_EXPORT_CT = O$27</t>
        </is>
      </c>
      <c r="H29">
        <f>IF(OR(All_Questions_Q_MS_EXPORT_CT="(None)",O$27=""),"",IF(O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O$27)),"")))</f>
        <v>0</v>
      </c>
      <c r="I29" t="n">
        <v>0.2</v>
      </c>
      <c r="J29" t="n">
        <v>0</v>
      </c>
      <c r="K29" t="n">
        <v>0</v>
      </c>
      <c r="L29" t="inlineStr">
        <is>
          <t>2026-06-08T13:42:28.430756+00:00</t>
        </is>
      </c>
    </row>
    <row r="30">
      <c r="A30" t="inlineStr">
        <is>
          <t>All Questions</t>
        </is>
      </c>
      <c r="B30" t="inlineStr">
        <is>
          <t>cross_tab_by_selection_rate</t>
        </is>
      </c>
      <c r="C30" t="inlineStr">
        <is>
          <t>Q_MS_EXPORT</t>
        </is>
      </c>
      <c r="D30" t="inlineStr">
        <is>
          <t>Q_MS_EXPORTr2</t>
        </is>
      </c>
      <c r="E30" t="inlineStr">
        <is>
          <t>All_Questions_Q_MS_EXPORT_CT = P$27</t>
        </is>
      </c>
      <c r="H30">
        <f>IF(OR(All_Questions_Q_MS_EXPORT_CT="(None)",P$27=""),"",IF(P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P$27)),"")))</f>
        <v>0</v>
      </c>
      <c r="I30" t="n">
        <v>0.2</v>
      </c>
      <c r="J30" t="n">
        <v>0</v>
      </c>
      <c r="K30" t="n">
        <v>0</v>
      </c>
      <c r="L30" t="inlineStr">
        <is>
          <t>2026-06-08T13:42:28.430791+00:00</t>
        </is>
      </c>
    </row>
    <row r="31">
      <c r="A31" t="inlineStr">
        <is>
          <t>All Questions</t>
        </is>
      </c>
      <c r="B31" t="inlineStr">
        <is>
          <t>cross_tab_by_selection_rate</t>
        </is>
      </c>
      <c r="C31" t="inlineStr">
        <is>
          <t>Q_MS_EXPORT</t>
        </is>
      </c>
      <c r="D31" t="inlineStr">
        <is>
          <t>Q_MS_EXPORTr2</t>
        </is>
      </c>
      <c r="E31" t="inlineStr">
        <is>
          <t>All_Questions_Q_MS_EXPORT_CT = Q$27</t>
        </is>
      </c>
      <c r="H31">
        <f>IF(OR(All_Questions_Q_MS_EXPORT_CT="(None)",Q$27=""),"",IF(Q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Q$27)),"")))</f>
        <v>0</v>
      </c>
      <c r="I31" t="n">
        <v>0.2</v>
      </c>
      <c r="J31" t="n">
        <v>0</v>
      </c>
      <c r="K31" t="n">
        <v>0</v>
      </c>
      <c r="L31" t="inlineStr">
        <is>
          <t>2026-06-08T13:42:28.430829+00:00</t>
        </is>
      </c>
    </row>
    <row r="32">
      <c r="A32" t="inlineStr">
        <is>
          <t>All Questions</t>
        </is>
      </c>
      <c r="B32" t="inlineStr">
        <is>
          <t>cross_tab_by_selection_rate</t>
        </is>
      </c>
      <c r="C32" t="inlineStr">
        <is>
          <t>Q_MS_EXPORT</t>
        </is>
      </c>
      <c r="D32" t="inlineStr">
        <is>
          <t>Q_MS_EXPORTr2</t>
        </is>
      </c>
      <c r="E32" t="inlineStr">
        <is>
          <t>All_Questions_Q_MS_EXPORT_CT = R$27</t>
        </is>
      </c>
      <c r="H32">
        <f>IF(OR(All_Questions_Q_MS_EXPORT_CT="(None)",R$27=""),"",IF(R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R$27)),"")))</f>
        <v>0</v>
      </c>
      <c r="I32" t="n">
        <v>0.2</v>
      </c>
      <c r="J32" t="n">
        <v>0</v>
      </c>
      <c r="K32" t="n">
        <v>0</v>
      </c>
      <c r="L32" t="inlineStr">
        <is>
          <t>2026-06-08T13:42:28.430875+00:00</t>
        </is>
      </c>
    </row>
    <row r="33">
      <c r="A33" t="inlineStr">
        <is>
          <t>All Questions</t>
        </is>
      </c>
      <c r="B33" t="inlineStr">
        <is>
          <t>cross_tab_by_mean</t>
        </is>
      </c>
      <c r="C33" t="inlineStr">
        <is>
          <t>Q_NUM_EXPORT</t>
        </is>
      </c>
      <c r="D33" t="inlineStr">
        <is>
          <t>Q_NUM_EXPORT</t>
        </is>
      </c>
      <c r="E33" t="inlineStr">
        <is>
          <t>All_Questions_Q_NUM_EXPORT_CT = G$45</t>
        </is>
      </c>
      <c r="H33">
        <f>IF(OR(All_Questions_Q_NUM_EXPORT_CT="(None)",G$45=""),"",IF(G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G$45),"")))</f>
        <v>0</v>
      </c>
      <c r="I33" t="n">
        <v>5.5</v>
      </c>
      <c r="J33" t="n">
        <v>0</v>
      </c>
      <c r="K33" t="n">
        <v>0</v>
      </c>
      <c r="L33" t="inlineStr">
        <is>
          <t>2026-06-08T13:42:28.436043+00:00</t>
        </is>
      </c>
    </row>
    <row r="34">
      <c r="A34" t="inlineStr">
        <is>
          <t>All Questions</t>
        </is>
      </c>
      <c r="B34" t="inlineStr">
        <is>
          <t>cross_tab_by_mean</t>
        </is>
      </c>
      <c r="C34" t="inlineStr">
        <is>
          <t>Q_NUM_EXPORT</t>
        </is>
      </c>
      <c r="D34" t="inlineStr">
        <is>
          <t>Q_NUM_EXPORT</t>
        </is>
      </c>
      <c r="E34" t="inlineStr">
        <is>
          <t>All_Questions_Q_NUM_EXPORT_CT = H$45</t>
        </is>
      </c>
      <c r="H34">
        <f>IF(OR(All_Questions_Q_NUM_EXPORT_CT="(None)",H$45=""),"",IF(H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H$45),"")))</f>
        <v>0</v>
      </c>
      <c r="I34" t="n">
        <v>5.5</v>
      </c>
      <c r="J34" t="n">
        <v>0</v>
      </c>
      <c r="K34" t="n">
        <v>0</v>
      </c>
      <c r="L34" t="inlineStr">
        <is>
          <t>2026-06-08T13:42:28.436087+00:00</t>
        </is>
      </c>
    </row>
    <row r="35">
      <c r="A35" t="inlineStr">
        <is>
          <t>All Questions</t>
        </is>
      </c>
      <c r="B35" t="inlineStr">
        <is>
          <t>cross_tab_by_mean</t>
        </is>
      </c>
      <c r="C35" t="inlineStr">
        <is>
          <t>Q_NUM_EXPORT</t>
        </is>
      </c>
      <c r="D35" t="inlineStr">
        <is>
          <t>Q_NUM_EXPORT</t>
        </is>
      </c>
      <c r="E35" t="inlineStr">
        <is>
          <t>All_Questions_Q_NUM_EXPORT_CT = I$45</t>
        </is>
      </c>
      <c r="H35">
        <f>IF(OR(All_Questions_Q_NUM_EXPORT_CT="(None)",I$45=""),"",IF(I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I$45),"")))</f>
        <v>0</v>
      </c>
      <c r="I35" t="n">
        <v>5.5</v>
      </c>
      <c r="J35" t="n">
        <v>0</v>
      </c>
      <c r="K35" t="n">
        <v>0</v>
      </c>
      <c r="L35" t="inlineStr">
        <is>
          <t>2026-06-08T13:42:28.436116+00:00</t>
        </is>
      </c>
    </row>
    <row r="36">
      <c r="A36" t="inlineStr">
        <is>
          <t>All Questions</t>
        </is>
      </c>
      <c r="B36" t="inlineStr">
        <is>
          <t>cross_tab_by_mean</t>
        </is>
      </c>
      <c r="C36" t="inlineStr">
        <is>
          <t>Q_NUM_EXPORT</t>
        </is>
      </c>
      <c r="D36" t="inlineStr">
        <is>
          <t>Q_NUM_EXPORT</t>
        </is>
      </c>
      <c r="E36" t="inlineStr">
        <is>
          <t>All_Questions_Q_NUM_EXPORT_CT = J$45</t>
        </is>
      </c>
      <c r="H36">
        <f>IF(OR(All_Questions_Q_NUM_EXPORT_CT="(None)",J$45=""),"",IF(J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J$45),"")))</f>
        <v>0</v>
      </c>
      <c r="I36" t="n">
        <v>5.5</v>
      </c>
      <c r="J36" t="n">
        <v>0</v>
      </c>
      <c r="K36" t="n">
        <v>0</v>
      </c>
      <c r="L36" t="inlineStr">
        <is>
          <t>2026-06-08T13:42:28.436145+00:00</t>
        </is>
      </c>
    </row>
    <row r="37">
      <c r="A37" t="inlineStr">
        <is>
          <t>All Questions</t>
        </is>
      </c>
      <c r="B37" t="inlineStr">
        <is>
          <t>cross_tab_by_mean</t>
        </is>
      </c>
      <c r="C37" t="inlineStr">
        <is>
          <t>Q_NUM_EXPORT</t>
        </is>
      </c>
      <c r="D37" t="inlineStr">
        <is>
          <t>Q_NUM_EXPORT</t>
        </is>
      </c>
      <c r="E37" t="inlineStr">
        <is>
          <t>All_Questions_Q_NUM_EXPORT_CT = K$45</t>
        </is>
      </c>
      <c r="H37">
        <f>IF(OR(All_Questions_Q_NUM_EXPORT_CT="(None)",K$45=""),"",IF(K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K$45),"")))</f>
        <v>0</v>
      </c>
      <c r="I37" t="n">
        <v>5.5</v>
      </c>
      <c r="J37" t="n">
        <v>0</v>
      </c>
      <c r="K37" t="n">
        <v>0</v>
      </c>
      <c r="L37" t="inlineStr">
        <is>
          <t>2026-06-08T13:42:28.436170+00:00</t>
        </is>
      </c>
    </row>
    <row r="38">
      <c r="A38" t="inlineStr">
        <is>
          <t>All Questions</t>
        </is>
      </c>
      <c r="B38" t="inlineStr">
        <is>
          <t>cross_tab_by_mean</t>
        </is>
      </c>
      <c r="C38" t="inlineStr">
        <is>
          <t>Q_NUM_EXPORT</t>
        </is>
      </c>
      <c r="D38" t="inlineStr">
        <is>
          <t>Q_NUM_EXPORT</t>
        </is>
      </c>
      <c r="E38" t="inlineStr">
        <is>
          <t>All_Questions_Q_NUM_EXPORT_CT = L$45</t>
        </is>
      </c>
      <c r="H38">
        <f>IF(OR(All_Questions_Q_NUM_EXPORT_CT="(None)",L$45=""),"",IF(L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L$45),"")))</f>
        <v>0</v>
      </c>
      <c r="I38" t="n">
        <v>5.5</v>
      </c>
      <c r="J38" t="n">
        <v>0</v>
      </c>
      <c r="K38" t="n">
        <v>0</v>
      </c>
      <c r="L38" t="inlineStr">
        <is>
          <t>2026-06-08T13:42:28.436197+00:00</t>
        </is>
      </c>
    </row>
    <row r="39">
      <c r="A39" t="inlineStr">
        <is>
          <t>All Questions</t>
        </is>
      </c>
      <c r="B39" t="inlineStr">
        <is>
          <t>cross_tab_by_mean</t>
        </is>
      </c>
      <c r="C39" t="inlineStr">
        <is>
          <t>Q_NUM_EXPORT</t>
        </is>
      </c>
      <c r="D39" t="inlineStr">
        <is>
          <t>Q_NUM_EXPORT</t>
        </is>
      </c>
      <c r="E39" t="inlineStr">
        <is>
          <t>All_Questions_Q_NUM_EXPORT_CT = M$45</t>
        </is>
      </c>
      <c r="H39">
        <f>IF(OR(All_Questions_Q_NUM_EXPORT_CT="(None)",M$45=""),"",IF(M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M$45),"")))</f>
        <v>0</v>
      </c>
      <c r="I39" t="n">
        <v>5.5</v>
      </c>
      <c r="J39" t="n">
        <v>0</v>
      </c>
      <c r="K39" t="n">
        <v>0</v>
      </c>
      <c r="L39" t="inlineStr">
        <is>
          <t>2026-06-08T13:42:28.436222+00:00</t>
        </is>
      </c>
    </row>
    <row r="40">
      <c r="A40" t="inlineStr">
        <is>
          <t>All Questions</t>
        </is>
      </c>
      <c r="B40" t="inlineStr">
        <is>
          <t>cross_tab_by_mean</t>
        </is>
      </c>
      <c r="C40" t="inlineStr">
        <is>
          <t>Q_NUM_EXPORT</t>
        </is>
      </c>
      <c r="D40" t="inlineStr">
        <is>
          <t>Q_NUM_EXPORT</t>
        </is>
      </c>
      <c r="E40" t="inlineStr">
        <is>
          <t>All_Questions_Q_NUM_EXPORT_CT = N$45</t>
        </is>
      </c>
      <c r="H40">
        <f>IF(OR(All_Questions_Q_NUM_EXPORT_CT="(None)",N$45=""),"",IF(N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N$45),"")))</f>
        <v>0</v>
      </c>
      <c r="I40" t="n">
        <v>5.5</v>
      </c>
      <c r="J40" t="n">
        <v>0</v>
      </c>
      <c r="K40" t="n">
        <v>0</v>
      </c>
      <c r="L40" t="inlineStr">
        <is>
          <t>2026-06-08T13:42:28.436249+00:00</t>
        </is>
      </c>
    </row>
    <row r="41">
      <c r="A41" t="inlineStr">
        <is>
          <t>All Questions</t>
        </is>
      </c>
      <c r="B41" t="inlineStr">
        <is>
          <t>cross_tab_by_mean</t>
        </is>
      </c>
      <c r="C41" t="inlineStr">
        <is>
          <t>Q_NUM_EXPORT</t>
        </is>
      </c>
      <c r="D41" t="inlineStr">
        <is>
          <t>Q_NUM_EXPORT</t>
        </is>
      </c>
      <c r="E41" t="inlineStr">
        <is>
          <t>All_Questions_Q_NUM_EXPORT_CT = O$45</t>
        </is>
      </c>
      <c r="H41">
        <f>IF(OR(All_Questions_Q_NUM_EXPORT_CT="(None)",O$45=""),"",IF(O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O$45),"")))</f>
        <v>0</v>
      </c>
      <c r="I41" t="n">
        <v>5.5</v>
      </c>
      <c r="J41" t="n">
        <v>0</v>
      </c>
      <c r="K41" t="n">
        <v>0</v>
      </c>
      <c r="L41" t="inlineStr">
        <is>
          <t>2026-06-08T13:42:28.436310+00:00</t>
        </is>
      </c>
    </row>
    <row r="42">
      <c r="A42" t="inlineStr">
        <is>
          <t>All Questions</t>
        </is>
      </c>
      <c r="B42" t="inlineStr">
        <is>
          <t>cross_tab_by_mean</t>
        </is>
      </c>
      <c r="C42" t="inlineStr">
        <is>
          <t>Q_NUM_EXPORT</t>
        </is>
      </c>
      <c r="D42" t="inlineStr">
        <is>
          <t>Q_NUM_EXPORT</t>
        </is>
      </c>
      <c r="E42" t="inlineStr">
        <is>
          <t>All_Questions_Q_NUM_EXPORT_CT = P$45</t>
        </is>
      </c>
      <c r="H42">
        <f>IF(OR(All_Questions_Q_NUM_EXPORT_CT="(None)",P$45=""),"",IF(P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P$45),"")))</f>
        <v>0</v>
      </c>
      <c r="I42" t="n">
        <v>5.5</v>
      </c>
      <c r="J42" t="n">
        <v>0</v>
      </c>
      <c r="K42" t="n">
        <v>0</v>
      </c>
      <c r="L42" t="inlineStr">
        <is>
          <t>2026-06-08T13:42:28.436344+00:00</t>
        </is>
      </c>
    </row>
    <row r="43">
      <c r="A43" t="inlineStr">
        <is>
          <t>All Questions</t>
        </is>
      </c>
      <c r="B43" t="inlineStr">
        <is>
          <t>cross_tab_by_mean</t>
        </is>
      </c>
      <c r="C43" t="inlineStr">
        <is>
          <t>Q_NUM_EXPORT</t>
        </is>
      </c>
      <c r="D43" t="inlineStr">
        <is>
          <t>Q_NUM_EXPORT</t>
        </is>
      </c>
      <c r="E43" t="inlineStr">
        <is>
          <t>All_Questions_Q_NUM_EXPORT_CT = Q$45</t>
        </is>
      </c>
      <c r="H43">
        <f>IF(OR(All_Questions_Q_NUM_EXPORT_CT="(None)",Q$45=""),"",IF(Q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Q$45),"")))</f>
        <v>0</v>
      </c>
      <c r="I43" t="n">
        <v>5.5</v>
      </c>
      <c r="J43" t="n">
        <v>0</v>
      </c>
      <c r="K43" t="n">
        <v>0</v>
      </c>
      <c r="L43" t="inlineStr">
        <is>
          <t>2026-06-08T13:42:28.436372+00:00</t>
        </is>
      </c>
    </row>
    <row r="44">
      <c r="A44" t="inlineStr">
        <is>
          <t>All Questions</t>
        </is>
      </c>
      <c r="B44" t="inlineStr">
        <is>
          <t>cross_tab_by_mean</t>
        </is>
      </c>
      <c r="C44" t="inlineStr">
        <is>
          <t>Q_NUM_EXPORT</t>
        </is>
      </c>
      <c r="D44" t="inlineStr">
        <is>
          <t>Q_NUM_EXPORT</t>
        </is>
      </c>
      <c r="E44" t="inlineStr">
        <is>
          <t>All_Questions_Q_NUM_EXPORT_CT = R$45</t>
        </is>
      </c>
      <c r="H44">
        <f>IF(OR(All_Questions_Q_NUM_EXPORT_CT="(None)",R$45=""),"",IF(R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R$45),"")))</f>
        <v>0</v>
      </c>
      <c r="I44" t="n">
        <v>5.5</v>
      </c>
      <c r="J44" t="n">
        <v>0</v>
      </c>
      <c r="K44" t="n">
        <v>0</v>
      </c>
      <c r="L44" t="inlineStr">
        <is>
          <t>2026-06-08T13:42:28.436406+00:00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2026-06-08T13:42:28Z</dcterms:created>
  <dcterms:modified xmlns:dcterms="http://purl.org/dc/terms/" xmlns:xsi="http://www.w3.org/2001/XMLSchema-instance" xsi:type="dcterms:W3CDTF">2026-06-08T13:42:28Z</dcterms:modified>
</cp:coreProperties>
</file>