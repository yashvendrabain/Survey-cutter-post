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IF(All_Questions_Q_MS_EXPORT_CT="(None)","",IFERROR(INDEX(INDIRECT(XLOOKUP(All_Questions_Q_MS_EXPORT_CT,All_Questions,All_Questions_Options_Names,"None_options")),2),""))</f>
        <v/>
      </c>
      <c r="H16" s="2" t="n"/>
      <c r="I16" s="2" t="str">
        <f>IF(All_Questions_Q_MS_EXPORT_CT="(None)","",IFERROR(INDEX(INDIRECT(XLOOKUP(All_Questions_Q_MS_EXPORT_CT,All_Questions,All_Questions_Options_Names,"None_options")),3),""))</f>
        <v/>
      </c>
      <c r="J16" s="2" t="n"/>
      <c r="K16" s="2" t="str">
        <f>IF(All_Questions_Q_MS_EXPORT_CT="(None)","",IFERROR(INDEX(INDIRECT(XLOOKUP(All_Questions_Q_MS_EXPORT_CT,All_Questions,All_Questions_Options_Names,"None_options")),4),""))</f>
        <v/>
      </c>
      <c r="L16" s="2" t="n"/>
      <c r="M16" s="2" t="str">
        <f>IF(All_Questions_Q_MS_EXPORT_CT="(None)","",IFERROR(INDEX(INDIRECT(XLOOKUP(All_Questions_Q_MS_EXPORT_CT,All_Questions,All_Questions_Options_Names,"None_options")),5),""))</f>
        <v/>
      </c>
      <c r="N16" s="2" t="n"/>
      <c r="O16" s="2" t="str">
        <f>IF(All_Questions_Q_MS_EXPORT_CT="(None)","",IFERROR(INDEX(INDIRECT(XLOOKUP(All_Questions_Q_MS_EXPORT_CT,All_Questions,All_Questions_Options_Names,"None_options")),6),""))</f>
        <v/>
      </c>
      <c r="P16" s="2" t="n"/>
      <c r="Q16" s="2" t="str">
        <f>IF(All_Questions_Q_MS_EXPORT_CT="(None)","",IFERROR(INDEX(INDIRECT(XLOOKUP(All_Questions_Q_MS_EXPORT_CT,All_Questions,All_Questions_Options_Names,"None_options")),7),""))</f>
        <v/>
      </c>
      <c r="R16" s="2" t="n"/>
      <c r="S16" s="2" t="str">
        <f>IF(All_Questions_Q_MS_EXPORT_CT="(None)","",IFERROR(INDEX(INDIRECT(XLOOKUP(All_Questions_Q_MS_EXPORT_CT,All_Questions,All_Questions_Options_Names,"None_options")),8),""))</f>
        <v/>
      </c>
      <c r="T16" s="2" t="n"/>
      <c r="U16" s="2" t="str">
        <f>IF(All_Questions_Q_MS_EXPORT_CT="(None)","",IFERROR(INDEX(INDIRECT(XLOOKUP(All_Questions_Q_MS_EXPORT_CT,All_Questions,All_Questions_Options_Names,"None_options")),9),""))</f>
        <v/>
      </c>
      <c r="V16" s="2" t="n"/>
      <c r="W16" s="2" t="str">
        <f>IF(All_Questions_Q_MS_EXPORT_CT="(None)","",IFERROR(INDEX(INDIRECT(XLOOKUP(All_Questions_Q_MS_EXPORT_CT,All_Questions,All_Questions_Options_Names,"None_options")),10),""))</f>
        <v/>
      </c>
      <c r="X16" s="2" t="n"/>
      <c r="Y16" s="2" t="str">
        <f>IF(All_Questions_Q_MS_EXPORT_CT="(None)","",IFERROR(INDEX(INDIRECT(XLOOKUP(All_Questions_Q_MS_EXPORT_CT,All_Questions,All_Questions_Options_Names,"None_options")),11),""))</f>
        <v/>
      </c>
      <c r="Z16" s="2" t="n"/>
      <c r="AA16" s="2" t="str">
        <f>IF(All_Questions_Q_MS_EXPORT_CT="(None)","",IFERROR(INDEX(INDIRECT(XLOOKUP(All_Questions_Q_MS_EXPORT_CT,All_Questions,All_Questions_Options_Names,"None_options")),12),""))</f>
        <v/>
      </c>
      <c r="AB16" s="2" t="n"/>
      <c r="AC1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IF(All_Questions_Q_GRID_EXPORT_CT="(None)","",IFERROR(INDEX(INDIRECT(XLOOKUP(All_Questions_Q_GRID_EXPORT_CT,All_Questions,All_Questions_Options_Names,"None_options")),2),""))</f>
        <v/>
      </c>
      <c r="H26" s="2" t="n"/>
      <c r="I26" s="2" t="str">
        <f>IF(All_Questions_Q_GRID_EXPORT_CT="(None)","",IFERROR(INDEX(INDIRECT(XLOOKUP(All_Questions_Q_GRID_EXPORT_CT,All_Questions,All_Questions_Options_Names,"None_options")),3),""))</f>
        <v/>
      </c>
      <c r="J26" s="2" t="n"/>
      <c r="K26" s="2" t="str">
        <f>IF(All_Questions_Q_GRID_EXPORT_CT="(None)","",IFERROR(INDEX(INDIRECT(XLOOKUP(All_Questions_Q_GRID_EXPORT_CT,All_Questions,All_Questions_Options_Names,"None_options")),4),""))</f>
        <v/>
      </c>
      <c r="L26" s="2" t="n"/>
      <c r="M26" s="2" t="str">
        <f>IF(All_Questions_Q_GRID_EXPORT_CT="(None)","",IFERROR(INDEX(INDIRECT(XLOOKUP(All_Questions_Q_GRID_EXPORT_CT,All_Questions,All_Questions_Options_Names,"None_options")),5),""))</f>
        <v/>
      </c>
      <c r="N26" s="2" t="n"/>
      <c r="O26" s="2" t="str">
        <f>IF(All_Questions_Q_GRID_EXPORT_CT="(None)","",IFERROR(INDEX(INDIRECT(XLOOKUP(All_Questions_Q_GRID_EXPORT_CT,All_Questions,All_Questions_Options_Names,"None_options")),6),""))</f>
        <v/>
      </c>
      <c r="P26" s="2" t="n"/>
      <c r="Q26" s="2" t="str">
        <f>IF(All_Questions_Q_GRID_EXPORT_CT="(None)","",IFERROR(INDEX(INDIRECT(XLOOKUP(All_Questions_Q_GRID_EXPORT_CT,All_Questions,All_Questions_Options_Names,"None_options")),7),""))</f>
        <v/>
      </c>
      <c r="R26" s="2" t="n"/>
      <c r="S26" s="2" t="str">
        <f>IF(All_Questions_Q_GRID_EXPORT_CT="(None)","",IFERROR(INDEX(INDIRECT(XLOOKUP(All_Questions_Q_GRID_EXPORT_CT,All_Questions,All_Questions_Options_Names,"None_options")),8),""))</f>
        <v/>
      </c>
      <c r="T26" s="2" t="n"/>
      <c r="U26" s="2" t="str">
        <f>IF(All_Questions_Q_GRID_EXPORT_CT="(None)","",IFERROR(INDEX(INDIRECT(XLOOKUP(All_Questions_Q_GRID_EXPORT_CT,All_Questions,All_Questions_Options_Names,"None_options")),9),""))</f>
        <v/>
      </c>
      <c r="V26" s="2" t="n"/>
      <c r="W26" s="2" t="str">
        <f>IF(All_Questions_Q_GRID_EXPORT_CT="(None)","",IFERROR(INDEX(INDIRECT(XLOOKUP(All_Questions_Q_GRID_EXPORT_CT,All_Questions,All_Questions_Options_Names,"None_options")),10),""))</f>
        <v/>
      </c>
      <c r="X26" s="2" t="n"/>
      <c r="Y26" s="2" t="str">
        <f>IF(All_Questions_Q_GRID_EXPORT_CT="(None)","",IFERROR(INDEX(INDIRECT(XLOOKUP(All_Questions_Q_GRID_EXPORT_CT,All_Questions,All_Questions_Options_Names,"None_options")),11),""))</f>
        <v/>
      </c>
      <c r="Z26" s="2" t="n"/>
      <c r="AA26" s="2" t="str">
        <f>IF(All_Questions_Q_GRID_EXPORT_CT="(None)","",IFERROR(INDEX(INDIRECT(XLOOKUP(All_Questions_Q_GRID_EXPORT_CT,All_Questions,All_Questions_Options_Names,"None_options")),12),""))</f>
        <v/>
      </c>
      <c r="AB26" s="2" t="n"/>
      <c r="AC2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36" s="2" t="n"/>
      <c r="I3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36" s="2" t="n"/>
      <c r="K3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36" s="2" t="n"/>
      <c r="M3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36" s="2" t="n"/>
      <c r="O3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36" s="2" t="n"/>
      <c r="Q3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36" s="2" t="n"/>
      <c r="S3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36" s="2" t="n"/>
      <c r="U3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36" s="2" t="n"/>
      <c r="W3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36" s="2" t="n"/>
      <c r="Y3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36" s="2" t="n"/>
      <c r="AA3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36" s="2" t="n"/>
      <c r="AC3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2026-05-18T10:56:47Z</dcterms:created>
  <dcterms:modified xmlns:dcterms="http://purl.org/dc/terms/" xmlns:xsi="http://www.w3.org/2001/XMLSchema-instance" xsi:type="dcterms:W3CDTF">2026-05-18T10:56:48Z</dcterms:modified>
</cp:coreProperties>
</file>