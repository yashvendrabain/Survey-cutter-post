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CT">'All Questions'!$C$45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/>
      </c>
      <c r="J2">
        <f>I2*1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/>
      </c>
      <c r="J3">
        <f>I3*1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/>
      </c>
      <c r="J4">
        <f>I4*1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/>
      </c>
      <c r="J5">
        <f>I5*1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/>
      </c>
      <c r="J6">
        <f>I6*1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/>
      </c>
      <c r="J7">
        <f>I7*1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/>
      </c>
      <c r="J8">
        <f>I8*1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/>
      </c>
      <c r="J9">
        <f>I9*1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/>
      </c>
      <c r="J10">
        <f>I10*1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/>
      </c>
      <c r="J11">
        <f>I11*1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"|" &amp; SUBSTITUTE(F_Country, ", ", "|") &amp; "|"</f>
        <v/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IF(F_Custom1_Q="(None)","respondent_id_data",F_Custom1_Q &amp; "_data")</f>
        <v/>
      </c>
      <c r="F7">
        <f>"|" &amp; SUBSTITUTE(F_Custom1_V, ", ", "|") &amp; "|"</f>
        <v/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IF(F_Custom2_Q="(None)","respondent_id_data",F_Custom2_Q &amp; "_data")</f>
        <v/>
      </c>
      <c r="F8">
        <f>"|" &amp; SUBSTITUTE(F_Custom2_V, ", ", "|") &amp; "|"</f>
        <v/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"|" &amp; SUBSTITUTE(Demographics_F_Country_resolved,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IF(Demographics_F_Custom1_Q="(Inherit)",F_Custom1_Q,Demographics_F_Custom1_Q)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IF(Demographics_F_Custom1_V="(Inherit)",F_Custom1_V,Demographics_F_Custom1_V)</f>
        <v/>
      </c>
      <c r="D7">
        <f>"|" &amp; SUBSTITUTE(Demographics_F_Custom1_V_resolved, ", ", "|") &amp; "|"</f>
        <v/>
      </c>
      <c r="E7" t="inlineStr">
        <is>
          <t>Choose one value or type comma-separated values</t>
        </is>
      </c>
      <c r="F7">
        <f>IF(Demographics_F_Custom1_Q_resolved="(None)","respondent_id_data",Demographics_F_Custom1_Q_resolved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IF(Demographics_F_Custom2_Q="(Inherit)",F_Custom2_Q,Demographics_F_Custom2_Q)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IF(Demographics_F_Custom2_V="(Inherit)",F_Custom2_V,Demographics_F_Custom2_V)</f>
        <v/>
      </c>
      <c r="D9">
        <f>"|" &amp; SUBSTITUTE(Demographics_F_Custom2_V_resolved, ", ", "|") &amp; "|"</f>
        <v/>
      </c>
      <c r="E9" t="inlineStr">
        <is>
          <t>Choose one value or type comma-separated values</t>
        </is>
      </c>
      <c r="F9">
        <f>IF(Demographics_F_Custom2_Q_resolved="(None)","respondent_id_data",Demographics_F_Custom2_Q_resolved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IF(Demographics_Q_SS_EXPORT_F_Q="(None)","respondent_id_data",Demographics_Q_SS_EXPORT_F_Q &amp; "_data")</f>
        <v/>
      </c>
      <c r="G14">
        <f>"|" &amp; SUBSTITUTE(Demographics_Q_SS_EXPORT_F_V,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IFERROR(INDEX(INDIRECT(Demographics_Q_SS_EXPORT_CT &amp; "_options"),2),"")</f>
        <v/>
      </c>
      <c r="H17">
        <f>IFERROR(INDEX(INDIRECT(Demographics_Q_SS_EXPORT_CT &amp; "_options"),3),"")</f>
        <v/>
      </c>
      <c r="I17">
        <f>IFERROR(INDEX(INDIRECT(Demographics_Q_SS_EXPORT_CT &amp; "_options"),4),"")</f>
        <v/>
      </c>
      <c r="J17">
        <f>IFERROR(INDEX(INDIRECT(Demographics_Q_SS_EXPORT_CT &amp; "_options"),5),"")</f>
        <v/>
      </c>
      <c r="K17">
        <f>IFERROR(INDEX(INDIRECT(Demographics_Q_SS_EXPORT_CT &amp; "_options"),6),"")</f>
        <v/>
      </c>
      <c r="L17">
        <f>IFERROR(INDEX(INDIRECT(Demographics_Q_SS_EXPORT_CT &amp; "_options"),7),"")</f>
        <v/>
      </c>
      <c r="M17">
        <f>IFERROR(INDEX(INDIRECT(Demographics_Q_SS_EXPORT_CT &amp; "_options"),8),"")</f>
        <v/>
      </c>
      <c r="N17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COUNTIFS(Q_SS_EXPORT_data,"Yes",passes_workbook_filters_data,1)</f>
        <v/>
      </c>
      <c r="C18" s="7">
        <f>IFERROR(B18/SUBTOTAL(9,B18:B19),0)</f>
        <v/>
      </c>
      <c r="D18" s="14">
        <f>SUBTOTAL(9,B18:B19)</f>
        <v/>
      </c>
      <c r="F18" t="inlineStr">
        <is>
          <t>Yes</t>
        </is>
      </c>
      <c r="G18">
        <f>(Demographics_Q_SS_EXPORT_CT&lt;&gt;"(None)")*COUNTIFS(Q_SS_EXPORT_data,"Yes",passes_workbook_filters_data,1,INDIRECT(Demographics_Q_SS_EXPORT_CT &amp; "_data"),G$17)</f>
        <v/>
      </c>
      <c r="H18">
        <f>(Demographics_Q_SS_EXPORT_CT&lt;&gt;"(None)")*COUNTIFS(Q_SS_EXPORT_data,"Yes",passes_workbook_filters_data,1,INDIRECT(Demographics_Q_SS_EXPORT_CT &amp; "_data"),H$17)</f>
        <v/>
      </c>
      <c r="I18">
        <f>(Demographics_Q_SS_EXPORT_CT&lt;&gt;"(None)")*COUNTIFS(Q_SS_EXPORT_data,"Yes",passes_workbook_filters_data,1,INDIRECT(Demographics_Q_SS_EXPORT_CT &amp; "_data"),I$17)</f>
        <v/>
      </c>
      <c r="J18">
        <f>(Demographics_Q_SS_EXPORT_CT&lt;&gt;"(None)")*COUNTIFS(Q_SS_EXPORT_data,"Yes",passes_workbook_filters_data,1,INDIRECT(Demographics_Q_SS_EXPORT_CT &amp; "_data"),J$17)</f>
        <v/>
      </c>
      <c r="K18">
        <f>(Demographics_Q_SS_EXPORT_CT&lt;&gt;"(None)")*COUNTIFS(Q_SS_EXPORT_data,"Yes",passes_workbook_filters_data,1,INDIRECT(Demographics_Q_SS_EXPORT_CT &amp; "_data"),K$17)</f>
        <v/>
      </c>
      <c r="L18">
        <f>(Demographics_Q_SS_EXPORT_CT&lt;&gt;"(None)")*COUNTIFS(Q_SS_EXPORT_data,"Yes",passes_workbook_filters_data,1,INDIRECT(Demographics_Q_SS_EXPORT_CT &amp; "_data"),L$17)</f>
        <v/>
      </c>
      <c r="M18">
        <f>(Demographics_Q_SS_EXPORT_CT&lt;&gt;"(None)")*COUNTIFS(Q_SS_EXPORT_data,"Yes",passes_workbook_filters_data,1,INDIRECT(Demographics_Q_SS_EXPORT_CT &amp; "_data"),M$17)</f>
        <v/>
      </c>
      <c r="N18">
        <f>(Demographics_Q_SS_EXPORT_CT&lt;&gt;"(None)")*COUNTIFS(Q_SS_EXPORT_data,"Yes",passes_workbook_filters_data,1,INDIRECT(Demographics_Q_SS_EXPORT_CT &amp; "_data"),N$17)</f>
        <v/>
      </c>
      <c r="O18">
        <f>SUM(G18:N18)</f>
        <v/>
      </c>
    </row>
    <row r="19">
      <c r="A19" t="inlineStr">
        <is>
          <t>No</t>
        </is>
      </c>
      <c r="B19">
        <f>COUNTIFS(Q_SS_EXPORT_data,"No",passes_workbook_filters_data,1)</f>
        <v/>
      </c>
      <c r="C19" s="7">
        <f>IFERROR(B19/SUBTOTAL(9,B18:B19),0)</f>
        <v/>
      </c>
      <c r="D19" s="14">
        <f>SUBTOTAL(9,B18:B19)</f>
        <v/>
      </c>
      <c r="F19" t="inlineStr">
        <is>
          <t>No</t>
        </is>
      </c>
      <c r="G19">
        <f>(Demographics_Q_SS_EXPORT_CT&lt;&gt;"(None)")*COUNTIFS(Q_SS_EXPORT_data,"No",passes_workbook_filters_data,1,INDIRECT(Demographics_Q_SS_EXPORT_CT &amp; "_data"),G$17)</f>
        <v/>
      </c>
      <c r="H19">
        <f>(Demographics_Q_SS_EXPORT_CT&lt;&gt;"(None)")*COUNTIFS(Q_SS_EXPORT_data,"No",passes_workbook_filters_data,1,INDIRECT(Demographics_Q_SS_EXPORT_CT &amp; "_data"),H$17)</f>
        <v/>
      </c>
      <c r="I19">
        <f>(Demographics_Q_SS_EXPORT_CT&lt;&gt;"(None)")*COUNTIFS(Q_SS_EXPORT_data,"No",passes_workbook_filters_data,1,INDIRECT(Demographics_Q_SS_EXPORT_CT &amp; "_data"),I$17)</f>
        <v/>
      </c>
      <c r="J19">
        <f>(Demographics_Q_SS_EXPORT_CT&lt;&gt;"(None)")*COUNTIFS(Q_SS_EXPORT_data,"No",passes_workbook_filters_data,1,INDIRECT(Demographics_Q_SS_EXPORT_CT &amp; "_data"),J$17)</f>
        <v/>
      </c>
      <c r="K19">
        <f>(Demographics_Q_SS_EXPORT_CT&lt;&gt;"(None)")*COUNTIFS(Q_SS_EXPORT_data,"No",passes_workbook_filters_data,1,INDIRECT(Demographics_Q_SS_EXPORT_CT &amp; "_data"),K$17)</f>
        <v/>
      </c>
      <c r="L19">
        <f>(Demographics_Q_SS_EXPORT_CT&lt;&gt;"(None)")*COUNTIFS(Q_SS_EXPORT_data,"No",passes_workbook_filters_data,1,INDIRECT(Demographics_Q_SS_EXPORT_CT &amp; "_data"),L$17)</f>
        <v/>
      </c>
      <c r="M19">
        <f>(Demographics_Q_SS_EXPORT_CT&lt;&gt;"(None)")*COUNTIFS(Q_SS_EXPORT_data,"No",passes_workbook_filters_data,1,INDIRECT(Demographics_Q_SS_EXPORT_CT &amp; "_data"),M$17)</f>
        <v/>
      </c>
      <c r="N19">
        <f>(Demographics_Q_SS_EXPORT_CT&lt;&gt;"(None)")*COUNTIFS(Q_SS_EXPORT_data,"No",passes_workbook_filters_data,1,INDIRECT(Demographics_Q_SS_EXPORT_CT &amp; "_data"),N$17)</f>
        <v/>
      </c>
      <c r="O19">
        <f>SUM(G19:N19)</f>
        <v/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"|" &amp; SUBSTITUTE(All_Questions_F_Country_resolved,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IF(All_Questions_F_Custom1_Q="(Inherit)",F_Custom1_Q,All_Questions_F_Custom1_Q)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IF(All_Questions_F_Custom1_V="(Inherit)",F_Custom1_V,All_Questions_F_Custom1_V)</f>
        <v/>
      </c>
      <c r="D7">
        <f>"|" &amp; SUBSTITUTE(All_Questions_F_Custom1_V_resolved, ", ", "|") &amp; "|"</f>
        <v/>
      </c>
      <c r="E7" t="inlineStr">
        <is>
          <t>Choose one value or type comma-separated values</t>
        </is>
      </c>
      <c r="F7">
        <f>IF(All_Questions_F_Custom1_Q_resolved="(None)","respondent_id_data",All_Questions_F_Custom1_Q_resolved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IF(All_Questions_F_Custom2_Q="(Inherit)",F_Custom2_Q,All_Questions_F_Custom2_Q)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IF(All_Questions_F_Custom2_V="(Inherit)",F_Custom2_V,All_Questions_F_Custom2_V)</f>
        <v/>
      </c>
      <c r="D9">
        <f>"|" &amp; SUBSTITUTE(All_Questions_F_Custom2_V_resolved, ", ", "|") &amp; "|"</f>
        <v/>
      </c>
      <c r="E9" t="inlineStr">
        <is>
          <t>Choose one value or type comma-separated values</t>
        </is>
      </c>
      <c r="F9">
        <f>IF(All_Questions_F_Custom2_Q_resolved="(None)","respondent_id_data",All_Questions_F_Custom2_Q_resolved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IF(All_Questions_Q_MS_EXPORT_F_Q="(None)","respondent_id_data",All_Questions_Q_MS_EXPORT_F_Q &amp; "_data")</f>
        <v/>
      </c>
      <c r="G14">
        <f>"|" &amp; SUBSTITUTE(All_Questions_Q_MS_EXPORT_F_V,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IFERROR(INDEX(INDIRECT(All_Questions_Q_MS_EXPORT_CT &amp; "_options"),2),"")</f>
        <v/>
      </c>
      <c r="H17">
        <f>IFERROR(INDEX(INDIRECT(All_Questions_Q_MS_EXPORT_CT &amp; "_options"),3),"")</f>
        <v/>
      </c>
      <c r="I17">
        <f>IFERROR(INDEX(INDIRECT(All_Questions_Q_MS_EXPORT_CT &amp; "_options"),4),"")</f>
        <v/>
      </c>
      <c r="J17">
        <f>IFERROR(INDEX(INDIRECT(All_Questions_Q_MS_EXPORT_CT &amp; "_options"),5),"")</f>
        <v/>
      </c>
      <c r="K17">
        <f>IFERROR(INDEX(INDIRECT(All_Questions_Q_MS_EXPORT_CT &amp; "_options"),6),"")</f>
        <v/>
      </c>
      <c r="L17">
        <f>IFERROR(INDEX(INDIRECT(All_Questions_Q_MS_EXPORT_CT &amp; "_options"),7),"")</f>
        <v/>
      </c>
      <c r="M17">
        <f>IFERROR(INDEX(INDIRECT(All_Questions_Q_MS_EXPORT_CT &amp; "_options"),8),"")</f>
        <v/>
      </c>
      <c r="N17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COUNTIFS(Q_MS_EXPORTr1_data,"Selected",passes_workbook_filters_data,1)</f>
        <v/>
      </c>
      <c r="C18" s="7">
        <f>IFERROR(B18/SUBTOTAL(9,B18:B19),0)</f>
        <v/>
      </c>
      <c r="D18" s="14">
        <f>SUBTOTAL(9,B18:B19)</f>
        <v/>
      </c>
      <c r="F18" t="inlineStr">
        <is>
          <t>First</t>
        </is>
      </c>
      <c r="G18">
        <f>(All_Questions_Q_MS_EXPORT_CT&lt;&gt;"(None)")*COUNTIFS(Q_MS_EXPORTr1_data,"Selected",passes_workbook_filters_data,1,INDIRECT(All_Questions_Q_MS_EXPORT_CT &amp; "_data"),G$17)</f>
        <v/>
      </c>
      <c r="H18">
        <f>(All_Questions_Q_MS_EXPORT_CT&lt;&gt;"(None)")*COUNTIFS(Q_MS_EXPORTr1_data,"Selected",passes_workbook_filters_data,1,INDIRECT(All_Questions_Q_MS_EXPORT_CT &amp; "_data"),H$17)</f>
        <v/>
      </c>
      <c r="I18">
        <f>(All_Questions_Q_MS_EXPORT_CT&lt;&gt;"(None)")*COUNTIFS(Q_MS_EXPORTr1_data,"Selected",passes_workbook_filters_data,1,INDIRECT(All_Questions_Q_MS_EXPORT_CT &amp; "_data"),I$17)</f>
        <v/>
      </c>
      <c r="J18">
        <f>(All_Questions_Q_MS_EXPORT_CT&lt;&gt;"(None)")*COUNTIFS(Q_MS_EXPORTr1_data,"Selected",passes_workbook_filters_data,1,INDIRECT(All_Questions_Q_MS_EXPORT_CT &amp; "_data"),J$17)</f>
        <v/>
      </c>
      <c r="K18">
        <f>(All_Questions_Q_MS_EXPORT_CT&lt;&gt;"(None)")*COUNTIFS(Q_MS_EXPORTr1_data,"Selected",passes_workbook_filters_data,1,INDIRECT(All_Questions_Q_MS_EXPORT_CT &amp; "_data"),K$17)</f>
        <v/>
      </c>
      <c r="L18">
        <f>(All_Questions_Q_MS_EXPORT_CT&lt;&gt;"(None)")*COUNTIFS(Q_MS_EXPORTr1_data,"Selected",passes_workbook_filters_data,1,INDIRECT(All_Questions_Q_MS_EXPORT_CT &amp; "_data"),L$17)</f>
        <v/>
      </c>
      <c r="M18">
        <f>(All_Questions_Q_MS_EXPORT_CT&lt;&gt;"(None)")*COUNTIFS(Q_MS_EXPORTr1_data,"Selected",passes_workbook_filters_data,1,INDIRECT(All_Questions_Q_MS_EXPORT_CT &amp; "_data"),M$17)</f>
        <v/>
      </c>
      <c r="N18">
        <f>(All_Questions_Q_MS_EXPORT_CT&lt;&gt;"(None)")*COUNTIFS(Q_MS_EXPORTr1_data,"Selected",passes_workbook_filters_data,1,INDIRECT(All_Questions_Q_MS_EXPORT_CT &amp; "_data"),N$17)</f>
        <v/>
      </c>
      <c r="O18">
        <f>SUM(G18:N18)</f>
        <v/>
      </c>
    </row>
    <row r="19">
      <c r="A19" t="inlineStr">
        <is>
          <t>Second</t>
        </is>
      </c>
      <c r="B19">
        <f>COUNTIFS(Q_MS_EXPORTr2_data,"Selected",passes_workbook_filters_data,1)</f>
        <v/>
      </c>
      <c r="C19" s="7">
        <f>IFERROR(B19/SUBTOTAL(9,B18:B19),0)</f>
        <v/>
      </c>
      <c r="D19" s="14">
        <f>SUBTOTAL(9,B18:B19)</f>
        <v/>
      </c>
      <c r="F19" t="inlineStr">
        <is>
          <t>Second</t>
        </is>
      </c>
      <c r="G19">
        <f>(All_Questions_Q_MS_EXPORT_CT&lt;&gt;"(None)")*COUNTIFS(Q_MS_EXPORTr2_data,"Selected",passes_workbook_filters_data,1,INDIRECT(All_Questions_Q_MS_EXPORT_CT &amp; "_data"),G$17)</f>
        <v/>
      </c>
      <c r="H19">
        <f>(All_Questions_Q_MS_EXPORT_CT&lt;&gt;"(None)")*COUNTIFS(Q_MS_EXPORTr2_data,"Selected",passes_workbook_filters_data,1,INDIRECT(All_Questions_Q_MS_EXPORT_CT &amp; "_data"),H$17)</f>
        <v/>
      </c>
      <c r="I19">
        <f>(All_Questions_Q_MS_EXPORT_CT&lt;&gt;"(None)")*COUNTIFS(Q_MS_EXPORTr2_data,"Selected",passes_workbook_filters_data,1,INDIRECT(All_Questions_Q_MS_EXPORT_CT &amp; "_data"),I$17)</f>
        <v/>
      </c>
      <c r="J19">
        <f>(All_Questions_Q_MS_EXPORT_CT&lt;&gt;"(None)")*COUNTIFS(Q_MS_EXPORTr2_data,"Selected",passes_workbook_filters_data,1,INDIRECT(All_Questions_Q_MS_EXPORT_CT &amp; "_data"),J$17)</f>
        <v/>
      </c>
      <c r="K19">
        <f>(All_Questions_Q_MS_EXPORT_CT&lt;&gt;"(None)")*COUNTIFS(Q_MS_EXPORTr2_data,"Selected",passes_workbook_filters_data,1,INDIRECT(All_Questions_Q_MS_EXPORT_CT &amp; "_data"),K$17)</f>
        <v/>
      </c>
      <c r="L19">
        <f>(All_Questions_Q_MS_EXPORT_CT&lt;&gt;"(None)")*COUNTIFS(Q_MS_EXPORTr2_data,"Selected",passes_workbook_filters_data,1,INDIRECT(All_Questions_Q_MS_EXPORT_CT &amp; "_data"),L$17)</f>
        <v/>
      </c>
      <c r="M19">
        <f>(All_Questions_Q_MS_EXPORT_CT&lt;&gt;"(None)")*COUNTIFS(Q_MS_EXPORTr2_data,"Selected",passes_workbook_filters_data,1,INDIRECT(All_Questions_Q_MS_EXPORT_CT &amp; "_data"),M$17)</f>
        <v/>
      </c>
      <c r="N19">
        <f>(All_Questions_Q_MS_EXPORT_CT&lt;&gt;"(None)")*COUNTIFS(Q_MS_EXPORTr2_data,"Selected",passes_workbook_filters_data,1,INDIRECT(All_Questions_Q_MS_EXPORT_CT &amp; "_data"),N$17)</f>
        <v/>
      </c>
      <c r="O19">
        <f>SUM(G19:N19)</f>
        <v/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>
        <f>IF(All_Questions_Q_NUM_EXPORT_F_Q="(None)","respondent_id_data",All_Questions_Q_NUM_EXPORT_F_Q &amp; "_data")</f>
        <v/>
      </c>
      <c r="G23">
        <f>"|" &amp; SUBSTITUTE(All_Questions_Q_NUM_EXPORT_F_V, ", ", "|") &amp; "|"</f>
        <v/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IFERROR(AVERAGEIFS(Q_NUM_EXPORT_data,passes_workbook_filters_data,1),0)</f>
        <v/>
      </c>
      <c r="D27">
        <f>COUNTIFS(Q_NUM_EXPORT_data,"&lt;&gt;",passes_workbook_filters_data,1)</f>
        <v/>
      </c>
    </row>
    <row r="28">
      <c r="A28" t="inlineStr">
        <is>
          <t>Min</t>
        </is>
      </c>
      <c r="B28">
        <f>IFERROR(MINIFS(Q_NUM_EXPORT_data,passes_workbook_filters_data,1),0)</f>
        <v/>
      </c>
      <c r="D28">
        <f>COUNTIFS(Q_NUM_EXPORT_data,"&lt;&gt;",passes_workbook_filters_data,1)</f>
        <v/>
      </c>
    </row>
    <row r="29">
      <c r="A29" t="inlineStr">
        <is>
          <t>Max</t>
        </is>
      </c>
      <c r="B29">
        <f>IFERROR(MAXIFS(Q_NUM_EXPORT_data,passes_workbook_filters_data,1),0)</f>
        <v/>
      </c>
      <c r="D29">
        <f>COUNTIFS(Q_NUM_EXPORT_data,"&lt;&gt;",passes_workbook_filters_data,1)</f>
        <v/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COUNTIFS(Q_NUM_EXPORT_data,"&lt;&gt;",passes_workbook_filters_data,1)</f>
        <v/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>
        <f>IF(All_Questions_Q_GRID_EXPORT_F_Q="(None)","respondent_id_data",All_Questions_Q_GRID_EXPORT_F_Q &amp; "_data")</f>
        <v/>
      </c>
      <c r="G35">
        <f>"|" &amp; SUBSTITUTE(All_Questions_Q_GRID_EXPORT_F_V, ", ", "|") &amp; "|"</f>
        <v/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>
        <f>IFERROR(INDEX(INDIRECT(All_Questions_Q_GRID_EXPORT_CT &amp; "_options"),2),"")</f>
        <v/>
      </c>
      <c r="H38">
        <f>IFERROR(INDEX(INDIRECT(All_Questions_Q_GRID_EXPORT_CT &amp; "_options"),3),"")</f>
        <v/>
      </c>
      <c r="I38">
        <f>IFERROR(INDEX(INDIRECT(All_Questions_Q_GRID_EXPORT_CT &amp; "_options"),4),"")</f>
        <v/>
      </c>
      <c r="J38">
        <f>IFERROR(INDEX(INDIRECT(All_Questions_Q_GRID_EXPORT_CT &amp; "_options"),5),"")</f>
        <v/>
      </c>
      <c r="K38">
        <f>IFERROR(INDEX(INDIRECT(All_Questions_Q_GRID_EXPORT_CT &amp; "_options"),6),"")</f>
        <v/>
      </c>
      <c r="L38">
        <f>IFERROR(INDEX(INDIRECT(All_Questions_Q_GRID_EXPORT_CT &amp; "_options"),7),"")</f>
        <v/>
      </c>
      <c r="M38">
        <f>IFERROR(INDEX(INDIRECT(All_Questions_Q_GRID_EXPORT_CT &amp; "_options"),8),"")</f>
        <v/>
      </c>
      <c r="N38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COUNTIFS(Q_GRID_EXPORTr1_data,"Selected",passes_workbook_filters_data,1)</f>
        <v/>
      </c>
      <c r="C39" s="7">
        <f>IFERROR(B39/SUBTOTAL(9,B39:B40),0)</f>
        <v/>
      </c>
      <c r="D39" s="14">
        <f>SUBTOTAL(9,B39:B40)</f>
        <v/>
      </c>
      <c r="F39" t="inlineStr">
        <is>
          <t>Grid first row</t>
        </is>
      </c>
      <c r="G39">
        <f>(All_Questions_Q_GRID_EXPORT_CT&lt;&gt;"(None)")*COUNTIFS(Q_GRID_EXPORTr1_data,"Selected",passes_workbook_filters_data,1,INDIRECT(All_Questions_Q_GRID_EXPORT_CT &amp; "_data"),G$38)</f>
        <v/>
      </c>
      <c r="H39">
        <f>(All_Questions_Q_GRID_EXPORT_CT&lt;&gt;"(None)")*COUNTIFS(Q_GRID_EXPORTr1_data,"Selected",passes_workbook_filters_data,1,INDIRECT(All_Questions_Q_GRID_EXPORT_CT &amp; "_data"),H$38)</f>
        <v/>
      </c>
      <c r="I39">
        <f>(All_Questions_Q_GRID_EXPORT_CT&lt;&gt;"(None)")*COUNTIFS(Q_GRID_EXPORTr1_data,"Selected",passes_workbook_filters_data,1,INDIRECT(All_Questions_Q_GRID_EXPORT_CT &amp; "_data"),I$38)</f>
        <v/>
      </c>
      <c r="J39">
        <f>(All_Questions_Q_GRID_EXPORT_CT&lt;&gt;"(None)")*COUNTIFS(Q_GRID_EXPORTr1_data,"Selected",passes_workbook_filters_data,1,INDIRECT(All_Questions_Q_GRID_EXPORT_CT &amp; "_data"),J$38)</f>
        <v/>
      </c>
      <c r="K39">
        <f>(All_Questions_Q_GRID_EXPORT_CT&lt;&gt;"(None)")*COUNTIFS(Q_GRID_EXPORTr1_data,"Selected",passes_workbook_filters_data,1,INDIRECT(All_Questions_Q_GRID_EXPORT_CT &amp; "_data"),K$38)</f>
        <v/>
      </c>
      <c r="L39">
        <f>(All_Questions_Q_GRID_EXPORT_CT&lt;&gt;"(None)")*COUNTIFS(Q_GRID_EXPORTr1_data,"Selected",passes_workbook_filters_data,1,INDIRECT(All_Questions_Q_GRID_EXPORT_CT &amp; "_data"),L$38)</f>
        <v/>
      </c>
      <c r="M39">
        <f>(All_Questions_Q_GRID_EXPORT_CT&lt;&gt;"(None)")*COUNTIFS(Q_GRID_EXPORTr1_data,"Selected",passes_workbook_filters_data,1,INDIRECT(All_Questions_Q_GRID_EXPORT_CT &amp; "_data"),M$38)</f>
        <v/>
      </c>
      <c r="N39">
        <f>(All_Questions_Q_GRID_EXPORT_CT&lt;&gt;"(None)")*COUNTIFS(Q_GRID_EXPORTr1_data,"Selected",passes_workbook_filters_data,1,INDIRECT(All_Questions_Q_GRID_EXPORT_CT &amp; "_data"),N$38)</f>
        <v/>
      </c>
      <c r="O39">
        <f>SUM(G39:N39)</f>
        <v/>
      </c>
    </row>
    <row r="40">
      <c r="A40" t="inlineStr">
        <is>
          <t>Grid second row</t>
        </is>
      </c>
      <c r="B40">
        <f>COUNTIFS(Q_GRID_EXPORTr2_data,"Selected",passes_workbook_filters_data,1)</f>
        <v/>
      </c>
      <c r="C40" s="7">
        <f>IFERROR(B40/SUBTOTAL(9,B39:B40),0)</f>
        <v/>
      </c>
      <c r="D40" s="14">
        <f>SUBTOTAL(9,B39:B40)</f>
        <v/>
      </c>
      <c r="F40" t="inlineStr">
        <is>
          <t>Grid second row</t>
        </is>
      </c>
      <c r="G40">
        <f>(All_Questions_Q_GRID_EXPORT_CT&lt;&gt;"(None)")*COUNTIFS(Q_GRID_EXPORTr2_data,"Selected",passes_workbook_filters_data,1,INDIRECT(All_Questions_Q_GRID_EXPORT_CT &amp; "_data"),G$38)</f>
        <v/>
      </c>
      <c r="H40">
        <f>(All_Questions_Q_GRID_EXPORT_CT&lt;&gt;"(None)")*COUNTIFS(Q_GRID_EXPORTr2_data,"Selected",passes_workbook_filters_data,1,INDIRECT(All_Questions_Q_GRID_EXPORT_CT &amp; "_data"),H$38)</f>
        <v/>
      </c>
      <c r="I40">
        <f>(All_Questions_Q_GRID_EXPORT_CT&lt;&gt;"(None)")*COUNTIFS(Q_GRID_EXPORTr2_data,"Selected",passes_workbook_filters_data,1,INDIRECT(All_Questions_Q_GRID_EXPORT_CT &amp; "_data"),I$38)</f>
        <v/>
      </c>
      <c r="J40">
        <f>(All_Questions_Q_GRID_EXPORT_CT&lt;&gt;"(None)")*COUNTIFS(Q_GRID_EXPORTr2_data,"Selected",passes_workbook_filters_data,1,INDIRECT(All_Questions_Q_GRID_EXPORT_CT &amp; "_data"),J$38)</f>
        <v/>
      </c>
      <c r="K40">
        <f>(All_Questions_Q_GRID_EXPORT_CT&lt;&gt;"(None)")*COUNTIFS(Q_GRID_EXPORTr2_data,"Selected",passes_workbook_filters_data,1,INDIRECT(All_Questions_Q_GRID_EXPORT_CT &amp; "_data"),K$38)</f>
        <v/>
      </c>
      <c r="L40">
        <f>(All_Questions_Q_GRID_EXPORT_CT&lt;&gt;"(None)")*COUNTIFS(Q_GRID_EXPORTr2_data,"Selected",passes_workbook_filters_data,1,INDIRECT(All_Questions_Q_GRID_EXPORT_CT &amp; "_data"),L$38)</f>
        <v/>
      </c>
      <c r="M40">
        <f>(All_Questions_Q_GRID_EXPORT_CT&lt;&gt;"(None)")*COUNTIFS(Q_GRID_EXPORTr2_data,"Selected",passes_workbook_filters_data,1,INDIRECT(All_Questions_Q_GRID_EXPORT_CT &amp; "_data"),M$38)</f>
        <v/>
      </c>
      <c r="N40">
        <f>(All_Questions_Q_GRID_EXPORT_CT&lt;&gt;"(None)")*COUNTIFS(Q_GRID_EXPORTr2_data,"Selected",passes_workbook_filters_data,1,INDIRECT(All_Questions_Q_GRID_EXPORT_CT &amp; "_data"),N$38)</f>
        <v/>
      </c>
      <c r="O40">
        <f>SUM(G40:N40)</f>
        <v/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>
        <f>IF(All_Questions_Q_VERY_LONG_SINGLE_SELECT_EXPORT_NAME_F_Q="(None)","respondent_id_data",All_Questions_Q_VERY_LONG_SINGLE_SELECT_EXPORT_NAME_F_Q &amp; "_data")</f>
        <v/>
      </c>
      <c r="G44">
        <f>"|" &amp; SUBSTITUTE(All_Questions_Q_VERY_LONG_SINGLE_SELECT_EXPORT_NAME_F_V, ", ", "|") &amp; "|"</f>
        <v/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>
        <f>IFERROR(INDEX(INDIRECT(All_Questions_Q_VERY_LONG_SINGLE_SELECT_EXPORT_NAME_CT &amp; "_options"),2),"")</f>
        <v/>
      </c>
      <c r="H47">
        <f>IFERROR(INDEX(INDIRECT(All_Questions_Q_VERY_LONG_SINGLE_SELECT_EXPORT_NAME_CT &amp; "_options"),3),"")</f>
        <v/>
      </c>
      <c r="I47">
        <f>IFERROR(INDEX(INDIRECT(All_Questions_Q_VERY_LONG_SINGLE_SELECT_EXPORT_NAME_CT &amp; "_options"),4),"")</f>
        <v/>
      </c>
      <c r="J47">
        <f>IFERROR(INDEX(INDIRECT(All_Questions_Q_VERY_LONG_SINGLE_SELECT_EXPORT_NAME_CT &amp; "_options"),5),"")</f>
        <v/>
      </c>
      <c r="K47">
        <f>IFERROR(INDEX(INDIRECT(All_Questions_Q_VERY_LONG_SINGLE_SELECT_EXPORT_NAME_CT &amp; "_options"),6),"")</f>
        <v/>
      </c>
      <c r="L47">
        <f>IFERROR(INDEX(INDIRECT(All_Questions_Q_VERY_LONG_SINGLE_SELECT_EXPORT_NAME_CT &amp; "_options"),7),"")</f>
        <v/>
      </c>
      <c r="M47">
        <f>IFERROR(INDEX(INDIRECT(All_Questions_Q_VERY_LONG_SINGLE_SELECT_EXPORT_NAME_CT &amp; "_options"),8),"")</f>
        <v/>
      </c>
      <c r="N47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COUNTIFS(Q_VERY_LONG_SINGLE_SELECT_EXPOR_data,"A",passes_workbook_filters_data,1)</f>
        <v/>
      </c>
      <c r="C48" s="7">
        <f>IFERROR(B48/SUBTOTAL(9,B48:B49),0)</f>
        <v/>
      </c>
      <c r="D48" s="14">
        <f>SUBTOTAL(9,B48:B49)</f>
        <v/>
      </c>
      <c r="F48" t="inlineStr">
        <is>
          <t>A</t>
        </is>
      </c>
      <c r="G48">
        <f>(All_Questions_Q_VERY_LONG_SINGLE_SELECT_EXPORT_NAME_CT&lt;&gt;"(None)")*COUNTIFS(Q_VERY_LONG_SINGLE_SELECT_EXPOR_data,"A",passes_workbook_filters_data,1,INDIRECT(All_Questions_Q_VERY_LONG_SINGLE_SELECT_EXPORT_NAME_CT &amp; "_data"),G$47)</f>
        <v/>
      </c>
      <c r="H48">
        <f>(All_Questions_Q_VERY_LONG_SINGLE_SELECT_EXPORT_NAME_CT&lt;&gt;"(None)")*COUNTIFS(Q_VERY_LONG_SINGLE_SELECT_EXPOR_data,"A",passes_workbook_filters_data,1,INDIRECT(All_Questions_Q_VERY_LONG_SINGLE_SELECT_EXPORT_NAME_CT &amp; "_data"),H$47)</f>
        <v/>
      </c>
      <c r="I48">
        <f>(All_Questions_Q_VERY_LONG_SINGLE_SELECT_EXPORT_NAME_CT&lt;&gt;"(None)")*COUNTIFS(Q_VERY_LONG_SINGLE_SELECT_EXPOR_data,"A",passes_workbook_filters_data,1,INDIRECT(All_Questions_Q_VERY_LONG_SINGLE_SELECT_EXPORT_NAME_CT &amp; "_data"),I$47)</f>
        <v/>
      </c>
      <c r="J48">
        <f>(All_Questions_Q_VERY_LONG_SINGLE_SELECT_EXPORT_NAME_CT&lt;&gt;"(None)")*COUNTIFS(Q_VERY_LONG_SINGLE_SELECT_EXPOR_data,"A",passes_workbook_filters_data,1,INDIRECT(All_Questions_Q_VERY_LONG_SINGLE_SELECT_EXPORT_NAME_CT &amp; "_data"),J$47)</f>
        <v/>
      </c>
      <c r="K48">
        <f>(All_Questions_Q_VERY_LONG_SINGLE_SELECT_EXPORT_NAME_CT&lt;&gt;"(None)")*COUNTIFS(Q_VERY_LONG_SINGLE_SELECT_EXPOR_data,"A",passes_workbook_filters_data,1,INDIRECT(All_Questions_Q_VERY_LONG_SINGLE_SELECT_EXPORT_NAME_CT &amp; "_data"),K$47)</f>
        <v/>
      </c>
      <c r="L48">
        <f>(All_Questions_Q_VERY_LONG_SINGLE_SELECT_EXPORT_NAME_CT&lt;&gt;"(None)")*COUNTIFS(Q_VERY_LONG_SINGLE_SELECT_EXPOR_data,"A",passes_workbook_filters_data,1,INDIRECT(All_Questions_Q_VERY_LONG_SINGLE_SELECT_EXPORT_NAME_CT &amp; "_data"),L$47)</f>
        <v/>
      </c>
      <c r="M48">
        <f>(All_Questions_Q_VERY_LONG_SINGLE_SELECT_EXPORT_NAME_CT&lt;&gt;"(None)")*COUNTIFS(Q_VERY_LONG_SINGLE_SELECT_EXPOR_data,"A",passes_workbook_filters_data,1,INDIRECT(All_Questions_Q_VERY_LONG_SINGLE_SELECT_EXPORT_NAME_CT &amp; "_data"),M$47)</f>
        <v/>
      </c>
      <c r="N48">
        <f>(All_Questions_Q_VERY_LONG_SINGLE_SELECT_EXPORT_NAME_CT&lt;&gt;"(None)")*COUNTIFS(Q_VERY_LONG_SINGLE_SELECT_EXPOR_data,"A",passes_workbook_filters_data,1,INDIRECT(All_Questions_Q_VERY_LONG_SINGLE_SELECT_EXPORT_NAME_CT &amp; "_data"),N$47)</f>
        <v/>
      </c>
      <c r="O48">
        <f>SUM(G48:N48)</f>
        <v/>
      </c>
    </row>
    <row r="49">
      <c r="A49" t="inlineStr">
        <is>
          <t>B</t>
        </is>
      </c>
      <c r="B49">
        <f>COUNTIFS(Q_VERY_LONG_SINGLE_SELECT_EXPOR_data,"B",passes_workbook_filters_data,1)</f>
        <v/>
      </c>
      <c r="C49" s="7">
        <f>IFERROR(B49/SUBTOTAL(9,B48:B49),0)</f>
        <v/>
      </c>
      <c r="D49" s="14">
        <f>SUBTOTAL(9,B48:B49)</f>
        <v/>
      </c>
      <c r="F49" t="inlineStr">
        <is>
          <t>B</t>
        </is>
      </c>
      <c r="G49">
        <f>(All_Questions_Q_VERY_LONG_SINGLE_SELECT_EXPORT_NAME_CT&lt;&gt;"(None)")*COUNTIFS(Q_VERY_LONG_SINGLE_SELECT_EXPOR_data,"B",passes_workbook_filters_data,1,INDIRECT(All_Questions_Q_VERY_LONG_SINGLE_SELECT_EXPORT_NAME_CT &amp; "_data"),G$47)</f>
        <v/>
      </c>
      <c r="H49">
        <f>(All_Questions_Q_VERY_LONG_SINGLE_SELECT_EXPORT_NAME_CT&lt;&gt;"(None)")*COUNTIFS(Q_VERY_LONG_SINGLE_SELECT_EXPOR_data,"B",passes_workbook_filters_data,1,INDIRECT(All_Questions_Q_VERY_LONG_SINGLE_SELECT_EXPORT_NAME_CT &amp; "_data"),H$47)</f>
        <v/>
      </c>
      <c r="I49">
        <f>(All_Questions_Q_VERY_LONG_SINGLE_SELECT_EXPORT_NAME_CT&lt;&gt;"(None)")*COUNTIFS(Q_VERY_LONG_SINGLE_SELECT_EXPOR_data,"B",passes_workbook_filters_data,1,INDIRECT(All_Questions_Q_VERY_LONG_SINGLE_SELECT_EXPORT_NAME_CT &amp; "_data"),I$47)</f>
        <v/>
      </c>
      <c r="J49">
        <f>(All_Questions_Q_VERY_LONG_SINGLE_SELECT_EXPORT_NAME_CT&lt;&gt;"(None)")*COUNTIFS(Q_VERY_LONG_SINGLE_SELECT_EXPOR_data,"B",passes_workbook_filters_data,1,INDIRECT(All_Questions_Q_VERY_LONG_SINGLE_SELECT_EXPORT_NAME_CT &amp; "_data"),J$47)</f>
        <v/>
      </c>
      <c r="K49">
        <f>(All_Questions_Q_VERY_LONG_SINGLE_SELECT_EXPORT_NAME_CT&lt;&gt;"(None)")*COUNTIFS(Q_VERY_LONG_SINGLE_SELECT_EXPOR_data,"B",passes_workbook_filters_data,1,INDIRECT(All_Questions_Q_VERY_LONG_SINGLE_SELECT_EXPORT_NAME_CT &amp; "_data"),K$47)</f>
        <v/>
      </c>
      <c r="L49">
        <f>(All_Questions_Q_VERY_LONG_SINGLE_SELECT_EXPORT_NAME_CT&lt;&gt;"(None)")*COUNTIFS(Q_VERY_LONG_SINGLE_SELECT_EXPOR_data,"B",passes_workbook_filters_data,1,INDIRECT(All_Questions_Q_VERY_LONG_SINGLE_SELECT_EXPORT_NAME_CT &amp; "_data"),L$47)</f>
        <v/>
      </c>
      <c r="M49">
        <f>(All_Questions_Q_VERY_LONG_SINGLE_SELECT_EXPORT_NAME_CT&lt;&gt;"(None)")*COUNTIFS(Q_VERY_LONG_SINGLE_SELECT_EXPOR_data,"B",passes_workbook_filters_data,1,INDIRECT(All_Questions_Q_VERY_LONG_SINGLE_SELECT_EXPORT_NAME_CT &amp; "_data"),M$47)</f>
        <v/>
      </c>
      <c r="N49">
        <f>(All_Questions_Q_VERY_LONG_SINGLE_SELECT_EXPORT_NAME_CT&lt;&gt;"(None)")*COUNTIFS(Q_VERY_LONG_SINGLE_SELECT_EXPOR_data,"B",passes_workbook_filters_data,1,INDIRECT(All_Questions_Q_VERY_LONG_SINGLE_SELECT_EXPORT_NAME_CT &amp; "_data"),N$47)</f>
        <v/>
      </c>
      <c r="O49">
        <f>SUM(G49:N49)</f>
        <v/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2026-05-14T17:37:16Z</dcterms:created>
  <dcterms:modified xmlns:dcterms="http://purl.org/dc/terms/" xmlns:xsi="http://www.w3.org/2001/XMLSchema-instance" xsi:type="dcterms:W3CDTF">2026-05-14T17:37:16Z</dcterms:modified>
</cp:coreProperties>
</file>