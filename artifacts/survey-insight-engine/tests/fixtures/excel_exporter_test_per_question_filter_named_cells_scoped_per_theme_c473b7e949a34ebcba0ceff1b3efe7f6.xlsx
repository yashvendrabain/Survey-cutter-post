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'_RawData'!$O$2:$O$11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'_RawData'!$P$2:$P$11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'_RawData'!$Q$2:$Q$11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F_passes_per_q_filter_data">'_RawData'!$R$2:$R$11</definedName>
    <definedName name="All_Questions_Q_MS_EXPORT_CT">'All Questions'!$C$14</definedName>
    <definedName name="All_Questions_Q_GRID_EXPORT_F_Q">'All Questions'!$C$24</definedName>
    <definedName name="All_Questions_Q_GRID_EXPORT_F_V">'All Questions'!$E$24</definedName>
    <definedName name="All_Questions_Q_GRID_EXPORT_F_resolved_column">'All Questions'!$F$24</definedName>
    <definedName name="All_Questions_Q_GRID_EXPORT_F_wrapped">'All Questions'!$G$24</definedName>
    <definedName name="All_Questions_Q_GRID_EXPORT_F_passes_per_q_filter_data">'_RawData'!$S$2:$S$11</definedName>
    <definedName name="All_Questions_Q_GRID_EXPORT_CT">'All Questions'!$C$25</definedName>
    <definedName name="All_Questions_Q_VERY_LONG_SINGLE_SELECT_EXPORT_NAME_F_Q">'All Questions'!$C$35</definedName>
    <definedName name="All_Questions_Q_VERY_LONG_SINGLE_SELECT_EXPORT_NAME_F_V">'All Questions'!$E$35</definedName>
    <definedName name="All_Questions_Q_VERY_LONG_SINGLE_SELECT_EXPORT_NAME_F_resolved_column">'All Questions'!$F$35</definedName>
    <definedName name="All_Questions_Q_VERY_LONG_SINGLE_SELECT_EXPORT_NAME_F_wrapped">'All Questions'!$G$35</definedName>
    <definedName name="All_Questions_Q_VERY_LONG_SINGLE_SELECT_EXPORT_NAME_F_passes_per_q_filter_data">'_RawData'!$T$2:$T$11</definedName>
    <definedName name="All_Questions_Q_VERY_LONG_SINGLE_SELECT_EXPORT_NAME_CT">'All Questions'!$C$36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  <c r="F35" i="9"/>
  <c r="G35" i="9"/>
  <c r="G38" i="9"/>
  <c r="H38" i="9"/>
  <c r="I38" i="9"/>
  <c r="J38" i="9"/>
  <c r="K38" i="9"/>
  <c r="L38" i="9"/>
  <c r="M38" i="9"/>
  <c r="N38" i="9"/>
  <c r="O38" i="9"/>
  <c r="P38" i="9"/>
  <c r="Q38" i="9"/>
  <c r="R38" i="9"/>
  <c r="B39" i="9"/>
  <c r="C39" i="9"/>
  <c r="D39" i="9"/>
  <c r="B40" i="9"/>
  <c r="C40" i="9"/>
  <c r="D40" i="9"/>
  <c r="G40" i="9"/>
  <c r="H40" i="9"/>
  <c r="I40" i="9"/>
  <c r="J40" i="9"/>
  <c r="K40" i="9"/>
  <c r="L40" i="9"/>
  <c r="M40" i="9"/>
  <c r="N40" i="9"/>
  <c r="O40" i="9"/>
  <c r="P40" i="9"/>
  <c r="Q40" i="9"/>
  <c r="R40" i="9"/>
  <c r="S40" i="9"/>
  <c r="G41" i="9"/>
  <c r="H41" i="9"/>
  <c r="I41" i="9"/>
  <c r="J41" i="9"/>
  <c r="K41" i="9"/>
  <c r="L41" i="9"/>
  <c r="M41" i="9"/>
  <c r="N41" i="9"/>
  <c r="O41" i="9"/>
  <c r="P41" i="9"/>
  <c r="Q41" i="9"/>
  <c r="R41" i="9"/>
  <c r="S41" i="9"/>
  <c r="S42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8_1" displayName="T_All_Questions_38_1" ref="A38:D41" headerRowCount="1">
  <autoFilter ref="A38:D4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Theme_Two_passes_local_filters</t>
        </is>
      </c>
      <c r="P1" t="inlineStr">
        <is>
          <t>Theme_Two_Q_NUM_EXPORT_F_passes_per_q_filter</t>
        </is>
      </c>
      <c r="Q1" t="inlineStr">
        <is>
          <t>All_Questions_passes_local_filters</t>
        </is>
      </c>
      <c r="R1" t="inlineStr">
        <is>
          <t>All_Questions_Q_MS_EXPORT_F_passes_per_q_filter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*1</f>
        <v>1</v>
      </c>
      <c r="O2">
        <f>1</f>
        <v>1</v>
      </c>
      <c r="P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*1</f>
        <v>1</v>
      </c>
      <c r="Q2">
        <f>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*1</f>
        <v>1</v>
      </c>
      <c r="O3">
        <f>1</f>
        <v>1</v>
      </c>
      <c r="P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*1</f>
        <v>1</v>
      </c>
      <c r="Q3">
        <f>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*1</f>
        <v>1</v>
      </c>
      <c r="O4">
        <f>1</f>
        <v>1</v>
      </c>
      <c r="P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*1</f>
        <v>1</v>
      </c>
      <c r="Q4">
        <f>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*1</f>
        <v>1</v>
      </c>
      <c r="O5">
        <f>1</f>
        <v>1</v>
      </c>
      <c r="P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*1</f>
        <v>1</v>
      </c>
      <c r="Q5">
        <f>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*1</f>
        <v>1</v>
      </c>
      <c r="O6">
        <f>1</f>
        <v>1</v>
      </c>
      <c r="P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*1</f>
        <v>1</v>
      </c>
      <c r="Q6">
        <f>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*1</f>
        <v>1</v>
      </c>
      <c r="O7">
        <f>1</f>
        <v>1</v>
      </c>
      <c r="P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*1</f>
        <v>1</v>
      </c>
      <c r="Q7">
        <f>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*1</f>
        <v>1</v>
      </c>
      <c r="O8">
        <f>1</f>
        <v>1</v>
      </c>
      <c r="P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*1</f>
        <v>1</v>
      </c>
      <c r="Q8">
        <f>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*1</f>
        <v>1</v>
      </c>
      <c r="O9">
        <f>1</f>
        <v>1</v>
      </c>
      <c r="P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*1</f>
        <v>1</v>
      </c>
      <c r="Q9">
        <f>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*1</f>
        <v>1</v>
      </c>
      <c r="O10">
        <f>1</f>
        <v>1</v>
      </c>
      <c r="P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*1</f>
        <v>1</v>
      </c>
      <c r="Q10">
        <f>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*1</f>
        <v>1</v>
      </c>
      <c r="O11">
        <f>1</f>
        <v>1</v>
      </c>
      <c r="P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*1</f>
        <v>1</v>
      </c>
      <c r="Q11">
        <f>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IFERROR(INDEX(All_Questions_Data_Names,MATCH(All_Questions_Q_MS_EXPORT_F_Q,All_Questions,0)),"'_RawData'!$A:$A")</f>
        <v>respondent_id_data</v>
      </c>
      <c r="G13" t="str">
        <f>"|" &amp; SUBSTITUTE(All_Questions_Q_MS_EXPORT_F_V,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IF(All_Questions_Q_MS_EXPORT_CT="(None)","",IFERROR(INDEX(INDIRECT(IFERROR(INDEX(All_Questions_Options_Names,MATCH(All_Questions_Q_MS_EXPORT_CT,All_Questions,0)),"'_Options'!$E$2:$E$2")),2),""))</f>
        <v/>
      </c>
      <c r="H16" s="2" t="str">
        <f>IF(All_Questions_Q_MS_EXPORT_CT="(None)","",IFERROR(INDEX(INDIRECT(IFERROR(INDEX(All_Questions_Options_Names,MATCH(All_Questions_Q_MS_EXPORT_CT,All_Questions,0)),"'_Options'!$E$2:$E$2")),3),""))</f>
        <v/>
      </c>
      <c r="I16" s="2" t="str">
        <f>IF(All_Questions_Q_MS_EXPORT_CT="(None)","",IFERROR(INDEX(INDIRECT(IFERROR(INDEX(All_Questions_Options_Names,MATCH(All_Questions_Q_MS_EXPORT_CT,All_Questions,0)),"'_Options'!$E$2:$E$2")),4),""))</f>
        <v/>
      </c>
      <c r="J16" s="2" t="str">
        <f>IF(All_Questions_Q_MS_EXPORT_CT="(None)","",IFERROR(INDEX(INDIRECT(IFERROR(INDEX(All_Questions_Options_Names,MATCH(All_Questions_Q_MS_EXPORT_CT,All_Questions,0)),"'_Options'!$E$2:$E$2")),5),""))</f>
        <v/>
      </c>
      <c r="K16" s="2" t="str">
        <f>IF(All_Questions_Q_MS_EXPORT_CT="(None)","",IFERROR(INDEX(INDIRECT(IFERROR(INDEX(All_Questions_Options_Names,MATCH(All_Questions_Q_MS_EXPORT_CT,All_Questions,0)),"'_Options'!$E$2:$E$2")),6),""))</f>
        <v/>
      </c>
      <c r="L16" s="2" t="str">
        <f>IF(All_Questions_Q_MS_EXPORT_CT="(None)","",IFERROR(INDEX(INDIRECT(IFERROR(INDEX(All_Questions_Options_Names,MATCH(All_Questions_Q_MS_EXPORT_CT,All_Questions,0)),"'_Options'!$E$2:$E$2")),7),""))</f>
        <v/>
      </c>
      <c r="M16" s="2" t="str">
        <f>IF(All_Questions_Q_MS_EXPORT_CT="(None)","",IFERROR(INDEX(INDIRECT(IFERROR(INDEX(All_Questions_Options_Names,MATCH(All_Questions_Q_MS_EXPORT_CT,All_Questions,0)),"'_Options'!$E$2:$E$2")),8),""))</f>
        <v/>
      </c>
      <c r="N16" s="2" t="str">
        <f>IF(All_Questions_Q_MS_EXPORT_CT="(None)","",IFERROR(INDEX(INDIRECT(IFERROR(INDEX(All_Questions_Options_Names,MATCH(All_Questions_Q_MS_EXPORT_CT,All_Questions,0)),"'_Options'!$E$2:$E$2")),9),""))</f>
        <v/>
      </c>
      <c r="O16" s="2" t="str">
        <f>IF(All_Questions_Q_MS_EXPORT_CT="(None)","",IFERROR(INDEX(INDIRECT(IFERROR(INDEX(All_Questions_Options_Names,MATCH(All_Questions_Q_MS_EXPORT_CT,All_Questions,0)),"'_Options'!$E$2:$E$2")),10),""))</f>
        <v/>
      </c>
      <c r="P16" s="2" t="str">
        <f>IF(All_Questions_Q_MS_EXPORT_CT="(None)","",IFERROR(INDEX(INDIRECT(IFERROR(INDEX(All_Questions_Options_Names,MATCH(All_Questions_Q_MS_EXPORT_CT,All_Questions,0)),"'_Options'!$E$2:$E$2")),11),""))</f>
        <v/>
      </c>
      <c r="Q16" s="2" t="str">
        <f>IF(All_Questions_Q_MS_EXPORT_CT="(None)","",IFERROR(INDEX(INDIRECT(IFERROR(INDEX(All_Questions_Options_Names,MATCH(All_Questions_Q_MS_EXPORT_CT,All_Questions,0)),"'_Options'!$E$2:$E$2")),12),""))</f>
        <v/>
      </c>
      <c r="R1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6" s="4" t="inlineStr">
        <is>
          <t>Total</t>
        </is>
      </c>
    </row>
    <row r="17">
      <c r="A17" t="inlineStr">
        <is>
          <t>First</t>
        </is>
      </c>
      <c r="B17">
        <f>COUNTIFS(Q_MS_EXPORTr1_data,"Selected",passes_workbook_filters_data,1,passes_workbook_custom_filters_data,1,All_Questions_passes_local_filters_data,1,All_Questions_Q_MS_EXPORT_F_passes_per_q_filter_data,1)</f>
        <v>5</v>
      </c>
      <c r="C17" s="7">
        <f>IFERROR(B17/SUBTOTAL(9,B17:B18),0)</f>
        <v>0.7142857142857143</v>
      </c>
      <c r="D17" s="14">
        <f>SUBTOTAL(9,B17:B18)</f>
        <v>7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Second</t>
        </is>
      </c>
      <c r="B18">
        <f>COUNTIFS(Q_MS_EXPORTr2_data,"Selected",passes_workbook_filters_data,1,passes_workbook_custom_filters_data,1,All_Questions_passes_local_filters_data,1,All_Questions_Q_MS_EXPORT_F_passes_per_q_filter_data,1)</f>
        <v>2</v>
      </c>
      <c r="C18" s="7">
        <f>IFERROR(B18/SUBTOTAL(9,B17:B18),0)</f>
        <v>0.2857142857142857</v>
      </c>
      <c r="D18" s="14">
        <f>SUBTOTAL(9,B17:B18)</f>
        <v>7</v>
      </c>
      <c r="F18" t="inlineStr">
        <is>
          <t>First</t>
        </is>
      </c>
      <c r="G18">
        <f>IF(OR(All_Questions_Q_MS_EXPORT_CT="(None)",G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8">
        <f>IF(OR(All_Questions_Q_MS_EXPORT_CT="(None)",H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8">
        <f>IF(OR(All_Questions_Q_MS_EXPORT_CT="(None)",I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8">
        <f>IF(OR(All_Questions_Q_MS_EXPORT_CT="(None)",J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8">
        <f>IF(OR(All_Questions_Q_MS_EXPORT_CT="(None)",K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8">
        <f>IF(OR(All_Questions_Q_MS_EXPORT_CT="(None)",L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8">
        <f>IF(OR(All_Questions_Q_MS_EXPORT_CT="(None)",M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8">
        <f>IF(OR(All_Questions_Q_MS_EXPORT_CT="(None)",N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8">
        <f>IF(OR(All_Questions_Q_MS_EXPORT_CT="(None)",O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8">
        <f>IF(OR(All_Questions_Q_MS_EXPORT_CT="(None)",P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8">
        <f>IF(OR(All_Questions_Q_MS_EXPORT_CT="(None)",Q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8">
        <f>IF(OR(All_Questions_Q_MS_EXPORT_CT="(None)",R$16=""),"",IF(R$16="Other",COUNTIFS(Q_MS_EXPORTr1_data,"Selected",passes_workbook_filters_data,1,passes_workbook_custom_filters_data,1,All_Questions_passes_local_filters_data,1,All_Questions_Q_MS_EXPORT_F_passes_per_q_filter_data,1)-SUM(G18,H18,I18,J18,K18,L18,M18,N18,O18,P18,Q18)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Second</t>
        </is>
      </c>
      <c r="G19">
        <f>IF(OR(All_Questions_Q_MS_EXPORT_CT="(None)",G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9">
        <f>IF(OR(All_Questions_Q_MS_EXPORT_CT="(None)",H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9">
        <f>IF(OR(All_Questions_Q_MS_EXPORT_CT="(None)",I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9">
        <f>IF(OR(All_Questions_Q_MS_EXPORT_CT="(None)",J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9">
        <f>IF(OR(All_Questions_Q_MS_EXPORT_CT="(None)",K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9">
        <f>IF(OR(All_Questions_Q_MS_EXPORT_CT="(None)",L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9">
        <f>IF(OR(All_Questions_Q_MS_EXPORT_CT="(None)",M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9">
        <f>IF(OR(All_Questions_Q_MS_EXPORT_CT="(None)",N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9">
        <f>IF(OR(All_Questions_Q_MS_EXPORT_CT="(None)",O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9">
        <f>IF(OR(All_Questions_Q_MS_EXPORT_CT="(None)",P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9">
        <f>IF(OR(All_Questions_Q_MS_EXPORT_CT="(None)",Q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9">
        <f>IF(OR(All_Questions_Q_MS_EXPORT_CT="(None)",R$16=""),"",IF(R$16="Other",COUNTIFS(Q_MS_EXPORTr2_data,"Selected",passes_workbook_filters_data,1,passes_workbook_custom_filters_data,1,All_Questions_passes_local_filters_data,1,All_Questions_Q_MS_EXPORT_F_passes_per_q_filter_data,1)-SUM(G19,H19,I19,J19,K19,L19,M19,N19,O19,P19,Q19)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0">
      <c r="A20" s="4" t="inlineStr">
        <is>
          <t>Total responses</t>
        </is>
      </c>
      <c r="B20" s="4" t="n">
        <v>7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Q_GRID_EXPORT - Grid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IFERROR(INDEX(All_Questions_Data_Names,MATCH(All_Questions_Q_GRID_EXPORT_F_Q,All_Questions,0)),"'_RawData'!$A:$A")</f>
        <v>respondent_id_data</v>
      </c>
      <c r="G24" t="str">
        <f>"|" &amp; SUBSTITUTE(All_Questions_Q_GRID_EXPORT_F_V,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IF(All_Questions_Q_GRID_EXPORT_CT="(None)","",IFERROR(INDEX(INDIRECT(IFERROR(INDEX(All_Questions_Options_Names,MATCH(All_Questions_Q_GRID_EXPORT_CT,All_Questions,0)),"'_Options'!$E$2:$E$2")),2),""))</f>
        <v/>
      </c>
      <c r="H27" s="2" t="str">
        <f>IF(All_Questions_Q_GRID_EXPORT_CT="(None)","",IFERROR(INDEX(INDIRECT(IFERROR(INDEX(All_Questions_Options_Names,MATCH(All_Questions_Q_GRID_EXPORT_CT,All_Questions,0)),"'_Options'!$E$2:$E$2")),3),""))</f>
        <v/>
      </c>
      <c r="I27" s="2" t="str">
        <f>IF(All_Questions_Q_GRID_EXPORT_CT="(None)","",IFERROR(INDEX(INDIRECT(IFERROR(INDEX(All_Questions_Options_Names,MATCH(All_Questions_Q_GRID_EXPORT_CT,All_Questions,0)),"'_Options'!$E$2:$E$2")),4),""))</f>
        <v/>
      </c>
      <c r="J27" s="2" t="str">
        <f>IF(All_Questions_Q_GRID_EXPORT_CT="(None)","",IFERROR(INDEX(INDIRECT(IFERROR(INDEX(All_Questions_Options_Names,MATCH(All_Questions_Q_GRID_EXPORT_CT,All_Questions,0)),"'_Options'!$E$2:$E$2")),5),""))</f>
        <v/>
      </c>
      <c r="K27" s="2" t="str">
        <f>IF(All_Questions_Q_GRID_EXPORT_CT="(None)","",IFERROR(INDEX(INDIRECT(IFERROR(INDEX(All_Questions_Options_Names,MATCH(All_Questions_Q_GRID_EXPORT_CT,All_Questions,0)),"'_Options'!$E$2:$E$2")),6),""))</f>
        <v/>
      </c>
      <c r="L27" s="2" t="str">
        <f>IF(All_Questions_Q_GRID_EXPORT_CT="(None)","",IFERROR(INDEX(INDIRECT(IFERROR(INDEX(All_Questions_Options_Names,MATCH(All_Questions_Q_GRID_EXPORT_CT,All_Questions,0)),"'_Options'!$E$2:$E$2")),7),""))</f>
        <v/>
      </c>
      <c r="M27" s="2" t="str">
        <f>IF(All_Questions_Q_GRID_EXPORT_CT="(None)","",IFERROR(INDEX(INDIRECT(IFERROR(INDEX(All_Questions_Options_Names,MATCH(All_Questions_Q_GRID_EXPORT_CT,All_Questions,0)),"'_Options'!$E$2:$E$2")),8),""))</f>
        <v/>
      </c>
      <c r="N27" s="2" t="str">
        <f>IF(All_Questions_Q_GRID_EXPORT_CT="(None)","",IFERROR(INDEX(INDIRECT(IFERROR(INDEX(All_Questions_Options_Names,MATCH(All_Questions_Q_GRID_EXPORT_CT,All_Questions,0)),"'_Options'!$E$2:$E$2")),9),""))</f>
        <v/>
      </c>
      <c r="O27" s="2" t="str">
        <f>IF(All_Questions_Q_GRID_EXPORT_CT="(None)","",IFERROR(INDEX(INDIRECT(IFERROR(INDEX(All_Questions_Options_Names,MATCH(All_Questions_Q_GRID_EXPORT_CT,All_Questions,0)),"'_Options'!$E$2:$E$2")),10),""))</f>
        <v/>
      </c>
      <c r="P27" s="2" t="str">
        <f>IF(All_Questions_Q_GRID_EXPORT_CT="(None)","",IFERROR(INDEX(INDIRECT(IFERROR(INDEX(All_Questions_Options_Names,MATCH(All_Questions_Q_GRID_EXPORT_CT,All_Questions,0)),"'_Options'!$E$2:$E$2")),11),""))</f>
        <v/>
      </c>
      <c r="Q27" s="2" t="str">
        <f>IF(All_Questions_Q_GRID_EXPORT_CT="(None)","",IFERROR(INDEX(INDIRECT(IFERROR(INDEX(All_Questions_Options_Names,MATCH(All_Questions_Q_GRID_EXPORT_CT,All_Questions,0)),"'_Options'!$E$2:$E$2")),12),""))</f>
        <v/>
      </c>
      <c r="R27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27" s="4" t="inlineStr">
        <is>
          <t>Total</t>
        </is>
      </c>
    </row>
    <row r="28">
      <c r="A28" t="inlineStr">
        <is>
          <t>Grid first row</t>
        </is>
      </c>
      <c r="B28">
        <f>COUNTIFS(Q_GRID_EXPORTr1_data,"Selected",passes_workbook_filters_data,1,passes_workbook_custom_filters_data,1,All_Questions_passes_local_filters_data,1,All_Questions_Q_GRID_EXPORT_F_passes_per_q_filter_data,1)</f>
        <v>10</v>
      </c>
      <c r="C28" s="7">
        <f>IFERROR(B28/SUBTOTAL(9,B28:B29),0)</f>
        <v>0.5</v>
      </c>
      <c r="D28" s="14">
        <f>SUBTOTAL(9,B28:B29)</f>
        <v>20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Grid second row</t>
        </is>
      </c>
      <c r="B29">
        <f>COUNTIFS(Q_GRID_EXPORTr2_data,"Selected",passes_workbook_filters_data,1,passes_workbook_custom_filters_data,1,All_Questions_passes_local_filters_data,1,All_Questions_Q_GRID_EXPORT_F_passes_per_q_filter_data,1)</f>
        <v>10</v>
      </c>
      <c r="C29" s="7">
        <f>IFERROR(B29/SUBTOTAL(9,B28:B29),0)</f>
        <v>0.5</v>
      </c>
      <c r="D29" s="14">
        <f>SUBTOTAL(9,B28:B29)</f>
        <v>20</v>
      </c>
      <c r="F29" t="inlineStr">
        <is>
          <t>Grid first row</t>
        </is>
      </c>
      <c r="G29">
        <f>IF(OR(All_Questions_Q_GRID_EXPORT_CT="(None)",G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29">
        <f>IF(OR(All_Questions_Q_GRID_EXPORT_CT="(None)",H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29">
        <f>IF(OR(All_Questions_Q_GRID_EXPORT_CT="(None)",I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29">
        <f>IF(OR(All_Questions_Q_GRID_EXPORT_CT="(None)",J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29">
        <f>IF(OR(All_Questions_Q_GRID_EXPORT_CT="(None)",K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29">
        <f>IF(OR(All_Questions_Q_GRID_EXPORT_CT="(None)",L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29">
        <f>IF(OR(All_Questions_Q_GRID_EXPORT_CT="(None)",M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29">
        <f>IF(OR(All_Questions_Q_GRID_EXPORT_CT="(None)",N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29">
        <f>IF(OR(All_Questions_Q_GRID_EXPORT_CT="(None)",O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29">
        <f>IF(OR(All_Questions_Q_GRID_EXPORT_CT="(None)",P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29">
        <f>IF(OR(All_Questions_Q_GRID_EXPORT_CT="(None)",Q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29">
        <f>IF(OR(All_Questions_Q_GRID_EXPORT_CT="(None)",R$27=""),"",IF(R$27="Other",COUNTIFS(Q_GRID_EXPORTr1_data,"Selected",passes_workbook_filters_data,1,passes_workbook_custom_filters_data,1,All_Questions_passes_local_filters_data,1,All_Questions_Q_GRID_EXPORT_F_passes_per_q_filter_data,1)-SUM(G29,H29,I29,J29,K29,L29,M29,N29,O29,P29,Q29)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29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Grid second row</t>
        </is>
      </c>
      <c r="G30">
        <f>IF(OR(All_Questions_Q_GRID_EXPORT_CT="(None)",G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30">
        <f>IF(OR(All_Questions_Q_GRID_EXPORT_CT="(None)",H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30">
        <f>IF(OR(All_Questions_Q_GRID_EXPORT_CT="(None)",I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30">
        <f>IF(OR(All_Questions_Q_GRID_EXPORT_CT="(None)",J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30">
        <f>IF(OR(All_Questions_Q_GRID_EXPORT_CT="(None)",K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30">
        <f>IF(OR(All_Questions_Q_GRID_EXPORT_CT="(None)",L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30">
        <f>IF(OR(All_Questions_Q_GRID_EXPORT_CT="(None)",M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30">
        <f>IF(OR(All_Questions_Q_GRID_EXPORT_CT="(None)",N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30">
        <f>IF(OR(All_Questions_Q_GRID_EXPORT_CT="(None)",O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30">
        <f>IF(OR(All_Questions_Q_GRID_EXPORT_CT="(None)",P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30">
        <f>IF(OR(All_Questions_Q_GRID_EXPORT_CT="(None)",Q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30">
        <f>IF(OR(All_Questions_Q_GRID_EXPORT_CT="(None)",R$27=""),"",IF(R$27="Other",COUNTIFS(Q_GRID_EXPORTr2_data,"Selected",passes_workbook_filters_data,1,passes_workbook_custom_filters_data,1,All_Questions_passes_local_filters_data,1,All_Questions_Q_GRID_EXPORT_F_passes_per_q_filter_data,1)-SUM(G30,H30,I30,J30,K30,L30,M30,N30,O30,P30,Q30)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30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1">
      <c r="A31" s="4" t="inlineStr">
        <is>
          <t>Total responses</t>
        </is>
      </c>
      <c r="B31" s="4" t="n">
        <v>20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Q_VERY_LONG_SINGLE_SELECT_EXPORT_NAME - Long sheet name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IFERROR(INDEX(All_Questions_Data_Names,MATCH(All_Questions_Q_VERY_LONG_SINGLE_SELECT_EXPORT_NAME_F_Q,All_Questions,0)),"'_RawData'!$A:$A")</f>
        <v>respondent_id_data</v>
      </c>
      <c r="G35" t="str">
        <f>"|" &amp; SUBSTITUTE(All_Questions_Q_VERY_LONG_SINGLE_SELECT_EXPORT_NAME_F_V,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Option</t>
        </is>
      </c>
      <c r="B38" s="4" t="inlineStr">
        <is>
          <t>Count</t>
        </is>
      </c>
      <c r="C38" s="4" t="inlineStr">
        <is>
          <t>%</t>
        </is>
      </c>
      <c r="D38" s="4" t="inlineStr">
        <is>
          <t>Denominator</t>
        </is>
      </c>
      <c r="F38" s="4" t="inlineStr">
        <is>
          <t>Option</t>
        </is>
      </c>
      <c r="G3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3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3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3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3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3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3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3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3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3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3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3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38" s="4" t="inlineStr">
        <is>
          <t>Total</t>
        </is>
      </c>
    </row>
    <row r="39">
      <c r="A39" t="inlineStr">
        <is>
          <t>A</t>
        </is>
      </c>
      <c r="B3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39" s="7">
        <f>IFERROR(B39/SUBTOTAL(9,B39:B40),0)</f>
        <v>0.7</v>
      </c>
      <c r="D39" s="14">
        <f>SUBTOTAL(9,B39:B40)</f>
        <v>10</v>
      </c>
      <c r="F39" s="4" t="inlineStr"/>
      <c r="G39" s="4" t="inlineStr">
        <is>
          <t># of resp</t>
        </is>
      </c>
      <c r="H39" s="4" t="inlineStr">
        <is>
          <t># of resp</t>
        </is>
      </c>
      <c r="I39" s="4" t="inlineStr">
        <is>
          <t># of resp</t>
        </is>
      </c>
      <c r="J39" s="4" t="inlineStr">
        <is>
          <t># of resp</t>
        </is>
      </c>
      <c r="K39" s="4" t="inlineStr">
        <is>
          <t># of resp</t>
        </is>
      </c>
      <c r="L39" s="4" t="inlineStr">
        <is>
          <t># of resp</t>
        </is>
      </c>
      <c r="M39" s="4" t="inlineStr">
        <is>
          <t># of resp</t>
        </is>
      </c>
      <c r="N39" s="4" t="inlineStr">
        <is>
          <t># of resp</t>
        </is>
      </c>
      <c r="O39" s="4" t="inlineStr">
        <is>
          <t># of resp</t>
        </is>
      </c>
      <c r="P39" s="4" t="inlineStr">
        <is>
          <t># of resp</t>
        </is>
      </c>
      <c r="Q39" s="4" t="inlineStr">
        <is>
          <t># of resp</t>
        </is>
      </c>
      <c r="R39" s="4" t="inlineStr">
        <is>
          <t># of resp</t>
        </is>
      </c>
      <c r="S39" s="4" t="inlineStr">
        <is>
          <t># of resp</t>
        </is>
      </c>
    </row>
    <row r="40">
      <c r="A40" t="inlineStr">
        <is>
          <t>B</t>
        </is>
      </c>
      <c r="B4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0" s="7">
        <f>IFERROR(B40/SUBTOTAL(9,B39:B40),0)</f>
        <v>0.3</v>
      </c>
      <c r="D40" s="14">
        <f>SUBTOTAL(9,B39:B40)</f>
        <v>10</v>
      </c>
      <c r="F40" t="inlineStr">
        <is>
          <t>A</t>
        </is>
      </c>
      <c r="G40">
        <f>IF(OR(All_Questions_Q_VERY_LONG_SINGLE_SELECT_EXPORT_NAME_CT="(None)",G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0">
        <f>IF(OR(All_Questions_Q_VERY_LONG_SINGLE_SELECT_EXPORT_NAME_CT="(None)",H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0">
        <f>IF(OR(All_Questions_Q_VERY_LONG_SINGLE_SELECT_EXPORT_NAME_CT="(None)",I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0">
        <f>IF(OR(All_Questions_Q_VERY_LONG_SINGLE_SELECT_EXPORT_NAME_CT="(None)",J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0">
        <f>IF(OR(All_Questions_Q_VERY_LONG_SINGLE_SELECT_EXPORT_NAME_CT="(None)",K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0">
        <f>IF(OR(All_Questions_Q_VERY_LONG_SINGLE_SELECT_EXPORT_NAME_CT="(None)",L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0">
        <f>IF(OR(All_Questions_Q_VERY_LONG_SINGLE_SELECT_EXPORT_NAME_CT="(None)",M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0">
        <f>IF(OR(All_Questions_Q_VERY_LONG_SINGLE_SELECT_EXPORT_NAME_CT="(None)",N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0">
        <f>IF(OR(All_Questions_Q_VERY_LONG_SINGLE_SELECT_EXPORT_NAME_CT="(None)",O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0">
        <f>IF(OR(All_Questions_Q_VERY_LONG_SINGLE_SELECT_EXPORT_NAME_CT="(None)",P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0">
        <f>IF(OR(All_Questions_Q_VERY_LONG_SINGLE_SELECT_EXPORT_NAME_CT="(None)",Q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0">
        <f>IF(OR(All_Questions_Q_VERY_LONG_SINGLE_SELECT_EXPORT_NAME_CT="(None)",R$38=""),"",IF(R$38="Other",COUNTIFS(Q_VERY_LONG_SINGLE_SELECT_EXPOR_data,"A",passes_workbook_filters_data,1,passes_workbook_custom_filters_data,1,All_Questions_passes_local_filters_data,1,All_Questions_Q_VERY_LONG_SINGLE_SELECT_EXPORT_NAME_F_passes_per_q_filter_data,1)-SUM(G40,H40,I40,J40,K40,L40,M40,N40,O40,P40,Q40)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1">
      <c r="A41" s="15" t="inlineStr">
        <is>
          <t>Total respondents</t>
        </is>
      </c>
      <c r="B41" s="15" t="n">
        <v>10</v>
      </c>
      <c r="C41" s="15" t="n"/>
      <c r="D41" s="15" t="n"/>
      <c r="F41" t="inlineStr">
        <is>
          <t>B</t>
        </is>
      </c>
      <c r="G41">
        <f>IF(OR(All_Questions_Q_VERY_LONG_SINGLE_SELECT_EXPORT_NAME_CT="(None)",G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1">
        <f>IF(OR(All_Questions_Q_VERY_LONG_SINGLE_SELECT_EXPORT_NAME_CT="(None)",H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1">
        <f>IF(OR(All_Questions_Q_VERY_LONG_SINGLE_SELECT_EXPORT_NAME_CT="(None)",I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1">
        <f>IF(OR(All_Questions_Q_VERY_LONG_SINGLE_SELECT_EXPORT_NAME_CT="(None)",J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1">
        <f>IF(OR(All_Questions_Q_VERY_LONG_SINGLE_SELECT_EXPORT_NAME_CT="(None)",K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1">
        <f>IF(OR(All_Questions_Q_VERY_LONG_SINGLE_SELECT_EXPORT_NAME_CT="(None)",L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1">
        <f>IF(OR(All_Questions_Q_VERY_LONG_SINGLE_SELECT_EXPORT_NAME_CT="(None)",M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1">
        <f>IF(OR(All_Questions_Q_VERY_LONG_SINGLE_SELECT_EXPORT_NAME_CT="(None)",N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1">
        <f>IF(OR(All_Questions_Q_VERY_LONG_SINGLE_SELECT_EXPORT_NAME_CT="(None)",O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1">
        <f>IF(OR(All_Questions_Q_VERY_LONG_SINGLE_SELECT_EXPORT_NAME_CT="(None)",P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1">
        <f>IF(OR(All_Questions_Q_VERY_LONG_SINGLE_SELECT_EXPORT_NAME_CT="(None)",Q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1">
        <f>IF(OR(All_Questions_Q_VERY_LONG_SINGLE_SELECT_EXPORT_NAME_CT="(None)",R$38=""),"",IF(R$38="Other",COUNTIFS(Q_VERY_LONG_SINGLE_SELECT_EXPOR_data,"B",passes_workbook_filters_data,1,passes_workbook_custom_filters_data,1,All_Questions_passes_local_filters_data,1,All_Questions_Q_VERY_LONG_SINGLE_SELECT_EXPORT_NAME_F_passes_per_q_filter_data,1)-SUM(G41,H41,I41,J41,K41,L41,M41,N41,O41,P41,Q41)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2">
      <c r="F42" s="4" t="inlineStr">
        <is>
          <t>Total respondents</t>
        </is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9:B4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9:C4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0:N4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0:P4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0:Q4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0:R4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2026-05-28T06:06:35Z</dcterms:created>
  <dcterms:modified xmlns:dcterms="http://purl.org/dc/terms/" xmlns:xsi="http://www.w3.org/2001/XMLSchema-instance" xsi:type="dcterms:W3CDTF">2026-05-28T06:06:38Z</dcterms:modified>
</cp:coreProperties>
</file>