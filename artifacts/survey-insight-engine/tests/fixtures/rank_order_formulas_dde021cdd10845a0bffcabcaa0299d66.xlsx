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resolved_criteria">'All Questions'!$H$13</definedName>
    <definedName name="All_Questions_Q43_F_passes_per_q_filter_data">'_RawData'!$I$2:$I$5</definedName>
    <definedName name="All_Questions_Q43_CT">'All Questions'!$C$14</definedName>
    <definedName name="All_Questions_Q43_PTS">'All Questions'!$C$16:$C$17</definedName>
    <definedName name="All_Questions_Q43_RM">'All Questions'!$Q$27</definedName>
    <definedName name="All_Questions_Q43_RP">'All Questions'!$Q$28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1" i="7"/>
  <c r="D21" i="7"/>
  <c r="E21" i="7"/>
  <c r="F21" i="7"/>
  <c r="G21" i="7"/>
  <c r="C22" i="7"/>
  <c r="D22" i="7"/>
  <c r="E22" i="7"/>
  <c r="F22" i="7"/>
  <c r="G22" i="7"/>
  <c r="B23" i="7"/>
  <c r="B24" i="7"/>
  <c r="C25" i="7"/>
  <c r="B27" i="7"/>
  <c r="C27" i="7"/>
  <c r="D27" i="7"/>
  <c r="E27" i="7"/>
  <c r="F27" i="7"/>
  <c r="G27" i="7"/>
  <c r="H27" i="7"/>
  <c r="I27" i="7"/>
  <c r="J27" i="7"/>
  <c r="K27" i="7"/>
  <c r="L27" i="7"/>
  <c r="M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N31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("|" &amp; SUBSTITUTE(All_Questions_Q43_F_resolved_criteria, ", ", "|") &amp; "|"))),1,0),0))*1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("|" &amp; SUBSTITUTE(All_Questions_Q43_F_resolved_criteria, ", ", "|") &amp; "|"))),1,0),0))*1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("|" &amp; SUBSTITUTE(All_Questions_Q43_F_resolved_criteria, ", ", "|") &amp; "|"))),1,0),0))*1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("|" &amp; SUBSTITUTE(All_Questions_Q43_F_resolved_criteria,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1</t>
        </is>
      </c>
      <c r="G3" t="inlineStr">
        <is>
          <t>2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</row>
    <row r="5">
      <c r="H5" t="inlineStr">
        <is>
          <t>2</t>
        </is>
      </c>
      <c r="I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IFERROR(INDEX(All_Questions_Value_Data_Names,MATCH(All_Questions_Q43_F_Q&amp;"|"&amp;All_Questions_Q43_F_V,All_Questions_Value_Keys,0)),IFERROR(INDEX(All_Questions_Data_Names,MATCH(All_Questions_Q43_F_Q,All_Questions,0)),"'_RawData'!$A:$A"))</f>
        <v>respondent_id_data</v>
      </c>
      <c r="G13" t="str">
        <f>"|" &amp; SUBSTITUTE(All_Questions_Q43_F_V, ", ", "|") &amp; "|"</f>
        <v>|(All)|</v>
      </c>
      <c r="H13" t="str">
        <f>IFERROR(INDEX(All_Questions_Value_Criteria,MATCH(All_Questions_Q43_F_Q&amp;"|"&amp;All_Questions_Q43_F_V,All_Questions_Value_Keys,0)),All_Questions_Q43_F_V)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2</v>
      </c>
    </row>
    <row r="17">
      <c r="A17" s="15" t="n"/>
      <c r="B17" s="15" t="inlineStr">
        <is>
          <t>Rank 2</t>
        </is>
      </c>
      <c r="C17" s="16" t="n">
        <v>1</v>
      </c>
    </row>
    <row r="18"/>
    <row r="19">
      <c r="A19" s="4" t="inlineStr">
        <is>
          <t>Option ID</t>
        </is>
      </c>
      <c r="B19" s="4" t="inlineStr">
        <is>
          <t>Option</t>
        </is>
      </c>
      <c r="C19" s="4" t="inlineStr">
        <is>
          <t>Weighted Average</t>
        </is>
      </c>
      <c r="D19" s="4" t="inlineStr">
        <is>
          <t>1</t>
        </is>
      </c>
      <c r="E19" s="2" t="n"/>
      <c r="F19" s="4" t="inlineStr">
        <is>
          <t>2</t>
        </is>
      </c>
      <c r="G19" s="2" t="n"/>
    </row>
    <row r="20">
      <c r="A20" s="2" t="n"/>
      <c r="B20" s="2" t="n"/>
      <c r="C20" s="4" t="inlineStr">
        <is>
          <t>0-K</t>
        </is>
      </c>
      <c r="D20" s="4" t="inlineStr">
        <is>
          <t># of respondents</t>
        </is>
      </c>
      <c r="E20" s="4" t="inlineStr">
        <is>
          <t>% of respondents</t>
        </is>
      </c>
      <c r="F20" s="4" t="inlineStr">
        <is>
          <t># of respondents</t>
        </is>
      </c>
      <c r="G20" s="4" t="inlineStr">
        <is>
          <t>% of respondents</t>
        </is>
      </c>
    </row>
    <row r="21">
      <c r="A21" s="17" t="inlineStr">
        <is>
          <t>Q43r1</t>
        </is>
      </c>
      <c r="B21" t="inlineStr">
        <is>
          <t>Criterion A</t>
        </is>
      </c>
      <c r="C21" s="18">
        <f>IFERROR((INDEX(All_Questions_Q43_PTS,1)*COUNTIFS(Q43r1_data,"1",passes_workbook_filters_data,1,passes_workbook_custom_filters_data,1,All_Questions_passes_local_filters_data,1,All_Questions_Q43_F_passes_per_q_filter_data,1) + INDEX(All_Questions_Q43_PTS,2)*COUNTIFS(Q43r1_data,"2",passes_workbook_filters_data,1,passes_workbook_custom_filters_data,1,All_Questions_passes_local_filters_data,1,All_Questions_Q43_F_passes_per_q_filter_data,1))/$B$23,0)</f>
        <v>1.25</v>
      </c>
      <c r="D21" s="19">
        <f>COUNTIFS(Q43r1_data,"1",passes_workbook_filters_data,1,passes_workbook_custom_filters_data,1,All_Questions_passes_local_filters_data,1,All_Questions_Q43_F_passes_per_q_filter_data,1)</f>
        <v>2</v>
      </c>
      <c r="E21" s="7">
        <f>IFERROR(D21/$B$23,0)</f>
        <v>0.5</v>
      </c>
      <c r="F21" s="19">
        <f>COUNTIFS(Q43r1_data,"2",passes_workbook_filters_data,1,passes_workbook_custom_filters_data,1,All_Questions_passes_local_filters_data,1,All_Questions_Q43_F_passes_per_q_filter_data,1)</f>
        <v>1</v>
      </c>
      <c r="G21" s="7">
        <f>IFERROR(F21/$B$23,0)</f>
        <v>0.25</v>
      </c>
    </row>
    <row r="22">
      <c r="A22" s="17" t="inlineStr">
        <is>
          <t>Q43r2</t>
        </is>
      </c>
      <c r="B22" t="inlineStr">
        <is>
          <t>Criterion B</t>
        </is>
      </c>
      <c r="C22" s="18">
        <f>IFERROR((INDEX(All_Questions_Q43_PTS,1)*COUNTIFS(Q43r2_data,"1",passes_workbook_filters_data,1,passes_workbook_custom_filters_data,1,All_Questions_passes_local_filters_data,1,All_Questions_Q43_F_passes_per_q_filter_data,1) + INDEX(All_Questions_Q43_PTS,2)*COUNTIFS(Q43r2_data,"2",passes_workbook_filters_data,1,passes_workbook_custom_filters_data,1,All_Questions_passes_local_filters_data,1,All_Questions_Q43_F_passes_per_q_filter_data,1))/$B$23,0)</f>
        <v>1.25</v>
      </c>
      <c r="D22" s="19">
        <f>COUNTIFS(Q43r2_data,"1",passes_workbook_filters_data,1,passes_workbook_custom_filters_data,1,All_Questions_passes_local_filters_data,1,All_Questions_Q43_F_passes_per_q_filter_data,1)</f>
        <v>2</v>
      </c>
      <c r="E22" s="7">
        <f>IFERROR(D22/$B$23,0)</f>
        <v>0.5</v>
      </c>
      <c r="F22" s="19">
        <f>COUNTIFS(Q43r2_data,"2",passes_workbook_filters_data,1,passes_workbook_custom_filters_data,1,All_Questions_passes_local_filters_data,1,All_Questions_Q43_F_passes_per_q_filter_data,1)</f>
        <v>1</v>
      </c>
      <c r="G22" s="7">
        <f>IFERROR(F22/$B$23,0)</f>
        <v>0.25</v>
      </c>
    </row>
    <row r="23">
      <c r="A23" s="20" t="inlineStr">
        <is>
          <t>Total respondents</t>
        </is>
      </c>
      <c r="B23" s="21">
        <f>SUMPRODUCT(--((--(Q43r1_data&lt;&gt;"")+--(Q43r2_data&lt;&gt;""))&gt;0),--(passes_workbook_filters_data=1),--(passes_workbook_custom_filters_data=1),--(All_Questions_passes_local_filters_data=1),--(All_Questions_Q43_F_passes_per_q_filter_data=1))</f>
        <v>4</v>
      </c>
      <c r="C23" s="20" t="n"/>
      <c r="D23" s="20" t="n"/>
      <c r="E23" s="20" t="n"/>
      <c r="F23" s="20" t="n"/>
      <c r="G23" s="20" t="n"/>
    </row>
    <row r="24">
      <c r="A24" s="4" t="inlineStr">
        <is>
          <t>Total responses</t>
        </is>
      </c>
      <c r="B24" s="22">
        <f>SUM(D21,F21,D22,F22)</f>
        <v>6</v>
      </c>
      <c r="C24" s="4" t="n"/>
      <c r="D24" s="4" t="n"/>
      <c r="E24" s="4" t="n"/>
      <c r="F24" s="4" t="n"/>
      <c r="G24" s="4" t="n"/>
    </row>
    <row r="25">
      <c r="B25" s="5" t="inlineStr">
        <is>
          <t>QC check</t>
        </is>
      </c>
      <c r="C25">
        <f>B24=SUM(D21,F21,D22,F22)</f>
        <v>1</v>
      </c>
    </row>
    <row r="26"/>
    <row r="27">
      <c r="A27" s="4" t="inlineStr">
        <is>
          <t>Option</t>
        </is>
      </c>
      <c r="B27" s="2" t="str">
        <f>IF(All_Questions_Q43_CT="(None)","",IFERROR(INDEX(INDIRECT(IFERROR(INDEX(Cross_Tab_Questions_Options_Names,MATCH(All_Questions_Q43_CT,Cross_Tab_Questions,0)),"'_Options'!$E$2:$E$2")),2),""))</f>
        <v/>
      </c>
      <c r="C27" s="2" t="str">
        <f>IF(All_Questions_Q43_CT="(None)","",IFERROR(INDEX(INDIRECT(IFERROR(INDEX(Cross_Tab_Questions_Options_Names,MATCH(All_Questions_Q43_CT,Cross_Tab_Questions,0)),"'_Options'!$E$2:$E$2")),3),""))</f>
        <v/>
      </c>
      <c r="D27" s="2" t="str">
        <f>IF(All_Questions_Q43_CT="(None)","",IFERROR(INDEX(INDIRECT(IFERROR(INDEX(Cross_Tab_Questions_Options_Names,MATCH(All_Questions_Q43_CT,Cross_Tab_Questions,0)),"'_Options'!$E$2:$E$2")),4),""))</f>
        <v/>
      </c>
      <c r="E27" s="2" t="str">
        <f>IF(All_Questions_Q43_CT="(None)","",IFERROR(INDEX(INDIRECT(IFERROR(INDEX(Cross_Tab_Questions_Options_Names,MATCH(All_Questions_Q43_CT,Cross_Tab_Questions,0)),"'_Options'!$E$2:$E$2")),5),""))</f>
        <v/>
      </c>
      <c r="F27" s="2" t="str">
        <f>IF(All_Questions_Q43_CT="(None)","",IFERROR(INDEX(INDIRECT(IFERROR(INDEX(Cross_Tab_Questions_Options_Names,MATCH(All_Questions_Q43_CT,Cross_Tab_Questions,0)),"'_Options'!$E$2:$E$2")),6),""))</f>
        <v/>
      </c>
      <c r="G27" s="2" t="str">
        <f>IF(All_Questions_Q43_CT="(None)","",IFERROR(INDEX(INDIRECT(IFERROR(INDEX(Cross_Tab_Questions_Options_Names,MATCH(All_Questions_Q43_CT,Cross_Tab_Questions,0)),"'_Options'!$E$2:$E$2")),7),""))</f>
        <v/>
      </c>
      <c r="H27" s="2" t="str">
        <f>IF(All_Questions_Q43_CT="(None)","",IFERROR(INDEX(INDIRECT(IFERROR(INDEX(Cross_Tab_Questions_Options_Names,MATCH(All_Questions_Q43_CT,Cross_Tab_Questions,0)),"'_Options'!$E$2:$E$2")),8),""))</f>
        <v/>
      </c>
      <c r="I27" s="2" t="str">
        <f>IF(All_Questions_Q43_CT="(None)","",IFERROR(INDEX(INDIRECT(IFERROR(INDEX(Cross_Tab_Questions_Options_Names,MATCH(All_Questions_Q43_CT,Cross_Tab_Questions,0)),"'_Options'!$E$2:$E$2")),9),""))</f>
        <v/>
      </c>
      <c r="J27" s="2" t="str">
        <f>IF(All_Questions_Q43_CT="(None)","",IFERROR(INDEX(INDIRECT(IFERROR(INDEX(Cross_Tab_Questions_Options_Names,MATCH(All_Questions_Q43_CT,Cross_Tab_Questions,0)),"'_Options'!$E$2:$E$2")),10),""))</f>
        <v/>
      </c>
      <c r="K27" s="2" t="str">
        <f>IF(All_Questions_Q43_CT="(None)","",IFERROR(INDEX(INDIRECT(IFERROR(INDEX(Cross_Tab_Questions_Options_Names,MATCH(All_Questions_Q43_CT,Cross_Tab_Questions,0)),"'_Options'!$E$2:$E$2")),11),""))</f>
        <v/>
      </c>
      <c r="L27" s="2" t="str">
        <f>IF(All_Questions_Q43_CT="(None)","",IFERROR(INDEX(INDIRECT(IFERROR(INDEX(Cross_Tab_Questions_Options_Names,MATCH(All_Questions_Q43_CT,Cross_Tab_Questions,0)),"'_Options'!$E$2:$E$2")),12),""))</f>
        <v/>
      </c>
      <c r="M27" s="2" t="str">
        <f>IF(All_Questions_Q43_CT="(None)","",IF(COUNTA(INDIRECT(IFERROR(INDEX(Cross_Tab_Questions_Options_Names,MATCH(All_Questions_Q43_CT,Cross_Tab_Questions,0)),"'_Options'!$E$2:$E$2")))-1&gt;11,"Other",IFERROR(INDEX(INDIRECT(IFERROR(INDEX(Cross_Tab_Questions_Options_Names,MATCH(All_Questions_Q43_CT,Cross_Tab_Questions,0)),"'_Options'!$E$2:$E$2")),13),"")))</f>
        <v/>
      </c>
      <c r="N27" s="4" t="inlineStr">
        <is>
          <t>Total</t>
        </is>
      </c>
      <c r="P27" s="14" t="inlineStr">
        <is>
          <t>Rank metric</t>
        </is>
      </c>
      <c r="Q27" s="15" t="inlineStr">
        <is>
          <t>Weighted Average</t>
        </is>
      </c>
    </row>
    <row r="28">
      <c r="A28" s="4" t="inlineStr"/>
      <c r="B28" s="4" t="str">
        <f>IF(All_Questions_Q43_RM="Sum of ranks","Sum of ranks",IF(All_Questions_Q43_RM="Rank position count","Rank position count","Weighted Average"))</f>
        <v>Weighted Average</v>
      </c>
      <c r="C28" s="4" t="str">
        <f>IF(All_Questions_Q43_RM="Sum of ranks","Sum of ranks",IF(All_Questions_Q43_RM="Rank position count","Rank position count","Weighted Average"))</f>
        <v>Weighted Average</v>
      </c>
      <c r="D28" s="4" t="str">
        <f>IF(All_Questions_Q43_RM="Sum of ranks","Sum of ranks",IF(All_Questions_Q43_RM="Rank position count","Rank position count","Weighted Average"))</f>
        <v>Weighted Average</v>
      </c>
      <c r="E28" s="4" t="str">
        <f>IF(All_Questions_Q43_RM="Sum of ranks","Sum of ranks",IF(All_Questions_Q43_RM="Rank position count","Rank position count","Weighted Average"))</f>
        <v>Weighted Average</v>
      </c>
      <c r="F28" s="4" t="str">
        <f>IF(All_Questions_Q43_RM="Sum of ranks","Sum of ranks",IF(All_Questions_Q43_RM="Rank position count","Rank position count","Weighted Average"))</f>
        <v>Weighted Average</v>
      </c>
      <c r="G28" s="4" t="str">
        <f>IF(All_Questions_Q43_RM="Sum of ranks","Sum of ranks",IF(All_Questions_Q43_RM="Rank position count","Rank position count","Weighted Average"))</f>
        <v>Weighted Average</v>
      </c>
      <c r="H28" s="4" t="str">
        <f>IF(All_Questions_Q43_RM="Sum of ranks","Sum of ranks",IF(All_Questions_Q43_RM="Rank position count","Rank position count","Weighted Average"))</f>
        <v>Weighted Average</v>
      </c>
      <c r="I28" s="4" t="str">
        <f>IF(All_Questions_Q43_RM="Sum of ranks","Sum of ranks",IF(All_Questions_Q43_RM="Rank position count","Rank position count","Weighted Average"))</f>
        <v>Weighted Average</v>
      </c>
      <c r="J28" s="4" t="str">
        <f>IF(All_Questions_Q43_RM="Sum of ranks","Sum of ranks",IF(All_Questions_Q43_RM="Rank position count","Rank position count","Weighted Average"))</f>
        <v>Weighted Average</v>
      </c>
      <c r="K28" s="4" t="str">
        <f>IF(All_Questions_Q43_RM="Sum of ranks","Sum of ranks",IF(All_Questions_Q43_RM="Rank position count","Rank position count","Weighted Average"))</f>
        <v>Weighted Average</v>
      </c>
      <c r="L28" s="4" t="str">
        <f>IF(All_Questions_Q43_RM="Sum of ranks","Sum of ranks",IF(All_Questions_Q43_RM="Rank position count","Rank position count","Weighted Average"))</f>
        <v>Weighted Average</v>
      </c>
      <c r="M28" s="4" t="str">
        <f>IF(All_Questions_Q43_RM="Sum of ranks","Sum of ranks",IF(All_Questions_Q43_RM="Rank position count","Rank position count","Weighted Average"))</f>
        <v>Weighted Average</v>
      </c>
      <c r="N28" s="4" t="str">
        <f>IF(All_Questions_Q43_RM="Sum of ranks","Sum of ranks",IF(All_Questions_Q43_RM="Rank position count","Rank position count","Weighted Average"))</f>
        <v>Weighted Average</v>
      </c>
      <c r="P28" s="14" t="inlineStr">
        <is>
          <t>Rank position</t>
        </is>
      </c>
      <c r="Q28" s="15" t="n">
        <v>1</v>
      </c>
    </row>
    <row r="29">
      <c r="A29" t="inlineStr">
        <is>
          <t>Criterion A</t>
        </is>
      </c>
      <c r="B29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29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2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29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29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2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29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29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29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29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29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29">
        <f>IF(All_Questions_Q43_CT="(None)","",IF(All_Questions_Q43_RM="Sum of ranks",IFERROR(SUMIFS(Q43r1_data,Q43r1_data,"&gt;=1",passes_workbook_filters_data,1,passes_workbook_custom_filters_data,1,All_Questions_passes_local_filters_data,1,All_Questions_Q43_F_passes_per_q_filter_data,1),""),IF(All_Questions_Q43_RM="Rank position count",IFERROR(COUNTIFS(Q43r1_data,All_Questions_Q43_RP,passes_workbook_filters_data,1,passes_workbook_custom_filters_data,1,All_Questions_passes_local_filters_data,1,All_Questions_Q43_F_passes_per_q_filter_data,1),""),IFERROR((INDEX(All_Questions_Q43_PTS,1)*COUNTIFS(Q43r1_data,1,passes_workbook_filters_data,1,passes_workbook_custom_filters_data,1,All_Questions_passes_local_filters_data,1,All_Questions_Q43_F_passes_per_q_filter_data,1) + INDEX(All_Questions_Q43_PTS,2)*COUNTIFS(Q43r1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0">
      <c r="A30" t="inlineStr">
        <is>
          <t>Criterion B</t>
        </is>
      </c>
      <c r="B3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1.25</v>
      </c>
      <c r="C30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1.25</v>
      </c>
      <c r="D30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1.25</v>
      </c>
      <c r="E30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1.25</v>
      </c>
      <c r="F3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1.25</v>
      </c>
      <c r="G30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1.25</v>
      </c>
      <c r="H30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1.25</v>
      </c>
      <c r="I3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1.25</v>
      </c>
      <c r="J30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1.25</v>
      </c>
      <c r="K30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1.25</v>
      </c>
      <c r="L3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1.25</v>
      </c>
      <c r="M30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1.25</v>
      </c>
      <c r="N30">
        <f>IF(All_Questions_Q43_CT="(None)","",IF(All_Questions_Q43_RM="Sum of ranks",IFERROR(SUMIFS(Q43r2_data,Q43r2_data,"&gt;=1",passes_workbook_filters_data,1,passes_workbook_custom_filters_data,1,All_Questions_passes_local_filters_data,1,All_Questions_Q43_F_passes_per_q_filter_data,1),""),IF(All_Questions_Q43_RM="Rank position count",IFERROR(COUNTIFS(Q43r2_data,All_Questions_Q43_RP,passes_workbook_filters_data,1,passes_workbook_custom_filters_data,1,All_Questions_passes_local_filters_data,1,All_Questions_Q43_F_passes_per_q_filter_data,1),""),IFERROR((INDEX(All_Questions_Q43_PTS,1)*COUNTIFS(Q43r2_data,1,passes_workbook_filters_data,1,passes_workbook_custom_filters_data,1,All_Questions_passes_local_filters_data,1,All_Questions_Q43_F_passes_per_q_filter_data,1) + INDEX(All_Questions_Q43_PTS,2)*COUNTIFS(Q43r2_data,2,passes_workbook_filters_data,1,passes_workbook_custom_filters_data,1,All_Questions_passes_local_filters_data,1,All_Questions_Q43_F_passes_per_q_filter_data,1))/SUMPRODUCT(--((--(Q43r1_data&lt;&gt;"")+--(Q43r2_data&lt;&gt;""))&gt;0),--(passes_workbook_filters_data=1),--(passes_workbook_custom_filters_data=1),--(All_Questions_passes_local_filters_data=1),--(All_Questions_Q43_F_passes_per_q_filter_data=1)),""))))</f>
        <v>1.25</v>
      </c>
    </row>
    <row r="31">
      <c r="A31" s="4" t="inlineStr">
        <is>
          <t>Total respondents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</row>
  </sheetData>
  <mergeCells count="3">
    <mergeCell ref="A1:J1"/>
    <mergeCell ref="F19:G19"/>
    <mergeCell ref="D19:E19"/>
  </mergeCells>
  <conditionalFormatting sqref="E21:E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1:G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1:C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Q27" showDropDown="0" showInputMessage="0" showErrorMessage="0" allowBlank="0" type="list">
      <formula1>"Weighted Average,Sum of ranks,Rank position count"</formula1>
    </dataValidation>
    <dataValidation sqref="Q28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B$27</t>
        </is>
      </c>
      <c r="H2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2" t="n">
        <v>1.25</v>
      </c>
      <c r="J2" t="n">
        <v>0</v>
      </c>
      <c r="K2" t="n">
        <v>0</v>
      </c>
      <c r="L2" t="inlineStr">
        <is>
          <t>2026-06-09T11:24:08.438387+00:00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B$27</t>
        </is>
      </c>
      <c r="H3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" t="n">
        <v>1.25</v>
      </c>
      <c r="J3" t="n">
        <v>0</v>
      </c>
      <c r="K3" t="n">
        <v>0</v>
      </c>
      <c r="L3" t="inlineStr">
        <is>
          <t>2026-06-09T11:24:08.438460+00:00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B$27</t>
        </is>
      </c>
      <c r="H4">
        <f>IF(OR(All_Questions_Q43_CT="(None)",B$27=""),"",IF(B$27="Other","",IF(All_Questions_Q43_RM="Sum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" t="n">
        <v>1.25</v>
      </c>
      <c r="J4" t="n">
        <v>0</v>
      </c>
      <c r="K4" t="n">
        <v>0</v>
      </c>
      <c r="L4" t="inlineStr">
        <is>
          <t>2026-06-09T11:24:08.438497+00:00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C$27</t>
        </is>
      </c>
      <c r="H5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5" t="n">
        <v>1.25</v>
      </c>
      <c r="J5" t="n">
        <v>0</v>
      </c>
      <c r="K5" t="n">
        <v>0</v>
      </c>
      <c r="L5" t="inlineStr">
        <is>
          <t>2026-06-09T11:24:08.438843+00:00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C$27</t>
        </is>
      </c>
      <c r="H6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6" t="n">
        <v>1.25</v>
      </c>
      <c r="J6" t="n">
        <v>0</v>
      </c>
      <c r="K6" t="n">
        <v>0</v>
      </c>
      <c r="L6" t="inlineStr">
        <is>
          <t>2026-06-09T11:24:08.438884+00:00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C$27</t>
        </is>
      </c>
      <c r="H7">
        <f>IF(OR(All_Questions_Q43_CT="(None)",C$27=""),"",IF(C$27="Other","",IF(All_Questions_Q43_RM="Sum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7" t="n">
        <v>1.25</v>
      </c>
      <c r="J7" t="n">
        <v>0</v>
      </c>
      <c r="K7" t="n">
        <v>0</v>
      </c>
      <c r="L7" t="inlineStr">
        <is>
          <t>2026-06-09T11:24:08.438970+00:00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D$27</t>
        </is>
      </c>
      <c r="H8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8" t="n">
        <v>1.25</v>
      </c>
      <c r="J8" t="n">
        <v>0</v>
      </c>
      <c r="K8" t="n">
        <v>0</v>
      </c>
      <c r="L8" t="inlineStr">
        <is>
          <t>2026-06-09T11:24:08.439325+00:00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D$27</t>
        </is>
      </c>
      <c r="H9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9" t="n">
        <v>1.25</v>
      </c>
      <c r="J9" t="n">
        <v>0</v>
      </c>
      <c r="K9" t="n">
        <v>0</v>
      </c>
      <c r="L9" t="inlineStr">
        <is>
          <t>2026-06-09T11:24:08.439366+00:00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D$27</t>
        </is>
      </c>
      <c r="H10">
        <f>IF(OR(All_Questions_Q43_CT="(None)",D$27=""),"",IF(D$27="Other","",IF(All_Questions_Q43_RM="Sum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10" t="n">
        <v>1.25</v>
      </c>
      <c r="J10" t="n">
        <v>0</v>
      </c>
      <c r="K10" t="n">
        <v>0</v>
      </c>
      <c r="L10" t="inlineStr">
        <is>
          <t>2026-06-09T11:24:08.439401+00:00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E$27</t>
        </is>
      </c>
      <c r="H11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1" t="n">
        <v>1.25</v>
      </c>
      <c r="J11" t="n">
        <v>0</v>
      </c>
      <c r="K11" t="n">
        <v>0</v>
      </c>
      <c r="L11" t="inlineStr">
        <is>
          <t>2026-06-09T11:24:08.439742+00:00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E$27</t>
        </is>
      </c>
      <c r="H12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2" t="n">
        <v>1.25</v>
      </c>
      <c r="J12" t="n">
        <v>0</v>
      </c>
      <c r="K12" t="n">
        <v>0</v>
      </c>
      <c r="L12" t="inlineStr">
        <is>
          <t>2026-06-09T11:24:08.439780+00:00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E$27</t>
        </is>
      </c>
      <c r="H13">
        <f>IF(OR(All_Questions_Q43_CT="(None)",E$27=""),"",IF(E$27="Other","",IF(All_Questions_Q43_RM="Sum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13" t="n">
        <v>1.25</v>
      </c>
      <c r="J13" t="n">
        <v>0</v>
      </c>
      <c r="K13" t="n">
        <v>0</v>
      </c>
      <c r="L13" t="inlineStr">
        <is>
          <t>2026-06-09T11:24:08.439818+00:00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Q43</t>
        </is>
      </c>
      <c r="D14" t="inlineStr">
        <is>
          <t>Q43r1</t>
        </is>
      </c>
      <c r="E14" t="inlineStr">
        <is>
          <t>All_Questions_Q43_CT = F$27</t>
        </is>
      </c>
      <c r="H14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4" t="n">
        <v>1.25</v>
      </c>
      <c r="J14" t="n">
        <v>0</v>
      </c>
      <c r="K14" t="n">
        <v>0</v>
      </c>
      <c r="L14" t="inlineStr">
        <is>
          <t>2026-06-09T11:24:08.440215+00:00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Q43</t>
        </is>
      </c>
      <c r="D15" t="inlineStr">
        <is>
          <t>Q43r1</t>
        </is>
      </c>
      <c r="E15" t="inlineStr">
        <is>
          <t>All_Questions_Q43_CT = F$27</t>
        </is>
      </c>
      <c r="H15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5" t="n">
        <v>1.25</v>
      </c>
      <c r="J15" t="n">
        <v>0</v>
      </c>
      <c r="K15" t="n">
        <v>0</v>
      </c>
      <c r="L15" t="inlineStr">
        <is>
          <t>2026-06-09T11:24:08.440256+00:00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Q43</t>
        </is>
      </c>
      <c r="D16" t="inlineStr">
        <is>
          <t>Q43r1</t>
        </is>
      </c>
      <c r="E16" t="inlineStr">
        <is>
          <t>All_Questions_Q43_CT = F$27</t>
        </is>
      </c>
      <c r="H16">
        <f>IF(OR(All_Questions_Q43_CT="(None)",F$27=""),"",IF(F$27="Other","",IF(All_Questions_Q43_RM="Sum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16" t="n">
        <v>1.25</v>
      </c>
      <c r="J16" t="n">
        <v>0</v>
      </c>
      <c r="K16" t="n">
        <v>0</v>
      </c>
      <c r="L16" t="inlineStr">
        <is>
          <t>2026-06-09T11:24:08.440292+00:00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Q43</t>
        </is>
      </c>
      <c r="D17" t="inlineStr">
        <is>
          <t>Q43r1</t>
        </is>
      </c>
      <c r="E17" t="inlineStr">
        <is>
          <t>All_Questions_Q43_CT = G$27</t>
        </is>
      </c>
      <c r="H17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7" t="n">
        <v>1.25</v>
      </c>
      <c r="J17" t="n">
        <v>0</v>
      </c>
      <c r="K17" t="n">
        <v>0</v>
      </c>
      <c r="L17" t="inlineStr">
        <is>
          <t>2026-06-09T11:24:08.440632+00:00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Q43</t>
        </is>
      </c>
      <c r="D18" t="inlineStr">
        <is>
          <t>Q43r1</t>
        </is>
      </c>
      <c r="E18" t="inlineStr">
        <is>
          <t>All_Questions_Q43_CT = G$27</t>
        </is>
      </c>
      <c r="H18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8" t="n">
        <v>1.25</v>
      </c>
      <c r="J18" t="n">
        <v>0</v>
      </c>
      <c r="K18" t="n">
        <v>0</v>
      </c>
      <c r="L18" t="inlineStr">
        <is>
          <t>2026-06-09T11:24:08.440697+00:00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Q43</t>
        </is>
      </c>
      <c r="D19" t="inlineStr">
        <is>
          <t>Q43r1</t>
        </is>
      </c>
      <c r="E19" t="inlineStr">
        <is>
          <t>All_Questions_Q43_CT = G$27</t>
        </is>
      </c>
      <c r="H19">
        <f>IF(OR(All_Questions_Q43_CT="(None)",G$27=""),"",IF(G$27="Other","",IF(All_Questions_Q43_RM="Sum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19" t="n">
        <v>1.25</v>
      </c>
      <c r="J19" t="n">
        <v>0</v>
      </c>
      <c r="K19" t="n">
        <v>0</v>
      </c>
      <c r="L19" t="inlineStr">
        <is>
          <t>2026-06-09T11:24:08.440735+00:00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Q43</t>
        </is>
      </c>
      <c r="D20" t="inlineStr">
        <is>
          <t>Q43r1</t>
        </is>
      </c>
      <c r="E20" t="inlineStr">
        <is>
          <t>All_Questions_Q43_CT = H$27</t>
        </is>
      </c>
      <c r="H20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0" t="n">
        <v>1.25</v>
      </c>
      <c r="J20" t="n">
        <v>0</v>
      </c>
      <c r="K20" t="n">
        <v>0</v>
      </c>
      <c r="L20" t="inlineStr">
        <is>
          <t>2026-06-09T11:24:08.441127+00:00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Q43</t>
        </is>
      </c>
      <c r="D21" t="inlineStr">
        <is>
          <t>Q43r1</t>
        </is>
      </c>
      <c r="E21" t="inlineStr">
        <is>
          <t>All_Questions_Q43_CT = H$27</t>
        </is>
      </c>
      <c r="H21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1" t="n">
        <v>1.25</v>
      </c>
      <c r="J21" t="n">
        <v>0</v>
      </c>
      <c r="K21" t="n">
        <v>0</v>
      </c>
      <c r="L21" t="inlineStr">
        <is>
          <t>2026-06-09T11:24:08.441169+00:00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Q43</t>
        </is>
      </c>
      <c r="D22" t="inlineStr">
        <is>
          <t>Q43r1</t>
        </is>
      </c>
      <c r="E22" t="inlineStr">
        <is>
          <t>All_Questions_Q43_CT = H$27</t>
        </is>
      </c>
      <c r="H22">
        <f>IF(OR(All_Questions_Q43_CT="(None)",H$27=""),"",IF(H$27="Other","",IF(All_Questions_Q43_RM="Sum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22" t="n">
        <v>1.25</v>
      </c>
      <c r="J22" t="n">
        <v>0</v>
      </c>
      <c r="K22" t="n">
        <v>0</v>
      </c>
      <c r="L22" t="inlineStr">
        <is>
          <t>2026-06-09T11:24:08.441204+00:00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Q43</t>
        </is>
      </c>
      <c r="D23" t="inlineStr">
        <is>
          <t>Q43r1</t>
        </is>
      </c>
      <c r="E23" t="inlineStr">
        <is>
          <t>All_Questions_Q43_CT = I$27</t>
        </is>
      </c>
      <c r="H23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3" t="n">
        <v>1.25</v>
      </c>
      <c r="J23" t="n">
        <v>0</v>
      </c>
      <c r="K23" t="n">
        <v>0</v>
      </c>
      <c r="L23" t="inlineStr">
        <is>
          <t>2026-06-09T11:24:08.441547+00:00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Q43</t>
        </is>
      </c>
      <c r="D24" t="inlineStr">
        <is>
          <t>Q43r1</t>
        </is>
      </c>
      <c r="E24" t="inlineStr">
        <is>
          <t>All_Questions_Q43_CT = I$27</t>
        </is>
      </c>
      <c r="H24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4" t="n">
        <v>1.25</v>
      </c>
      <c r="J24" t="n">
        <v>0</v>
      </c>
      <c r="K24" t="n">
        <v>0</v>
      </c>
      <c r="L24" t="inlineStr">
        <is>
          <t>2026-06-09T11:24:08.441585+00:00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Q43</t>
        </is>
      </c>
      <c r="D25" t="inlineStr">
        <is>
          <t>Q43r1</t>
        </is>
      </c>
      <c r="E25" t="inlineStr">
        <is>
          <t>All_Questions_Q43_CT = I$27</t>
        </is>
      </c>
      <c r="H25">
        <f>IF(OR(All_Questions_Q43_CT="(None)",I$27=""),"",IF(I$27="Other","",IF(All_Questions_Q43_RM="Sum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25" t="n">
        <v>1.25</v>
      </c>
      <c r="J25" t="n">
        <v>0</v>
      </c>
      <c r="K25" t="n">
        <v>0</v>
      </c>
      <c r="L25" t="inlineStr">
        <is>
          <t>2026-06-09T11:24:08.441621+00:00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Q43</t>
        </is>
      </c>
      <c r="D26" t="inlineStr">
        <is>
          <t>Q43r1</t>
        </is>
      </c>
      <c r="E26" t="inlineStr">
        <is>
          <t>All_Questions_Q43_CT = J$27</t>
        </is>
      </c>
      <c r="H26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6" t="n">
        <v>1.25</v>
      </c>
      <c r="J26" t="n">
        <v>0</v>
      </c>
      <c r="K26" t="n">
        <v>0</v>
      </c>
      <c r="L26" t="inlineStr">
        <is>
          <t>2026-06-09T11:24:08.441998+00:00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Q43</t>
        </is>
      </c>
      <c r="D27" t="inlineStr">
        <is>
          <t>Q43r1</t>
        </is>
      </c>
      <c r="E27" t="inlineStr">
        <is>
          <t>All_Questions_Q43_CT = J$27</t>
        </is>
      </c>
      <c r="H27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7" t="n">
        <v>1.25</v>
      </c>
      <c r="J27" t="n">
        <v>0</v>
      </c>
      <c r="K27" t="n">
        <v>0</v>
      </c>
      <c r="L27" t="inlineStr">
        <is>
          <t>2026-06-09T11:24:08.442039+00:00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Q43</t>
        </is>
      </c>
      <c r="D28" t="inlineStr">
        <is>
          <t>Q43r1</t>
        </is>
      </c>
      <c r="E28" t="inlineStr">
        <is>
          <t>All_Questions_Q43_CT = J$27</t>
        </is>
      </c>
      <c r="H28">
        <f>IF(OR(All_Questions_Q43_CT="(None)",J$27=""),"",IF(J$27="Other","",IF(All_Questions_Q43_RM="Sum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28" t="n">
        <v>1.25</v>
      </c>
      <c r="J28" t="n">
        <v>0</v>
      </c>
      <c r="K28" t="n">
        <v>0</v>
      </c>
      <c r="L28" t="inlineStr">
        <is>
          <t>2026-06-09T11:24:08.442076+00:00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Q43</t>
        </is>
      </c>
      <c r="D29" t="inlineStr">
        <is>
          <t>Q43r1</t>
        </is>
      </c>
      <c r="E29" t="inlineStr">
        <is>
          <t>All_Questions_Q43_CT = K$27</t>
        </is>
      </c>
      <c r="H29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29" t="n">
        <v>1.25</v>
      </c>
      <c r="J29" t="n">
        <v>0</v>
      </c>
      <c r="K29" t="n">
        <v>0</v>
      </c>
      <c r="L29" t="inlineStr">
        <is>
          <t>2026-06-09T11:24:08.442423+00:00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Q43</t>
        </is>
      </c>
      <c r="D30" t="inlineStr">
        <is>
          <t>Q43r1</t>
        </is>
      </c>
      <c r="E30" t="inlineStr">
        <is>
          <t>All_Questions_Q43_CT = K$27</t>
        </is>
      </c>
      <c r="H30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0" t="n">
        <v>1.25</v>
      </c>
      <c r="J30" t="n">
        <v>0</v>
      </c>
      <c r="K30" t="n">
        <v>0</v>
      </c>
      <c r="L30" t="inlineStr">
        <is>
          <t>2026-06-09T11:24:08.442461+00:00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Q43</t>
        </is>
      </c>
      <c r="D31" t="inlineStr">
        <is>
          <t>Q43r1</t>
        </is>
      </c>
      <c r="E31" t="inlineStr">
        <is>
          <t>All_Questions_Q43_CT = K$27</t>
        </is>
      </c>
      <c r="H31">
        <f>IF(OR(All_Questions_Q43_CT="(None)",K$27=""),"",IF(K$27="Other","",IF(All_Questions_Q43_RM="Sum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31" t="n">
        <v>1.25</v>
      </c>
      <c r="J31" t="n">
        <v>0</v>
      </c>
      <c r="K31" t="n">
        <v>0</v>
      </c>
      <c r="L31" t="inlineStr">
        <is>
          <t>2026-06-09T11:24:08.442497+00:00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Q43</t>
        </is>
      </c>
      <c r="D32" t="inlineStr">
        <is>
          <t>Q43r1</t>
        </is>
      </c>
      <c r="E32" t="inlineStr">
        <is>
          <t>All_Questions_Q43_CT = L$27</t>
        </is>
      </c>
      <c r="H32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2" t="n">
        <v>1.25</v>
      </c>
      <c r="J32" t="n">
        <v>0</v>
      </c>
      <c r="K32" t="n">
        <v>0</v>
      </c>
      <c r="L32" t="inlineStr">
        <is>
          <t>2026-06-09T11:24:08.442830+00:00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Q43</t>
        </is>
      </c>
      <c r="D33" t="inlineStr">
        <is>
          <t>Q43r1</t>
        </is>
      </c>
      <c r="E33" t="inlineStr">
        <is>
          <t>All_Questions_Q43_CT = L$27</t>
        </is>
      </c>
      <c r="H33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3" t="n">
        <v>1.25</v>
      </c>
      <c r="J33" t="n">
        <v>0</v>
      </c>
      <c r="K33" t="n">
        <v>0</v>
      </c>
      <c r="L33" t="inlineStr">
        <is>
          <t>2026-06-09T11:24:08.442870+00:00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Q43</t>
        </is>
      </c>
      <c r="D34" t="inlineStr">
        <is>
          <t>Q43r1</t>
        </is>
      </c>
      <c r="E34" t="inlineStr">
        <is>
          <t>All_Questions_Q43_CT = L$27</t>
        </is>
      </c>
      <c r="H34">
        <f>IF(OR(All_Questions_Q43_CT="(None)",L$27=""),"",IF(L$27="Other","",IF(All_Questions_Q43_RM="Sum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34" t="n">
        <v>1.25</v>
      </c>
      <c r="J34" t="n">
        <v>0</v>
      </c>
      <c r="K34" t="n">
        <v>0</v>
      </c>
      <c r="L34" t="inlineStr">
        <is>
          <t>2026-06-09T11:24:08.442905+00:00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Q43</t>
        </is>
      </c>
      <c r="D35" t="inlineStr">
        <is>
          <t>Q43r1</t>
        </is>
      </c>
      <c r="E35" t="inlineStr">
        <is>
          <t>All_Questions_Q43_CT = M$27</t>
        </is>
      </c>
      <c r="H35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5" t="n">
        <v>1.25</v>
      </c>
      <c r="J35" t="n">
        <v>0</v>
      </c>
      <c r="K35" t="n">
        <v>0</v>
      </c>
      <c r="L35" t="inlineStr">
        <is>
          <t>2026-06-09T11:24:08.443373+00:00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Q43</t>
        </is>
      </c>
      <c r="D36" t="inlineStr">
        <is>
          <t>Q43r1</t>
        </is>
      </c>
      <c r="E36" t="inlineStr">
        <is>
          <t>All_Questions_Q43_CT = M$27</t>
        </is>
      </c>
      <c r="H36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6" t="n">
        <v>1.25</v>
      </c>
      <c r="J36" t="n">
        <v>0</v>
      </c>
      <c r="K36" t="n">
        <v>0</v>
      </c>
      <c r="L36" t="inlineStr">
        <is>
          <t>2026-06-09T11:24:08.443413+00:00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Q43</t>
        </is>
      </c>
      <c r="D37" t="inlineStr">
        <is>
          <t>Q43r1</t>
        </is>
      </c>
      <c r="E37" t="inlineStr">
        <is>
          <t>All_Questions_Q43_CT = M$27</t>
        </is>
      </c>
      <c r="H37">
        <f>IF(OR(All_Questions_Q43_CT="(None)",M$27=""),"",IF(M$27="Other","",IF(All_Questions_Q43_RM="Sum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37" t="n">
        <v>1.25</v>
      </c>
      <c r="J37" t="n">
        <v>0</v>
      </c>
      <c r="K37" t="n">
        <v>0</v>
      </c>
      <c r="L37" t="inlineStr">
        <is>
          <t>2026-06-09T11:24:08.443449+00:00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Q43</t>
        </is>
      </c>
      <c r="D38" t="inlineStr">
        <is>
          <t>Q43r2</t>
        </is>
      </c>
      <c r="E38" t="inlineStr">
        <is>
          <t>All_Questions_Q43_CT = B$27</t>
        </is>
      </c>
      <c r="H38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8" t="n">
        <v>1.25</v>
      </c>
      <c r="J38" t="n">
        <v>0</v>
      </c>
      <c r="K38" t="n">
        <v>0</v>
      </c>
      <c r="L38" t="inlineStr">
        <is>
          <t>2026-06-09T11:24:08.444106+00:00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Q43</t>
        </is>
      </c>
      <c r="D39" t="inlineStr">
        <is>
          <t>Q43r2</t>
        </is>
      </c>
      <c r="E39" t="inlineStr">
        <is>
          <t>All_Questions_Q43_CT = B$27</t>
        </is>
      </c>
      <c r="H39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39" t="n">
        <v>1.25</v>
      </c>
      <c r="J39" t="n">
        <v>0</v>
      </c>
      <c r="K39" t="n">
        <v>0</v>
      </c>
      <c r="L39" t="inlineStr">
        <is>
          <t>2026-06-09T11:24:08.444146+00:00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Q43</t>
        </is>
      </c>
      <c r="D40" t="inlineStr">
        <is>
          <t>Q43r2</t>
        </is>
      </c>
      <c r="E40" t="inlineStr">
        <is>
          <t>All_Questions_Q43_CT = B$27</t>
        </is>
      </c>
      <c r="H40">
        <f>IF(OR(All_Questions_Q43_CT="(None)",B$27=""),"",IF(B$27="Other","",IF(All_Questions_Q43_RM="Sum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B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B$27)),"")))))</f>
        <v>0</v>
      </c>
      <c r="I40" t="n">
        <v>1.25</v>
      </c>
      <c r="J40" t="n">
        <v>0</v>
      </c>
      <c r="K40" t="n">
        <v>0</v>
      </c>
      <c r="L40" t="inlineStr">
        <is>
          <t>2026-06-09T11:24:08.444183+00:00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Q43</t>
        </is>
      </c>
      <c r="D41" t="inlineStr">
        <is>
          <t>Q43r2</t>
        </is>
      </c>
      <c r="E41" t="inlineStr">
        <is>
          <t>All_Questions_Q43_CT = C$27</t>
        </is>
      </c>
      <c r="H41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1" t="n">
        <v>1.25</v>
      </c>
      <c r="J41" t="n">
        <v>0</v>
      </c>
      <c r="K41" t="n">
        <v>0</v>
      </c>
      <c r="L41" t="inlineStr">
        <is>
          <t>2026-06-09T11:24:08.444521+00:00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Q43</t>
        </is>
      </c>
      <c r="D42" t="inlineStr">
        <is>
          <t>Q43r2</t>
        </is>
      </c>
      <c r="E42" t="inlineStr">
        <is>
          <t>All_Questions_Q43_CT = C$27</t>
        </is>
      </c>
      <c r="H42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2" t="n">
        <v>1.25</v>
      </c>
      <c r="J42" t="n">
        <v>0</v>
      </c>
      <c r="K42" t="n">
        <v>0</v>
      </c>
      <c r="L42" t="inlineStr">
        <is>
          <t>2026-06-09T11:24:08.444560+00:00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Q43</t>
        </is>
      </c>
      <c r="D43" t="inlineStr">
        <is>
          <t>Q43r2</t>
        </is>
      </c>
      <c r="E43" t="inlineStr">
        <is>
          <t>All_Questions_Q43_CT = C$27</t>
        </is>
      </c>
      <c r="H43">
        <f>IF(OR(All_Questions_Q43_CT="(None)",C$27=""),"",IF(C$27="Other","",IF(All_Questions_Q43_RM="Sum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C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C$27)),"")))))</f>
        <v>0</v>
      </c>
      <c r="I43" t="n">
        <v>1.25</v>
      </c>
      <c r="J43" t="n">
        <v>0</v>
      </c>
      <c r="K43" t="n">
        <v>0</v>
      </c>
      <c r="L43" t="inlineStr">
        <is>
          <t>2026-06-09T11:24:08.444596+00:00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Q43</t>
        </is>
      </c>
      <c r="D44" t="inlineStr">
        <is>
          <t>Q43r2</t>
        </is>
      </c>
      <c r="E44" t="inlineStr">
        <is>
          <t>All_Questions_Q43_CT = D$27</t>
        </is>
      </c>
      <c r="H44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4" t="n">
        <v>1.25</v>
      </c>
      <c r="J44" t="n">
        <v>0</v>
      </c>
      <c r="K44" t="n">
        <v>0</v>
      </c>
      <c r="L44" t="inlineStr">
        <is>
          <t>2026-06-09T11:24:08.444967+00:00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Q43</t>
        </is>
      </c>
      <c r="D45" t="inlineStr">
        <is>
          <t>Q43r2</t>
        </is>
      </c>
      <c r="E45" t="inlineStr">
        <is>
          <t>All_Questions_Q43_CT = D$27</t>
        </is>
      </c>
      <c r="H45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5" t="n">
        <v>1.25</v>
      </c>
      <c r="J45" t="n">
        <v>0</v>
      </c>
      <c r="K45" t="n">
        <v>0</v>
      </c>
      <c r="L45" t="inlineStr">
        <is>
          <t>2026-06-09T11:24:08.445013+00:00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Q43</t>
        </is>
      </c>
      <c r="D46" t="inlineStr">
        <is>
          <t>Q43r2</t>
        </is>
      </c>
      <c r="E46" t="inlineStr">
        <is>
          <t>All_Questions_Q43_CT = D$27</t>
        </is>
      </c>
      <c r="H46">
        <f>IF(OR(All_Questions_Q43_CT="(None)",D$27=""),"",IF(D$27="Other","",IF(All_Questions_Q43_RM="Sum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D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D$27)),"")))))</f>
        <v>0</v>
      </c>
      <c r="I46" t="n">
        <v>1.25</v>
      </c>
      <c r="J46" t="n">
        <v>0</v>
      </c>
      <c r="K46" t="n">
        <v>0</v>
      </c>
      <c r="L46" t="inlineStr">
        <is>
          <t>2026-06-09T11:24:08.445049+00:00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Q43</t>
        </is>
      </c>
      <c r="D47" t="inlineStr">
        <is>
          <t>Q43r2</t>
        </is>
      </c>
      <c r="E47" t="inlineStr">
        <is>
          <t>All_Questions_Q43_CT = E$27</t>
        </is>
      </c>
      <c r="H47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7" t="n">
        <v>1.25</v>
      </c>
      <c r="J47" t="n">
        <v>0</v>
      </c>
      <c r="K47" t="n">
        <v>0</v>
      </c>
      <c r="L47" t="inlineStr">
        <is>
          <t>2026-06-09T11:24:08.445393+00:00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Q43</t>
        </is>
      </c>
      <c r="D48" t="inlineStr">
        <is>
          <t>Q43r2</t>
        </is>
      </c>
      <c r="E48" t="inlineStr">
        <is>
          <t>All_Questions_Q43_CT = E$27</t>
        </is>
      </c>
      <c r="H48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8" t="n">
        <v>1.25</v>
      </c>
      <c r="J48" t="n">
        <v>0</v>
      </c>
      <c r="K48" t="n">
        <v>0</v>
      </c>
      <c r="L48" t="inlineStr">
        <is>
          <t>2026-06-09T11:24:08.445431+00:00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Q43</t>
        </is>
      </c>
      <c r="D49" t="inlineStr">
        <is>
          <t>Q43r2</t>
        </is>
      </c>
      <c r="E49" t="inlineStr">
        <is>
          <t>All_Questions_Q43_CT = E$27</t>
        </is>
      </c>
      <c r="H49">
        <f>IF(OR(All_Questions_Q43_CT="(None)",E$27=""),"",IF(E$27="Other","",IF(All_Questions_Q43_RM="Sum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E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E$27)),"")))))</f>
        <v>0</v>
      </c>
      <c r="I49" t="n">
        <v>1.25</v>
      </c>
      <c r="J49" t="n">
        <v>0</v>
      </c>
      <c r="K49" t="n">
        <v>0</v>
      </c>
      <c r="L49" t="inlineStr">
        <is>
          <t>2026-06-09T11:24:08.445467+00:00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Q43</t>
        </is>
      </c>
      <c r="D50" t="inlineStr">
        <is>
          <t>Q43r2</t>
        </is>
      </c>
      <c r="E50" t="inlineStr">
        <is>
          <t>All_Questions_Q43_CT = F$27</t>
        </is>
      </c>
      <c r="H50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0" t="n">
        <v>1.25</v>
      </c>
      <c r="J50" t="n">
        <v>0</v>
      </c>
      <c r="K50" t="n">
        <v>0</v>
      </c>
      <c r="L50" t="inlineStr">
        <is>
          <t>2026-06-09T11:24:08.445801+00:00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Q43</t>
        </is>
      </c>
      <c r="D51" t="inlineStr">
        <is>
          <t>Q43r2</t>
        </is>
      </c>
      <c r="E51" t="inlineStr">
        <is>
          <t>All_Questions_Q43_CT = F$27</t>
        </is>
      </c>
      <c r="H51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1" t="n">
        <v>1.25</v>
      </c>
      <c r="J51" t="n">
        <v>0</v>
      </c>
      <c r="K51" t="n">
        <v>0</v>
      </c>
      <c r="L51" t="inlineStr">
        <is>
          <t>2026-06-09T11:24:08.445839+00:00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Q43</t>
        </is>
      </c>
      <c r="D52" t="inlineStr">
        <is>
          <t>Q43r2</t>
        </is>
      </c>
      <c r="E52" t="inlineStr">
        <is>
          <t>All_Questions_Q43_CT = F$27</t>
        </is>
      </c>
      <c r="H52">
        <f>IF(OR(All_Questions_Q43_CT="(None)",F$27=""),"",IF(F$27="Other","",IF(All_Questions_Q43_RM="Sum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F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F$27)),"")))))</f>
        <v>0</v>
      </c>
      <c r="I52" t="n">
        <v>1.25</v>
      </c>
      <c r="J52" t="n">
        <v>0</v>
      </c>
      <c r="K52" t="n">
        <v>0</v>
      </c>
      <c r="L52" t="inlineStr">
        <is>
          <t>2026-06-09T11:24:08.445874+00:00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Q43</t>
        </is>
      </c>
      <c r="D53" t="inlineStr">
        <is>
          <t>Q43r2</t>
        </is>
      </c>
      <c r="E53" t="inlineStr">
        <is>
          <t>All_Questions_Q43_CT = G$27</t>
        </is>
      </c>
      <c r="H53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3" t="n">
        <v>1.25</v>
      </c>
      <c r="J53" t="n">
        <v>0</v>
      </c>
      <c r="K53" t="n">
        <v>0</v>
      </c>
      <c r="L53" t="inlineStr">
        <is>
          <t>2026-06-09T11:24:08.446257+00:00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Q43</t>
        </is>
      </c>
      <c r="D54" t="inlineStr">
        <is>
          <t>Q43r2</t>
        </is>
      </c>
      <c r="E54" t="inlineStr">
        <is>
          <t>All_Questions_Q43_CT = G$27</t>
        </is>
      </c>
      <c r="H54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4" t="n">
        <v>1.25</v>
      </c>
      <c r="J54" t="n">
        <v>0</v>
      </c>
      <c r="K54" t="n">
        <v>0</v>
      </c>
      <c r="L54" t="inlineStr">
        <is>
          <t>2026-06-09T11:24:08.446298+00:00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Q43</t>
        </is>
      </c>
      <c r="D55" t="inlineStr">
        <is>
          <t>Q43r2</t>
        </is>
      </c>
      <c r="E55" t="inlineStr">
        <is>
          <t>All_Questions_Q43_CT = G$27</t>
        </is>
      </c>
      <c r="H55">
        <f>IF(OR(All_Questions_Q43_CT="(None)",G$27=""),"",IF(G$27="Other","",IF(All_Questions_Q43_RM="Sum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$27)),"")))))</f>
        <v>0</v>
      </c>
      <c r="I55" t="n">
        <v>1.25</v>
      </c>
      <c r="J55" t="n">
        <v>0</v>
      </c>
      <c r="K55" t="n">
        <v>0</v>
      </c>
      <c r="L55" t="inlineStr">
        <is>
          <t>2026-06-09T11:24:08.446334+00:00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Q43</t>
        </is>
      </c>
      <c r="D56" t="inlineStr">
        <is>
          <t>Q43r2</t>
        </is>
      </c>
      <c r="E56" t="inlineStr">
        <is>
          <t>All_Questions_Q43_CT = H$27</t>
        </is>
      </c>
      <c r="H56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6" t="n">
        <v>1.25</v>
      </c>
      <c r="J56" t="n">
        <v>0</v>
      </c>
      <c r="K56" t="n">
        <v>0</v>
      </c>
      <c r="L56" t="inlineStr">
        <is>
          <t>2026-06-09T11:24:08.446669+00:00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Q43</t>
        </is>
      </c>
      <c r="D57" t="inlineStr">
        <is>
          <t>Q43r2</t>
        </is>
      </c>
      <c r="E57" t="inlineStr">
        <is>
          <t>All_Questions_Q43_CT = H$27</t>
        </is>
      </c>
      <c r="H57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7" t="n">
        <v>1.25</v>
      </c>
      <c r="J57" t="n">
        <v>0</v>
      </c>
      <c r="K57" t="n">
        <v>0</v>
      </c>
      <c r="L57" t="inlineStr">
        <is>
          <t>2026-06-09T11:24:08.446708+00:00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Q43</t>
        </is>
      </c>
      <c r="D58" t="inlineStr">
        <is>
          <t>Q43r2</t>
        </is>
      </c>
      <c r="E58" t="inlineStr">
        <is>
          <t>All_Questions_Q43_CT = H$27</t>
        </is>
      </c>
      <c r="H58">
        <f>IF(OR(All_Questions_Q43_CT="(None)",H$27=""),"",IF(H$27="Other","",IF(All_Questions_Q43_RM="Sum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$27)),"")))))</f>
        <v>0</v>
      </c>
      <c r="I58" t="n">
        <v>1.25</v>
      </c>
      <c r="J58" t="n">
        <v>0</v>
      </c>
      <c r="K58" t="n">
        <v>0</v>
      </c>
      <c r="L58" t="inlineStr">
        <is>
          <t>2026-06-09T11:24:08.446744+00:00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Q43</t>
        </is>
      </c>
      <c r="D59" t="inlineStr">
        <is>
          <t>Q43r2</t>
        </is>
      </c>
      <c r="E59" t="inlineStr">
        <is>
          <t>All_Questions_Q43_CT = I$27</t>
        </is>
      </c>
      <c r="H59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59" t="n">
        <v>1.25</v>
      </c>
      <c r="J59" t="n">
        <v>0</v>
      </c>
      <c r="K59" t="n">
        <v>0</v>
      </c>
      <c r="L59" t="inlineStr">
        <is>
          <t>2026-06-09T11:24:08.447125+00:00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Q43</t>
        </is>
      </c>
      <c r="D60" t="inlineStr">
        <is>
          <t>Q43r2</t>
        </is>
      </c>
      <c r="E60" t="inlineStr">
        <is>
          <t>All_Questions_Q43_CT = I$27</t>
        </is>
      </c>
      <c r="H60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0" t="n">
        <v>1.25</v>
      </c>
      <c r="J60" t="n">
        <v>0</v>
      </c>
      <c r="K60" t="n">
        <v>0</v>
      </c>
      <c r="L60" t="inlineStr">
        <is>
          <t>2026-06-09T11:24:08.447165+00:00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Q43</t>
        </is>
      </c>
      <c r="D61" t="inlineStr">
        <is>
          <t>Q43r2</t>
        </is>
      </c>
      <c r="E61" t="inlineStr">
        <is>
          <t>All_Questions_Q43_CT = I$27</t>
        </is>
      </c>
      <c r="H61">
        <f>IF(OR(All_Questions_Q43_CT="(None)",I$27=""),"",IF(I$27="Other","",IF(All_Questions_Q43_RM="Sum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$27)),"")))))</f>
        <v>0</v>
      </c>
      <c r="I61" t="n">
        <v>1.25</v>
      </c>
      <c r="J61" t="n">
        <v>0</v>
      </c>
      <c r="K61" t="n">
        <v>0</v>
      </c>
      <c r="L61" t="inlineStr">
        <is>
          <t>2026-06-09T11:24:08.447201+00:00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Q43</t>
        </is>
      </c>
      <c r="D62" t="inlineStr">
        <is>
          <t>Q43r2</t>
        </is>
      </c>
      <c r="E62" t="inlineStr">
        <is>
          <t>All_Questions_Q43_CT = J$27</t>
        </is>
      </c>
      <c r="H62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2" t="n">
        <v>1.25</v>
      </c>
      <c r="J62" t="n">
        <v>0</v>
      </c>
      <c r="K62" t="n">
        <v>0</v>
      </c>
      <c r="L62" t="inlineStr">
        <is>
          <t>2026-06-09T11:24:08.447539+00:00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Q43</t>
        </is>
      </c>
      <c r="D63" t="inlineStr">
        <is>
          <t>Q43r2</t>
        </is>
      </c>
      <c r="E63" t="inlineStr">
        <is>
          <t>All_Questions_Q43_CT = J$27</t>
        </is>
      </c>
      <c r="H63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3" t="n">
        <v>1.25</v>
      </c>
      <c r="J63" t="n">
        <v>0</v>
      </c>
      <c r="K63" t="n">
        <v>0</v>
      </c>
      <c r="L63" t="inlineStr">
        <is>
          <t>2026-06-09T11:24:08.447578+00:00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Q43</t>
        </is>
      </c>
      <c r="D64" t="inlineStr">
        <is>
          <t>Q43r2</t>
        </is>
      </c>
      <c r="E64" t="inlineStr">
        <is>
          <t>All_Questions_Q43_CT = J$27</t>
        </is>
      </c>
      <c r="H64">
        <f>IF(OR(All_Questions_Q43_CT="(None)",J$27=""),"",IF(J$27="Other","",IF(All_Questions_Q43_RM="Sum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$27)),"")))))</f>
        <v>0</v>
      </c>
      <c r="I64" t="n">
        <v>1.25</v>
      </c>
      <c r="J64" t="n">
        <v>0</v>
      </c>
      <c r="K64" t="n">
        <v>0</v>
      </c>
      <c r="L64" t="inlineStr">
        <is>
          <t>2026-06-09T11:24:08.447613+00:00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Q43</t>
        </is>
      </c>
      <c r="D65" t="inlineStr">
        <is>
          <t>Q43r2</t>
        </is>
      </c>
      <c r="E65" t="inlineStr">
        <is>
          <t>All_Questions_Q43_CT = K$27</t>
        </is>
      </c>
      <c r="H65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5" t="n">
        <v>1.25</v>
      </c>
      <c r="J65" t="n">
        <v>0</v>
      </c>
      <c r="K65" t="n">
        <v>0</v>
      </c>
      <c r="L65" t="inlineStr">
        <is>
          <t>2026-06-09T11:24:08.447984+00:00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Q43</t>
        </is>
      </c>
      <c r="D66" t="inlineStr">
        <is>
          <t>Q43r2</t>
        </is>
      </c>
      <c r="E66" t="inlineStr">
        <is>
          <t>All_Questions_Q43_CT = K$27</t>
        </is>
      </c>
      <c r="H66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6" t="n">
        <v>1.25</v>
      </c>
      <c r="J66" t="n">
        <v>0</v>
      </c>
      <c r="K66" t="n">
        <v>0</v>
      </c>
      <c r="L66" t="inlineStr">
        <is>
          <t>2026-06-09T11:24:08.448026+00:00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Q43</t>
        </is>
      </c>
      <c r="D67" t="inlineStr">
        <is>
          <t>Q43r2</t>
        </is>
      </c>
      <c r="E67" t="inlineStr">
        <is>
          <t>All_Questions_Q43_CT = K$27</t>
        </is>
      </c>
      <c r="H67">
        <f>IF(OR(All_Questions_Q43_CT="(None)",K$27=""),"",IF(K$27="Other","",IF(All_Questions_Q43_RM="Sum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$27)),"")))))</f>
        <v>0</v>
      </c>
      <c r="I67" t="n">
        <v>1.25</v>
      </c>
      <c r="J67" t="n">
        <v>0</v>
      </c>
      <c r="K67" t="n">
        <v>0</v>
      </c>
      <c r="L67" t="inlineStr">
        <is>
          <t>2026-06-09T11:24:08.448063+00:00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Q43</t>
        </is>
      </c>
      <c r="D68" t="inlineStr">
        <is>
          <t>Q43r2</t>
        </is>
      </c>
      <c r="E68" t="inlineStr">
        <is>
          <t>All_Questions_Q43_CT = L$27</t>
        </is>
      </c>
      <c r="H68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8" t="n">
        <v>1.25</v>
      </c>
      <c r="J68" t="n">
        <v>0</v>
      </c>
      <c r="K68" t="n">
        <v>0</v>
      </c>
      <c r="L68" t="inlineStr">
        <is>
          <t>2026-06-09T11:24:08.448403+00:00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Q43</t>
        </is>
      </c>
      <c r="D69" t="inlineStr">
        <is>
          <t>Q43r2</t>
        </is>
      </c>
      <c r="E69" t="inlineStr">
        <is>
          <t>All_Questions_Q43_CT = L$27</t>
        </is>
      </c>
      <c r="H69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69" t="n">
        <v>1.25</v>
      </c>
      <c r="J69" t="n">
        <v>0</v>
      </c>
      <c r="K69" t="n">
        <v>0</v>
      </c>
      <c r="L69" t="inlineStr">
        <is>
          <t>2026-06-09T11:24:08.448442+00:00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Q43</t>
        </is>
      </c>
      <c r="D70" t="inlineStr">
        <is>
          <t>Q43r2</t>
        </is>
      </c>
      <c r="E70" t="inlineStr">
        <is>
          <t>All_Questions_Q43_CT = L$27</t>
        </is>
      </c>
      <c r="H70">
        <f>IF(OR(All_Questions_Q43_CT="(None)",L$27=""),"",IF(L$27="Other","",IF(All_Questions_Q43_RM="Sum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$27)),"")))))</f>
        <v>0</v>
      </c>
      <c r="I70" t="n">
        <v>1.25</v>
      </c>
      <c r="J70" t="n">
        <v>0</v>
      </c>
      <c r="K70" t="n">
        <v>0</v>
      </c>
      <c r="L70" t="inlineStr">
        <is>
          <t>2026-06-09T11:24:08.448477+00:00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Q43</t>
        </is>
      </c>
      <c r="D71" t="inlineStr">
        <is>
          <t>Q43r2</t>
        </is>
      </c>
      <c r="E71" t="inlineStr">
        <is>
          <t>All_Questions_Q43_CT = M$27</t>
        </is>
      </c>
      <c r="H71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1" t="n">
        <v>1.25</v>
      </c>
      <c r="J71" t="n">
        <v>0</v>
      </c>
      <c r="K71" t="n">
        <v>0</v>
      </c>
      <c r="L71" t="inlineStr">
        <is>
          <t>2026-06-09T11:24:08.448885+00:00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Q43</t>
        </is>
      </c>
      <c r="D72" t="inlineStr">
        <is>
          <t>Q43r2</t>
        </is>
      </c>
      <c r="E72" t="inlineStr">
        <is>
          <t>All_Questions_Q43_CT = M$27</t>
        </is>
      </c>
      <c r="H72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2" t="n">
        <v>1.25</v>
      </c>
      <c r="J72" t="n">
        <v>0</v>
      </c>
      <c r="K72" t="n">
        <v>0</v>
      </c>
      <c r="L72" t="inlineStr">
        <is>
          <t>2026-06-09T11:24:08.448963+00:00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Q43</t>
        </is>
      </c>
      <c r="D73" t="inlineStr">
        <is>
          <t>Q43r2</t>
        </is>
      </c>
      <c r="E73" t="inlineStr">
        <is>
          <t>All_Questions_Q43_CT = M$27</t>
        </is>
      </c>
      <c r="H73">
        <f>IF(OR(All_Questions_Q43_CT="(None)",M$27=""),"",IF(M$27="Other","",IF(All_Questions_Q43_RM="Sum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,""),IFERROR((INDEX(All_Questions_Q43_PTS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 + INDEX(All_Questions_Q43_PTS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$27))/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$27)),"")))))</f>
        <v>0</v>
      </c>
      <c r="I73" t="n">
        <v>1.25</v>
      </c>
      <c r="J73" t="n">
        <v>0</v>
      </c>
      <c r="K73" t="n">
        <v>0</v>
      </c>
      <c r="L73" t="inlineStr">
        <is>
          <t>2026-06-09T11:24:08.449008+00:00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2026-06-09T11:24:06Z</dcterms:created>
  <dcterms:modified xmlns:dcterms="http://purl.org/dc/terms/" xmlns:xsi="http://www.w3.org/2001/XMLSchema-instance" xsi:type="dcterms:W3CDTF">2026-06-09T11:24:08Z</dcterms:modified>
</cp:coreProperties>
</file>