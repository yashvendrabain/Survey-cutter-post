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Questions'!$C$25</definedName>
    <definedName name="All_Questions_Q_MS_EXPORT_F_V">'All Questions'!$E$25</definedName>
    <definedName name="All_Questions_Q_MS_EXPORT_F_resolved_column">'All Questions'!$F$25</definedName>
    <definedName name="All_Questions_Q_MS_EXPORT_F_wrapped">'All Questions'!$G$25</definedName>
    <definedName name="All_Questions_Q_MS_EXPORT_F_passes_per_q_filter_data">'_RawData'!$O$2:$O$11</definedName>
    <definedName name="All_Questions_Q_MS_EXPORT_CT">'All Questions'!$C$26</definedName>
    <definedName name="All_Questions_Q_NUM_EXPORT_F_Q">'All Questions'!$C$36</definedName>
    <definedName name="All_Questions_Q_NUM_EXPORT_F_V">'All Questions'!$E$36</definedName>
    <definedName name="All_Questions_Q_NUM_EXPORT_F_resolved_column">'All Questions'!$F$36</definedName>
    <definedName name="All_Questions_Q_NUM_EXPORT_F_wrapped">'All Questions'!$G$36</definedName>
    <definedName name="All_Questions_Q_NUM_EXPORT_F_passes_per_q_filter_data">'_RawData'!$P$2:$P$11</definedName>
    <definedName name="All_Questions_Q_NUM_EXPORT_CT">'All Questions'!$C$37</definedName>
    <definedName name="All_Questions_Q_GRID_EXPORT_F_Q">'All Questions'!$C$53</definedName>
    <definedName name="All_Questions_Q_GRID_EXPORT_F_V">'All Questions'!$E$53</definedName>
    <definedName name="All_Questions_Q_GRID_EXPORT_F_resolved_column">'All Questions'!$F$53</definedName>
    <definedName name="All_Questions_Q_GRID_EXPORT_F_wrapped">'All Questions'!$G$53</definedName>
    <definedName name="All_Questions_Q_GRID_EXPORT_F_passes_per_q_filter_data">'_RawData'!$Q$2:$Q$11</definedName>
    <definedName name="All_Questions_Q_GRID_EXPORT_CT">'All Questions'!$C$54</definedName>
    <definedName name="All_Questions_Q_VERY_LONG_SINGLE_SELECT_EXPORT_NAME_F_Q">'All Questions'!$C$71</definedName>
    <definedName name="All_Questions_Q_VERY_LONG_SINGLE_SELECT_EXPORT_NAME_F_V">'All Questions'!$E$71</definedName>
    <definedName name="All_Questions_Q_VERY_LONG_SINGLE_SELECT_EXPORT_NAME_F_resolved_column">'All Questions'!$F$71</definedName>
    <definedName name="All_Questions_Q_VERY_LONG_SINGLE_SELECT_EXPORT_NAME_F_wrapped">'All Questions'!$G$71</definedName>
    <definedName name="All_Questions_Q_VERY_LONG_SINGLE_SELECT_EXPORT_NAME_F_passes_per_q_filter_data">'_RawData'!$R$2:$R$11</definedName>
    <definedName name="All_Questions_Q_VERY_LONG_SINGLE_SELECT_EXPORT_NAME_CT">'All Questions'!$C$72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F36" i="7"/>
  <c r="G36" i="7"/>
  <c r="B40" i="7"/>
  <c r="D40" i="7"/>
  <c r="B41" i="7"/>
  <c r="D41" i="7"/>
  <c r="B42" i="7"/>
  <c r="D42" i="7"/>
  <c r="D43" i="7"/>
  <c r="G46" i="7"/>
  <c r="H46" i="7"/>
  <c r="I46" i="7"/>
  <c r="J46" i="7"/>
  <c r="K46" i="7"/>
  <c r="L46" i="7"/>
  <c r="M46" i="7"/>
  <c r="N46" i="7"/>
  <c r="O46" i="7"/>
  <c r="P46" i="7"/>
  <c r="Q46" i="7"/>
  <c r="R46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S49" i="7"/>
  <c r="F53" i="7"/>
  <c r="G53" i="7"/>
  <c r="C58" i="7"/>
  <c r="D58" i="7"/>
  <c r="E58" i="7"/>
  <c r="F58" i="7"/>
  <c r="C59" i="7"/>
  <c r="D59" i="7"/>
  <c r="E59" i="7"/>
  <c r="F59" i="7"/>
  <c r="G63" i="7"/>
  <c r="H63" i="7"/>
  <c r="I63" i="7"/>
  <c r="J63" i="7"/>
  <c r="K63" i="7"/>
  <c r="L63" i="7"/>
  <c r="M63" i="7"/>
  <c r="N63" i="7"/>
  <c r="O63" i="7"/>
  <c r="P63" i="7"/>
  <c r="Q63" i="7"/>
  <c r="R63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S67" i="7"/>
  <c r="F71" i="7"/>
  <c r="G71" i="7"/>
  <c r="G74" i="7"/>
  <c r="H74" i="7"/>
  <c r="I74" i="7"/>
  <c r="J74" i="7"/>
  <c r="K74" i="7"/>
  <c r="L74" i="7"/>
  <c r="M74" i="7"/>
  <c r="N74" i="7"/>
  <c r="O74" i="7"/>
  <c r="P74" i="7"/>
  <c r="Q74" i="7"/>
  <c r="R74" i="7"/>
  <c r="B75" i="7"/>
  <c r="C75" i="7"/>
  <c r="D75" i="7"/>
  <c r="B76" i="7"/>
  <c r="C76" i="7"/>
  <c r="D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S78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9_1" displayName="T_All_Questions_39_1" ref="A39:D44" headerRowCount="1">
  <autoFilter ref="A39:D4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4_1" displayName="T_All_Questions_74_1" ref="A74:D77" headerRowCount="1">
  <autoFilter ref="A74:D7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 s="15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 s="15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 s="15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 s="15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 s="15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 s="15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 s="15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 s="15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 s="15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 s="15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 s="15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 s="15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 s="15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 s="15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 s="15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 s="15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 s="15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 s="15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 s="15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 s="15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 s="15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 s="15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 s="15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 s="15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 s="15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 s="15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IFERROR(INDEX(All_Questions_Data_Names,MATCH(All_Questions_Q_MS_EXPORT_F_Q,All_Questions,0)),"'_RawData'!$A:$A")</f>
        <v>respondent_id_data</v>
      </c>
      <c r="G25" t="str">
        <f>"|" &amp; SUBSTITUTE(All_Questions_Q_MS_EXPORT_F_V,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IF(All_Questions_Q_MS_EXPORT_CT="(None)","",IFERROR(INDEX(INDIRECT(IFERROR(INDEX(All_Questions_Options_Names,MATCH(All_Questions_Q_MS_EXPORT_CT,All_Questions,0)),"'_Options'!$E$2:$E$2")),2),""))</f>
        <v/>
      </c>
      <c r="H28" s="2" t="str">
        <f>IF(All_Questions_Q_MS_EXPORT_CT="(None)","",IFERROR(INDEX(INDIRECT(IFERROR(INDEX(All_Questions_Options_Names,MATCH(All_Questions_Q_MS_EXPORT_CT,All_Questions,0)),"'_Options'!$E$2:$E$2")),3),""))</f>
        <v/>
      </c>
      <c r="I28" s="2" t="str">
        <f>IF(All_Questions_Q_MS_EXPORT_CT="(None)","",IFERROR(INDEX(INDIRECT(IFERROR(INDEX(All_Questions_Options_Names,MATCH(All_Questions_Q_MS_EXPORT_CT,All_Questions,0)),"'_Options'!$E$2:$E$2")),4),""))</f>
        <v/>
      </c>
      <c r="J28" s="2" t="str">
        <f>IF(All_Questions_Q_MS_EXPORT_CT="(None)","",IFERROR(INDEX(INDIRECT(IFERROR(INDEX(All_Questions_Options_Names,MATCH(All_Questions_Q_MS_EXPORT_CT,All_Questions,0)),"'_Options'!$E$2:$E$2")),5),""))</f>
        <v/>
      </c>
      <c r="K28" s="2" t="str">
        <f>IF(All_Questions_Q_MS_EXPORT_CT="(None)","",IFERROR(INDEX(INDIRECT(IFERROR(INDEX(All_Questions_Options_Names,MATCH(All_Questions_Q_MS_EXPORT_CT,All_Questions,0)),"'_Options'!$E$2:$E$2")),6),""))</f>
        <v/>
      </c>
      <c r="L28" s="2" t="str">
        <f>IF(All_Questions_Q_MS_EXPORT_CT="(None)","",IFERROR(INDEX(INDIRECT(IFERROR(INDEX(All_Questions_Options_Names,MATCH(All_Questions_Q_MS_EXPORT_CT,All_Questions,0)),"'_Options'!$E$2:$E$2")),7),""))</f>
        <v/>
      </c>
      <c r="M28" s="2" t="str">
        <f>IF(All_Questions_Q_MS_EXPORT_CT="(None)","",IFERROR(INDEX(INDIRECT(IFERROR(INDEX(All_Questions_Options_Names,MATCH(All_Questions_Q_MS_EXPORT_CT,All_Questions,0)),"'_Options'!$E$2:$E$2")),8),""))</f>
        <v/>
      </c>
      <c r="N28" s="2" t="str">
        <f>IF(All_Questions_Q_MS_EXPORT_CT="(None)","",IFERROR(INDEX(INDIRECT(IFERROR(INDEX(All_Questions_Options_Names,MATCH(All_Questions_Q_MS_EXPORT_CT,All_Questions,0)),"'_Options'!$E$2:$E$2")),9),""))</f>
        <v/>
      </c>
      <c r="O28" s="2" t="str">
        <f>IF(All_Questions_Q_MS_EXPORT_CT="(None)","",IFERROR(INDEX(INDIRECT(IFERROR(INDEX(All_Questions_Options_Names,MATCH(All_Questions_Q_MS_EXPORT_CT,All_Questions,0)),"'_Options'!$E$2:$E$2")),10),""))</f>
        <v/>
      </c>
      <c r="P28" s="2" t="str">
        <f>IF(All_Questions_Q_MS_EXPORT_CT="(None)","",IFERROR(INDEX(INDIRECT(IFERROR(INDEX(All_Questions_Options_Names,MATCH(All_Questions_Q_MS_EXPORT_CT,All_Questions,0)),"'_Options'!$E$2:$E$2")),11),""))</f>
        <v/>
      </c>
      <c r="Q28" s="2" t="str">
        <f>IF(All_Questions_Q_MS_EXPORT_CT="(None)","",IFERROR(INDEX(INDIRECT(IFERROR(INDEX(All_Questions_Options_Names,MATCH(All_Questions_Q_MS_EXPORT_CT,All_Questions,0)),"'_Options'!$E$2:$E$2")),12),""))</f>
        <v/>
      </c>
      <c r="R28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COUNTIFS(Q_MS_EXPORTr1_data,"Selected",passes_workbook_filters_data,1,passes_workbook_custom_filters_data,1,All_Questions_passes_local_filters_data,1,All_Questions_Q_MS_EXPORT_F_passes_per_q_filter_data,1)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s="4" t="inlineStr"/>
      <c r="G29" s="4" t="inlineStr">
        <is>
          <t>% selected</t>
        </is>
      </c>
      <c r="H29" s="4" t="inlineStr">
        <is>
          <t>% selected</t>
        </is>
      </c>
      <c r="I29" s="4" t="inlineStr">
        <is>
          <t>% selected</t>
        </is>
      </c>
      <c r="J29" s="4" t="inlineStr">
        <is>
          <t>% selected</t>
        </is>
      </c>
      <c r="K29" s="4" t="inlineStr">
        <is>
          <t>% selected</t>
        </is>
      </c>
      <c r="L29" s="4" t="inlineStr">
        <is>
          <t>% selected</t>
        </is>
      </c>
      <c r="M29" s="4" t="inlineStr">
        <is>
          <t>% selected</t>
        </is>
      </c>
      <c r="N29" s="4" t="inlineStr">
        <is>
          <t>% selected</t>
        </is>
      </c>
      <c r="O29" s="4" t="inlineStr">
        <is>
          <t>% selected</t>
        </is>
      </c>
      <c r="P29" s="4" t="inlineStr">
        <is>
          <t>% selected</t>
        </is>
      </c>
      <c r="Q29" s="4" t="inlineStr">
        <is>
          <t>% selected</t>
        </is>
      </c>
      <c r="R29" s="4" t="inlineStr">
        <is>
          <t>% selected</t>
        </is>
      </c>
      <c r="S29" s="4" t="inlineStr">
        <is>
          <t>% selected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COUNTIFS(Q_MS_EXPORTr2_data,"Selected",passes_workbook_filters_data,1,passes_workbook_custom_filters_data,1,All_Questions_passes_local_filters_data,1,All_Questions_Q_MS_EXPORT_F_passes_per_q_filter_data,1)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0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30" t="inlineStr">
        <is>
          <t>First</t>
        </is>
      </c>
      <c r="G30" s="7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0.5</v>
      </c>
      <c r="H30" s="7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0.5</v>
      </c>
      <c r="I30" s="7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0.5</v>
      </c>
      <c r="J30" s="7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0.5</v>
      </c>
      <c r="K30" s="7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0.5</v>
      </c>
      <c r="L30" s="7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0.5</v>
      </c>
      <c r="M30" s="7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0.5</v>
      </c>
      <c r="N30" s="7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0.5</v>
      </c>
      <c r="O30" s="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0.5</v>
      </c>
      <c r="P30" s="7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0.5</v>
      </c>
      <c r="Q30" s="7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0.5</v>
      </c>
      <c r="R30" s="7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0.5</v>
      </c>
      <c r="S3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1">
      <c r="A31" s="16" t="inlineStr">
        <is>
          <t>Total respondents</t>
        </is>
      </c>
      <c r="B31" s="16" t="n">
        <v>10</v>
      </c>
      <c r="C31" s="16" t="n"/>
      <c r="D31" s="16" t="n"/>
      <c r="F31" t="inlineStr">
        <is>
          <t>Second</t>
        </is>
      </c>
      <c r="G31" s="7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0.2</v>
      </c>
      <c r="H31" s="7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0.2</v>
      </c>
      <c r="I31" s="7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0.2</v>
      </c>
      <c r="J31" s="7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0.2</v>
      </c>
      <c r="K31" s="7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0.2</v>
      </c>
      <c r="L31" s="7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0.2</v>
      </c>
      <c r="M31" s="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0.2</v>
      </c>
      <c r="N31" s="7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0.2</v>
      </c>
      <c r="O31" s="7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0.2</v>
      </c>
      <c r="P31" s="7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0.2</v>
      </c>
      <c r="Q31" s="7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0.2</v>
      </c>
      <c r="R31" s="7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0.2</v>
      </c>
      <c r="S3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Q_NUM_EXPORT - Numeric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IFERROR(INDEX(All_Questions_Data_Names,MATCH(All_Questions_Q_NUM_EXPORT_F_Q,All_Questions,0)),"'_RawData'!$A:$A")</f>
        <v>respondent_id_data</v>
      </c>
      <c r="G36" t="str">
        <f>"|" &amp; SUBSTITUTE(All_Questions_Q_NUM_EXPORT_F_V,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Metric</t>
        </is>
      </c>
      <c r="B39" s="4" t="inlineStr">
        <is>
          <t>Value</t>
        </is>
      </c>
      <c r="C39" s="4" t="inlineStr">
        <is>
          <t>Note</t>
        </is>
      </c>
      <c r="D39" s="4" t="inlineStr">
        <is>
          <t>Denominator</t>
        </is>
      </c>
    </row>
    <row r="40">
      <c r="A40" t="inlineStr">
        <is>
          <t>Mean</t>
        </is>
      </c>
      <c r="B40" s="17">
        <f>IFERROR(AVERAGEIFS(Q_NUM_EXPORT_data,passes_workbook_filters_data,1,passes_workbook_custom_filters_data,1,All_Questions_passes_local_filters_data,1,All_Questions_Q_NUM_EXPORT_F_passes_per_q_filter_data,1),0)</f>
        <v>5.5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Min</t>
        </is>
      </c>
      <c r="B41" s="17">
        <f>IFERROR(MINIFS(Q_NUM_EXPORT_data,passes_workbook_filters_data,1,passes_workbook_custom_filters_data,1,All_Questions_passes_local_filters_data,1,All_Questions_Q_NUM_EXPORT_F_passes_per_q_filter_data,1),0)</f>
        <v>1.0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Max</t>
        </is>
      </c>
      <c r="B42" s="17">
        <f>IFERROR(MAXIFS(Q_NUM_EXPORT_data,passes_workbook_filters_data,1,passes_workbook_custom_filters_data,1,All_Questions_passes_local_filters_data,1,All_Questions_Q_NUM_EXPORT_F_passes_per_q_filter_data,1),0)</f>
        <v>10.0</v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Std</t>
        </is>
      </c>
      <c r="B43" s="17" t="n">
        <v>2.9</v>
      </c>
      <c r="C43" t="inlineStr">
        <is>
          <t>static baseline</t>
        </is>
      </c>
      <c r="D43">
        <f>COUNTIFS(Q_NUM_EXPORT_data,"&lt;&gt;",passes_workbook_filters_data,1,passes_workbook_custom_filters_data,1,All_Questions_passes_local_filters_data,1,All_Questions_Q_NUM_EXPORT_F_passes_per_q_filter_data,1)</f>
        <v>10</v>
      </c>
    </row>
    <row r="44">
      <c r="A44" t="inlineStr">
        <is>
          <t>Median</t>
        </is>
      </c>
      <c r="B44" s="17" t="n">
        <v>5.5</v>
      </c>
      <c r="C44" t="inlineStr">
        <is>
          <t>static baseline</t>
        </is>
      </c>
      <c r="D44" s="15" t="n">
        <v>10</v>
      </c>
    </row>
    <row r="45"/>
    <row r="46">
      <c r="F46" s="4" t="inlineStr">
        <is>
          <t>Option</t>
        </is>
      </c>
      <c r="G46" s="2" t="str">
        <f>IF(All_Questions_Q_NUM_EXPORT_CT="(None)","",IFERROR(INDEX(INDIRECT(IFERROR(INDEX(All_Questions_Options_Names,MATCH(All_Questions_Q_NUM_EXPORT_CT,All_Questions,0)),"'_Options'!$E$2:$E$2")),2),""))</f>
        <v/>
      </c>
      <c r="H46" s="2" t="str">
        <f>IF(All_Questions_Q_NUM_EXPORT_CT="(None)","",IFERROR(INDEX(INDIRECT(IFERROR(INDEX(All_Questions_Options_Names,MATCH(All_Questions_Q_NUM_EXPORT_CT,All_Questions,0)),"'_Options'!$E$2:$E$2")),3),""))</f>
        <v/>
      </c>
      <c r="I46" s="2" t="str">
        <f>IF(All_Questions_Q_NUM_EXPORT_CT="(None)","",IFERROR(INDEX(INDIRECT(IFERROR(INDEX(All_Questions_Options_Names,MATCH(All_Questions_Q_NUM_EXPORT_CT,All_Questions,0)),"'_Options'!$E$2:$E$2")),4),""))</f>
        <v/>
      </c>
      <c r="J46" s="2" t="str">
        <f>IF(All_Questions_Q_NUM_EXPORT_CT="(None)","",IFERROR(INDEX(INDIRECT(IFERROR(INDEX(All_Questions_Options_Names,MATCH(All_Questions_Q_NUM_EXPORT_CT,All_Questions,0)),"'_Options'!$E$2:$E$2")),5),""))</f>
        <v/>
      </c>
      <c r="K46" s="2" t="str">
        <f>IF(All_Questions_Q_NUM_EXPORT_CT="(None)","",IFERROR(INDEX(INDIRECT(IFERROR(INDEX(All_Questions_Options_Names,MATCH(All_Questions_Q_NUM_EXPORT_CT,All_Questions,0)),"'_Options'!$E$2:$E$2")),6),""))</f>
        <v/>
      </c>
      <c r="L46" s="2" t="str">
        <f>IF(All_Questions_Q_NUM_EXPORT_CT="(None)","",IFERROR(INDEX(INDIRECT(IFERROR(INDEX(All_Questions_Options_Names,MATCH(All_Questions_Q_NUM_EXPORT_CT,All_Questions,0)),"'_Options'!$E$2:$E$2")),7),""))</f>
        <v/>
      </c>
      <c r="M46" s="2" t="str">
        <f>IF(All_Questions_Q_NUM_EXPORT_CT="(None)","",IFERROR(INDEX(INDIRECT(IFERROR(INDEX(All_Questions_Options_Names,MATCH(All_Questions_Q_NUM_EXPORT_CT,All_Questions,0)),"'_Options'!$E$2:$E$2")),8),""))</f>
        <v/>
      </c>
      <c r="N46" s="2" t="str">
        <f>IF(All_Questions_Q_NUM_EXPORT_CT="(None)","",IFERROR(INDEX(INDIRECT(IFERROR(INDEX(All_Questions_Options_Names,MATCH(All_Questions_Q_NUM_EXPORT_CT,All_Questions,0)),"'_Options'!$E$2:$E$2")),9),""))</f>
        <v/>
      </c>
      <c r="O46" s="2" t="str">
        <f>IF(All_Questions_Q_NUM_EXPORT_CT="(None)","",IFERROR(INDEX(INDIRECT(IFERROR(INDEX(All_Questions_Options_Names,MATCH(All_Questions_Q_NUM_EXPORT_CT,All_Questions,0)),"'_Options'!$E$2:$E$2")),10),""))</f>
        <v/>
      </c>
      <c r="P46" s="2" t="str">
        <f>IF(All_Questions_Q_NUM_EXPORT_CT="(None)","",IFERROR(INDEX(INDIRECT(IFERROR(INDEX(All_Questions_Options_Names,MATCH(All_Questions_Q_NUM_EXPORT_CT,All_Questions,0)),"'_Options'!$E$2:$E$2")),11),""))</f>
        <v/>
      </c>
      <c r="Q46" s="2" t="str">
        <f>IF(All_Questions_Q_NUM_EXPORT_CT="(None)","",IFERROR(INDEX(INDIRECT(IFERROR(INDEX(All_Questions_Options_Names,MATCH(All_Questions_Q_NUM_EXPORT_CT,All_Questions,0)),"'_Options'!$E$2:$E$2")),12),""))</f>
        <v/>
      </c>
      <c r="R46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6" s="4" t="inlineStr">
        <is>
          <t>Total</t>
        </is>
      </c>
    </row>
    <row r="47">
      <c r="F47" s="4" t="inlineStr"/>
      <c r="G47" s="4" t="inlineStr">
        <is>
          <t>Mean</t>
        </is>
      </c>
      <c r="H47" s="4" t="inlineStr">
        <is>
          <t>Mean</t>
        </is>
      </c>
      <c r="I47" s="4" t="inlineStr">
        <is>
          <t>Mean</t>
        </is>
      </c>
      <c r="J47" s="4" t="inlineStr">
        <is>
          <t>Mean</t>
        </is>
      </c>
      <c r="K47" s="4" t="inlineStr">
        <is>
          <t>Mean</t>
        </is>
      </c>
      <c r="L47" s="4" t="inlineStr">
        <is>
          <t>Mean</t>
        </is>
      </c>
      <c r="M47" s="4" t="inlineStr">
        <is>
          <t>Mean</t>
        </is>
      </c>
      <c r="N47" s="4" t="inlineStr">
        <is>
          <t>Mean</t>
        </is>
      </c>
      <c r="O47" s="4" t="inlineStr">
        <is>
          <t>Mean</t>
        </is>
      </c>
      <c r="P47" s="4" t="inlineStr">
        <is>
          <t>Mean</t>
        </is>
      </c>
      <c r="Q47" s="4" t="inlineStr">
        <is>
          <t>Mean</t>
        </is>
      </c>
      <c r="R47" s="4" t="inlineStr">
        <is>
          <t>Mean</t>
        </is>
      </c>
      <c r="S47" s="4" t="inlineStr">
        <is>
          <t>Mean</t>
        </is>
      </c>
    </row>
    <row r="48">
      <c r="F48" t="inlineStr">
        <is>
          <t>Numeric export question</t>
        </is>
      </c>
      <c r="G48" s="17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$46),"")))</f>
        <v>5.5</v>
      </c>
      <c r="H48" s="17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$46),"")))</f>
        <v>5.5</v>
      </c>
      <c r="I48" s="17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$46),"")))</f>
        <v>5.5</v>
      </c>
      <c r="J48" s="17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$46),"")))</f>
        <v>5.5</v>
      </c>
      <c r="K48" s="1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$46),"")))</f>
        <v>5.5</v>
      </c>
      <c r="L48" s="17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$46),"")))</f>
        <v>5.5</v>
      </c>
      <c r="M48" s="17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$46),"")))</f>
        <v>5.5</v>
      </c>
      <c r="N48" s="17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$46),"")))</f>
        <v>5.5</v>
      </c>
      <c r="O48" s="17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$46),"")))</f>
        <v>5.5</v>
      </c>
      <c r="P48" s="17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$46),"")))</f>
        <v>5.5</v>
      </c>
      <c r="Q48" s="17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$46),"")))</f>
        <v>5.5</v>
      </c>
      <c r="R48" s="17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$46),"")))</f>
        <v>5.5</v>
      </c>
      <c r="S48" s="17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50"/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A52" s="12" t="inlineStr">
        <is>
          <t>Q_GRID_EXPORT - Grid export question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</row>
    <row r="53">
      <c r="A53" s="13" t="inlineStr">
        <is>
          <t>Per-question filter</t>
        </is>
      </c>
      <c r="B53" t="inlineStr">
        <is>
          <t>Filter Q</t>
        </is>
      </c>
      <c r="C53" t="inlineStr">
        <is>
          <t>(None)</t>
        </is>
      </c>
      <c r="D53" t="inlineStr">
        <is>
          <t>Value</t>
        </is>
      </c>
      <c r="E53" t="inlineStr">
        <is>
          <t>(All)</t>
        </is>
      </c>
      <c r="F53" t="str">
        <f>IFERROR(INDEX(All_Questions_Data_Names,MATCH(All_Questions_Q_GRID_EXPORT_F_Q,All_Questions,0)),"'_RawData'!$A:$A")</f>
        <v>respondent_id_data</v>
      </c>
      <c r="G53" t="str">
        <f>"|" &amp; SUBSTITUTE(All_Questions_Q_GRID_EXPORT_F_V, ", ", "|") &amp; "|"</f>
        <v>|(All)|</v>
      </c>
    </row>
    <row r="54">
      <c r="A54" s="13" t="inlineStr">
        <is>
          <t>Cross-tab by</t>
        </is>
      </c>
      <c r="C54" t="inlineStr">
        <is>
          <t>(None)</t>
        </is>
      </c>
    </row>
    <row r="55"/>
    <row r="56">
      <c r="A56" s="4" t="inlineStr">
        <is>
          <t>Sub-question ID</t>
        </is>
      </c>
      <c r="B56" s="4" t="inlineStr">
        <is>
          <t>Sub-question</t>
        </is>
      </c>
      <c r="C56" s="4" t="inlineStr">
        <is>
          <t>High</t>
        </is>
      </c>
      <c r="D56" s="2" t="n"/>
      <c r="E56" s="4" t="inlineStr">
        <is>
          <t>Low</t>
        </is>
      </c>
      <c r="F56" s="2" t="n"/>
    </row>
    <row r="57">
      <c r="A57" s="2" t="inlineStr"/>
      <c r="B57" s="2" t="inlineStr"/>
      <c r="C57" s="4" t="inlineStr">
        <is>
          <t>Count</t>
        </is>
      </c>
      <c r="D57" s="4" t="inlineStr">
        <is>
          <t>%</t>
        </is>
      </c>
      <c r="E57" s="4" t="inlineStr">
        <is>
          <t>Count</t>
        </is>
      </c>
      <c r="F57" s="4" t="inlineStr">
        <is>
          <t>%</t>
        </is>
      </c>
    </row>
    <row r="58">
      <c r="A58" s="18" t="inlineStr">
        <is>
          <t>Q_GRID_EXPORTr1</t>
        </is>
      </c>
      <c r="B58" t="inlineStr">
        <is>
          <t>Grid first row</t>
        </is>
      </c>
      <c r="C58">
        <f>COUNTIFS(Q_GRID_EXPORTr1_data,"High",passes_workbook_filters_data,1,passes_workbook_custom_filters_data,1,All_Questions_passes_local_filters_data,1,All_Questions_Q_GRID_EXPORT_F_passes_per_q_filter_data,1)</f>
        <v>6</v>
      </c>
      <c r="D58" s="7">
        <f>IFERROR(C58/10,0)</f>
        <v>0.6</v>
      </c>
      <c r="E58">
        <f>COUNTIFS(Q_GRID_EXPORTr1_data,"Low",passes_workbook_filters_data,1,passes_workbook_custom_filters_data,1,All_Questions_passes_local_filters_data,1,All_Questions_Q_GRID_EXPORT_F_passes_per_q_filter_data,1)</f>
        <v>4</v>
      </c>
      <c r="F58" s="7">
        <f>IFERROR(E58/10,0)</f>
        <v>0.4</v>
      </c>
    </row>
    <row r="59">
      <c r="A59" s="18" t="inlineStr">
        <is>
          <t>Q_GRID_EXPORTr2</t>
        </is>
      </c>
      <c r="B59" t="inlineStr">
        <is>
          <t>Grid second row</t>
        </is>
      </c>
      <c r="C59">
        <f>COUNTIFS(Q_GRID_EXPORTr2_data,"High",passes_workbook_filters_data,1,passes_workbook_custom_filters_data,1,All_Questions_passes_local_filters_data,1,All_Questions_Q_GRID_EXPORT_F_passes_per_q_filter_data,1)</f>
        <v>5</v>
      </c>
      <c r="D59" s="7">
        <f>IFERROR(C59/10,0)</f>
        <v>0.5</v>
      </c>
      <c r="E59">
        <f>COUNTIFS(Q_GRID_EXPORTr2_data,"Low",passes_workbook_filters_data,1,passes_workbook_custom_filters_data,1,All_Questions_passes_local_filters_data,1,All_Questions_Q_GRID_EXPORT_F_passes_per_q_filter_data,1)</f>
        <v>5</v>
      </c>
      <c r="F59" s="7">
        <f>IFERROR(E59/10,0)</f>
        <v>0.5</v>
      </c>
    </row>
    <row r="60">
      <c r="A60" s="16" t="inlineStr">
        <is>
          <t>Total respondents</t>
        </is>
      </c>
      <c r="B60" s="16" t="n">
        <v>10</v>
      </c>
      <c r="C60" s="16" t="n"/>
      <c r="D60" s="16" t="n"/>
      <c r="E60" s="16" t="n"/>
      <c r="F60" s="16" t="n"/>
    </row>
    <row r="61">
      <c r="A61" s="4" t="inlineStr">
        <is>
          <t>Total responses</t>
        </is>
      </c>
      <c r="B61" s="4" t="n">
        <v>20</v>
      </c>
      <c r="C61" s="4" t="n"/>
      <c r="D61" s="4" t="n"/>
      <c r="E61" s="4" t="n"/>
      <c r="F61" s="4" t="n"/>
    </row>
    <row r="62"/>
    <row r="63">
      <c r="F63" s="4" t="inlineStr">
        <is>
          <t>Option</t>
        </is>
      </c>
      <c r="G63" s="2" t="str">
        <f>IF(All_Questions_Q_GRID_EXPORT_CT="(None)","",IFERROR(INDEX(INDIRECT(IFERROR(INDEX(All_Questions_Options_Names,MATCH(All_Questions_Q_GRID_EXPORT_CT,All_Questions,0)),"'_Options'!$E$2:$E$2")),2),""))</f>
        <v/>
      </c>
      <c r="H63" s="2" t="str">
        <f>IF(All_Questions_Q_GRID_EXPORT_CT="(None)","",IFERROR(INDEX(INDIRECT(IFERROR(INDEX(All_Questions_Options_Names,MATCH(All_Questions_Q_GRID_EXPORT_CT,All_Questions,0)),"'_Options'!$E$2:$E$2")),3),""))</f>
        <v/>
      </c>
      <c r="I63" s="2" t="str">
        <f>IF(All_Questions_Q_GRID_EXPORT_CT="(None)","",IFERROR(INDEX(INDIRECT(IFERROR(INDEX(All_Questions_Options_Names,MATCH(All_Questions_Q_GRID_EXPORT_CT,All_Questions,0)),"'_Options'!$E$2:$E$2")),4),""))</f>
        <v/>
      </c>
      <c r="J63" s="2" t="str">
        <f>IF(All_Questions_Q_GRID_EXPORT_CT="(None)","",IFERROR(INDEX(INDIRECT(IFERROR(INDEX(All_Questions_Options_Names,MATCH(All_Questions_Q_GRID_EXPORT_CT,All_Questions,0)),"'_Options'!$E$2:$E$2")),5),""))</f>
        <v/>
      </c>
      <c r="K63" s="2" t="str">
        <f>IF(All_Questions_Q_GRID_EXPORT_CT="(None)","",IFERROR(INDEX(INDIRECT(IFERROR(INDEX(All_Questions_Options_Names,MATCH(All_Questions_Q_GRID_EXPORT_CT,All_Questions,0)),"'_Options'!$E$2:$E$2")),6),""))</f>
        <v/>
      </c>
      <c r="L63" s="2" t="str">
        <f>IF(All_Questions_Q_GRID_EXPORT_CT="(None)","",IFERROR(INDEX(INDIRECT(IFERROR(INDEX(All_Questions_Options_Names,MATCH(All_Questions_Q_GRID_EXPORT_CT,All_Questions,0)),"'_Options'!$E$2:$E$2")),7),""))</f>
        <v/>
      </c>
      <c r="M63" s="2" t="str">
        <f>IF(All_Questions_Q_GRID_EXPORT_CT="(None)","",IFERROR(INDEX(INDIRECT(IFERROR(INDEX(All_Questions_Options_Names,MATCH(All_Questions_Q_GRID_EXPORT_CT,All_Questions,0)),"'_Options'!$E$2:$E$2")),8),""))</f>
        <v/>
      </c>
      <c r="N63" s="2" t="str">
        <f>IF(All_Questions_Q_GRID_EXPORT_CT="(None)","",IFERROR(INDEX(INDIRECT(IFERROR(INDEX(All_Questions_Options_Names,MATCH(All_Questions_Q_GRID_EXPORT_CT,All_Questions,0)),"'_Options'!$E$2:$E$2")),9),""))</f>
        <v/>
      </c>
      <c r="O63" s="2" t="str">
        <f>IF(All_Questions_Q_GRID_EXPORT_CT="(None)","",IFERROR(INDEX(INDIRECT(IFERROR(INDEX(All_Questions_Options_Names,MATCH(All_Questions_Q_GRID_EXPORT_CT,All_Questions,0)),"'_Options'!$E$2:$E$2")),10),""))</f>
        <v/>
      </c>
      <c r="P63" s="2" t="str">
        <f>IF(All_Questions_Q_GRID_EXPORT_CT="(None)","",IFERROR(INDEX(INDIRECT(IFERROR(INDEX(All_Questions_Options_Names,MATCH(All_Questions_Q_GRID_EXPORT_CT,All_Questions,0)),"'_Options'!$E$2:$E$2")),11),""))</f>
        <v/>
      </c>
      <c r="Q63" s="2" t="str">
        <f>IF(All_Questions_Q_GRID_EXPORT_CT="(None)","",IFERROR(INDEX(INDIRECT(IFERROR(INDEX(All_Questions_Options_Names,MATCH(All_Questions_Q_GRID_EXPORT_CT,All_Questions,0)),"'_Options'!$E$2:$E$2")),12),""))</f>
        <v/>
      </c>
      <c r="R63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3" s="4" t="inlineStr">
        <is>
          <t>Total</t>
        </is>
      </c>
    </row>
    <row r="64"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F65" t="inlineStr">
        <is>
          <t>Grid first row</t>
        </is>
      </c>
      <c r="G65" s="15">
        <f>IF(OR(All_Questions_Q_GRID_EXPORT_CT="(None)",G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$63))</f>
        <v>0</v>
      </c>
      <c r="H65" s="15">
        <f>IF(OR(All_Questions_Q_GRID_EXPORT_CT="(None)",H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$63))</f>
        <v>0</v>
      </c>
      <c r="I65" s="15">
        <f>IF(OR(All_Questions_Q_GRID_EXPORT_CT="(None)",I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$63))</f>
        <v>0</v>
      </c>
      <c r="J65" s="15">
        <f>IF(OR(All_Questions_Q_GRID_EXPORT_CT="(None)",J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$63))</f>
        <v>0</v>
      </c>
      <c r="K65" s="15">
        <f>IF(OR(All_Questions_Q_GRID_EXPORT_CT="(None)",K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$63))</f>
        <v>0</v>
      </c>
      <c r="L65" s="15">
        <f>IF(OR(All_Questions_Q_GRID_EXPORT_CT="(None)",L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$63))</f>
        <v>0</v>
      </c>
      <c r="M65" s="15">
        <f>IF(OR(All_Questions_Q_GRID_EXPORT_CT="(None)",M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$63))</f>
        <v>0</v>
      </c>
      <c r="N65" s="15">
        <f>IF(OR(All_Questions_Q_GRID_EXPORT_CT="(None)",N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$63))</f>
        <v>0</v>
      </c>
      <c r="O65" s="15">
        <f>IF(OR(All_Questions_Q_GRID_EXPORT_CT="(None)",O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$63))</f>
        <v>0</v>
      </c>
      <c r="P65" s="15">
        <f>IF(OR(All_Questions_Q_GRID_EXPORT_CT="(None)",P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$63))</f>
        <v>0</v>
      </c>
      <c r="Q65" s="15">
        <f>IF(OR(All_Questions_Q_GRID_EXPORT_CT="(None)",Q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$63))</f>
        <v>0</v>
      </c>
      <c r="R65" s="15">
        <f>IF(OR(All_Questions_Q_GRID_EXPORT_CT="(None)",R$63=""),"",IF(R$63="Other",COUNTIFS(Q_GRID_EXPORTr1_data,"Selected",passes_workbook_filters_data,1,passes_workbook_custom_filters_data,1,All_Questions_passes_local_filters_data,1,All_Questions_Q_GRID_EXPORT_F_passes_per_q_filter_data,1)-SUM(G65,H65,I65,J65,K65,L65,M65,N65,O65,P65,Q65)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$63)))</f>
        <v>0</v>
      </c>
      <c r="S65" s="15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6">
      <c r="F66" t="inlineStr">
        <is>
          <t>Grid second row</t>
        </is>
      </c>
      <c r="G66" s="15">
        <f>IF(OR(All_Questions_Q_GRID_EXPORT_CT="(None)",G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$63))</f>
        <v>0</v>
      </c>
      <c r="H66" s="15">
        <f>IF(OR(All_Questions_Q_GRID_EXPORT_CT="(None)",H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$63))</f>
        <v>0</v>
      </c>
      <c r="I66" s="15">
        <f>IF(OR(All_Questions_Q_GRID_EXPORT_CT="(None)",I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$63))</f>
        <v>0</v>
      </c>
      <c r="J66" s="15">
        <f>IF(OR(All_Questions_Q_GRID_EXPORT_CT="(None)",J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$63))</f>
        <v>0</v>
      </c>
      <c r="K66" s="15">
        <f>IF(OR(All_Questions_Q_GRID_EXPORT_CT="(None)",K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$63))</f>
        <v>0</v>
      </c>
      <c r="L66" s="15">
        <f>IF(OR(All_Questions_Q_GRID_EXPORT_CT="(None)",L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$63))</f>
        <v>0</v>
      </c>
      <c r="M66" s="15">
        <f>IF(OR(All_Questions_Q_GRID_EXPORT_CT="(None)",M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$63))</f>
        <v>0</v>
      </c>
      <c r="N66" s="15">
        <f>IF(OR(All_Questions_Q_GRID_EXPORT_CT="(None)",N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$63))</f>
        <v>0</v>
      </c>
      <c r="O66" s="15">
        <f>IF(OR(All_Questions_Q_GRID_EXPORT_CT="(None)",O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$63))</f>
        <v>0</v>
      </c>
      <c r="P66" s="15">
        <f>IF(OR(All_Questions_Q_GRID_EXPORT_CT="(None)",P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$63))</f>
        <v>0</v>
      </c>
      <c r="Q66" s="15">
        <f>IF(OR(All_Questions_Q_GRID_EXPORT_CT="(None)",Q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$63))</f>
        <v>0</v>
      </c>
      <c r="R66" s="15">
        <f>IF(OR(All_Questions_Q_GRID_EXPORT_CT="(None)",R$63=""),"",IF(R$63="Other",COUNTIFS(Q_GRID_EXPORTr2_data,"Selected",passes_workbook_filters_data,1,passes_workbook_custom_filters_data,1,All_Questions_passes_local_filters_data,1,All_Questions_Q_GRID_EXPORT_F_passes_per_q_filter_data,1)-SUM(G66,H66,I66,J66,K66,L66,M66,N66,O66,P66,Q66)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$63)))</f>
        <v>0</v>
      </c>
      <c r="S66" s="15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8"/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</row>
    <row r="70">
      <c r="A70" s="12" t="inlineStr">
        <is>
          <t>Q_VERY_LONG_SINGLE_SELECT_EXPORT_NAME - Long sheet name export question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</row>
    <row r="71">
      <c r="A71" s="13" t="inlineStr">
        <is>
          <t>Per-question filter</t>
        </is>
      </c>
      <c r="B71" t="inlineStr">
        <is>
          <t>Filter Q</t>
        </is>
      </c>
      <c r="C71" t="inlineStr">
        <is>
          <t>(None)</t>
        </is>
      </c>
      <c r="D71" t="inlineStr">
        <is>
          <t>Value</t>
        </is>
      </c>
      <c r="E71" t="inlineStr">
        <is>
          <t>(All)</t>
        </is>
      </c>
      <c r="F71" t="str">
        <f>IFERROR(INDEX(All_Questions_Data_Names,MATCH(All_Questions_Q_VERY_LONG_SINGLE_SELECT_EXPORT_NAME_F_Q,All_Questions,0)),"'_RawData'!$A:$A")</f>
        <v>respondent_id_data</v>
      </c>
      <c r="G71" t="str">
        <f>"|" &amp; SUBSTITUTE(All_Questions_Q_VERY_LONG_SINGLE_SELECT_EXPORT_NAME_F_V, ", ", "|") &amp; "|"</f>
        <v>|(All)|</v>
      </c>
    </row>
    <row r="72">
      <c r="A72" s="13" t="inlineStr">
        <is>
          <t>Cross-tab by</t>
        </is>
      </c>
      <c r="C72" t="inlineStr">
        <is>
          <t>(None)</t>
        </is>
      </c>
    </row>
    <row r="73"/>
    <row r="74">
      <c r="A74" s="4" t="inlineStr">
        <is>
          <t>Option</t>
        </is>
      </c>
      <c r="B74" s="4" t="inlineStr">
        <is>
          <t>Count</t>
        </is>
      </c>
      <c r="C74" s="4" t="inlineStr">
        <is>
          <t>%</t>
        </is>
      </c>
      <c r="D74" s="4" t="inlineStr">
        <is>
          <t>Denominator</t>
        </is>
      </c>
      <c r="F74" s="4" t="inlineStr">
        <is>
          <t>Option</t>
        </is>
      </c>
      <c r="G74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4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4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4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4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4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4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4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4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4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4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4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4" s="4" t="inlineStr">
        <is>
          <t>Total</t>
        </is>
      </c>
    </row>
    <row r="75">
      <c r="A75" t="inlineStr">
        <is>
          <t>A</t>
        </is>
      </c>
      <c r="B7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5" s="7">
        <f>IFERROR(B75/SUBTOTAL(9,B75:B76),0)</f>
        <v>0.7</v>
      </c>
      <c r="D75" s="15">
        <f>SUBTOTAL(9,B75:B76)</f>
        <v>10</v>
      </c>
      <c r="F75" s="4" t="inlineStr"/>
      <c r="G75" s="4" t="inlineStr">
        <is>
          <t># of resp</t>
        </is>
      </c>
      <c r="H75" s="4" t="inlineStr">
        <is>
          <t># of resp</t>
        </is>
      </c>
      <c r="I75" s="4" t="inlineStr">
        <is>
          <t># of resp</t>
        </is>
      </c>
      <c r="J75" s="4" t="inlineStr">
        <is>
          <t># of resp</t>
        </is>
      </c>
      <c r="K75" s="4" t="inlineStr">
        <is>
          <t># of resp</t>
        </is>
      </c>
      <c r="L75" s="4" t="inlineStr">
        <is>
          <t># of resp</t>
        </is>
      </c>
      <c r="M75" s="4" t="inlineStr">
        <is>
          <t># of resp</t>
        </is>
      </c>
      <c r="N75" s="4" t="inlineStr">
        <is>
          <t># of resp</t>
        </is>
      </c>
      <c r="O75" s="4" t="inlineStr">
        <is>
          <t># of resp</t>
        </is>
      </c>
      <c r="P75" s="4" t="inlineStr">
        <is>
          <t># of resp</t>
        </is>
      </c>
      <c r="Q75" s="4" t="inlineStr">
        <is>
          <t># of resp</t>
        </is>
      </c>
      <c r="R75" s="4" t="inlineStr">
        <is>
          <t># of resp</t>
        </is>
      </c>
      <c r="S75" s="4" t="inlineStr">
        <is>
          <t># of resp</t>
        </is>
      </c>
    </row>
    <row r="76">
      <c r="A76" t="inlineStr">
        <is>
          <t>B</t>
        </is>
      </c>
      <c r="B7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6" s="7">
        <f>IFERROR(B76/SUBTOTAL(9,B75:B76),0)</f>
        <v>0.3</v>
      </c>
      <c r="D76" s="15">
        <f>SUBTOTAL(9,B75:B76)</f>
        <v>10</v>
      </c>
      <c r="F76" t="inlineStr">
        <is>
          <t>A</t>
        </is>
      </c>
      <c r="G76" s="15">
        <f>IF(OR(All_Questions_Q_VERY_LONG_SINGLE_SELECT_EXPORT_NAME_CT="(None)",G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$74))</f>
        <v>0</v>
      </c>
      <c r="H76" s="15">
        <f>IF(OR(All_Questions_Q_VERY_LONG_SINGLE_SELECT_EXPORT_NAME_CT="(None)",H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$74))</f>
        <v>0</v>
      </c>
      <c r="I76" s="15">
        <f>IF(OR(All_Questions_Q_VERY_LONG_SINGLE_SELECT_EXPORT_NAME_CT="(None)",I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$74))</f>
        <v>0</v>
      </c>
      <c r="J76" s="15">
        <f>IF(OR(All_Questions_Q_VERY_LONG_SINGLE_SELECT_EXPORT_NAME_CT="(None)",J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$74))</f>
        <v>0</v>
      </c>
      <c r="K76" s="15">
        <f>IF(OR(All_Questions_Q_VERY_LONG_SINGLE_SELECT_EXPORT_NAME_CT="(None)",K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$74))</f>
        <v>0</v>
      </c>
      <c r="L76" s="15">
        <f>IF(OR(All_Questions_Q_VERY_LONG_SINGLE_SELECT_EXPORT_NAME_CT="(None)",L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$74))</f>
        <v>0</v>
      </c>
      <c r="M76" s="15">
        <f>IF(OR(All_Questions_Q_VERY_LONG_SINGLE_SELECT_EXPORT_NAME_CT="(None)",M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$74))</f>
        <v>0</v>
      </c>
      <c r="N76" s="15">
        <f>IF(OR(All_Questions_Q_VERY_LONG_SINGLE_SELECT_EXPORT_NAME_CT="(None)",N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$74))</f>
        <v>0</v>
      </c>
      <c r="O76" s="15">
        <f>IF(OR(All_Questions_Q_VERY_LONG_SINGLE_SELECT_EXPORT_NAME_CT="(None)",O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$74))</f>
        <v>0</v>
      </c>
      <c r="P76" s="15">
        <f>IF(OR(All_Questions_Q_VERY_LONG_SINGLE_SELECT_EXPORT_NAME_CT="(None)",P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$74))</f>
        <v>0</v>
      </c>
      <c r="Q76" s="15">
        <f>IF(OR(All_Questions_Q_VERY_LONG_SINGLE_SELECT_EXPORT_NAME_CT="(None)",Q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$74))</f>
        <v>0</v>
      </c>
      <c r="R76" s="15">
        <f>IF(OR(All_Questions_Q_VERY_LONG_SINGLE_SELECT_EXPORT_NAME_CT="(None)",R$74=""),"",IF(R$74="Other",COUNTIFS(Q_VERY_LONG_SINGLE_SELECT_EXPOR_data,"A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$74)))</f>
        <v>0</v>
      </c>
      <c r="S76" s="15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7">
      <c r="A77" s="16" t="inlineStr">
        <is>
          <t>Total respondents</t>
        </is>
      </c>
      <c r="B77" s="16" t="n">
        <v>10</v>
      </c>
      <c r="C77" s="16" t="n"/>
      <c r="D77" s="16" t="n"/>
      <c r="F77" t="inlineStr">
        <is>
          <t>B</t>
        </is>
      </c>
      <c r="G77" s="15">
        <f>IF(OR(All_Questions_Q_VERY_LONG_SINGLE_SELECT_EXPORT_NAME_CT="(None)",G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$74))</f>
        <v>0</v>
      </c>
      <c r="H77" s="15">
        <f>IF(OR(All_Questions_Q_VERY_LONG_SINGLE_SELECT_EXPORT_NAME_CT="(None)",H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$74))</f>
        <v>0</v>
      </c>
      <c r="I77" s="15">
        <f>IF(OR(All_Questions_Q_VERY_LONG_SINGLE_SELECT_EXPORT_NAME_CT="(None)",I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$74))</f>
        <v>0</v>
      </c>
      <c r="J77" s="15">
        <f>IF(OR(All_Questions_Q_VERY_LONG_SINGLE_SELECT_EXPORT_NAME_CT="(None)",J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$74))</f>
        <v>0</v>
      </c>
      <c r="K77" s="15">
        <f>IF(OR(All_Questions_Q_VERY_LONG_SINGLE_SELECT_EXPORT_NAME_CT="(None)",K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$74))</f>
        <v>0</v>
      </c>
      <c r="L77" s="15">
        <f>IF(OR(All_Questions_Q_VERY_LONG_SINGLE_SELECT_EXPORT_NAME_CT="(None)",L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$74))</f>
        <v>0</v>
      </c>
      <c r="M77" s="15">
        <f>IF(OR(All_Questions_Q_VERY_LONG_SINGLE_SELECT_EXPORT_NAME_CT="(None)",M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$74))</f>
        <v>0</v>
      </c>
      <c r="N77" s="15">
        <f>IF(OR(All_Questions_Q_VERY_LONG_SINGLE_SELECT_EXPORT_NAME_CT="(None)",N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$74))</f>
        <v>0</v>
      </c>
      <c r="O77" s="15">
        <f>IF(OR(All_Questions_Q_VERY_LONG_SINGLE_SELECT_EXPORT_NAME_CT="(None)",O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$74))</f>
        <v>0</v>
      </c>
      <c r="P77" s="15">
        <f>IF(OR(All_Questions_Q_VERY_LONG_SINGLE_SELECT_EXPORT_NAME_CT="(None)",P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$74))</f>
        <v>0</v>
      </c>
      <c r="Q77" s="15">
        <f>IF(OR(All_Questions_Q_VERY_LONG_SINGLE_SELECT_EXPORT_NAME_CT="(None)",Q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$74))</f>
        <v>0</v>
      </c>
      <c r="R77" s="15">
        <f>IF(OR(All_Questions_Q_VERY_LONG_SINGLE_SELECT_EXPORT_NAME_CT="(None)",R$74=""),"",IF(R$74="Other",COUNTIFS(Q_VERY_LONG_SINGLE_SELECT_EXPOR_data,"B",passes_workbook_filters_data,1,passes_workbook_custom_filters_data,1,All_Questions_passes_local_filters_data,1,All_Questions_Q_VERY_LONG_SINGLE_SELECT_EXPORT_NAME_F_passes_per_q_filter_data,1)-SUM(G77,H77,I77,J77,K77,L77,M77,N77,O77,P77,Q77)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$74)))</f>
        <v>0</v>
      </c>
      <c r="S77" s="1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8">
      <c r="F78" s="4" t="inlineStr">
        <is>
          <t>Total respondents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56:D56"/>
    <mergeCell ref="E56:F56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:D5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:F5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5:B76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5:C76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6:G77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6:H77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6:I77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6:J77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6:K77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6:L77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6:M77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6:N77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6:O77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6:P77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6:Q77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6:R77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53" showDropDown="0" showInputMessage="0" showErrorMessage="0" allowBlank="1" type="list">
      <formula1>=All_Questions</formula1>
    </dataValidation>
    <dataValidation sqref="E5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4" showDropDown="0" showInputMessage="0" showErrorMessage="0" allowBlank="1" type="list">
      <formula1>=All_Questions</formula1>
    </dataValidation>
    <dataValidation sqref="C71" showDropDown="0" showInputMessage="0" showErrorMessage="0" allowBlank="1" type="list">
      <formula1>=All_Questions</formula1>
    </dataValidation>
    <dataValidation sqref="E7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2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G$28</t>
        </is>
      </c>
      <c r="H9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</v>
      </c>
      <c r="I9" t="n">
        <v>0.5</v>
      </c>
      <c r="J9" t="n">
        <v>0</v>
      </c>
      <c r="K9" t="n">
        <v>0</v>
      </c>
      <c r="L9" t="inlineStr">
        <is>
          <t>2026-06-08T08:50:36.057096+00:00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H$28</t>
        </is>
      </c>
      <c r="H10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</v>
      </c>
      <c r="I10" t="n">
        <v>0.5</v>
      </c>
      <c r="J10" t="n">
        <v>0</v>
      </c>
      <c r="K10" t="n">
        <v>0</v>
      </c>
      <c r="L10" t="inlineStr">
        <is>
          <t>2026-06-08T08:50:36.057353+00:00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I$28</t>
        </is>
      </c>
      <c r="H11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</v>
      </c>
      <c r="I11" t="n">
        <v>0.5</v>
      </c>
      <c r="J11" t="n">
        <v>0</v>
      </c>
      <c r="K11" t="n">
        <v>0</v>
      </c>
      <c r="L11" t="inlineStr">
        <is>
          <t>2026-06-08T08:50:36.057554+00:00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J$28</t>
        </is>
      </c>
      <c r="H12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</v>
      </c>
      <c r="I12" t="n">
        <v>0.5</v>
      </c>
      <c r="J12" t="n">
        <v>0</v>
      </c>
      <c r="K12" t="n">
        <v>0</v>
      </c>
      <c r="L12" t="inlineStr">
        <is>
          <t>2026-06-08T08:50:36.057754+00:00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K$28</t>
        </is>
      </c>
      <c r="H13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</v>
      </c>
      <c r="I13" t="n">
        <v>0.5</v>
      </c>
      <c r="J13" t="n">
        <v>0</v>
      </c>
      <c r="K13" t="n">
        <v>0</v>
      </c>
      <c r="L13" t="inlineStr">
        <is>
          <t>2026-06-08T08:50:36.057969+00:00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L$28</t>
        </is>
      </c>
      <c r="H14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</v>
      </c>
      <c r="I14" t="n">
        <v>0.5</v>
      </c>
      <c r="J14" t="n">
        <v>0</v>
      </c>
      <c r="K14" t="n">
        <v>0</v>
      </c>
      <c r="L14" t="inlineStr">
        <is>
          <t>2026-06-08T08:50:36.058203+00:00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M$28</t>
        </is>
      </c>
      <c r="H15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</v>
      </c>
      <c r="I15" t="n">
        <v>0.5</v>
      </c>
      <c r="J15" t="n">
        <v>0</v>
      </c>
      <c r="K15" t="n">
        <v>0</v>
      </c>
      <c r="L15" t="inlineStr">
        <is>
          <t>2026-06-08T08:50:36.058404+00:00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N$28</t>
        </is>
      </c>
      <c r="H16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</v>
      </c>
      <c r="I16" t="n">
        <v>0.5</v>
      </c>
      <c r="J16" t="n">
        <v>0</v>
      </c>
      <c r="K16" t="n">
        <v>0</v>
      </c>
      <c r="L16" t="inlineStr">
        <is>
          <t>2026-06-08T08:50:36.058599+00:00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O$28</t>
        </is>
      </c>
      <c r="H1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</v>
      </c>
      <c r="I17" t="n">
        <v>0.5</v>
      </c>
      <c r="J17" t="n">
        <v>0</v>
      </c>
      <c r="K17" t="n">
        <v>0</v>
      </c>
      <c r="L17" t="inlineStr">
        <is>
          <t>2026-06-08T08:50:36.058791+00:00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P$28</t>
        </is>
      </c>
      <c r="H18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</v>
      </c>
      <c r="I18" t="n">
        <v>0.5</v>
      </c>
      <c r="J18" t="n">
        <v>0</v>
      </c>
      <c r="K18" t="n">
        <v>0</v>
      </c>
      <c r="L18" t="inlineStr">
        <is>
          <t>2026-06-08T08:50:36.059007+00:00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Q$28</t>
        </is>
      </c>
      <c r="H19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</v>
      </c>
      <c r="I19" t="n">
        <v>0.5</v>
      </c>
      <c r="J19" t="n">
        <v>0</v>
      </c>
      <c r="K19" t="n">
        <v>0</v>
      </c>
      <c r="L19" t="inlineStr">
        <is>
          <t>2026-06-08T08:50:36.059242+00:00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R$28</t>
        </is>
      </c>
      <c r="H20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</v>
      </c>
      <c r="I20" t="n">
        <v>0.5</v>
      </c>
      <c r="J20" t="n">
        <v>0</v>
      </c>
      <c r="K20" t="n">
        <v>0</v>
      </c>
      <c r="L20" t="inlineStr">
        <is>
          <t>2026-06-08T08:50:36.059498+00:00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G$28</t>
        </is>
      </c>
      <c r="H21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</v>
      </c>
      <c r="I21" t="n">
        <v>0.2</v>
      </c>
      <c r="J21" t="n">
        <v>0</v>
      </c>
      <c r="K21" t="n">
        <v>0</v>
      </c>
      <c r="L21" t="inlineStr">
        <is>
          <t>2026-06-08T08:50:36.059844+00:00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H$28</t>
        </is>
      </c>
      <c r="H22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</v>
      </c>
      <c r="I22" t="n">
        <v>0.2</v>
      </c>
      <c r="J22" t="n">
        <v>0</v>
      </c>
      <c r="K22" t="n">
        <v>0</v>
      </c>
      <c r="L22" t="inlineStr">
        <is>
          <t>2026-06-08T08:50:36.060063+00:00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I$28</t>
        </is>
      </c>
      <c r="H23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</v>
      </c>
      <c r="I23" t="n">
        <v>0.2</v>
      </c>
      <c r="J23" t="n">
        <v>0</v>
      </c>
      <c r="K23" t="n">
        <v>0</v>
      </c>
      <c r="L23" t="inlineStr">
        <is>
          <t>2026-06-08T08:50:36.060321+00:00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J$28</t>
        </is>
      </c>
      <c r="H24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</v>
      </c>
      <c r="I24" t="n">
        <v>0.2</v>
      </c>
      <c r="J24" t="n">
        <v>0</v>
      </c>
      <c r="K24" t="n">
        <v>0</v>
      </c>
      <c r="L24" t="inlineStr">
        <is>
          <t>2026-06-08T08:50:36.060523+00:00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K$28</t>
        </is>
      </c>
      <c r="H25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</v>
      </c>
      <c r="I25" t="n">
        <v>0.2</v>
      </c>
      <c r="J25" t="n">
        <v>0</v>
      </c>
      <c r="K25" t="n">
        <v>0</v>
      </c>
      <c r="L25" t="inlineStr">
        <is>
          <t>2026-06-08T08:50:36.060716+00:00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L$28</t>
        </is>
      </c>
      <c r="H26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</v>
      </c>
      <c r="I26" t="n">
        <v>0.2</v>
      </c>
      <c r="J26" t="n">
        <v>0</v>
      </c>
      <c r="K26" t="n">
        <v>0</v>
      </c>
      <c r="L26" t="inlineStr">
        <is>
          <t>2026-06-08T08:50:36.060908+00:00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M$28</t>
        </is>
      </c>
      <c r="H2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</v>
      </c>
      <c r="I27" t="n">
        <v>0.2</v>
      </c>
      <c r="J27" t="n">
        <v>0</v>
      </c>
      <c r="K27" t="n">
        <v>0</v>
      </c>
      <c r="L27" t="inlineStr">
        <is>
          <t>2026-06-08T08:50:36.061177+00:00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N$28</t>
        </is>
      </c>
      <c r="H28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</v>
      </c>
      <c r="I28" t="n">
        <v>0.2</v>
      </c>
      <c r="J28" t="n">
        <v>0</v>
      </c>
      <c r="K28" t="n">
        <v>0</v>
      </c>
      <c r="L28" t="inlineStr">
        <is>
          <t>2026-06-08T08:50:36.061401+00:00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O$28</t>
        </is>
      </c>
      <c r="H29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</v>
      </c>
      <c r="I29" t="n">
        <v>0.2</v>
      </c>
      <c r="J29" t="n">
        <v>0</v>
      </c>
      <c r="K29" t="n">
        <v>0</v>
      </c>
      <c r="L29" t="inlineStr">
        <is>
          <t>2026-06-08T08:50:36.061613+00:00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P$28</t>
        </is>
      </c>
      <c r="H30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</v>
      </c>
      <c r="I30" t="n">
        <v>0.2</v>
      </c>
      <c r="J30" t="n">
        <v>0</v>
      </c>
      <c r="K30" t="n">
        <v>0</v>
      </c>
      <c r="L30" t="inlineStr">
        <is>
          <t>2026-06-08T08:50:36.061806+00:00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Q$28</t>
        </is>
      </c>
      <c r="H31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</v>
      </c>
      <c r="I31" t="n">
        <v>0.2</v>
      </c>
      <c r="J31" t="n">
        <v>0</v>
      </c>
      <c r="K31" t="n">
        <v>0</v>
      </c>
      <c r="L31" t="inlineStr">
        <is>
          <t>2026-06-08T08:50:36.062026+00:00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R$28</t>
        </is>
      </c>
      <c r="H32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</v>
      </c>
      <c r="I32" t="n">
        <v>0.2</v>
      </c>
      <c r="J32" t="n">
        <v>0</v>
      </c>
      <c r="K32" t="n">
        <v>0</v>
      </c>
      <c r="L32" t="inlineStr">
        <is>
          <t>2026-06-08T08:50:36.062314+00:00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G$46</t>
        </is>
      </c>
      <c r="H33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$46),"")))</f>
        <v>0</v>
      </c>
      <c r="I33" t="n">
        <v>5.5</v>
      </c>
      <c r="J33" t="n">
        <v>0</v>
      </c>
      <c r="K33" t="n">
        <v>0</v>
      </c>
      <c r="L33" t="inlineStr">
        <is>
          <t>2026-06-08T08:50:36.081281+00:00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H$46</t>
        </is>
      </c>
      <c r="H34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$46),"")))</f>
        <v>0</v>
      </c>
      <c r="I34" t="n">
        <v>5.5</v>
      </c>
      <c r="J34" t="n">
        <v>0</v>
      </c>
      <c r="K34" t="n">
        <v>0</v>
      </c>
      <c r="L34" t="inlineStr">
        <is>
          <t>2026-06-08T08:50:36.081439+00:00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I$46</t>
        </is>
      </c>
      <c r="H35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$46),"")))</f>
        <v>0</v>
      </c>
      <c r="I35" t="n">
        <v>5.5</v>
      </c>
      <c r="J35" t="n">
        <v>0</v>
      </c>
      <c r="K35" t="n">
        <v>0</v>
      </c>
      <c r="L35" t="inlineStr">
        <is>
          <t>2026-06-08T08:50:36.081577+00:00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J$46</t>
        </is>
      </c>
      <c r="H36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$46),"")))</f>
        <v>0</v>
      </c>
      <c r="I36" t="n">
        <v>5.5</v>
      </c>
      <c r="J36" t="n">
        <v>0</v>
      </c>
      <c r="K36" t="n">
        <v>0</v>
      </c>
      <c r="L36" t="inlineStr">
        <is>
          <t>2026-06-08T08:50:36.081710+00:00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K$46</t>
        </is>
      </c>
      <c r="H3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$46),"")))</f>
        <v>0</v>
      </c>
      <c r="I37" t="n">
        <v>5.5</v>
      </c>
      <c r="J37" t="n">
        <v>0</v>
      </c>
      <c r="K37" t="n">
        <v>0</v>
      </c>
      <c r="L37" t="inlineStr">
        <is>
          <t>2026-06-08T08:50:36.081842+00:00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L$46</t>
        </is>
      </c>
      <c r="H38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$46),"")))</f>
        <v>0</v>
      </c>
      <c r="I38" t="n">
        <v>5.5</v>
      </c>
      <c r="J38" t="n">
        <v>0</v>
      </c>
      <c r="K38" t="n">
        <v>0</v>
      </c>
      <c r="L38" t="inlineStr">
        <is>
          <t>2026-06-08T08:50:36.081999+00:00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M$46</t>
        </is>
      </c>
      <c r="H39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$46),"")))</f>
        <v>0</v>
      </c>
      <c r="I39" t="n">
        <v>5.5</v>
      </c>
      <c r="J39" t="n">
        <v>0</v>
      </c>
      <c r="K39" t="n">
        <v>0</v>
      </c>
      <c r="L39" t="inlineStr">
        <is>
          <t>2026-06-08T08:50:36.082166+00:00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N$46</t>
        </is>
      </c>
      <c r="H40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$46),"")))</f>
        <v>0</v>
      </c>
      <c r="I40" t="n">
        <v>5.5</v>
      </c>
      <c r="J40" t="n">
        <v>0</v>
      </c>
      <c r="K40" t="n">
        <v>0</v>
      </c>
      <c r="L40" t="inlineStr">
        <is>
          <t>2026-06-08T08:50:36.082306+00:00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O$46</t>
        </is>
      </c>
      <c r="H41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$46),"")))</f>
        <v>0</v>
      </c>
      <c r="I41" t="n">
        <v>5.5</v>
      </c>
      <c r="J41" t="n">
        <v>0</v>
      </c>
      <c r="K41" t="n">
        <v>0</v>
      </c>
      <c r="L41" t="inlineStr">
        <is>
          <t>2026-06-08T08:50:36.082440+00:00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P$46</t>
        </is>
      </c>
      <c r="H42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$46),"")))</f>
        <v>0</v>
      </c>
      <c r="I42" t="n">
        <v>5.5</v>
      </c>
      <c r="J42" t="n">
        <v>0</v>
      </c>
      <c r="K42" t="n">
        <v>0</v>
      </c>
      <c r="L42" t="inlineStr">
        <is>
          <t>2026-06-08T08:50:36.082572+00:00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Q$46</t>
        </is>
      </c>
      <c r="H43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$46),"")))</f>
        <v>0</v>
      </c>
      <c r="I43" t="n">
        <v>5.5</v>
      </c>
      <c r="J43" t="n">
        <v>0</v>
      </c>
      <c r="K43" t="n">
        <v>0</v>
      </c>
      <c r="L43" t="inlineStr">
        <is>
          <t>2026-06-08T08:50:36.082704+00:00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R$46</t>
        </is>
      </c>
      <c r="H44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$46),"")))</f>
        <v>0</v>
      </c>
      <c r="I44" t="n">
        <v>5.5</v>
      </c>
      <c r="J44" t="n">
        <v>0</v>
      </c>
      <c r="K44" t="n">
        <v>0</v>
      </c>
      <c r="L44" t="inlineStr">
        <is>
          <t>2026-06-08T08:50:36.082895+00:00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2026-06-08T08:50:35Z</dcterms:created>
  <dcterms:modified xmlns:dcterms="http://purl.org/dc/terms/" xmlns:xsi="http://www.w3.org/2001/XMLSchema-instance" xsi:type="dcterms:W3CDTF">2026-06-08T08:50:36Z</dcterms:modified>
</cp:coreProperties>
</file>