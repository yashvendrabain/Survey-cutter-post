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IF(Demographics_Q4_CT="(None)","",IFERROR(INDEX(INDIRECT(XLOOKUP(Demographics_Q4_CT,All_Questions,All_Questions_Options_Names,"None_options")),2),""))</f>
        <v/>
      </c>
      <c r="H18" s="2" t="n"/>
      <c r="I18" s="2" t="str">
        <f>IF(Demographics_Q4_CT="(None)","",IFERROR(INDEX(INDIRECT(XLOOKUP(Demographics_Q4_CT,All_Questions,All_Questions_Options_Names,"None_options")),3),""))</f>
        <v/>
      </c>
      <c r="J18" s="2" t="n"/>
      <c r="K18" s="2" t="str">
        <f>IF(Demographics_Q4_CT="(None)","",IFERROR(INDEX(INDIRECT(XLOOKUP(Demographics_Q4_CT,All_Questions,All_Questions_Options_Names,"None_options")),4),""))</f>
        <v/>
      </c>
      <c r="L18" s="2" t="n"/>
      <c r="M18" s="2" t="str">
        <f>IF(Demographics_Q4_CT="(None)","",IFERROR(INDEX(INDIRECT(XLOOKUP(Demographics_Q4_CT,All_Questions,All_Questions_Options_Names,"None_options")),5),""))</f>
        <v/>
      </c>
      <c r="N18" s="2" t="n"/>
      <c r="O18" s="2" t="str">
        <f>IF(Demographics_Q4_CT="(None)","",IFERROR(INDEX(INDIRECT(XLOOKUP(Demographics_Q4_CT,All_Questions,All_Questions_Options_Names,"None_options")),6),""))</f>
        <v/>
      </c>
      <c r="P18" s="2" t="n"/>
      <c r="Q18" s="2" t="str">
        <f>IF(Demographics_Q4_CT="(None)","",IFERROR(INDEX(INDIRECT(XLOOKUP(Demographics_Q4_CT,All_Questions,All_Questions_Options_Names,"None_options")),7),""))</f>
        <v/>
      </c>
      <c r="R18" s="2" t="n"/>
      <c r="S18" s="2" t="str">
        <f>IF(Demographics_Q4_CT="(None)","",IFERROR(INDEX(INDIRECT(XLOOKUP(Demographics_Q4_CT,All_Questions,All_Questions_Options_Names,"None_options")),8),""))</f>
        <v/>
      </c>
      <c r="T18" s="2" t="n"/>
      <c r="U18" s="2" t="str">
        <f>IF(Demographics_Q4_CT="(None)","",IFERROR(INDEX(INDIRECT(XLOOKUP(Demographics_Q4_CT,All_Questions,All_Questions_Options_Names,"None_options")),9),""))</f>
        <v/>
      </c>
      <c r="V18" s="2" t="n"/>
      <c r="W18" s="2" t="str">
        <f>IF(Demographics_Q4_CT="(None)","",IFERROR(INDEX(INDIRECT(XLOOKUP(Demographics_Q4_CT,All_Questions,All_Questions_Options_Names,"None_options")),10),""))</f>
        <v/>
      </c>
      <c r="X18" s="2" t="n"/>
      <c r="Y18" s="2" t="str">
        <f>IF(Demographics_Q4_CT="(None)","",IFERROR(INDEX(INDIRECT(XLOOKUP(Demographics_Q4_CT,All_Questions,All_Questions_Options_Names,"None_options")),11),""))</f>
        <v/>
      </c>
      <c r="Z18" s="2" t="n"/>
      <c r="AA18" s="2" t="str">
        <f>IF(Demographics_Q4_CT="(None)","",IFERROR(INDEX(INDIRECT(XLOOKUP(Demographics_Q4_CT,All_Questions,All_Questions_Options_Names,"None_options")),12),""))</f>
        <v/>
      </c>
      <c r="AB18" s="2" t="n"/>
      <c r="AC18" s="2" t="str">
        <f>IF(Demographics_Q4_CT="(None)","",IF(COUNTA(INDIRECT(XLOOKUP(Demographics_Q4_CT,All_Questions,All_Questions_Options_Names,"None_options")))-1&gt;11,"Other",IFERROR(INDEX(INDIRECT(XLOOKUP(Demographics_Q4_CT,All_Questions,All_Questions_Options_Names,"None_options")),13),"")))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0">
        <f>IF(OR(Demographics_Q4_CT="(None)",S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0">
        <f>IF(OR(Demographics_Q4_CT="(None)",U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0">
        <f>IF(OR(Demographics_Q4_CT="(None)",W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0">
        <f>IF(OR(Demographics_Q4_CT="(None)",Y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0">
        <f>IF(OR(Demographics_Q4_CT="(None)",AA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0">
        <f>IF(OR(Demographics_Q4_CT="(None)",AC$18=""),"",IF(AC$18="Other",COUNTIFS(Q4_data,"Small",passes_workbook_filters_data,1,passes_workbook_custom_filters_data,1,Demographics_passes_local_filters_data,1,Demographics_Q4_F_passes_per_q_filter_data,1)-SUM(G20,I20,K20,M20,O20,Q20,S20,U20,W20,Y20,AA20)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1">
        <f>IF(OR(Demographics_Q4_CT="(None)",S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1">
        <f>IF(OR(Demographics_Q4_CT="(None)",U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1">
        <f>IF(OR(Demographics_Q4_CT="(None)",W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1">
        <f>IF(OR(Demographics_Q4_CT="(None)",Y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1">
        <f>IF(OR(Demographics_Q4_CT="(None)",AA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1">
        <f>IF(OR(Demographics_Q4_CT="(None)",AC$18=""),"",IF(AC$18="Other",COUNTIFS(Q4_data,"Large",passes_workbook_filters_data,1,passes_workbook_custom_filters_data,1,Demographics_passes_local_filters_data,1,Demographics_Q4_F_passes_per_q_filter_data,1)-SUM(G21,I21,K21,M21,O21,Q21,S21,U21,W21,Y21,AA21)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IF(Demographics_Q14_CT="(None)","",IFERROR(INDEX(INDIRECT(XLOOKUP(Demographics_Q14_CT,All_Questions,All_Questions_Options_Names,"None_options")),2),""))</f>
        <v/>
      </c>
      <c r="H28" s="2" t="n"/>
      <c r="I28" s="2" t="str">
        <f>IF(Demographics_Q14_CT="(None)","",IFERROR(INDEX(INDIRECT(XLOOKUP(Demographics_Q14_CT,All_Questions,All_Questions_Options_Names,"None_options")),3),""))</f>
        <v/>
      </c>
      <c r="J28" s="2" t="n"/>
      <c r="K28" s="2" t="str">
        <f>IF(Demographics_Q14_CT="(None)","",IFERROR(INDEX(INDIRECT(XLOOKUP(Demographics_Q14_CT,All_Questions,All_Questions_Options_Names,"None_options")),4),""))</f>
        <v/>
      </c>
      <c r="L28" s="2" t="n"/>
      <c r="M28" s="2" t="str">
        <f>IF(Demographics_Q14_CT="(None)","",IFERROR(INDEX(INDIRECT(XLOOKUP(Demographics_Q14_CT,All_Questions,All_Questions_Options_Names,"None_options")),5),""))</f>
        <v/>
      </c>
      <c r="N28" s="2" t="n"/>
      <c r="O28" s="2" t="str">
        <f>IF(Demographics_Q14_CT="(None)","",IFERROR(INDEX(INDIRECT(XLOOKUP(Demographics_Q14_CT,All_Questions,All_Questions_Options_Names,"None_options")),6),""))</f>
        <v/>
      </c>
      <c r="P28" s="2" t="n"/>
      <c r="Q28" s="2" t="str">
        <f>IF(Demographics_Q14_CT="(None)","",IFERROR(INDEX(INDIRECT(XLOOKUP(Demographics_Q14_CT,All_Questions,All_Questions_Options_Names,"None_options")),7),""))</f>
        <v/>
      </c>
      <c r="R28" s="2" t="n"/>
      <c r="S28" s="2" t="str">
        <f>IF(Demographics_Q14_CT="(None)","",IFERROR(INDEX(INDIRECT(XLOOKUP(Demographics_Q14_CT,All_Questions,All_Questions_Options_Names,"None_options")),8),""))</f>
        <v/>
      </c>
      <c r="T28" s="2" t="n"/>
      <c r="U28" s="2" t="str">
        <f>IF(Demographics_Q14_CT="(None)","",IFERROR(INDEX(INDIRECT(XLOOKUP(Demographics_Q14_CT,All_Questions,All_Questions_Options_Names,"None_options")),9),""))</f>
        <v/>
      </c>
      <c r="V28" s="2" t="n"/>
      <c r="W28" s="2" t="str">
        <f>IF(Demographics_Q14_CT="(None)","",IFERROR(INDEX(INDIRECT(XLOOKUP(Demographics_Q14_CT,All_Questions,All_Questions_Options_Names,"None_options")),10),""))</f>
        <v/>
      </c>
      <c r="X28" s="2" t="n"/>
      <c r="Y28" s="2" t="str">
        <f>IF(Demographics_Q14_CT="(None)","",IFERROR(INDEX(INDIRECT(XLOOKUP(Demographics_Q14_CT,All_Questions,All_Questions_Options_Names,"None_options")),11),""))</f>
        <v/>
      </c>
      <c r="Z28" s="2" t="n"/>
      <c r="AA28" s="2" t="str">
        <f>IF(Demographics_Q14_CT="(None)","",IFERROR(INDEX(INDIRECT(XLOOKUP(Demographics_Q14_CT,All_Questions,All_Questions_Options_Names,"None_options")),12),""))</f>
        <v/>
      </c>
      <c r="AB28" s="2" t="n"/>
      <c r="AC28" s="2" t="str">
        <f>IF(Demographics_Q14_CT="(None)","",IF(COUNTA(INDIRECT(XLOOKUP(Demographics_Q14_CT,All_Questions,All_Questions_Options_Names,"None_options")))-1&gt;11,"Other",IFERROR(INDEX(INDIRECT(XLOOKUP(Demographics_Q14_CT,All_Questions,All_Questions_Options_Names,"None_options")),13),"")))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0">
        <f>IF(OR(Demographics_Q14_CT="(None)",S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0">
        <f>IF(OR(Demographics_Q14_CT="(None)",U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0">
        <f>IF(OR(Demographics_Q14_CT="(None)",W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0">
        <f>IF(OR(Demographics_Q14_CT="(None)",Y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0">
        <f>IF(OR(Demographics_Q14_CT="(None)",AA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0">
        <f>IF(OR(Demographics_Q14_CT="(None)",AC$28=""),"",IF(AC$28="Other",COUNTIFS(Q14_data,"New",passes_workbook_filters_data,1,passes_workbook_custom_filters_data,1,Demographics_passes_local_filters_data,1,Demographics_Q14_F_passes_per_q_filter_data,1)-SUM(G30,I30,K30,M30,O30,Q30,S30,U30,W30,Y30,AA30)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1">
        <f>IF(OR(Demographics_Q14_CT="(None)",S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1">
        <f>IF(OR(Demographics_Q14_CT="(None)",U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1">
        <f>IF(OR(Demographics_Q14_CT="(None)",W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1">
        <f>IF(OR(Demographics_Q14_CT="(None)",Y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1">
        <f>IF(OR(Demographics_Q14_CT="(None)",AA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1">
        <f>IF(OR(Demographics_Q14_CT="(None)",AC$28=""),"",IF(AC$28="Other",COUNTIFS(Q14_data,"Established",passes_workbook_filters_data,1,passes_workbook_custom_filters_data,1,Demographics_passes_local_filters_data,1,Demographics_Q14_F_passes_per_q_filter_data,1)-SUM(G31,I31,K31,M31,O31,Q31,S31,U31,W31,Y31,AA31)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2026-05-18T10:56:32Z</dcterms:created>
  <dcterms:modified xmlns:dcterms="http://purl.org/dc/terms/" xmlns:xsi="http://www.w3.org/2001/XMLSchema-instance" xsi:type="dcterms:W3CDTF">2026-05-18T10:56:32Z</dcterms:modified>
</cp:coreProperties>
</file>