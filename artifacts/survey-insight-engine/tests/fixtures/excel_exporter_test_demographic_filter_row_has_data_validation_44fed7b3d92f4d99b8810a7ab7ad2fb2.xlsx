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O39" i="8"/>
  <c r="P39" i="8"/>
  <c r="Q39" i="8"/>
  <c r="R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S43" i="8"/>
  <c r="F46" i="8"/>
  <c r="G46" i="8"/>
  <c r="G49" i="8"/>
  <c r="H49" i="8"/>
  <c r="I49" i="8"/>
  <c r="J49" i="8"/>
  <c r="K49" i="8"/>
  <c r="L49" i="8"/>
  <c r="M49" i="8"/>
  <c r="N49" i="8"/>
  <c r="O49" i="8"/>
  <c r="P49" i="8"/>
  <c r="Q49" i="8"/>
  <c r="R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S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IFERROR(INDEX(All_Questions_Data_Names,MATCH(All_Questions_Q_NUM_EXPORT_F_Q,All_Questions,0)),"'_RawData'!$A:$A")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IFERROR(INDEX(All_Questions_Data_Names,MATCH(All_Questions_Q_GRID_EXPORT_F_Q,All_Questions,0)),"'_RawData'!$A:$A")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IF(All_Questions_Q_GRID_EXPORT_CT="(None)","",IFERROR(INDEX(INDIRECT(IFERROR(INDEX(All_Questions_Options_Names,MATCH(All_Questions_Q_GRID_EXPORT_CT,All_Questions,0)),"'_Options'!$E$2:$E$2")),2),""))</f>
        <v/>
      </c>
      <c r="H39" s="2" t="str">
        <f>IF(All_Questions_Q_GRID_EXPORT_CT="(None)","",IFERROR(INDEX(INDIRECT(IFERROR(INDEX(All_Questions_Options_Names,MATCH(All_Questions_Q_GRID_EXPORT_CT,All_Questions,0)),"'_Options'!$E$2:$E$2")),3),""))</f>
        <v/>
      </c>
      <c r="I39" s="2" t="str">
        <f>IF(All_Questions_Q_GRID_EXPORT_CT="(None)","",IFERROR(INDEX(INDIRECT(IFERROR(INDEX(All_Questions_Options_Names,MATCH(All_Questions_Q_GRID_EXPORT_CT,All_Questions,0)),"'_Options'!$E$2:$E$2")),4),""))</f>
        <v/>
      </c>
      <c r="J39" s="2" t="str">
        <f>IF(All_Questions_Q_GRID_EXPORT_CT="(None)","",IFERROR(INDEX(INDIRECT(IFERROR(INDEX(All_Questions_Options_Names,MATCH(All_Questions_Q_GRID_EXPORT_CT,All_Questions,0)),"'_Options'!$E$2:$E$2")),5),""))</f>
        <v/>
      </c>
      <c r="K39" s="2" t="str">
        <f>IF(All_Questions_Q_GRID_EXPORT_CT="(None)","",IFERROR(INDEX(INDIRECT(IFERROR(INDEX(All_Questions_Options_Names,MATCH(All_Questions_Q_GRID_EXPORT_CT,All_Questions,0)),"'_Options'!$E$2:$E$2")),6),""))</f>
        <v/>
      </c>
      <c r="L39" s="2" t="str">
        <f>IF(All_Questions_Q_GRID_EXPORT_CT="(None)","",IFERROR(INDEX(INDIRECT(IFERROR(INDEX(All_Questions_Options_Names,MATCH(All_Questions_Q_GRID_EXPORT_CT,All_Questions,0)),"'_Options'!$E$2:$E$2")),7),""))</f>
        <v/>
      </c>
      <c r="M39" s="2" t="str">
        <f>IF(All_Questions_Q_GRID_EXPORT_CT="(None)","",IFERROR(INDEX(INDIRECT(IFERROR(INDEX(All_Questions_Options_Names,MATCH(All_Questions_Q_GRID_EXPORT_CT,All_Questions,0)),"'_Options'!$E$2:$E$2")),8),""))</f>
        <v/>
      </c>
      <c r="N39" s="2" t="str">
        <f>IF(All_Questions_Q_GRID_EXPORT_CT="(None)","",IFERROR(INDEX(INDIRECT(IFERROR(INDEX(All_Questions_Options_Names,MATCH(All_Questions_Q_GRID_EXPORT_CT,All_Questions,0)),"'_Options'!$E$2:$E$2")),9),""))</f>
        <v/>
      </c>
      <c r="O39" s="2" t="str">
        <f>IF(All_Questions_Q_GRID_EXPORT_CT="(None)","",IFERROR(INDEX(INDIRECT(IFERROR(INDEX(All_Questions_Options_Names,MATCH(All_Questions_Q_GRID_EXPORT_CT,All_Questions,0)),"'_Options'!$E$2:$E$2")),10),""))</f>
        <v/>
      </c>
      <c r="P39" s="2" t="str">
        <f>IF(All_Questions_Q_GRID_EXPORT_CT="(None)","",IFERROR(INDEX(INDIRECT(IFERROR(INDEX(All_Questions_Options_Names,MATCH(All_Questions_Q_GRID_EXPORT_CT,All_Questions,0)),"'_Options'!$E$2:$E$2")),11),""))</f>
        <v/>
      </c>
      <c r="Q39" s="2" t="str">
        <f>IF(All_Questions_Q_GRID_EXPORT_CT="(None)","",IFERROR(INDEX(INDIRECT(IFERROR(INDEX(All_Questions_Options_Names,MATCH(All_Questions_Q_GRID_EXPORT_CT,All_Questions,0)),"'_Options'!$E$2:$E$2")),12),""))</f>
        <v/>
      </c>
      <c r="R3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1">
        <f>IF(OR(All_Questions_Q_GRID_EXPORT_CT="(None)",H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$39)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1">
        <f>IF(OR(All_Questions_Q_GRID_EXPORT_CT="(None)",J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$39)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1">
        <f>IF(OR(All_Questions_Q_GRID_EXPORT_CT="(None)",L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$39)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1">
        <f>IF(OR(All_Questions_Q_GRID_EXPORT_CT="(None)",N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$39)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1">
        <f>IF(OR(All_Questions_Q_GRID_EXPORT_CT="(None)",P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$39)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1">
        <f>IF(OR(All_Questions_Q_GRID_EXPORT_CT="(None)",R$39=""),"",IF(R$39="Other",COUNTIFS(Q_GRID_EXPORTr1_data,"Selected",passes_workbook_filters_data,1,passes_workbook_custom_filters_data,1,All_Questions_passes_local_filters_data,1,All_Questions_Q_GRID_EXPORT_F_passes_per_q_filter_data,1)-SUM(G41,H41,I41,J41,K41,L41,M41,N41,O41,P41,Q41)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$39)))</f>
        <v>0</v>
      </c>
      <c r="S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2">
        <f>IF(OR(All_Questions_Q_GRID_EXPORT_CT="(None)",H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$39)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2">
        <f>IF(OR(All_Questions_Q_GRID_EXPORT_CT="(None)",J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$39)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2">
        <f>IF(OR(All_Questions_Q_GRID_EXPORT_CT="(None)",L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$39)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2">
        <f>IF(OR(All_Questions_Q_GRID_EXPORT_CT="(None)",N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$39)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2">
        <f>IF(OR(All_Questions_Q_GRID_EXPORT_CT="(None)",P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$39)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2">
        <f>IF(OR(All_Questions_Q_GRID_EXPORT_CT="(None)",R$39=""),"",IF(R$39="Other",COUNTIFS(Q_GRID_EXPORTr2_data,"Selected",passes_workbook_filters_data,1,passes_workbook_custom_filters_data,1,All_Questions_passes_local_filters_data,1,All_Questions_Q_GRID_EXPORT_F_passes_per_q_filter_data,1)-SUM(G42,H42,I42,J42,K42,L42,M42,N42,O42,P42,Q42)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$39)))</f>
        <v>0</v>
      </c>
      <c r="S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IFERROR(INDEX(All_Questions_Data_Names,MATCH(All_Questions_Q_VERY_LONG_SINGLE_SELECT_EXPORT_NAME_F_Q,All_Questions,0)),"'_RawData'!$A:$A")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1">
        <f>IF(OR(All_Questions_Q_VERY_LONG_SINGLE_SELECT_EXPORT_NAME_CT="(None)",H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$49)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1">
        <f>IF(OR(All_Questions_Q_VERY_LONG_SINGLE_SELECT_EXPORT_NAME_CT="(None)",J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$49)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1">
        <f>IF(OR(All_Questions_Q_VERY_LONG_SINGLE_SELECT_EXPORT_NAME_CT="(None)",L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$49)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1">
        <f>IF(OR(All_Questions_Q_VERY_LONG_SINGLE_SELECT_EXPORT_NAME_CT="(None)",N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$49)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1">
        <f>IF(OR(All_Questions_Q_VERY_LONG_SINGLE_SELECT_EXPORT_NAME_CT="(None)",P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$49)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1">
        <f>IF(OR(All_Questions_Q_VERY_LONG_SINGLE_SELECT_EXPORT_NAME_CT="(None)",R$49=""),"",IF(R$49="Other",COUNTIFS(Q_VERY_LONG_SINGLE_SELECT_EXPOR_data,"A",passes_workbook_filters_data,1,passes_workbook_custom_filters_data,1,All_Questions_passes_local_filters_data,1,All_Questions_Q_VERY_LONG_SINGLE_SELECT_EXPORT_NAME_F_passes_per_q_filter_data,1)-SUM(G51,H51,I51,J51,K51,L51,M51,N51,O51,P51,Q51)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$49)))</f>
        <v>0</v>
      </c>
      <c r="S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2">
        <f>IF(OR(All_Questions_Q_VERY_LONG_SINGLE_SELECT_EXPORT_NAME_CT="(None)",H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$49)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2">
        <f>IF(OR(All_Questions_Q_VERY_LONG_SINGLE_SELECT_EXPORT_NAME_CT="(None)",J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$49)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2">
        <f>IF(OR(All_Questions_Q_VERY_LONG_SINGLE_SELECT_EXPORT_NAME_CT="(None)",L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$49)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2">
        <f>IF(OR(All_Questions_Q_VERY_LONG_SINGLE_SELECT_EXPORT_NAME_CT="(None)",N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$49)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2">
        <f>IF(OR(All_Questions_Q_VERY_LONG_SINGLE_SELECT_EXPORT_NAME_CT="(None)",P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$49)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2">
        <f>IF(OR(All_Questions_Q_VERY_LONG_SINGLE_SELECT_EXPORT_NAME_CT="(None)",R$49=""),"",IF(R$49="Other",COUNTIFS(Q_VERY_LONG_SINGLE_SELECT_EXPOR_data,"B",passes_workbook_filters_data,1,passes_workbook_custom_filters_data,1,All_Questions_passes_local_filters_data,1,All_Questions_Q_VERY_LONG_SINGLE_SELECT_EXPORT_NAME_F_passes_per_q_filter_data,1)-SUM(G52,H52,I52,J52,K52,L52,M52,N52,O52,P52,Q52)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$49)))</f>
        <v>0</v>
      </c>
      <c r="S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2026-05-18T18:05:30Z</dcterms:created>
  <dcterms:modified xmlns:dcterms="http://purl.org/dc/terms/" xmlns:xsi="http://www.w3.org/2001/XMLSchema-instance" xsi:type="dcterms:W3CDTF">2026-05-18T18:05:30Z</dcterms:modified>
</cp:coreProperties>
</file>