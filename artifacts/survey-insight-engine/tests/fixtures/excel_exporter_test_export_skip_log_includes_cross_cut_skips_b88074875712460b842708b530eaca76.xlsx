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All Questions" sheetId="5" r:id="rId5"/>
    <sheet name="Cross_Cut_Index" sheetId="6" r:id="rId6"/>
    <sheet name="CC_CC_TAB_EXPORT" sheetId="7" r:id="rId7"/>
    <sheet name="CC_CC_SEG_EXPORT" sheetId="8" r:id="rId8"/>
    <sheet name="CC_CC_GROUP_EXPORT" sheetId="9" r:id="rId9"/>
    <sheet name="CC_CC_EVR_EXPORT" sheetId="10" r:id="rId10"/>
    <sheet name="Calculation_Log" sheetId="11" r:id="rId11"/>
    <sheet name="Filter_Log" sheetId="12" r:id="rId12"/>
    <sheet name="Data_Quality" sheetId="13" r:id="rId13"/>
    <sheet name="Warnings" sheetId="14" r:id="rId14"/>
  </sheets>
  <calcPr calcId="124519" fullCalcOnLoad="1"/>
</workbook>
</file>

<file path=xl/sharedStrings.xml><?xml version="1.0" encoding="utf-8"?>
<sst xmlns="http://schemas.openxmlformats.org/spreadsheetml/2006/main" count="586" uniqueCount="282">
  <si>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</si>
  <si>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</si>
  <si>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</si>
  <si>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</si>
  <si>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</si>
  <si>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</si>
  <si>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</si>
  <si>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</si>
  <si>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</si>
  <si>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</si>
  <si>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</si>
  <si>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</si>
  <si>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</si>
  <si>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</si>
  <si>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</si>
  <si>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</si>
  <si>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</si>
  <si>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</si>
  <si>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</si>
  <si>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</si>
  <si>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</si>
  <si>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</si>
  <si>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</si>
  <si>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</si>
  <si>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</si>
  <si>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</si>
  <si>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</si>
  <si>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</si>
  <si>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</si>
  <si>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</si>
  <si>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</si>
  <si>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</si>
  <si>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</si>
  <si>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</si>
  <si>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</si>
  <si>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</si>
  <si>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</si>
  <si>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</si>
  <si>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</si>
  <si>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</si>
  <si>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</si>
  <si>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</si>
  <si>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</si>
  <si>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</si>
  <si>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</si>
  <si>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</si>
  <si>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</si>
  <si>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</si>
  <si>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</si>
  <si>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</si>
  <si>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</si>
  <si>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</si>
  <si>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</si>
  <si>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</si>
  <si>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</si>
  <si>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</si>
  <si>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</si>
  <si>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</si>
  <si>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</si>
  <si>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</si>
  <si>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</si>
  <si>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</si>
  <si>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</si>
  <si>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</si>
  <si>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</si>
  <si>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</si>
  <si>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Theme</t>
  </si>
  <si>
    <t>Sheet Name</t>
  </si>
  <si>
    <t>Valid N</t>
  </si>
  <si>
    <t>Missing N</t>
  </si>
  <si>
    <t>Missing %</t>
  </si>
  <si>
    <t>Warnings</t>
  </si>
  <si>
    <t>All Questions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</si>
  <si>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</si>
  <si>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</si>
  <si>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</si>
  <si>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</si>
  <si>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</si>
  <si>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</si>
  <si>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</si>
  <si>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</si>
  <si>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</si>
  <si>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</si>
  <si>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</si>
  <si>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</si>
  <si>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</si>
  <si>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</si>
  <si>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</si>
  <si>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THEME: All Questions</t>
  </si>
  <si>
    <t>Optional custom filters (pick any question):</t>
  </si>
  <si>
    <t>Filter 1:</t>
  </si>
  <si>
    <t>(Pick question)</t>
  </si>
  <si>
    <t>=</t>
  </si>
  <si>
    <t>(All)</t>
  </si>
  <si>
    <t>Filter 2:</t>
  </si>
  <si>
    <t>Q_SS_EXPORT - Single select export question</t>
  </si>
  <si>
    <t>Type: SINGLE_SELECT | Valid N: 10 | Missing: 0</t>
  </si>
  <si>
    <t>Option</t>
  </si>
  <si>
    <t>Count</t>
  </si>
  <si>
    <t>%</t>
  </si>
  <si>
    <t>Denominator</t>
  </si>
  <si>
    <t>No</t>
  </si>
  <si>
    <t>Q_MS_EXPORT - Multi select export question</t>
  </si>
  <si>
    <t>Type: MULTI_SELECT_BINARY | Valid N: 10 | Missing: 0</t>
  </si>
  <si>
    <t>First</t>
  </si>
  <si>
    <t>Second</t>
  </si>
  <si>
    <t>Q_NUM_EXPORT - Numeric export question</t>
  </si>
  <si>
    <t>Type: DIRECT_NUMERIC | Valid N: 10 | Missing: 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</si>
  <si>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</si>
  <si>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</si>
  <si>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</si>
  <si>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</si>
  <si>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</si>
  <si>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</si>
  <si>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</si>
  <si>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</si>
  <si>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Q_GRID_EXPORT - Grid export question</t>
  </si>
  <si>
    <t>Type: GRID_SINGLE_SELECT | Valid N: 10 | Missing: 0</t>
  </si>
  <si>
    <t>Grid first row</t>
  </si>
  <si>
    <t>Grid second row</t>
  </si>
  <si>
    <t>Q_VERY_LONG_SINGLE_SELECT_EXPORT_NAME - Long sheet name export question</t>
  </si>
  <si>
    <t>A</t>
  </si>
  <si>
    <t>B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</si>
  <si>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</si>
  <si>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</si>
  <si>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</si>
  <si>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</si>
  <si>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</si>
  <si>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</si>
  <si>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</si>
  <si>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</si>
  <si>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</si>
  <si>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</si>
  <si>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</si>
  <si>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</si>
  <si>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</si>
  <si>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</si>
  <si>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</si>
  <si>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</si>
  <si>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</si>
  <si>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</si>
  <si>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</si>
  <si>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</si>
  <si>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</si>
  <si>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</si>
  <si>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</si>
  <si>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</si>
  <si>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</si>
  <si>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</si>
  <si>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</si>
  <si>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</si>
  <si>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</si>
  <si>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</si>
  <si>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</si>
  <si>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</si>
  <si>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</si>
  <si>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</si>
  <si>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</si>
  <si>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</si>
  <si>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</si>
  <si>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</si>
  <si>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</si>
  <si>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</si>
  <si>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</si>
  <si>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</si>
  <si>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</si>
  <si>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</si>
  <si>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</si>
  <si>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</si>
  <si>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</si>
  <si>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</si>
  <si>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</si>
  <si>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</si>
  <si>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</si>
  <si>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</si>
  <si>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</si>
  <si>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</si>
  <si>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</si>
  <si>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</si>
  <si>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</si>
  <si>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</si>
  <si>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</si>
  <si>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</si>
  <si>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</si>
  <si>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</si>
  <si>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</si>
  <si>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</si>
  <si>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</si>
  <si>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</si>
  <si>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</si>
  <si>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</si>
  <si>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</si>
  <si>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</si>
  <si>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</si>
  <si>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</si>
  <si>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</si>
  <si>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</si>
  <si>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</si>
  <si>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</si>
  <si>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</si>
  <si>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</si>
  <si>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</si>
  <si>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</si>
  <si>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</si>
  <si>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</si>
  <si>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</si>
  <si>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</si>
  <si>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</si>
  <si>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</si>
  <si>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SC_Q_SS_EXPORT</t>
  </si>
  <si>
    <t>rate_per_value</t>
  </si>
  <si>
    <t>rate_per_value formula</t>
  </si>
  <si>
    <t>SC_Q_MS_EXPORT</t>
  </si>
  <si>
    <t>selection_rate</t>
  </si>
  <si>
    <t>selection_rate formula</t>
  </si>
  <si>
    <t>SC_Q_NUM_EXPORT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</si>
  <si>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</si>
  <si>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</si>
  <si>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</si>
  <si>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</si>
  <si>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</si>
  <si>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</si>
  <si>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</si>
  <si>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</si>
  <si>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</si>
  <si>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</si>
  <si>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</si>
  <si>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</si>
  <si>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</si>
  <si>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2026-05-12T11:32:35.765573+00:00</t>
  </si>
  <si>
    <t>Single Cuts</t>
  </si>
  <si>
    <t>Q_SEG_1 = Segment 1</t>
  </si>
  <si>
    <t>count(value) / count(non-NA values)</t>
  </si>
  <si>
    <t>2026-05-12T11:32:35.766211+00:00</t>
  </si>
  <si>
    <t>segment_profile</t>
  </si>
  <si>
    <t>single_cut(target) restricted to filter_expr</t>
  </si>
  <si>
    <t>2026-05-12T11:32:35.766298+00:00</t>
  </si>
  <si>
    <t>mean / median / std (ddof=1) / percentiles over non-NA values</t>
  </si>
  <si>
    <t>2026-05-12T11:32:35.767732+00:00</t>
  </si>
  <si>
    <t>Q_SEG_1 == 2</t>
  </si>
  <si>
    <t>2026-05-12T11:32:35.768690+00:00</t>
  </si>
  <si>
    <t>Q_SEG_1 == 3</t>
  </si>
  <si>
    <t>2026-05-12T11:32:35.769670+00:00</t>
  </si>
  <si>
    <t>2026-05-12T11:32:35.770402+00:00</t>
  </si>
  <si>
    <t>group_comparison</t>
  </si>
  <si>
    <t>Q_SEG_1 x Q_NUM_3</t>
  </si>
  <si>
    <t>numeric_summary(metric) per unique segment value + overall</t>
  </si>
  <si>
    <t>2026-05-12T11:32:35.770427+00:00</t>
  </si>
  <si>
    <t>2026-05-12T11:32:35.771396+00:00</t>
  </si>
  <si>
    <t>2026-05-12T11:32:35.772115+00:00</t>
  </si>
  <si>
    <t>Q_REAL_1_minus_Q_EXP_1</t>
  </si>
  <si>
    <t>2026-05-12T11:32:35.772845+00:00</t>
  </si>
  <si>
    <t>expected_vs_realized</t>
  </si>
  <si>
    <t>Q_EXP_1 x Q_REAL_1</t>
  </si>
  <si>
    <t>expected, realized, and gap = realized - expected; numeric_summary on each</t>
  </si>
  <si>
    <t>2026-05-12T11:32:35.772935+00:00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</si>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</sst>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3" borderId="0" xfId="0" applyFont="1" applyFill="1"/>
    <xf numFmtId="0" fontId="4" fillId="0" borderId="0" xfId="0" applyFont="1"/>
    <xf numFmtId="0" fontId="0" fillId="0" borderId="2" xfId="0" applyBorder="1"/>
    <xf numFmtId="166" fontId="0" fillId="0" borderId="0" xfId="0" applyNumberForma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1:D13" totalsRowShown="0">
  <autoFilter ref="A11:D1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D21" totalsRowShown="0">
  <autoFilter ref="A19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7:D37" totalsRowShown="0">
  <autoFilter ref="A27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43:D45" totalsRowShown="0">
  <autoFilter ref="A43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51:D53" totalsRowShown="0">
  <autoFilter ref="A51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5" width="15.7109375" customWidth="1"/>
    <col min="6" max="6" width="9.7109375" customWidth="1"/>
    <col min="7" max="8" width="11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71</v>
      </c>
    </row>
    <row r="2" spans="1:9">
      <c r="A2" t="s">
        <v>26</v>
      </c>
      <c r="B2" t="s">
        <v>26</v>
      </c>
      <c r="C2" t="s">
        <v>28</v>
      </c>
      <c r="D2" t="s">
        <v>72</v>
      </c>
      <c r="E2" s="3" t="s">
        <v>72</v>
      </c>
      <c r="F2" s="4">
        <v>10</v>
      </c>
      <c r="G2" s="4">
        <v>0</v>
      </c>
      <c r="H2" s="5">
        <v>0</v>
      </c>
    </row>
    <row r="3" spans="1:9">
      <c r="A3" t="s">
        <v>31</v>
      </c>
      <c r="B3" t="s">
        <v>31</v>
      </c>
      <c r="C3" t="s">
        <v>33</v>
      </c>
      <c r="D3" t="s">
        <v>72</v>
      </c>
      <c r="E3" s="3" t="s">
        <v>72</v>
      </c>
      <c r="F3" s="4">
        <v>10</v>
      </c>
      <c r="G3" s="4">
        <v>0</v>
      </c>
      <c r="H3" s="5">
        <v>0</v>
      </c>
    </row>
    <row r="4" spans="1:9">
      <c r="A4" t="s">
        <v>36</v>
      </c>
      <c r="B4" t="s">
        <v>36</v>
      </c>
      <c r="C4" t="s">
        <v>38</v>
      </c>
      <c r="D4" t="s">
        <v>72</v>
      </c>
      <c r="E4" s="3" t="s">
        <v>72</v>
      </c>
      <c r="F4" s="4">
        <v>10</v>
      </c>
      <c r="G4" s="4">
        <v>0</v>
      </c>
      <c r="H4" s="5">
        <v>0</v>
      </c>
    </row>
    <row r="5" spans="1:9">
      <c r="A5" t="s">
        <v>40</v>
      </c>
      <c r="B5" t="s">
        <v>40</v>
      </c>
      <c r="C5" t="s">
        <v>42</v>
      </c>
      <c r="D5" t="s">
        <v>72</v>
      </c>
      <c r="E5" s="3" t="s">
        <v>72</v>
      </c>
      <c r="F5" s="4">
        <v>10</v>
      </c>
      <c r="G5" s="4">
        <v>0</v>
      </c>
      <c r="H5" s="5">
        <v>0</v>
      </c>
    </row>
    <row r="6" spans="1:9">
      <c r="A6" t="s">
        <v>45</v>
      </c>
      <c r="B6" t="s">
        <v>45</v>
      </c>
      <c r="C6" t="s">
        <v>28</v>
      </c>
      <c r="D6" t="s">
        <v>72</v>
      </c>
      <c r="E6" s="3" t="s">
        <v>72</v>
      </c>
      <c r="F6" s="4">
        <v>10</v>
      </c>
      <c r="G6" s="4">
        <v>0</v>
      </c>
      <c r="H6" s="5">
        <v>0</v>
      </c>
      <c r="I6" t="s">
        <v>73</v>
      </c>
    </row>
  </sheetData>
  <hyperlinks>
    <hyperlink ref="E2" location="'All Questions'!A1" display="All Questions"/>
    <hyperlink ref="E3" location="'All Questions'!A1" display="All Questions"/>
    <hyperlink ref="E4" location="'All Questions'!A1" display="All Questions"/>
    <hyperlink ref="E5" location="'All Questions'!A1" display="All Questions"/>
    <hyperlink ref="E6" location="'All Questions'!A1" display="All Question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74</v>
      </c>
      <c r="B1" s="2" t="s">
        <v>75</v>
      </c>
      <c r="C1" s="2" t="s">
        <v>19</v>
      </c>
      <c r="D1" s="2" t="s">
        <v>76</v>
      </c>
      <c r="E1" s="2" t="s">
        <v>77</v>
      </c>
    </row>
    <row r="2" spans="1:5">
      <c r="A2" t="s">
        <v>78</v>
      </c>
      <c r="B2" t="s">
        <v>48</v>
      </c>
      <c r="C2" t="s">
        <v>50</v>
      </c>
      <c r="D2" t="s">
        <v>79</v>
      </c>
    </row>
    <row r="3" spans="1:5">
      <c r="A3" t="s">
        <v>78</v>
      </c>
      <c r="B3" t="s">
        <v>80</v>
      </c>
      <c r="C3" t="s">
        <v>28</v>
      </c>
      <c r="D3" t="s">
        <v>81</v>
      </c>
      <c r="E3" t="s">
        <v>82</v>
      </c>
    </row>
    <row r="4" spans="1:5">
      <c r="A4" t="s">
        <v>83</v>
      </c>
      <c r="B4" t="s">
        <v>84</v>
      </c>
      <c r="C4" t="s">
        <v>85</v>
      </c>
      <c r="D4" t="s">
        <v>86</v>
      </c>
      <c r="E4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88</v>
      </c>
      <c r="B1" s="6"/>
      <c r="C1" s="6"/>
      <c r="D1" s="6"/>
      <c r="E1" s="6"/>
      <c r="F1" s="6"/>
      <c r="G1" s="6"/>
    </row>
    <row r="3" spans="1:7">
      <c r="A3" s="7" t="s">
        <v>89</v>
      </c>
    </row>
    <row r="4" spans="1:7">
      <c r="A4" t="s">
        <v>90</v>
      </c>
      <c r="B4" t="s">
        <v>91</v>
      </c>
      <c r="C4" t="s">
        <v>92</v>
      </c>
      <c r="D4" t="s">
        <v>93</v>
      </c>
    </row>
    <row r="5" spans="1:7">
      <c r="A5" t="s">
        <v>94</v>
      </c>
      <c r="B5" t="s">
        <v>91</v>
      </c>
      <c r="C5" t="s">
        <v>92</v>
      </c>
      <c r="D5" t="s">
        <v>93</v>
      </c>
    </row>
    <row r="7" spans="1:7">
      <c r="A7" s="8"/>
      <c r="B7" s="8"/>
      <c r="C7" s="8"/>
      <c r="D7" s="8"/>
      <c r="E7" s="8"/>
      <c r="F7" s="8"/>
      <c r="G7" s="8"/>
    </row>
    <row r="8" spans="1:7">
      <c r="A8" s="1" t="s">
        <v>95</v>
      </c>
      <c r="B8" s="1"/>
      <c r="C8" s="1"/>
      <c r="D8" s="1"/>
      <c r="E8" s="1"/>
      <c r="F8" s="1"/>
      <c r="G8" s="1"/>
    </row>
    <row r="9" spans="1:7">
      <c r="A9" s="7" t="s">
        <v>96</v>
      </c>
    </row>
    <row r="11" spans="1:7">
      <c r="A11" t="s">
        <v>97</v>
      </c>
      <c r="B11" t="s">
        <v>98</v>
      </c>
      <c r="C11" t="s">
        <v>99</v>
      </c>
      <c r="D11" t="s">
        <v>100</v>
      </c>
    </row>
    <row r="12" spans="1:7">
      <c r="A12" t="s">
        <v>29</v>
      </c>
      <c r="B12" s="4">
        <v>6</v>
      </c>
      <c r="C12" s="5">
        <f>IFERROR(B12/SUBTOTAL(9,B12:B13),0)</f>
        <v>0</v>
      </c>
      <c r="D12" s="4">
        <f>SUBTOTAL(9,B12:B13)</f>
        <v>0</v>
      </c>
    </row>
    <row r="13" spans="1:7">
      <c r="A13" t="s">
        <v>101</v>
      </c>
      <c r="B13" s="4">
        <v>4</v>
      </c>
      <c r="C13" s="5">
        <f>IFERROR(B13/SUBTOTAL(9,B12:B13),0)</f>
        <v>0</v>
      </c>
      <c r="D13" s="4">
        <f>SUBTOTAL(9,B12:B13)</f>
        <v>0</v>
      </c>
    </row>
    <row r="15" spans="1:7">
      <c r="A15" s="8"/>
      <c r="B15" s="8"/>
      <c r="C15" s="8"/>
      <c r="D15" s="8"/>
      <c r="E15" s="8"/>
      <c r="F15" s="8"/>
      <c r="G15" s="8"/>
    </row>
    <row r="16" spans="1:7">
      <c r="A16" s="1" t="s">
        <v>102</v>
      </c>
      <c r="B16" s="1"/>
      <c r="C16" s="1"/>
      <c r="D16" s="1"/>
      <c r="E16" s="1"/>
      <c r="F16" s="1"/>
      <c r="G16" s="1"/>
    </row>
    <row r="17" spans="1:7">
      <c r="A17" s="7" t="s">
        <v>103</v>
      </c>
    </row>
    <row r="19" spans="1:7">
      <c r="A19" t="s">
        <v>97</v>
      </c>
      <c r="B19" t="s">
        <v>98</v>
      </c>
      <c r="C19" t="s">
        <v>99</v>
      </c>
      <c r="D19" t="s">
        <v>100</v>
      </c>
    </row>
    <row r="20" spans="1:7">
      <c r="A20" t="s">
        <v>104</v>
      </c>
      <c r="B20" s="4">
        <v>5</v>
      </c>
      <c r="C20" s="5">
        <f>IFERROR(B20/SUBTOTAL(9,B20:B21),0)</f>
        <v>0</v>
      </c>
      <c r="D20" s="4">
        <f>SUBTOTAL(9,B20:B21)</f>
        <v>0</v>
      </c>
    </row>
    <row r="21" spans="1:7">
      <c r="A21" t="s">
        <v>105</v>
      </c>
      <c r="B21" s="4">
        <v>2</v>
      </c>
      <c r="C21" s="5">
        <f>IFERROR(B21/SUBTOTAL(9,B20:B21),0)</f>
        <v>0</v>
      </c>
      <c r="D21" s="4">
        <f>SUBTOTAL(9,B20:B21)</f>
        <v>0</v>
      </c>
    </row>
    <row r="23" spans="1:7">
      <c r="A23" s="8"/>
      <c r="B23" s="8"/>
      <c r="C23" s="8"/>
      <c r="D23" s="8"/>
      <c r="E23" s="8"/>
      <c r="F23" s="8"/>
      <c r="G23" s="8"/>
    </row>
    <row r="24" spans="1:7">
      <c r="A24" s="1" t="s">
        <v>106</v>
      </c>
      <c r="B24" s="1"/>
      <c r="C24" s="1"/>
      <c r="D24" s="1"/>
      <c r="E24" s="1"/>
      <c r="F24" s="1"/>
      <c r="G24" s="1"/>
    </row>
    <row r="25" spans="1:7">
      <c r="A25" s="7" t="s">
        <v>107</v>
      </c>
    </row>
    <row r="27" spans="1:7">
      <c r="A27" t="s">
        <v>97</v>
      </c>
      <c r="B27" t="s">
        <v>98</v>
      </c>
      <c r="C27" t="s">
        <v>99</v>
      </c>
      <c r="D27" t="s">
        <v>100</v>
      </c>
    </row>
    <row r="28" spans="1:7">
      <c r="A28" t="s">
        <v>68</v>
      </c>
      <c r="B28" s="4">
        <v>10</v>
      </c>
      <c r="C28" s="5">
        <f>IFERROR(B28/SUBTOTAL(9,B28:B37),0)</f>
        <v>0</v>
      </c>
      <c r="D28" s="4">
        <f>SUBTOTAL(9,B28:B37)</f>
        <v>0</v>
      </c>
    </row>
    <row r="29" spans="1:7">
      <c r="A29" t="s">
        <v>69</v>
      </c>
      <c r="B29" s="4">
        <v>0</v>
      </c>
      <c r="C29" s="5">
        <f>IFERROR(B29/SUBTOTAL(9,B28:B37),0)</f>
        <v>0</v>
      </c>
      <c r="D29" s="4">
        <f>SUBTOTAL(9,B28:B37)</f>
        <v>0</v>
      </c>
    </row>
    <row r="30" spans="1:7">
      <c r="A30" t="s">
        <v>108</v>
      </c>
      <c r="B30" s="9">
        <v>5.5</v>
      </c>
      <c r="C30" s="5">
        <f>IFERROR(B30/SUBTOTAL(9,B28:B37),0)</f>
        <v>0</v>
      </c>
      <c r="D30" s="4">
        <f>SUBTOTAL(9,B28:B37)</f>
        <v>0</v>
      </c>
    </row>
    <row r="31" spans="1:7">
      <c r="A31" t="s">
        <v>109</v>
      </c>
      <c r="B31" s="9">
        <v>5.5</v>
      </c>
      <c r="C31" s="5">
        <f>IFERROR(B31/SUBTOTAL(9,B28:B37),0)</f>
        <v>0</v>
      </c>
      <c r="D31" s="4">
        <f>SUBTOTAL(9,B28:B37)</f>
        <v>0</v>
      </c>
    </row>
    <row r="32" spans="1:7">
      <c r="A32" t="s">
        <v>110</v>
      </c>
      <c r="B32" s="9">
        <v>2.9</v>
      </c>
      <c r="C32" s="5">
        <f>IFERROR(B32/SUBTOTAL(9,B28:B37),0)</f>
        <v>0</v>
      </c>
      <c r="D32" s="4">
        <f>SUBTOTAL(9,B28:B37)</f>
        <v>0</v>
      </c>
    </row>
    <row r="33" spans="1:7">
      <c r="A33" t="s">
        <v>111</v>
      </c>
      <c r="B33" s="9">
        <v>1</v>
      </c>
      <c r="C33" s="5">
        <f>IFERROR(B33/SUBTOTAL(9,B28:B37),0)</f>
        <v>0</v>
      </c>
      <c r="D33" s="4">
        <f>SUBTOTAL(9,B28:B37)</f>
        <v>0</v>
      </c>
    </row>
    <row r="34" spans="1:7">
      <c r="A34" t="s">
        <v>112</v>
      </c>
      <c r="B34" s="9">
        <v>10</v>
      </c>
      <c r="C34" s="5">
        <f>IFERROR(B34/SUBTOTAL(9,B28:B37),0)</f>
        <v>0</v>
      </c>
      <c r="D34" s="4">
        <f>SUBTOTAL(9,B28:B37)</f>
        <v>0</v>
      </c>
    </row>
    <row r="35" spans="1:7">
      <c r="A35" t="s">
        <v>113</v>
      </c>
      <c r="B35" s="9">
        <v>3</v>
      </c>
      <c r="C35" s="5">
        <f>IFERROR(B35/SUBTOTAL(9,B28:B37),0)</f>
        <v>0</v>
      </c>
      <c r="D35" s="4">
        <f>SUBTOTAL(9,B28:B37)</f>
        <v>0</v>
      </c>
    </row>
    <row r="36" spans="1:7">
      <c r="A36" t="s">
        <v>114</v>
      </c>
      <c r="B36" s="9">
        <v>5.5</v>
      </c>
      <c r="C36" s="5">
        <f>IFERROR(B36/SUBTOTAL(9,B28:B37),0)</f>
        <v>0</v>
      </c>
      <c r="D36" s="4">
        <f>SUBTOTAL(9,B28:B37)</f>
        <v>0</v>
      </c>
    </row>
    <row r="37" spans="1:7">
      <c r="A37" t="s">
        <v>115</v>
      </c>
      <c r="B37" s="9">
        <v>8</v>
      </c>
      <c r="C37" s="5">
        <f>IFERROR(B37/SUBTOTAL(9,B28:B37),0)</f>
        <v>0</v>
      </c>
      <c r="D37" s="4">
        <f>SUBTOTAL(9,B28:B37)</f>
        <v>0</v>
      </c>
    </row>
    <row r="39" spans="1:7">
      <c r="A39" s="8"/>
      <c r="B39" s="8"/>
      <c r="C39" s="8"/>
      <c r="D39" s="8"/>
      <c r="E39" s="8"/>
      <c r="F39" s="8"/>
      <c r="G39" s="8"/>
    </row>
    <row r="40" spans="1:7">
      <c r="A40" s="1" t="s">
        <v>116</v>
      </c>
      <c r="B40" s="1"/>
      <c r="C40" s="1"/>
      <c r="D40" s="1"/>
      <c r="E40" s="1"/>
      <c r="F40" s="1"/>
      <c r="G40" s="1"/>
    </row>
    <row r="41" spans="1:7">
      <c r="A41" s="7" t="s">
        <v>117</v>
      </c>
    </row>
    <row r="43" spans="1:7">
      <c r="A43" t="s">
        <v>97</v>
      </c>
      <c r="B43" t="s">
        <v>98</v>
      </c>
      <c r="C43" t="s">
        <v>99</v>
      </c>
      <c r="D43" t="s">
        <v>100</v>
      </c>
    </row>
    <row r="44" spans="1:7">
      <c r="A44" t="s">
        <v>118</v>
      </c>
      <c r="B44" s="4">
        <v>10</v>
      </c>
      <c r="C44" s="5">
        <f>IFERROR(B44/SUBTOTAL(9,B44:B45),0)</f>
        <v>0</v>
      </c>
      <c r="D44" s="4">
        <f>SUBTOTAL(9,B44:B45)</f>
        <v>0</v>
      </c>
    </row>
    <row r="45" spans="1:7">
      <c r="A45" t="s">
        <v>119</v>
      </c>
      <c r="B45" s="4">
        <v>10</v>
      </c>
      <c r="C45" s="5">
        <f>IFERROR(B45/SUBTOTAL(9,B44:B45),0)</f>
        <v>0</v>
      </c>
      <c r="D45" s="4">
        <f>SUBTOTAL(9,B44:B45)</f>
        <v>0</v>
      </c>
    </row>
    <row r="47" spans="1:7">
      <c r="A47" s="8"/>
      <c r="B47" s="8"/>
      <c r="C47" s="8"/>
      <c r="D47" s="8"/>
      <c r="E47" s="8"/>
      <c r="F47" s="8"/>
      <c r="G47" s="8"/>
    </row>
    <row r="48" spans="1:7">
      <c r="A48" s="1" t="s">
        <v>120</v>
      </c>
      <c r="B48" s="1"/>
      <c r="C48" s="1"/>
      <c r="D48" s="1"/>
      <c r="E48" s="1"/>
      <c r="F48" s="1"/>
      <c r="G48" s="1"/>
    </row>
    <row r="49" spans="1:4">
      <c r="A49" s="7" t="s">
        <v>96</v>
      </c>
    </row>
    <row r="51" spans="1:4">
      <c r="A51" t="s">
        <v>97</v>
      </c>
      <c r="B51" t="s">
        <v>98</v>
      </c>
      <c r="C51" t="s">
        <v>99</v>
      </c>
      <c r="D51" t="s">
        <v>100</v>
      </c>
    </row>
    <row r="52" spans="1:4">
      <c r="A52" t="s">
        <v>121</v>
      </c>
      <c r="B52" s="4">
        <v>7</v>
      </c>
      <c r="C52" s="5">
        <f>IFERROR(B52/SUBTOTAL(9,B52:B53),0)</f>
        <v>0</v>
      </c>
      <c r="D52" s="4">
        <f>SUBTOTAL(9,B52:B53)</f>
        <v>0</v>
      </c>
    </row>
    <row r="53" spans="1:4">
      <c r="A53" t="s">
        <v>122</v>
      </c>
      <c r="B53" s="4">
        <v>3</v>
      </c>
      <c r="C53" s="5">
        <f>IFERROR(B53/SUBTOTAL(9,B52:B53),0)</f>
        <v>0</v>
      </c>
      <c r="D53" s="4">
        <f>SUBTOTAL(9,B52:B53)</f>
        <v>0</v>
      </c>
    </row>
  </sheetData>
  <mergeCells count="6">
    <mergeCell ref="A1:G1"/>
    <mergeCell ref="A8:G8"/>
    <mergeCell ref="A16:G16"/>
    <mergeCell ref="A24:G24"/>
    <mergeCell ref="A40:G40"/>
    <mergeCell ref="A48:G48"/>
  </mergeCells>
  <dataValidations count="2">
    <dataValidation type="list" allowBlank="1" showInputMessage="1" showErrorMessage="1" sqref="B4">
      <formula1>"(Pick question),Q_SS_EXPORT,Q_MS_EXPORT,Q_NUM_EXPORT,Q_GRID_EXPORT,Q_VERY_LONG_SINGLE_SELECT_EXPORT_NAME,Q_TEXT_EXPORT,Q_SEG_1,Q_TGT_1,Q_NUM_3,Q_EXP_1,Q_REAL_1"</formula1>
    </dataValidation>
    <dataValidation type="list" allowBlank="1" showInputMessage="1" showErrorMessage="1" sqref="B5">
      <formula1>"(Pick question),Q_SS_EXPORT,Q_MS_EXPORT,Q_NUM_EXPORT,Q_GRID_EXPORT,Q_VERY_LONG_SINGLE_SELECT_EXPORT_NAME,Q_TEXT_EXPORT,Q_SEG_1,Q_TGT_1,Q_NUM_3,Q_EXP_1,Q_REAL_1"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123</v>
      </c>
      <c r="B1" s="2" t="s">
        <v>124</v>
      </c>
      <c r="C1" s="2" t="s">
        <v>125</v>
      </c>
      <c r="D1" s="2" t="s">
        <v>67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71</v>
      </c>
    </row>
    <row r="2" spans="1:9">
      <c r="A2" t="s">
        <v>130</v>
      </c>
      <c r="B2" t="s">
        <v>131</v>
      </c>
      <c r="C2" t="s">
        <v>132</v>
      </c>
      <c r="D2" s="3" t="s">
        <v>133</v>
      </c>
      <c r="E2" t="s">
        <v>134</v>
      </c>
      <c r="F2" t="s">
        <v>135</v>
      </c>
      <c r="H2" s="4">
        <v>1</v>
      </c>
    </row>
    <row r="3" spans="1:9">
      <c r="A3" t="s">
        <v>136</v>
      </c>
      <c r="B3" t="s">
        <v>137</v>
      </c>
      <c r="C3" t="s">
        <v>138</v>
      </c>
      <c r="D3" s="3" t="s">
        <v>139</v>
      </c>
      <c r="E3" t="s">
        <v>134</v>
      </c>
      <c r="F3" t="s">
        <v>135</v>
      </c>
      <c r="G3" t="s">
        <v>140</v>
      </c>
      <c r="H3" s="4">
        <v>1</v>
      </c>
    </row>
    <row r="4" spans="1:9">
      <c r="A4" t="s">
        <v>141</v>
      </c>
      <c r="B4" t="s">
        <v>142</v>
      </c>
      <c r="C4" t="s">
        <v>143</v>
      </c>
      <c r="D4" s="3" t="s">
        <v>144</v>
      </c>
      <c r="E4" t="s">
        <v>145</v>
      </c>
      <c r="F4" t="s">
        <v>146</v>
      </c>
      <c r="H4" s="4">
        <v>1</v>
      </c>
    </row>
    <row r="5" spans="1:9">
      <c r="A5" t="s">
        <v>147</v>
      </c>
      <c r="B5" t="s">
        <v>148</v>
      </c>
      <c r="C5" t="s">
        <v>149</v>
      </c>
      <c r="D5" s="3" t="s">
        <v>150</v>
      </c>
      <c r="E5" t="s">
        <v>151</v>
      </c>
      <c r="F5" t="s">
        <v>152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153</v>
      </c>
      <c r="B1" t="s">
        <v>131</v>
      </c>
    </row>
    <row r="2" spans="1:6">
      <c r="A2" s="1" t="s">
        <v>154</v>
      </c>
      <c r="B2" t="s">
        <v>132</v>
      </c>
    </row>
    <row r="3" spans="1:6">
      <c r="A3" s="1" t="s">
        <v>155</v>
      </c>
      <c r="B3" t="s">
        <v>134</v>
      </c>
      <c r="C3" s="1" t="s">
        <v>127</v>
      </c>
      <c r="D3" t="s">
        <v>135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0" t="s">
        <v>161</v>
      </c>
      <c r="B8" s="10"/>
      <c r="C8" s="10"/>
      <c r="D8" s="10"/>
    </row>
    <row r="9" spans="1:6">
      <c r="A9" t="s">
        <v>53</v>
      </c>
    </row>
    <row r="10" spans="1:6">
      <c r="A10" s="10" t="s">
        <v>162</v>
      </c>
      <c r="B10" s="10"/>
      <c r="C10" s="10"/>
      <c r="D10" s="10"/>
    </row>
    <row r="11" spans="1:6">
      <c r="A11" t="s">
        <v>56</v>
      </c>
    </row>
    <row r="13" spans="1:6">
      <c r="A13" s="1" t="s">
        <v>163</v>
      </c>
    </row>
    <row r="14" spans="1:6">
      <c r="A14" s="11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121</v>
      </c>
      <c r="D15" s="2" t="s">
        <v>122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11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121</v>
      </c>
      <c r="D22" s="2" t="s">
        <v>122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11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121</v>
      </c>
      <c r="D29" s="2" t="s">
        <v>122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172</v>
      </c>
    </row>
    <row r="35" spans="1:5">
      <c r="A35" s="2" t="s">
        <v>173</v>
      </c>
      <c r="B35" s="2" t="s">
        <v>174</v>
      </c>
      <c r="C35" s="2" t="s">
        <v>175</v>
      </c>
      <c r="D35" s="2" t="s">
        <v>176</v>
      </c>
      <c r="E35" s="2" t="s">
        <v>98</v>
      </c>
    </row>
    <row r="36" spans="1:5">
      <c r="A36">
        <v>1</v>
      </c>
      <c r="B36" t="s">
        <v>167</v>
      </c>
      <c r="C36">
        <v>1</v>
      </c>
      <c r="D36" t="s">
        <v>121</v>
      </c>
      <c r="E36" s="4">
        <v>5</v>
      </c>
    </row>
    <row r="37" spans="1:5">
      <c r="A37">
        <v>1</v>
      </c>
      <c r="B37" t="s">
        <v>167</v>
      </c>
      <c r="C37">
        <v>2</v>
      </c>
      <c r="D37" t="s">
        <v>122</v>
      </c>
      <c r="E37" s="4">
        <v>5</v>
      </c>
    </row>
    <row r="38" spans="1:5">
      <c r="A38">
        <v>1</v>
      </c>
      <c r="B38" t="s">
        <v>167</v>
      </c>
      <c r="C38">
        <v>3</v>
      </c>
      <c r="D38" t="s">
        <v>165</v>
      </c>
      <c r="E38" s="4">
        <v>0</v>
      </c>
    </row>
    <row r="39" spans="1:5">
      <c r="A39">
        <v>1</v>
      </c>
      <c r="B39" t="s">
        <v>167</v>
      </c>
      <c r="C39">
        <v>4</v>
      </c>
      <c r="D39" t="s">
        <v>166</v>
      </c>
      <c r="E39" s="4">
        <v>0</v>
      </c>
    </row>
    <row r="40" spans="1:5">
      <c r="A40">
        <v>2</v>
      </c>
      <c r="B40" t="s">
        <v>168</v>
      </c>
      <c r="C40">
        <v>1</v>
      </c>
      <c r="D40" t="s">
        <v>121</v>
      </c>
      <c r="E40" s="4">
        <v>3</v>
      </c>
    </row>
    <row r="41" spans="1:5">
      <c r="A41">
        <v>2</v>
      </c>
      <c r="B41" t="s">
        <v>168</v>
      </c>
      <c r="C41">
        <v>2</v>
      </c>
      <c r="D41" t="s">
        <v>122</v>
      </c>
      <c r="E41" s="4">
        <v>3</v>
      </c>
    </row>
    <row r="42" spans="1:5">
      <c r="A42">
        <v>2</v>
      </c>
      <c r="B42" t="s">
        <v>168</v>
      </c>
      <c r="C42">
        <v>3</v>
      </c>
      <c r="D42" t="s">
        <v>165</v>
      </c>
      <c r="E42" s="4">
        <v>2</v>
      </c>
    </row>
    <row r="43" spans="1:5">
      <c r="A43">
        <v>2</v>
      </c>
      <c r="B43" t="s">
        <v>168</v>
      </c>
      <c r="C43">
        <v>4</v>
      </c>
      <c r="D43" t="s">
        <v>166</v>
      </c>
      <c r="E43" s="4">
        <v>2</v>
      </c>
    </row>
    <row r="44" spans="1:5">
      <c r="A44">
        <v>3</v>
      </c>
      <c r="B44" t="s">
        <v>169</v>
      </c>
      <c r="C44">
        <v>1</v>
      </c>
      <c r="D44" t="s">
        <v>121</v>
      </c>
      <c r="E44" s="4">
        <v>0</v>
      </c>
    </row>
    <row r="45" spans="1:5">
      <c r="A45">
        <v>3</v>
      </c>
      <c r="B45" t="s">
        <v>169</v>
      </c>
      <c r="C45">
        <v>2</v>
      </c>
      <c r="D45" t="s">
        <v>122</v>
      </c>
      <c r="E45" s="4">
        <v>0</v>
      </c>
    </row>
    <row r="46" spans="1:5">
      <c r="A46">
        <v>3</v>
      </c>
      <c r="B46" t="s">
        <v>169</v>
      </c>
      <c r="C46">
        <v>3</v>
      </c>
      <c r="D46" t="s">
        <v>165</v>
      </c>
      <c r="E46" s="4">
        <v>5</v>
      </c>
    </row>
    <row r="47" spans="1:5">
      <c r="A47">
        <v>3</v>
      </c>
      <c r="B47" t="s">
        <v>169</v>
      </c>
      <c r="C47">
        <v>4</v>
      </c>
      <c r="D47" t="s">
        <v>166</v>
      </c>
      <c r="E47" s="4">
        <v>5</v>
      </c>
    </row>
    <row r="49" spans="1:2">
      <c r="A49" s="1" t="s">
        <v>177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153</v>
      </c>
      <c r="B1" t="s">
        <v>137</v>
      </c>
    </row>
    <row r="2" spans="1:4">
      <c r="A2" s="1" t="s">
        <v>154</v>
      </c>
      <c r="B2" t="s">
        <v>138</v>
      </c>
    </row>
    <row r="3" spans="1:4">
      <c r="A3" s="1" t="s">
        <v>155</v>
      </c>
      <c r="B3" t="s">
        <v>134</v>
      </c>
      <c r="C3" s="1" t="s">
        <v>127</v>
      </c>
      <c r="D3" t="s">
        <v>135</v>
      </c>
    </row>
    <row r="4" spans="1:4">
      <c r="A4" s="1" t="s">
        <v>156</v>
      </c>
      <c r="B4" t="s">
        <v>140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178</v>
      </c>
    </row>
    <row r="9" spans="1:4">
      <c r="A9" t="s">
        <v>179</v>
      </c>
    </row>
    <row r="10" spans="1:4">
      <c r="A10" t="s">
        <v>180</v>
      </c>
    </row>
    <row r="11" spans="1:4">
      <c r="A11" s="1" t="s">
        <v>181</v>
      </c>
    </row>
    <row r="12" spans="1:4">
      <c r="A12" t="s">
        <v>182</v>
      </c>
    </row>
    <row r="14" spans="1:4">
      <c r="A14" s="1" t="s">
        <v>183</v>
      </c>
    </row>
    <row r="15" spans="1:4">
      <c r="A15" s="2" t="s">
        <v>184</v>
      </c>
      <c r="B15" s="2" t="s">
        <v>185</v>
      </c>
      <c r="C15" s="2" t="s">
        <v>98</v>
      </c>
      <c r="D15" s="2" t="s">
        <v>99</v>
      </c>
    </row>
    <row r="16" spans="1:4">
      <c r="A16">
        <v>1</v>
      </c>
      <c r="B16" t="s">
        <v>121</v>
      </c>
      <c r="C16" s="4">
        <v>5</v>
      </c>
      <c r="D16" s="5">
        <v>0.5</v>
      </c>
    </row>
    <row r="17" spans="1:4">
      <c r="A17">
        <v>2</v>
      </c>
      <c r="B17" t="s">
        <v>122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142</v>
      </c>
    </row>
    <row r="2" spans="1:6">
      <c r="A2" s="1" t="s">
        <v>154</v>
      </c>
      <c r="B2" t="s">
        <v>143</v>
      </c>
    </row>
    <row r="3" spans="1:6">
      <c r="A3" s="1" t="s">
        <v>155</v>
      </c>
      <c r="B3" t="s">
        <v>145</v>
      </c>
      <c r="C3" s="1" t="s">
        <v>127</v>
      </c>
      <c r="D3" t="s">
        <v>146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186</v>
      </c>
    </row>
    <row r="9" spans="1:6">
      <c r="A9" t="s">
        <v>179</v>
      </c>
    </row>
    <row r="10" spans="1:6">
      <c r="A10" s="1" t="s">
        <v>187</v>
      </c>
    </row>
    <row r="11" spans="1:6">
      <c r="A11" t="s">
        <v>188</v>
      </c>
    </row>
    <row r="13" spans="1:6">
      <c r="A13" s="1" t="s">
        <v>189</v>
      </c>
    </row>
    <row r="14" spans="1:6">
      <c r="A14" s="2" t="s">
        <v>53</v>
      </c>
      <c r="B14" s="2" t="s">
        <v>185</v>
      </c>
      <c r="C14" s="2" t="s">
        <v>190</v>
      </c>
      <c r="D14" s="2" t="s">
        <v>108</v>
      </c>
      <c r="E14" s="2" t="s">
        <v>109</v>
      </c>
      <c r="F14" s="2" t="s">
        <v>191</v>
      </c>
    </row>
    <row r="15" spans="1:6">
      <c r="A15">
        <v>1</v>
      </c>
      <c r="B15" t="s">
        <v>167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168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169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192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153</v>
      </c>
      <c r="B1" t="s">
        <v>148</v>
      </c>
    </row>
    <row r="2" spans="1:4">
      <c r="A2" s="1" t="s">
        <v>154</v>
      </c>
      <c r="B2" t="s">
        <v>149</v>
      </c>
    </row>
    <row r="3" spans="1:4">
      <c r="A3" s="1" t="s">
        <v>155</v>
      </c>
      <c r="B3" t="s">
        <v>151</v>
      </c>
      <c r="C3" s="1" t="s">
        <v>127</v>
      </c>
      <c r="D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193</v>
      </c>
    </row>
    <row r="9" spans="1:4">
      <c r="A9" t="s">
        <v>194</v>
      </c>
    </row>
    <row r="10" spans="1:4">
      <c r="A10" s="1" t="s">
        <v>195</v>
      </c>
    </row>
    <row r="11" spans="1:4">
      <c r="A11" t="s">
        <v>196</v>
      </c>
    </row>
    <row r="13" spans="1:4">
      <c r="A13" s="1" t="s">
        <v>197</v>
      </c>
    </row>
    <row r="14" spans="1:4">
      <c r="A14" s="2" t="s">
        <v>198</v>
      </c>
      <c r="B14" s="2" t="s">
        <v>62</v>
      </c>
      <c r="C14" s="2" t="s">
        <v>65</v>
      </c>
      <c r="D14" s="2" t="s">
        <v>199</v>
      </c>
    </row>
    <row r="15" spans="1:4">
      <c r="A15" t="s">
        <v>108</v>
      </c>
      <c r="B15" s="9">
        <v>70</v>
      </c>
      <c r="C15" s="9">
        <v>60</v>
      </c>
      <c r="D15" s="9">
        <v>-5</v>
      </c>
    </row>
    <row r="16" spans="1:4">
      <c r="A16" t="s">
        <v>109</v>
      </c>
      <c r="B16" s="9">
        <v>70</v>
      </c>
      <c r="C16" s="9">
        <v>65</v>
      </c>
      <c r="D16" s="9">
        <v>-5</v>
      </c>
    </row>
    <row r="17" spans="1:4">
      <c r="A17" t="s">
        <v>191</v>
      </c>
      <c r="B17" s="9">
        <v>22.3606797749979</v>
      </c>
      <c r="C17" s="9">
        <v>30.4724700110022</v>
      </c>
      <c r="D17" s="9">
        <v>0</v>
      </c>
    </row>
    <row r="18" spans="1:4">
      <c r="A18" t="s">
        <v>190</v>
      </c>
      <c r="B18" s="4">
        <v>15</v>
      </c>
      <c r="C18" s="4">
        <v>15</v>
      </c>
      <c r="D18" s="4">
        <v>12</v>
      </c>
    </row>
    <row r="20" spans="1:4">
      <c r="A20" s="1" t="s">
        <v>200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201</v>
      </c>
      <c r="B1" s="2" t="s">
        <v>202</v>
      </c>
      <c r="C1" s="2" t="s">
        <v>203</v>
      </c>
      <c r="D1" s="2" t="s">
        <v>204</v>
      </c>
      <c r="E1" s="2" t="s">
        <v>128</v>
      </c>
      <c r="F1" s="2" t="s">
        <v>205</v>
      </c>
      <c r="G1" s="2" t="s">
        <v>100</v>
      </c>
      <c r="H1" s="2" t="s">
        <v>206</v>
      </c>
      <c r="I1" s="2" t="s">
        <v>207</v>
      </c>
      <c r="J1" s="2" t="s">
        <v>68</v>
      </c>
      <c r="K1" s="2" t="s">
        <v>69</v>
      </c>
      <c r="L1" s="2" t="s">
        <v>208</v>
      </c>
    </row>
    <row r="2" spans="1:12">
      <c r="A2" t="s">
        <v>209</v>
      </c>
      <c r="B2" t="s">
        <v>210</v>
      </c>
      <c r="C2" t="s">
        <v>26</v>
      </c>
      <c r="D2" t="s">
        <v>26</v>
      </c>
      <c r="F2" s="4"/>
      <c r="G2" s="4">
        <v>10</v>
      </c>
      <c r="H2" t="s">
        <v>211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212</v>
      </c>
      <c r="B3" t="s">
        <v>213</v>
      </c>
      <c r="C3" t="s">
        <v>31</v>
      </c>
      <c r="D3" t="s">
        <v>34</v>
      </c>
      <c r="F3" s="4"/>
      <c r="G3" s="4">
        <v>10</v>
      </c>
      <c r="H3" t="s">
        <v>214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215</v>
      </c>
      <c r="B4" t="s">
        <v>216</v>
      </c>
      <c r="C4" t="s">
        <v>36</v>
      </c>
      <c r="D4" t="s">
        <v>36</v>
      </c>
      <c r="F4" s="4"/>
      <c r="G4" s="4">
        <v>10</v>
      </c>
      <c r="H4" t="s">
        <v>217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218</v>
      </c>
      <c r="B5" t="s">
        <v>210</v>
      </c>
      <c r="C5" t="s">
        <v>219</v>
      </c>
      <c r="D5" t="s">
        <v>219</v>
      </c>
      <c r="F5" s="4"/>
      <c r="G5" s="4">
        <v>10</v>
      </c>
      <c r="H5" t="s">
        <v>211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220</v>
      </c>
      <c r="B6" t="s">
        <v>210</v>
      </c>
      <c r="C6" t="s">
        <v>221</v>
      </c>
      <c r="D6" t="s">
        <v>221</v>
      </c>
      <c r="F6" s="4"/>
      <c r="G6" s="4">
        <v>10</v>
      </c>
      <c r="H6" t="s">
        <v>211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222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210</v>
      </c>
      <c r="C8" t="s">
        <v>45</v>
      </c>
      <c r="D8" t="s">
        <v>45</v>
      </c>
      <c r="F8" s="4"/>
      <c r="G8" s="4">
        <v>10</v>
      </c>
      <c r="H8" t="s">
        <v>211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133</v>
      </c>
      <c r="B9" t="s">
        <v>226</v>
      </c>
      <c r="C9" t="s">
        <v>227</v>
      </c>
      <c r="D9" t="s">
        <v>134</v>
      </c>
      <c r="F9" s="4"/>
      <c r="G9" s="4">
        <v>30</v>
      </c>
      <c r="H9" t="s">
        <v>228</v>
      </c>
      <c r="I9" s="9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210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9">
        <v>10</v>
      </c>
      <c r="J10" s="4">
        <v>10</v>
      </c>
      <c r="K10" s="4">
        <v>0</v>
      </c>
      <c r="L10" t="s">
        <v>233</v>
      </c>
    </row>
    <row r="11" spans="1:12">
      <c r="A11" t="s">
        <v>139</v>
      </c>
      <c r="B11" t="s">
        <v>234</v>
      </c>
      <c r="C11" t="s">
        <v>55</v>
      </c>
      <c r="D11" t="s">
        <v>55</v>
      </c>
      <c r="E11" t="s">
        <v>140</v>
      </c>
      <c r="F11" s="4"/>
      <c r="G11" s="4">
        <v>10</v>
      </c>
      <c r="H11" t="s">
        <v>235</v>
      </c>
      <c r="I11" s="9">
        <v>10</v>
      </c>
      <c r="J11" s="4">
        <v>10</v>
      </c>
      <c r="K11" s="4">
        <v>20</v>
      </c>
      <c r="L11" t="s">
        <v>236</v>
      </c>
    </row>
    <row r="12" spans="1:12">
      <c r="A12" t="s">
        <v>144</v>
      </c>
      <c r="B12" t="s">
        <v>216</v>
      </c>
      <c r="C12" t="s">
        <v>58</v>
      </c>
      <c r="D12" t="s">
        <v>58</v>
      </c>
      <c r="E12" t="s">
        <v>140</v>
      </c>
      <c r="F12" s="4"/>
      <c r="G12" s="4">
        <v>10</v>
      </c>
      <c r="H12" t="s">
        <v>237</v>
      </c>
      <c r="I12" s="9">
        <v>55</v>
      </c>
      <c r="J12" s="4">
        <v>10</v>
      </c>
      <c r="K12" s="4">
        <v>0</v>
      </c>
      <c r="L12" t="s">
        <v>238</v>
      </c>
    </row>
    <row r="13" spans="1:12">
      <c r="A13" t="s">
        <v>144</v>
      </c>
      <c r="B13" t="s">
        <v>216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9">
        <v>50</v>
      </c>
      <c r="J13" s="4">
        <v>10</v>
      </c>
      <c r="K13" s="4">
        <v>0</v>
      </c>
      <c r="L13" t="s">
        <v>240</v>
      </c>
    </row>
    <row r="14" spans="1:12">
      <c r="A14" t="s">
        <v>144</v>
      </c>
      <c r="B14" t="s">
        <v>216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9">
        <v>5.5</v>
      </c>
      <c r="J14" s="4">
        <v>10</v>
      </c>
      <c r="K14" s="4">
        <v>0</v>
      </c>
      <c r="L14" t="s">
        <v>242</v>
      </c>
    </row>
    <row r="15" spans="1:12">
      <c r="A15" t="s">
        <v>144</v>
      </c>
      <c r="B15" t="s">
        <v>216</v>
      </c>
      <c r="C15" t="s">
        <v>58</v>
      </c>
      <c r="D15" t="s">
        <v>58</v>
      </c>
      <c r="F15" s="4"/>
      <c r="G15" s="4">
        <v>30</v>
      </c>
      <c r="H15" t="s">
        <v>237</v>
      </c>
      <c r="I15" s="9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144</v>
      </c>
      <c r="B16" t="s">
        <v>244</v>
      </c>
      <c r="C16" t="s">
        <v>245</v>
      </c>
      <c r="D16" t="s">
        <v>145</v>
      </c>
      <c r="F16" s="4"/>
      <c r="G16" s="4">
        <v>30</v>
      </c>
      <c r="H16" t="s">
        <v>246</v>
      </c>
      <c r="I16" s="9">
        <v>30</v>
      </c>
      <c r="J16" s="4">
        <v>30</v>
      </c>
      <c r="K16" s="4">
        <v>0</v>
      </c>
      <c r="L16" t="s">
        <v>247</v>
      </c>
    </row>
    <row r="17" spans="1:12">
      <c r="A17" t="s">
        <v>150</v>
      </c>
      <c r="B17" t="s">
        <v>216</v>
      </c>
      <c r="C17" t="s">
        <v>61</v>
      </c>
      <c r="D17" t="s">
        <v>61</v>
      </c>
      <c r="F17" s="4"/>
      <c r="G17" s="4">
        <v>15</v>
      </c>
      <c r="H17" t="s">
        <v>237</v>
      </c>
      <c r="I17" s="9">
        <v>70</v>
      </c>
      <c r="J17" s="4">
        <v>15</v>
      </c>
      <c r="K17" s="4">
        <v>15</v>
      </c>
      <c r="L17" t="s">
        <v>248</v>
      </c>
    </row>
    <row r="18" spans="1:12">
      <c r="A18" t="s">
        <v>150</v>
      </c>
      <c r="B18" t="s">
        <v>216</v>
      </c>
      <c r="C18" t="s">
        <v>64</v>
      </c>
      <c r="D18" t="s">
        <v>64</v>
      </c>
      <c r="F18" s="4"/>
      <c r="G18" s="4">
        <v>15</v>
      </c>
      <c r="H18" t="s">
        <v>237</v>
      </c>
      <c r="I18" s="9">
        <v>60</v>
      </c>
      <c r="J18" s="4">
        <v>15</v>
      </c>
      <c r="K18" s="4">
        <v>15</v>
      </c>
      <c r="L18" t="s">
        <v>249</v>
      </c>
    </row>
    <row r="19" spans="1:12">
      <c r="A19" t="s">
        <v>150</v>
      </c>
      <c r="B19" t="s">
        <v>216</v>
      </c>
      <c r="C19" t="s">
        <v>250</v>
      </c>
      <c r="D19" t="s">
        <v>151</v>
      </c>
      <c r="F19" s="4"/>
      <c r="G19" s="4">
        <v>12</v>
      </c>
      <c r="H19" t="s">
        <v>237</v>
      </c>
      <c r="I19" s="9">
        <v>-5</v>
      </c>
      <c r="J19" s="4">
        <v>12</v>
      </c>
      <c r="K19" s="4">
        <v>18</v>
      </c>
      <c r="L19" t="s">
        <v>251</v>
      </c>
    </row>
    <row r="20" spans="1:12">
      <c r="A20" t="s">
        <v>150</v>
      </c>
      <c r="B20" t="s">
        <v>252</v>
      </c>
      <c r="C20" t="s">
        <v>253</v>
      </c>
      <c r="D20" t="s">
        <v>151</v>
      </c>
      <c r="F20" s="4"/>
      <c r="G20" s="4">
        <v>12</v>
      </c>
      <c r="H20" t="s">
        <v>254</v>
      </c>
      <c r="I20" s="9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123</v>
      </c>
      <c r="B1" s="2" t="s">
        <v>124</v>
      </c>
      <c r="C1" s="2" t="s">
        <v>256</v>
      </c>
      <c r="D1" s="2" t="s">
        <v>257</v>
      </c>
      <c r="E1" s="2" t="s">
        <v>258</v>
      </c>
    </row>
    <row r="2" spans="1:5">
      <c r="A2" t="s">
        <v>136</v>
      </c>
      <c r="B2" t="s">
        <v>137</v>
      </c>
      <c r="C2" t="s">
        <v>140</v>
      </c>
      <c r="D2" t="s">
        <v>231</v>
      </c>
      <c r="E2" t="s">
        <v>139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70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74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73</v>
      </c>
    </row>
    <row r="4" spans="1:2">
      <c r="A4" t="s">
        <v>280</v>
      </c>
      <c r="B4" t="s">
        <v>82</v>
      </c>
    </row>
    <row r="5" spans="1:2">
      <c r="A5" t="s">
        <v>281</v>
      </c>
      <c r="B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Run_Summary</vt:lpstr>
      <vt:lpstr>Question_Metadata</vt:lpstr>
      <vt:lpstr>Single_Cut_Index</vt:lpstr>
      <vt:lpstr>Skip_Log</vt:lpstr>
      <vt:lpstr>All Questions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2026-05-12T11:32:35Z</dcterms:created>
  <dcterms:modified xsi:type="dcterms:W3CDTF">2026-05-12T11:32:35Z</dcterms:modified>
</cp:coreProperties>
</file>