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None_options">'_Options'!$C$2:$C$2</definedName>
    <definedName name="Q_SS_EXPORT_options">'_Options'!$D$2:$D$4</definedName>
    <definedName name="Q_SS_EXPORT_local_options">'_Options'!$P$2:$P$5</definedName>
    <definedName name="Q_MS_EXPORTr1_options">'_Options'!$E$2:$E$3</definedName>
    <definedName name="Q_MS_EXPORTr1_local_options">'_Options'!$Q$2:$Q$4</definedName>
    <definedName name="Q_MS_EXPORTr2_options">'_Options'!$F$2:$F$3</definedName>
    <definedName name="Q_MS_EXPORTr2_local_options">'_Options'!$R$2:$R$4</definedName>
    <definedName name="Q_NUM_EXPORT_options">'_Options'!$G$2:$G$3</definedName>
    <definedName name="Q_NUM_EXPORT_local_options">'_Options'!$S$2:$S$4</definedName>
    <definedName name="Q_GRID_EXPORTr1_options">'_Options'!$H$2:$H$3</definedName>
    <definedName name="Q_GRID_EXPORTr1_local_options">'_Options'!$T$2:$T$4</definedName>
    <definedName name="Q_GRID_EXPORTr2_options">'_Options'!$I$2:$I$3</definedName>
    <definedName name="Q_GRID_EXPORTr2_local_options">'_Options'!$U$2:$U$4</definedName>
    <definedName name="Q_VERY_LONG_SINGLE_SELECT_EXPOR_options">'_Options'!$J$2:$J$4</definedName>
    <definedName name="Q_VERY_LONG_SINGLE_SELECT_EXPOR_local_options">'_Options'!$V$2:$V$5</definedName>
    <definedName name="Q_SEG_1_options">'_Options'!$K$2:$K$5</definedName>
    <definedName name="Q_SEG_1_local_options">'_Options'!$W$2:$W$6</definedName>
    <definedName name="Q_TGT_1_options">'_Options'!$L$2:$L$6</definedName>
    <definedName name="Q_TGT_1_local_options">'_Options'!$X$2:$X$7</definedName>
    <definedName name="Q_NUM_3_options">'_Options'!$M$2:$M$2</definedName>
    <definedName name="Q_NUM_3_local_options">'_Options'!$Y$2:$Y$3</definedName>
    <definedName name="Q_EXP_1_options">'_Options'!$N$2:$N$2</definedName>
    <definedName name="Q_EXP_1_local_options">'_Options'!$Z$2:$Z$3</definedName>
    <definedName name="Q_REAL_1_options">'_Options'!$O$2:$O$2</definedName>
    <definedName name="Q_REAL_1_local_options">'_Options'!$AA$2:$AA$3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N3" i="1"/>
  <c r="O3" i="1"/>
  <c r="P3" i="1"/>
  <c r="Q3" i="1"/>
  <c r="N4" i="1"/>
  <c r="O4" i="1"/>
  <c r="P4" i="1"/>
  <c r="Q4" i="1"/>
  <c r="N5" i="1"/>
  <c r="O5" i="1"/>
  <c r="P5" i="1"/>
  <c r="Q5" i="1"/>
  <c r="N6" i="1"/>
  <c r="O6" i="1"/>
  <c r="P6" i="1"/>
  <c r="Q6" i="1"/>
  <c r="N7" i="1"/>
  <c r="O7" i="1"/>
  <c r="P7" i="1"/>
  <c r="Q7" i="1"/>
  <c r="N8" i="1"/>
  <c r="O8" i="1"/>
  <c r="P8" i="1"/>
  <c r="Q8" i="1"/>
  <c r="N9" i="1"/>
  <c r="O9" i="1"/>
  <c r="P9" i="1"/>
  <c r="Q9" i="1"/>
  <c r="N10" i="1"/>
  <c r="O10" i="1"/>
  <c r="P10" i="1"/>
  <c r="Q10" i="1"/>
  <c r="N11" i="1"/>
  <c r="O11" i="1"/>
  <c r="P11" i="1"/>
  <c r="Q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2" i="7"/>
  <c r="G22" i="7"/>
  <c r="G25" i="7"/>
  <c r="H25" i="7"/>
  <c r="I25" i="7"/>
  <c r="J25" i="7"/>
  <c r="K25" i="7"/>
  <c r="L25" i="7"/>
  <c r="M25" i="7"/>
  <c r="N25" i="7"/>
  <c r="B26" i="7"/>
  <c r="C26" i="7"/>
  <c r="D26" i="7"/>
  <c r="G26" i="7"/>
  <c r="H26" i="7"/>
  <c r="I26" i="7"/>
  <c r="J26" i="7"/>
  <c r="K26" i="7"/>
  <c r="L26" i="7"/>
  <c r="M26" i="7"/>
  <c r="N26" i="7"/>
  <c r="O26" i="7"/>
  <c r="B27" i="7"/>
  <c r="C27" i="7"/>
  <c r="D27" i="7"/>
  <c r="G27" i="7"/>
  <c r="H27" i="7"/>
  <c r="I27" i="7"/>
  <c r="J27" i="7"/>
  <c r="K27" i="7"/>
  <c r="L27" i="7"/>
  <c r="M27" i="7"/>
  <c r="N27" i="7"/>
  <c r="O27" i="7"/>
  <c r="F31" i="7"/>
  <c r="G31" i="7"/>
  <c r="B35" i="7"/>
  <c r="D35" i="7"/>
  <c r="B36" i="7"/>
  <c r="D36" i="7"/>
  <c r="B37" i="7"/>
  <c r="D37" i="7"/>
  <c r="D38" i="7"/>
  <c r="F43" i="7"/>
  <c r="G43" i="7"/>
  <c r="G46" i="7"/>
  <c r="H46" i="7"/>
  <c r="I46" i="7"/>
  <c r="J46" i="7"/>
  <c r="K46" i="7"/>
  <c r="L46" i="7"/>
  <c r="M46" i="7"/>
  <c r="N46" i="7"/>
  <c r="B47" i="7"/>
  <c r="C47" i="7"/>
  <c r="D47" i="7"/>
  <c r="G47" i="7"/>
  <c r="H47" i="7"/>
  <c r="I47" i="7"/>
  <c r="J47" i="7"/>
  <c r="K47" i="7"/>
  <c r="L47" i="7"/>
  <c r="M47" i="7"/>
  <c r="N47" i="7"/>
  <c r="O47" i="7"/>
  <c r="B48" i="7"/>
  <c r="C48" i="7"/>
  <c r="D48" i="7"/>
  <c r="G48" i="7"/>
  <c r="H48" i="7"/>
  <c r="I48" i="7"/>
  <c r="J48" i="7"/>
  <c r="K48" i="7"/>
  <c r="L48" i="7"/>
  <c r="M48" i="7"/>
  <c r="N48" i="7"/>
  <c r="O48" i="7"/>
  <c r="F52" i="7"/>
  <c r="G52" i="7"/>
  <c r="G55" i="7"/>
  <c r="H55" i="7"/>
  <c r="I55" i="7"/>
  <c r="J55" i="7"/>
  <c r="K55" i="7"/>
  <c r="L55" i="7"/>
  <c r="M55" i="7"/>
  <c r="N55" i="7"/>
  <c r="B56" i="7"/>
  <c r="C56" i="7"/>
  <c r="D56" i="7"/>
  <c r="G56" i="7"/>
  <c r="H56" i="7"/>
  <c r="I56" i="7"/>
  <c r="J56" i="7"/>
  <c r="K56" i="7"/>
  <c r="L56" i="7"/>
  <c r="M56" i="7"/>
  <c r="N56" i="7"/>
  <c r="O56" i="7"/>
  <c r="B57" i="7"/>
  <c r="C57" i="7"/>
  <c r="D57" i="7"/>
  <c r="G57" i="7"/>
  <c r="H57" i="7"/>
  <c r="I57" i="7"/>
  <c r="J57" i="7"/>
  <c r="K57" i="7"/>
  <c r="L57" i="7"/>
  <c r="M57" i="7"/>
  <c r="N57" i="7"/>
  <c r="O57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IF(OR(F_Custom1_Q="(None)",F_Custom1_Q="",ISBLANK(F_Custom1_Q),F_Custom1_V="(All)",F_Custom1_V="",ISBLANK(F_Custom1_V)),1,IFERROR(IF(ISNUMBER(SEARCH("|"&amp;INDEX($A2:$M2,1,MATCH(F_Custom1_Q,$A$1:$M$1,0))&amp;"|",F_Custom1_wrapped)),1,0),0))</f>
        <v>1</v>
      </c>
      <c r="P2">
        <f>IF(OR(F_Custom2_Q="(None)",F_Custom2_Q="",ISBLANK(F_Custom2_Q),F_Custom2_V="(All)",F_Custom2_V="",ISBLANK(F_Custom2_V)),1,IFERROR(IF(ISNUMBER(SEARCH("|"&amp;INDEX($A2:$M2,1,MATCH(F_Custom2_Q,$A$1:$M$1,0))&amp;"|",F_Custom2_wrapped)),1,0),0))</f>
        <v>1</v>
      </c>
      <c r="Q2">
        <f>O2*P2*1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IF(OR(F_Custom1_Q="(None)",F_Custom1_Q="",ISBLANK(F_Custom1_Q),F_Custom1_V="(All)",F_Custom1_V="",ISBLANK(F_Custom1_V)),1,IFERROR(IF(ISNUMBER(SEARCH("|"&amp;INDEX($A3:$M3,1,MATCH(F_Custom1_Q,$A$1:$M$1,0))&amp;"|",F_Custom1_wrapped)),1,0),0))</f>
        <v>1</v>
      </c>
      <c r="P3">
        <f>IF(OR(F_Custom2_Q="(None)",F_Custom2_Q="",ISBLANK(F_Custom2_Q),F_Custom2_V="(All)",F_Custom2_V="",ISBLANK(F_Custom2_V)),1,IFERROR(IF(ISNUMBER(SEARCH("|"&amp;INDEX($A3:$M3,1,MATCH(F_Custom2_Q,$A$1:$M$1,0))&amp;"|",F_Custom2_wrapped)),1,0),0))</f>
        <v>1</v>
      </c>
      <c r="Q3">
        <f>O3*P3*1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IF(OR(F_Custom1_Q="(None)",F_Custom1_Q="",ISBLANK(F_Custom1_Q),F_Custom1_V="(All)",F_Custom1_V="",ISBLANK(F_Custom1_V)),1,IFERROR(IF(ISNUMBER(SEARCH("|"&amp;INDEX($A4:$M4,1,MATCH(F_Custom1_Q,$A$1:$M$1,0))&amp;"|",F_Custom1_wrapped)),1,0),0))</f>
        <v>1</v>
      </c>
      <c r="P4">
        <f>IF(OR(F_Custom2_Q="(None)",F_Custom2_Q="",ISBLANK(F_Custom2_Q),F_Custom2_V="(All)",F_Custom2_V="",ISBLANK(F_Custom2_V)),1,IFERROR(IF(ISNUMBER(SEARCH("|"&amp;INDEX($A4:$M4,1,MATCH(F_Custom2_Q,$A$1:$M$1,0))&amp;"|",F_Custom2_wrapped)),1,0),0))</f>
        <v>1</v>
      </c>
      <c r="Q4">
        <f>O4*P4*1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IF(OR(F_Custom1_Q="(None)",F_Custom1_Q="",ISBLANK(F_Custom1_Q),F_Custom1_V="(All)",F_Custom1_V="",ISBLANK(F_Custom1_V)),1,IFERROR(IF(ISNUMBER(SEARCH("|"&amp;INDEX($A5:$M5,1,MATCH(F_Custom1_Q,$A$1:$M$1,0))&amp;"|",F_Custom1_wrapped)),1,0),0))</f>
        <v>1</v>
      </c>
      <c r="P5">
        <f>IF(OR(F_Custom2_Q="(None)",F_Custom2_Q="",ISBLANK(F_Custom2_Q),F_Custom2_V="(All)",F_Custom2_V="",ISBLANK(F_Custom2_V)),1,IFERROR(IF(ISNUMBER(SEARCH("|"&amp;INDEX($A5:$M5,1,MATCH(F_Custom2_Q,$A$1:$M$1,0))&amp;"|",F_Custom2_wrapped)),1,0),0))</f>
        <v>1</v>
      </c>
      <c r="Q5">
        <f>O5*P5*1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IF(OR(F_Custom1_Q="(None)",F_Custom1_Q="",ISBLANK(F_Custom1_Q),F_Custom1_V="(All)",F_Custom1_V="",ISBLANK(F_Custom1_V)),1,IFERROR(IF(ISNUMBER(SEARCH("|"&amp;INDEX($A6:$M6,1,MATCH(F_Custom1_Q,$A$1:$M$1,0))&amp;"|",F_Custom1_wrapped)),1,0),0))</f>
        <v>1</v>
      </c>
      <c r="P6">
        <f>IF(OR(F_Custom2_Q="(None)",F_Custom2_Q="",ISBLANK(F_Custom2_Q),F_Custom2_V="(All)",F_Custom2_V="",ISBLANK(F_Custom2_V)),1,IFERROR(IF(ISNUMBER(SEARCH("|"&amp;INDEX($A6:$M6,1,MATCH(F_Custom2_Q,$A$1:$M$1,0))&amp;"|",F_Custom2_wrapped)),1,0),0))</f>
        <v>1</v>
      </c>
      <c r="Q6">
        <f>O6*P6*1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IF(OR(F_Custom1_Q="(None)",F_Custom1_Q="",ISBLANK(F_Custom1_Q),F_Custom1_V="(All)",F_Custom1_V="",ISBLANK(F_Custom1_V)),1,IFERROR(IF(ISNUMBER(SEARCH("|"&amp;INDEX($A7:$M7,1,MATCH(F_Custom1_Q,$A$1:$M$1,0))&amp;"|",F_Custom1_wrapped)),1,0),0))</f>
        <v>1</v>
      </c>
      <c r="P7">
        <f>IF(OR(F_Custom2_Q="(None)",F_Custom2_Q="",ISBLANK(F_Custom2_Q),F_Custom2_V="(All)",F_Custom2_V="",ISBLANK(F_Custom2_V)),1,IFERROR(IF(ISNUMBER(SEARCH("|"&amp;INDEX($A7:$M7,1,MATCH(F_Custom2_Q,$A$1:$M$1,0))&amp;"|",F_Custom2_wrapped)),1,0),0))</f>
        <v>1</v>
      </c>
      <c r="Q7">
        <f>O7*P7*1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IF(OR(F_Custom1_Q="(None)",F_Custom1_Q="",ISBLANK(F_Custom1_Q),F_Custom1_V="(All)",F_Custom1_V="",ISBLANK(F_Custom1_V)),1,IFERROR(IF(ISNUMBER(SEARCH("|"&amp;INDEX($A8:$M8,1,MATCH(F_Custom1_Q,$A$1:$M$1,0))&amp;"|",F_Custom1_wrapped)),1,0),0))</f>
        <v>1</v>
      </c>
      <c r="P8">
        <f>IF(OR(F_Custom2_Q="(None)",F_Custom2_Q="",ISBLANK(F_Custom2_Q),F_Custom2_V="(All)",F_Custom2_V="",ISBLANK(F_Custom2_V)),1,IFERROR(IF(ISNUMBER(SEARCH("|"&amp;INDEX($A8:$M8,1,MATCH(F_Custom2_Q,$A$1:$M$1,0))&amp;"|",F_Custom2_wrapped)),1,0),0))</f>
        <v>1</v>
      </c>
      <c r="Q8">
        <f>O8*P8*1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IF(OR(F_Custom1_Q="(None)",F_Custom1_Q="",ISBLANK(F_Custom1_Q),F_Custom1_V="(All)",F_Custom1_V="",ISBLANK(F_Custom1_V)),1,IFERROR(IF(ISNUMBER(SEARCH("|"&amp;INDEX($A9:$M9,1,MATCH(F_Custom1_Q,$A$1:$M$1,0))&amp;"|",F_Custom1_wrapped)),1,0),0))</f>
        <v>1</v>
      </c>
      <c r="P9">
        <f>IF(OR(F_Custom2_Q="(None)",F_Custom2_Q="",ISBLANK(F_Custom2_Q),F_Custom2_V="(All)",F_Custom2_V="",ISBLANK(F_Custom2_V)),1,IFERROR(IF(ISNUMBER(SEARCH("|"&amp;INDEX($A9:$M9,1,MATCH(F_Custom2_Q,$A$1:$M$1,0))&amp;"|",F_Custom2_wrapped)),1,0),0))</f>
        <v>1</v>
      </c>
      <c r="Q9">
        <f>O9*P9*1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IF(OR(F_Custom1_Q="(None)",F_Custom1_Q="",ISBLANK(F_Custom1_Q),F_Custom1_V="(All)",F_Custom1_V="",ISBLANK(F_Custom1_V)),1,IFERROR(IF(ISNUMBER(SEARCH("|"&amp;INDEX($A10:$M10,1,MATCH(F_Custom1_Q,$A$1:$M$1,0))&amp;"|",F_Custom1_wrapped)),1,0),0))</f>
        <v>1</v>
      </c>
      <c r="P10">
        <f>IF(OR(F_Custom2_Q="(None)",F_Custom2_Q="",ISBLANK(F_Custom2_Q),F_Custom2_V="(All)",F_Custom2_V="",ISBLANK(F_Custom2_V)),1,IFERROR(IF(ISNUMBER(SEARCH("|"&amp;INDEX($A10:$M10,1,MATCH(F_Custom2_Q,$A$1:$M$1,0))&amp;"|",F_Custom2_wrapped)),1,0),0))</f>
        <v>1</v>
      </c>
      <c r="Q10">
        <f>O10*P10*1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IF(OR(F_Custom1_Q="(None)",F_Custom1_Q="",ISBLANK(F_Custom1_Q),F_Custom1_V="(All)",F_Custom1_V="",ISBLANK(F_Custom1_V)),1,IFERROR(IF(ISNUMBER(SEARCH("|"&amp;INDEX($A11:$M11,1,MATCH(F_Custom1_Q,$A$1:$M$1,0))&amp;"|",F_Custom1_wrapped)),1,0),0))</f>
        <v>1</v>
      </c>
      <c r="P11">
        <f>IF(OR(F_Custom2_Q="(None)",F_Custom2_Q="",ISBLANK(F_Custom2_Q),F_Custom2_V="(All)",F_Custom2_V="",ISBLANK(F_Custom2_V)),1,IFERROR(IF(ISNUMBER(SEARCH("|"&amp;INDEX($A11:$M11,1,MATCH(F_Custom2_Q,$A$1:$M$1,0))&amp;"|",F_Custom2_wrapped)),1,0),0))</f>
        <v>1</v>
      </c>
      <c r="Q11">
        <f>O11*P11*1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Q_SEG_1_options</t>
        </is>
      </c>
      <c r="L1" t="inlineStr">
        <is>
          <t>Q_TGT_1_options</t>
        </is>
      </c>
      <c r="M1" t="inlineStr">
        <is>
          <t>Q_NUM_3_options</t>
        </is>
      </c>
      <c r="N1" t="inlineStr">
        <is>
          <t>Q_EXP_1_options</t>
        </is>
      </c>
      <c r="O1" t="inlineStr">
        <is>
          <t>Q_REAL_1_options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Q_SEG_1_local_options</t>
        </is>
      </c>
      <c r="X1" t="inlineStr">
        <is>
          <t>Q_TGT_1_local_options</t>
        </is>
      </c>
      <c r="Y1" t="inlineStr">
        <is>
          <t>Q_NUM_3_local_options</t>
        </is>
      </c>
      <c r="Z1" t="inlineStr">
        <is>
          <t>Q_EXP_1_local_options</t>
        </is>
      </c>
      <c r="AA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Segment 1</t>
        </is>
      </c>
      <c r="L3" t="inlineStr">
        <is>
          <t>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Segment 2</t>
        </is>
      </c>
      <c r="L4" t="inlineStr">
        <is>
          <t>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Segment 1</t>
        </is>
      </c>
      <c r="X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Segment 3</t>
        </is>
      </c>
      <c r="L5" t="inlineStr">
        <is>
          <t>C</t>
        </is>
      </c>
      <c r="P5" t="inlineStr">
        <is>
          <t>No</t>
        </is>
      </c>
      <c r="V5" t="inlineStr">
        <is>
          <t>B</t>
        </is>
      </c>
      <c r="W5" t="inlineStr">
        <is>
          <t>Segment 2</t>
        </is>
      </c>
      <c r="X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  <c r="L6" t="inlineStr">
        <is>
          <t>D</t>
        </is>
      </c>
      <c r="W6" t="inlineStr">
        <is>
          <t>Segment 3</t>
        </is>
      </c>
      <c r="X6" t="inlineStr">
        <is>
          <t>C</t>
        </is>
      </c>
    </row>
    <row r="7">
      <c r="A7" t="inlineStr">
        <is>
          <t>Q_GRID_EXPORTr1</t>
        </is>
      </c>
      <c r="B7" t="inlineStr">
        <is>
          <t>Q_NUM_EXPORT</t>
        </is>
      </c>
      <c r="X7" t="inlineStr">
        <is>
          <t>D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A10" t="inlineStr">
        <is>
          <t>Q_SEG_1</t>
        </is>
      </c>
      <c r="B10" t="inlineStr">
        <is>
          <t>Q_VERY_LONG_SINGLE_SELECT_EXPOR</t>
        </is>
      </c>
    </row>
    <row r="11">
      <c r="A11" t="inlineStr">
        <is>
          <t>Q_TGT_1</t>
        </is>
      </c>
      <c r="B11" t="inlineStr">
        <is>
          <t>Q_SEG_1</t>
        </is>
      </c>
    </row>
    <row r="12">
      <c r="A12" t="inlineStr">
        <is>
          <t>Q_NUM_3</t>
        </is>
      </c>
      <c r="B12" t="inlineStr">
        <is>
          <t>Q_TGT_1</t>
        </is>
      </c>
    </row>
    <row r="13">
      <c r="A13" t="inlineStr">
        <is>
          <t>Q_EXP_1</t>
        </is>
      </c>
      <c r="B13" t="inlineStr">
        <is>
          <t>Q_NUM_3</t>
        </is>
      </c>
    </row>
    <row r="14">
      <c r="A14" t="inlineStr">
        <is>
          <t>Q_REAL_1</t>
        </is>
      </c>
      <c r="B14" t="inlineStr">
        <is>
          <t>Q_EXP_1</t>
        </is>
      </c>
    </row>
    <row r="15">
      <c r="B15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IF(F_Custom1_Q="(None)","respondent_id_data",F_Custom1_Q &amp; "_data")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IF(F_Custom2_Q="(None)","respondent_id_data",F_Custom2_Q &amp; "_data")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IF(All_Questions_F_Custom1_Q_resolved="(None)","respondent_id_data",All_Questions_F_Custom1_Q_resolved &amp; "_data")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IF(All_Questions_F_Custom2_Q_resolved="(None)","respondent_id_data",All_Questions_F_Custom2_Q_resolved &amp; "_data")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IF(All_Questions_Q_SS_EXPORT_F_Q="(None)","respondent_id_data",All_Questions_Q_SS_EXPORT_F_Q &amp; "_data")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IFERROR(INDEX(INDIRECT(All_Questions_Q_SS_EXPORT_CT &amp; "_options"),2),"")</f>
        <v>0</v>
      </c>
      <c r="H16">
        <f>IFERROR(INDEX(INDIRECT(All_Questions_Q_SS_EXPORT_CT &amp; "_options"),3),"")</f>
        <v>0</v>
      </c>
      <c r="I16">
        <f>IFERROR(INDEX(INDIRECT(All_Questions_Q_SS_EXPORT_CT &amp; "_options"),4),"")</f>
        <v>0</v>
      </c>
      <c r="J16">
        <f>IFERROR(INDEX(INDIRECT(All_Questions_Q_SS_EXPORT_CT &amp; "_options"),5),"")</f>
        <v>0</v>
      </c>
      <c r="K16">
        <f>IFERROR(INDEX(INDIRECT(All_Questions_Q_SS_EXPORT_CT &amp; "_options"),6),"")</f>
        <v>0</v>
      </c>
      <c r="L16">
        <f>IFERROR(INDEX(INDIRECT(All_Questions_Q_SS_EXPORT_CT &amp; "_options"),7),"")</f>
        <v>0</v>
      </c>
      <c r="M16">
        <f>IFERROR(INDEX(INDIRECT(All_Questions_Q_SS_EXPORT_CT &amp; "_options"),8),"")</f>
        <v>0</v>
      </c>
      <c r="N16">
        <f>IFERROR(INDEX(INDIRECT(All_Questions_Q_SS_EXPORT_CT &amp; "_options"),9),"")</f>
        <v>0</v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(All_Questions_Q_SS_EXPORT_CT&lt;&gt;"(None)")*COUNTIFS(Q_SS_EXPORT_data,"Yes",passes_workbook_filters_data,1,passes_workbook_custom_filters_data,1,INDIRECT(All_Questions_Q_SS_EXPORT_CT &amp; "_data"),G$16)</f>
        <v>0</v>
      </c>
      <c r="H17">
        <f>(All_Questions_Q_SS_EXPORT_CT&lt;&gt;"(None)")*COUNTIFS(Q_SS_EXPORT_data,"Yes",passes_workbook_filters_data,1,passes_workbook_custom_filters_data,1,INDIRECT(All_Questions_Q_SS_EXPORT_CT &amp; "_data"),H$16)</f>
        <v>0</v>
      </c>
      <c r="I17">
        <f>(All_Questions_Q_SS_EXPORT_CT&lt;&gt;"(None)")*COUNTIFS(Q_SS_EXPORT_data,"Yes",passes_workbook_filters_data,1,passes_workbook_custom_filters_data,1,INDIRECT(All_Questions_Q_SS_EXPORT_CT &amp; "_data"),I$16)</f>
        <v>0</v>
      </c>
      <c r="J17">
        <f>(All_Questions_Q_SS_EXPORT_CT&lt;&gt;"(None)")*COUNTIFS(Q_SS_EXPORT_data,"Yes",passes_workbook_filters_data,1,passes_workbook_custom_filters_data,1,INDIRECT(All_Questions_Q_SS_EXPORT_CT &amp; "_data"),J$16)</f>
        <v>0</v>
      </c>
      <c r="K17">
        <f>(All_Questions_Q_SS_EXPORT_CT&lt;&gt;"(None)")*COUNTIFS(Q_SS_EXPORT_data,"Yes",passes_workbook_filters_data,1,passes_workbook_custom_filters_data,1,INDIRECT(All_Questions_Q_SS_EXPORT_CT &amp; "_data"),K$16)</f>
        <v>0</v>
      </c>
      <c r="L17">
        <f>(All_Questions_Q_SS_EXPORT_CT&lt;&gt;"(None)")*COUNTIFS(Q_SS_EXPORT_data,"Yes",passes_workbook_filters_data,1,passes_workbook_custom_filters_data,1,INDIRECT(All_Questions_Q_SS_EXPORT_CT &amp; "_data"),L$16)</f>
        <v>0</v>
      </c>
      <c r="M17">
        <f>(All_Questions_Q_SS_EXPORT_CT&lt;&gt;"(None)")*COUNTIFS(Q_SS_EXPORT_data,"Yes",passes_workbook_filters_data,1,passes_workbook_custom_filters_data,1,INDIRECT(All_Questions_Q_SS_EXPORT_CT &amp; "_data"),M$16)</f>
        <v>0</v>
      </c>
      <c r="N17">
        <f>(All_Questions_Q_SS_EXPORT_CT&lt;&gt;"(None)")*COUNTIFS(Q_SS_EXPORT_data,"Yes",passes_workbook_filters_data,1,passes_workbook_custom_filters_data,1,INDIRECT(All_Questions_Q_SS_EXPORT_CT &amp; "_data"),N$16)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(All_Questions_Q_SS_EXPORT_CT&lt;&gt;"(None)")*COUNTIFS(Q_SS_EXPORT_data,"No",passes_workbook_filters_data,1,passes_workbook_custom_filters_data,1,INDIRECT(All_Questions_Q_SS_EXPORT_CT &amp; "_data"),G$16)</f>
        <v>0</v>
      </c>
      <c r="H18">
        <f>(All_Questions_Q_SS_EXPORT_CT&lt;&gt;"(None)")*COUNTIFS(Q_SS_EXPORT_data,"No",passes_workbook_filters_data,1,passes_workbook_custom_filters_data,1,INDIRECT(All_Questions_Q_SS_EXPORT_CT &amp; "_data"),H$16)</f>
        <v>0</v>
      </c>
      <c r="I18">
        <f>(All_Questions_Q_SS_EXPORT_CT&lt;&gt;"(None)")*COUNTIFS(Q_SS_EXPORT_data,"No",passes_workbook_filters_data,1,passes_workbook_custom_filters_data,1,INDIRECT(All_Questions_Q_SS_EXPORT_CT &amp; "_data"),I$16)</f>
        <v>0</v>
      </c>
      <c r="J18">
        <f>(All_Questions_Q_SS_EXPORT_CT&lt;&gt;"(None)")*COUNTIFS(Q_SS_EXPORT_data,"No",passes_workbook_filters_data,1,passes_workbook_custom_filters_data,1,INDIRECT(All_Questions_Q_SS_EXPORT_CT &amp; "_data"),J$16)</f>
        <v>0</v>
      </c>
      <c r="K18">
        <f>(All_Questions_Q_SS_EXPORT_CT&lt;&gt;"(None)")*COUNTIFS(Q_SS_EXPORT_data,"No",passes_workbook_filters_data,1,passes_workbook_custom_filters_data,1,INDIRECT(All_Questions_Q_SS_EXPORT_CT &amp; "_data"),K$16)</f>
        <v>0</v>
      </c>
      <c r="L18">
        <f>(All_Questions_Q_SS_EXPORT_CT&lt;&gt;"(None)")*COUNTIFS(Q_SS_EXPORT_data,"No",passes_workbook_filters_data,1,passes_workbook_custom_filters_data,1,INDIRECT(All_Questions_Q_SS_EXPORT_CT &amp; "_data"),L$16)</f>
        <v>0</v>
      </c>
      <c r="M18">
        <f>(All_Questions_Q_SS_EXPORT_CT&lt;&gt;"(None)")*COUNTIFS(Q_SS_EXPORT_data,"No",passes_workbook_filters_data,1,passes_workbook_custom_filters_data,1,INDIRECT(All_Questions_Q_SS_EXPORT_CT &amp; "_data"),M$16)</f>
        <v>0</v>
      </c>
      <c r="N18">
        <f>(All_Questions_Q_SS_EXPORT_CT&lt;&gt;"(None)")*COUNTIFS(Q_SS_EXPORT_data,"No",passes_workbook_filters_data,1,passes_workbook_custom_filters_data,1,INDIRECT(All_Questions_Q_SS_EXPORT_CT &amp; "_data"),N$16)</f>
        <v>0</v>
      </c>
      <c r="O18">
        <f>SUM(G18:N18)</f>
        <v>0</v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 t="str">
        <f>IF(All_Questions_Q_MS_EXPORT_F_Q="(None)","respondent_id_data",All_Questions_Q_MS_EXPORT_F_Q &amp; "_data")</f>
        <v>respondent_id_data</v>
      </c>
      <c r="G22" t="str">
        <f>"|" &amp; SUBSTITUTE(All_Questions_Q_MS_EXPORT_F_V, ", ", "|") &amp; "|"</f>
        <v>|(All)|</v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IFERROR(INDEX(INDIRECT(All_Questions_Q_MS_EXPORT_CT &amp; "_options"),2),"")</f>
        <v>0</v>
      </c>
      <c r="H25">
        <f>IFERROR(INDEX(INDIRECT(All_Questions_Q_MS_EXPORT_CT &amp; "_options"),3),"")</f>
        <v>0</v>
      </c>
      <c r="I25">
        <f>IFERROR(INDEX(INDIRECT(All_Questions_Q_MS_EXPORT_CT &amp; "_options"),4),"")</f>
        <v>0</v>
      </c>
      <c r="J25">
        <f>IFERROR(INDEX(INDIRECT(All_Questions_Q_MS_EXPORT_CT &amp; "_options"),5),"")</f>
        <v>0</v>
      </c>
      <c r="K25">
        <f>IFERROR(INDEX(INDIRECT(All_Questions_Q_MS_EXPORT_CT &amp; "_options"),6),"")</f>
        <v>0</v>
      </c>
      <c r="L25">
        <f>IFERROR(INDEX(INDIRECT(All_Questions_Q_MS_EXPORT_CT &amp; "_options"),7),"")</f>
        <v>0</v>
      </c>
      <c r="M25">
        <f>IFERROR(INDEX(INDIRECT(All_Questions_Q_MS_EXPORT_CT &amp; "_options"),8),"")</f>
        <v>0</v>
      </c>
      <c r="N25">
        <f>IFERROR(INDEX(INDIRECT(All_Questions_Q_MS_EXPORT_CT &amp; "_options"),9),"")</f>
        <v>0</v>
      </c>
      <c r="O25" s="5" t="inlineStr">
        <is>
          <t>TOTAL</t>
        </is>
      </c>
    </row>
    <row r="26">
      <c r="A26" t="inlineStr">
        <is>
          <t>First</t>
        </is>
      </c>
      <c r="B26">
        <f>COUNTIFS(Q_MS_EXPORTr1_data,"Selected",passes_workbook_filters_data,1,passes_workbook_custom_filters_data,1)</f>
        <v>5</v>
      </c>
      <c r="C26" s="7">
        <f>IFERROR(B26/SUBTOTAL(9,B26:B27),0)</f>
        <v>0.7142857142857143</v>
      </c>
      <c r="D26" s="14">
        <f>SUBTOTAL(9,B26:B27)</f>
        <v>7</v>
      </c>
      <c r="F26" t="inlineStr">
        <is>
          <t>First</t>
        </is>
      </c>
      <c r="G26">
        <f>(All_Questions_Q_MS_EXPORT_CT&lt;&gt;"(None)")*COUNTIFS(Q_MS_EXPORTr1_data,"Selected",passes_workbook_filters_data,1,passes_workbook_custom_filters_data,1,INDIRECT(All_Questions_Q_MS_EXPORT_CT &amp; "_data"),G$25)</f>
        <v>0</v>
      </c>
      <c r="H26">
        <f>(All_Questions_Q_MS_EXPORT_CT&lt;&gt;"(None)")*COUNTIFS(Q_MS_EXPORTr1_data,"Selected",passes_workbook_filters_data,1,passes_workbook_custom_filters_data,1,INDIRECT(All_Questions_Q_MS_EXPORT_CT &amp; "_data"),H$25)</f>
        <v>0</v>
      </c>
      <c r="I26">
        <f>(All_Questions_Q_MS_EXPORT_CT&lt;&gt;"(None)")*COUNTIFS(Q_MS_EXPORTr1_data,"Selected",passes_workbook_filters_data,1,passes_workbook_custom_filters_data,1,INDIRECT(All_Questions_Q_MS_EXPORT_CT &amp; "_data"),I$25)</f>
        <v>0</v>
      </c>
      <c r="J26">
        <f>(All_Questions_Q_MS_EXPORT_CT&lt;&gt;"(None)")*COUNTIFS(Q_MS_EXPORTr1_data,"Selected",passes_workbook_filters_data,1,passes_workbook_custom_filters_data,1,INDIRECT(All_Questions_Q_MS_EXPORT_CT &amp; "_data"),J$25)</f>
        <v>0</v>
      </c>
      <c r="K26">
        <f>(All_Questions_Q_MS_EXPORT_CT&lt;&gt;"(None)")*COUNTIFS(Q_MS_EXPORTr1_data,"Selected",passes_workbook_filters_data,1,passes_workbook_custom_filters_data,1,INDIRECT(All_Questions_Q_MS_EXPORT_CT &amp; "_data"),K$25)</f>
        <v>0</v>
      </c>
      <c r="L26">
        <f>(All_Questions_Q_MS_EXPORT_CT&lt;&gt;"(None)")*COUNTIFS(Q_MS_EXPORTr1_data,"Selected",passes_workbook_filters_data,1,passes_workbook_custom_filters_data,1,INDIRECT(All_Questions_Q_MS_EXPORT_CT &amp; "_data"),L$25)</f>
        <v>0</v>
      </c>
      <c r="M26">
        <f>(All_Questions_Q_MS_EXPORT_CT&lt;&gt;"(None)")*COUNTIFS(Q_MS_EXPORTr1_data,"Selected",passes_workbook_filters_data,1,passes_workbook_custom_filters_data,1,INDIRECT(All_Questions_Q_MS_EXPORT_CT &amp; "_data"),M$25)</f>
        <v>0</v>
      </c>
      <c r="N26">
        <f>(All_Questions_Q_MS_EXPORT_CT&lt;&gt;"(None)")*COUNTIFS(Q_MS_EXPORTr1_data,"Selected",passes_workbook_filters_data,1,passes_workbook_custom_filters_data,1,INDIRECT(All_Questions_Q_MS_EXPORT_CT &amp; "_data"),N$25)</f>
        <v>0</v>
      </c>
      <c r="O26">
        <f>SUM(G26:N26)</f>
        <v>0</v>
      </c>
    </row>
    <row r="27">
      <c r="A27" t="inlineStr">
        <is>
          <t>Second</t>
        </is>
      </c>
      <c r="B27">
        <f>COUNTIFS(Q_MS_EXPORTr2_data,"Selected",passes_workbook_filters_data,1,passes_workbook_custom_filters_data,1)</f>
        <v>2</v>
      </c>
      <c r="C27" s="7">
        <f>IFERROR(B27/SUBTOTAL(9,B26:B27),0)</f>
        <v>0.2857142857142857</v>
      </c>
      <c r="D27" s="14">
        <f>SUBTOTAL(9,B26:B27)</f>
        <v>7</v>
      </c>
      <c r="F27" t="inlineStr">
        <is>
          <t>Second</t>
        </is>
      </c>
      <c r="G27">
        <f>(All_Questions_Q_MS_EXPORT_CT&lt;&gt;"(None)")*COUNTIFS(Q_MS_EXPORTr2_data,"Selected",passes_workbook_filters_data,1,passes_workbook_custom_filters_data,1,INDIRECT(All_Questions_Q_MS_EXPORT_CT &amp; "_data"),G$25)</f>
        <v>0</v>
      </c>
      <c r="H27">
        <f>(All_Questions_Q_MS_EXPORT_CT&lt;&gt;"(None)")*COUNTIFS(Q_MS_EXPORTr2_data,"Selected",passes_workbook_filters_data,1,passes_workbook_custom_filters_data,1,INDIRECT(All_Questions_Q_MS_EXPORT_CT &amp; "_data"),H$25)</f>
        <v>0</v>
      </c>
      <c r="I27">
        <f>(All_Questions_Q_MS_EXPORT_CT&lt;&gt;"(None)")*COUNTIFS(Q_MS_EXPORTr2_data,"Selected",passes_workbook_filters_data,1,passes_workbook_custom_filters_data,1,INDIRECT(All_Questions_Q_MS_EXPORT_CT &amp; "_data"),I$25)</f>
        <v>0</v>
      </c>
      <c r="J27">
        <f>(All_Questions_Q_MS_EXPORT_CT&lt;&gt;"(None)")*COUNTIFS(Q_MS_EXPORTr2_data,"Selected",passes_workbook_filters_data,1,passes_workbook_custom_filters_data,1,INDIRECT(All_Questions_Q_MS_EXPORT_CT &amp; "_data"),J$25)</f>
        <v>0</v>
      </c>
      <c r="K27">
        <f>(All_Questions_Q_MS_EXPORT_CT&lt;&gt;"(None)")*COUNTIFS(Q_MS_EXPORTr2_data,"Selected",passes_workbook_filters_data,1,passes_workbook_custom_filters_data,1,INDIRECT(All_Questions_Q_MS_EXPORT_CT &amp; "_data"),K$25)</f>
        <v>0</v>
      </c>
      <c r="L27">
        <f>(All_Questions_Q_MS_EXPORT_CT&lt;&gt;"(None)")*COUNTIFS(Q_MS_EXPORTr2_data,"Selected",passes_workbook_filters_data,1,passes_workbook_custom_filters_data,1,INDIRECT(All_Questions_Q_MS_EXPORT_CT &amp; "_data"),L$25)</f>
        <v>0</v>
      </c>
      <c r="M27">
        <f>(All_Questions_Q_MS_EXPORT_CT&lt;&gt;"(None)")*COUNTIFS(Q_MS_EXPORTr2_data,"Selected",passes_workbook_filters_data,1,passes_workbook_custom_filters_data,1,INDIRECT(All_Questions_Q_MS_EXPORT_CT &amp; "_data"),M$25)</f>
        <v>0</v>
      </c>
      <c r="N27">
        <f>(All_Questions_Q_MS_EXPORT_CT&lt;&gt;"(None)")*COUNTIFS(Q_MS_EXPORTr2_data,"Selected",passes_workbook_filters_data,1,passes_workbook_custom_filters_data,1,INDIRECT(All_Questions_Q_MS_EXPORT_CT &amp; "_data"),N$25)</f>
        <v>0</v>
      </c>
      <c r="O27">
        <f>SUM(G27:N27)</f>
        <v>0</v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 t="str">
        <f>IF(All_Questions_Q_NUM_EXPORT_F_Q="(None)","respondent_id_data",All_Questions_Q_NUM_EXPORT_F_Q &amp; "_data")</f>
        <v>respondent_id_data</v>
      </c>
      <c r="G31" t="str">
        <f>"|" &amp; SUBSTITUTE(All_Questions_Q_NUM_EXPORT_F_V, ", ", "|") &amp; "|"</f>
        <v>|(All)|</v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IFERROR(AVERAGEIFS(Q_NUM_EXPORT_data,passes_workbook_filters_data,1,passes_workbook_custom_filters_data,1),0)</f>
        <v>5.5</v>
      </c>
      <c r="D35">
        <f>COUNTIFS(Q_NUM_EXPORT_data,"&lt;&gt;",passes_workbook_filters_data,1,passes_workbook_custom_filters_data,1)</f>
        <v>10</v>
      </c>
    </row>
    <row r="36">
      <c r="A36" t="inlineStr">
        <is>
          <t>Min</t>
        </is>
      </c>
      <c r="B36">
        <f>IFERROR(MINIFS(Q_NUM_EXPORT_data,passes_workbook_filters_data,1,passes_workbook_custom_filters_data,1),0)</f>
        <v>1.0</v>
      </c>
      <c r="D36">
        <f>COUNTIFS(Q_NUM_EXPORT_data,"&lt;&gt;",passes_workbook_filters_data,1,passes_workbook_custom_filters_data,1)</f>
        <v>10</v>
      </c>
    </row>
    <row r="37">
      <c r="A37" t="inlineStr">
        <is>
          <t>Max</t>
        </is>
      </c>
      <c r="B37">
        <f>IFERROR(MAXIFS(Q_NUM_EXPORT_data,passes_workbook_filters_data,1,passes_workbook_custom_filters_data,1),0)</f>
        <v>10.0</v>
      </c>
      <c r="D37">
        <f>COUNTIFS(Q_NUM_EXPORT_data,"&lt;&gt;",passes_workbook_filters_data,1,passes_workbook_custom_filters_data,1)</f>
        <v>10</v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COUNTIFS(Q_NUM_EXPORT_data,"&lt;&gt;",passes_workbook_filters_data,1,passes_workbook_custom_filters_data,1)</f>
        <v>10</v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 t="str">
        <f>IF(All_Questions_Q_GRID_EXPORT_F_Q="(None)","respondent_id_data",All_Questions_Q_GRID_EXPORT_F_Q &amp; "_data")</f>
        <v>respondent_id_data</v>
      </c>
      <c r="G43" t="str">
        <f>"|" &amp; SUBSTITUTE(All_Questions_Q_GRID_EXPORT_F_V, ", ", "|") &amp; "|"</f>
        <v>|(All)|</v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>
        <f>IFERROR(INDEX(INDIRECT(All_Questions_Q_GRID_EXPORT_CT &amp; "_options"),2),"")</f>
        <v>0</v>
      </c>
      <c r="H46">
        <f>IFERROR(INDEX(INDIRECT(All_Questions_Q_GRID_EXPORT_CT &amp; "_options"),3),"")</f>
        <v>0</v>
      </c>
      <c r="I46">
        <f>IFERROR(INDEX(INDIRECT(All_Questions_Q_GRID_EXPORT_CT &amp; "_options"),4),"")</f>
        <v>0</v>
      </c>
      <c r="J46">
        <f>IFERROR(INDEX(INDIRECT(All_Questions_Q_GRID_EXPORT_CT &amp; "_options"),5),"")</f>
        <v>0</v>
      </c>
      <c r="K46">
        <f>IFERROR(INDEX(INDIRECT(All_Questions_Q_GRID_EXPORT_CT &amp; "_options"),6),"")</f>
        <v>0</v>
      </c>
      <c r="L46">
        <f>IFERROR(INDEX(INDIRECT(All_Questions_Q_GRID_EXPORT_CT &amp; "_options"),7),"")</f>
        <v>0</v>
      </c>
      <c r="M46">
        <f>IFERROR(INDEX(INDIRECT(All_Questions_Q_GRID_EXPORT_CT &amp; "_options"),8),"")</f>
        <v>0</v>
      </c>
      <c r="N46">
        <f>IFERROR(INDEX(INDIRECT(All_Questions_Q_GRID_EXPORT_CT &amp; "_options"),9),"")</f>
        <v>0</v>
      </c>
      <c r="O46" s="5" t="inlineStr">
        <is>
          <t>TOTAL</t>
        </is>
      </c>
    </row>
    <row r="47">
      <c r="A47" t="inlineStr">
        <is>
          <t>Grid first row</t>
        </is>
      </c>
      <c r="B47">
        <f>COUNTIFS(Q_GRID_EXPORTr1_data,"Selected",passes_workbook_filters_data,1,passes_workbook_custom_filters_data,1)</f>
        <v>10</v>
      </c>
      <c r="C47" s="7">
        <f>IFERROR(B47/SUBTOTAL(9,B47:B48),0)</f>
        <v>0.5</v>
      </c>
      <c r="D47" s="14">
        <f>SUBTOTAL(9,B47:B48)</f>
        <v>20</v>
      </c>
      <c r="F47" t="inlineStr">
        <is>
          <t>Grid first row</t>
        </is>
      </c>
      <c r="G47">
        <f>(All_Questions_Q_GRID_EXPORT_CT&lt;&gt;"(None)")*COUNTIFS(Q_GRID_EXPORTr1_data,"Selected",passes_workbook_filters_data,1,passes_workbook_custom_filters_data,1,INDIRECT(All_Questions_Q_GRID_EXPORT_CT &amp; "_data"),G$46)</f>
        <v>0</v>
      </c>
      <c r="H47">
        <f>(All_Questions_Q_GRID_EXPORT_CT&lt;&gt;"(None)")*COUNTIFS(Q_GRID_EXPORTr1_data,"Selected",passes_workbook_filters_data,1,passes_workbook_custom_filters_data,1,INDIRECT(All_Questions_Q_GRID_EXPORT_CT &amp; "_data"),H$46)</f>
        <v>0</v>
      </c>
      <c r="I47">
        <f>(All_Questions_Q_GRID_EXPORT_CT&lt;&gt;"(None)")*COUNTIFS(Q_GRID_EXPORTr1_data,"Selected",passes_workbook_filters_data,1,passes_workbook_custom_filters_data,1,INDIRECT(All_Questions_Q_GRID_EXPORT_CT &amp; "_data"),I$46)</f>
        <v>0</v>
      </c>
      <c r="J47">
        <f>(All_Questions_Q_GRID_EXPORT_CT&lt;&gt;"(None)")*COUNTIFS(Q_GRID_EXPORTr1_data,"Selected",passes_workbook_filters_data,1,passes_workbook_custom_filters_data,1,INDIRECT(All_Questions_Q_GRID_EXPORT_CT &amp; "_data"),J$46)</f>
        <v>0</v>
      </c>
      <c r="K47">
        <f>(All_Questions_Q_GRID_EXPORT_CT&lt;&gt;"(None)")*COUNTIFS(Q_GRID_EXPORTr1_data,"Selected",passes_workbook_filters_data,1,passes_workbook_custom_filters_data,1,INDIRECT(All_Questions_Q_GRID_EXPORT_CT &amp; "_data"),K$46)</f>
        <v>0</v>
      </c>
      <c r="L47">
        <f>(All_Questions_Q_GRID_EXPORT_CT&lt;&gt;"(None)")*COUNTIFS(Q_GRID_EXPORTr1_data,"Selected",passes_workbook_filters_data,1,passes_workbook_custom_filters_data,1,INDIRECT(All_Questions_Q_GRID_EXPORT_CT &amp; "_data"),L$46)</f>
        <v>0</v>
      </c>
      <c r="M47">
        <f>(All_Questions_Q_GRID_EXPORT_CT&lt;&gt;"(None)")*COUNTIFS(Q_GRID_EXPORTr1_data,"Selected",passes_workbook_filters_data,1,passes_workbook_custom_filters_data,1,INDIRECT(All_Questions_Q_GRID_EXPORT_CT &amp; "_data"),M$46)</f>
        <v>0</v>
      </c>
      <c r="N47">
        <f>(All_Questions_Q_GRID_EXPORT_CT&lt;&gt;"(None)")*COUNTIFS(Q_GRID_EXPORTr1_data,"Selected",passes_workbook_filters_data,1,passes_workbook_custom_filters_data,1,INDIRECT(All_Questions_Q_GRID_EXPORT_CT &amp; "_data"),N$46)</f>
        <v>0</v>
      </c>
      <c r="O47">
        <f>SUM(G47:N47)</f>
        <v>0</v>
      </c>
    </row>
    <row r="48">
      <c r="A48" t="inlineStr">
        <is>
          <t>Grid second row</t>
        </is>
      </c>
      <c r="B48">
        <f>COUNTIFS(Q_GRID_EXPORTr2_data,"Selected",passes_workbook_filters_data,1,passes_workbook_custom_filters_data,1)</f>
        <v>10</v>
      </c>
      <c r="C48" s="7">
        <f>IFERROR(B48/SUBTOTAL(9,B47:B48),0)</f>
        <v>0.5</v>
      </c>
      <c r="D48" s="14">
        <f>SUBTOTAL(9,B47:B48)</f>
        <v>20</v>
      </c>
      <c r="F48" t="inlineStr">
        <is>
          <t>Grid second row</t>
        </is>
      </c>
      <c r="G48">
        <f>(All_Questions_Q_GRID_EXPORT_CT&lt;&gt;"(None)")*COUNTIFS(Q_GRID_EXPORTr2_data,"Selected",passes_workbook_filters_data,1,passes_workbook_custom_filters_data,1,INDIRECT(All_Questions_Q_GRID_EXPORT_CT &amp; "_data"),G$46)</f>
        <v>0</v>
      </c>
      <c r="H48">
        <f>(All_Questions_Q_GRID_EXPORT_CT&lt;&gt;"(None)")*COUNTIFS(Q_GRID_EXPORTr2_data,"Selected",passes_workbook_filters_data,1,passes_workbook_custom_filters_data,1,INDIRECT(All_Questions_Q_GRID_EXPORT_CT &amp; "_data"),H$46)</f>
        <v>0</v>
      </c>
      <c r="I48">
        <f>(All_Questions_Q_GRID_EXPORT_CT&lt;&gt;"(None)")*COUNTIFS(Q_GRID_EXPORTr2_data,"Selected",passes_workbook_filters_data,1,passes_workbook_custom_filters_data,1,INDIRECT(All_Questions_Q_GRID_EXPORT_CT &amp; "_data"),I$46)</f>
        <v>0</v>
      </c>
      <c r="J48">
        <f>(All_Questions_Q_GRID_EXPORT_CT&lt;&gt;"(None)")*COUNTIFS(Q_GRID_EXPORTr2_data,"Selected",passes_workbook_filters_data,1,passes_workbook_custom_filters_data,1,INDIRECT(All_Questions_Q_GRID_EXPORT_CT &amp; "_data"),J$46)</f>
        <v>0</v>
      </c>
      <c r="K48">
        <f>(All_Questions_Q_GRID_EXPORT_CT&lt;&gt;"(None)")*COUNTIFS(Q_GRID_EXPORTr2_data,"Selected",passes_workbook_filters_data,1,passes_workbook_custom_filters_data,1,INDIRECT(All_Questions_Q_GRID_EXPORT_CT &amp; "_data"),K$46)</f>
        <v>0</v>
      </c>
      <c r="L48">
        <f>(All_Questions_Q_GRID_EXPORT_CT&lt;&gt;"(None)")*COUNTIFS(Q_GRID_EXPORTr2_data,"Selected",passes_workbook_filters_data,1,passes_workbook_custom_filters_data,1,INDIRECT(All_Questions_Q_GRID_EXPORT_CT &amp; "_data"),L$46)</f>
        <v>0</v>
      </c>
      <c r="M48">
        <f>(All_Questions_Q_GRID_EXPORT_CT&lt;&gt;"(None)")*COUNTIFS(Q_GRID_EXPORTr2_data,"Selected",passes_workbook_filters_data,1,passes_workbook_custom_filters_data,1,INDIRECT(All_Questions_Q_GRID_EXPORT_CT &amp; "_data"),M$46)</f>
        <v>0</v>
      </c>
      <c r="N48">
        <f>(All_Questions_Q_GRID_EXPORT_CT&lt;&gt;"(None)")*COUNTIFS(Q_GRID_EXPORTr2_data,"Selected",passes_workbook_filters_data,1,passes_workbook_custom_filters_data,1,INDIRECT(All_Questions_Q_GRID_EXPORT_CT &amp; "_data"),N$46)</f>
        <v>0</v>
      </c>
      <c r="O48">
        <f>SUM(G48:N48)</f>
        <v>0</v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IF(All_Questions_Q_VERY_LONG_SINGLE_SELECT_EXPORT_NAME_F_Q="(None)","respondent_id_data",All_Questions_Q_VERY_LONG_SINGLE_SELECT_EXPORT_NAME_F_Q &amp; "_data")</f>
        <v>respondent_id_data</v>
      </c>
      <c r="G52" t="str">
        <f>"|" &amp; SUBSTITUTE(All_Questions_Q_VERY_LONG_SINGLE_SELECT_EXPORT_NAME_F_V,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>
        <f>IFERROR(INDEX(INDIRECT(All_Questions_Q_VERY_LONG_SINGLE_SELECT_EXPORT_NAME_CT &amp; "_options"),2),"")</f>
        <v>0</v>
      </c>
      <c r="H55">
        <f>IFERROR(INDEX(INDIRECT(All_Questions_Q_VERY_LONG_SINGLE_SELECT_EXPORT_NAME_CT &amp; "_options"),3),"")</f>
        <v>0</v>
      </c>
      <c r="I55">
        <f>IFERROR(INDEX(INDIRECT(All_Questions_Q_VERY_LONG_SINGLE_SELECT_EXPORT_NAME_CT &amp; "_options"),4),"")</f>
        <v>0</v>
      </c>
      <c r="J55">
        <f>IFERROR(INDEX(INDIRECT(All_Questions_Q_VERY_LONG_SINGLE_SELECT_EXPORT_NAME_CT &amp; "_options"),5),"")</f>
        <v>0</v>
      </c>
      <c r="K55">
        <f>IFERROR(INDEX(INDIRECT(All_Questions_Q_VERY_LONG_SINGLE_SELECT_EXPORT_NAME_CT &amp; "_options"),6),"")</f>
        <v>0</v>
      </c>
      <c r="L55">
        <f>IFERROR(INDEX(INDIRECT(All_Questions_Q_VERY_LONG_SINGLE_SELECT_EXPORT_NAME_CT &amp; "_options"),7),"")</f>
        <v>0</v>
      </c>
      <c r="M55">
        <f>IFERROR(INDEX(INDIRECT(All_Questions_Q_VERY_LONG_SINGLE_SELECT_EXPORT_NAME_CT &amp; "_options"),8),"")</f>
        <v>0</v>
      </c>
      <c r="N55">
        <f>IFERROR(INDEX(INDIRECT(All_Questions_Q_VERY_LONG_SINGLE_SELECT_EXPORT_NAME_CT &amp; "_options"),9),"")</f>
        <v>0</v>
      </c>
      <c r="O55" s="5" t="inlineStr">
        <is>
          <t>TOTAL</t>
        </is>
      </c>
    </row>
    <row r="56">
      <c r="A56" t="inlineStr">
        <is>
          <t>A</t>
        </is>
      </c>
      <c r="B56">
        <f>COUNTIFS(Q_VERY_LONG_SINGLE_SELECT_EXPOR_data,"A",passes_workbook_filters_data,1,passes_workbook_custom_filters_data,1)</f>
        <v>7</v>
      </c>
      <c r="C56" s="7">
        <f>IFERROR(B56/SUBTOTAL(9,B56:B57),0)</f>
        <v>0.7</v>
      </c>
      <c r="D56" s="14">
        <f>SUBTOTAL(9,B56:B57)</f>
        <v>10</v>
      </c>
      <c r="F56" t="inlineStr">
        <is>
          <t>A</t>
        </is>
      </c>
      <c r="G56">
        <f>(All_Questions_Q_VERY_LONG_SINGLE_SELECT_EXPORT_NAME_CT&lt;&gt;"(None)")*COUNTIFS(Q_VERY_LONG_SINGLE_SELECT_EXPOR_data,"A",passes_workbook_filters_data,1,passes_workbook_custom_filters_data,1,INDIRECT(All_Questions_Q_VERY_LONG_SINGLE_SELECT_EXPORT_NAME_CT &amp; "_data"),G$55)</f>
        <v>0</v>
      </c>
      <c r="H56">
        <f>(All_Questions_Q_VERY_LONG_SINGLE_SELECT_EXPORT_NAME_CT&lt;&gt;"(None)")*COUNTIFS(Q_VERY_LONG_SINGLE_SELECT_EXPOR_data,"A",passes_workbook_filters_data,1,passes_workbook_custom_filters_data,1,INDIRECT(All_Questions_Q_VERY_LONG_SINGLE_SELECT_EXPORT_NAME_CT &amp; "_data"),H$55)</f>
        <v>0</v>
      </c>
      <c r="I56">
        <f>(All_Questions_Q_VERY_LONG_SINGLE_SELECT_EXPORT_NAME_CT&lt;&gt;"(None)")*COUNTIFS(Q_VERY_LONG_SINGLE_SELECT_EXPOR_data,"A",passes_workbook_filters_data,1,passes_workbook_custom_filters_data,1,INDIRECT(All_Questions_Q_VERY_LONG_SINGLE_SELECT_EXPORT_NAME_CT &amp; "_data"),I$55)</f>
        <v>0</v>
      </c>
      <c r="J56">
        <f>(All_Questions_Q_VERY_LONG_SINGLE_SELECT_EXPORT_NAME_CT&lt;&gt;"(None)")*COUNTIFS(Q_VERY_LONG_SINGLE_SELECT_EXPOR_data,"A",passes_workbook_filters_data,1,passes_workbook_custom_filters_data,1,INDIRECT(All_Questions_Q_VERY_LONG_SINGLE_SELECT_EXPORT_NAME_CT &amp; "_data"),J$55)</f>
        <v>0</v>
      </c>
      <c r="K56">
        <f>(All_Questions_Q_VERY_LONG_SINGLE_SELECT_EXPORT_NAME_CT&lt;&gt;"(None)")*COUNTIFS(Q_VERY_LONG_SINGLE_SELECT_EXPOR_data,"A",passes_workbook_filters_data,1,passes_workbook_custom_filters_data,1,INDIRECT(All_Questions_Q_VERY_LONG_SINGLE_SELECT_EXPORT_NAME_CT &amp; "_data"),K$55)</f>
        <v>0</v>
      </c>
      <c r="L56">
        <f>(All_Questions_Q_VERY_LONG_SINGLE_SELECT_EXPORT_NAME_CT&lt;&gt;"(None)")*COUNTIFS(Q_VERY_LONG_SINGLE_SELECT_EXPOR_data,"A",passes_workbook_filters_data,1,passes_workbook_custom_filters_data,1,INDIRECT(All_Questions_Q_VERY_LONG_SINGLE_SELECT_EXPORT_NAME_CT &amp; "_data"),L$55)</f>
        <v>0</v>
      </c>
      <c r="M56">
        <f>(All_Questions_Q_VERY_LONG_SINGLE_SELECT_EXPORT_NAME_CT&lt;&gt;"(None)")*COUNTIFS(Q_VERY_LONG_SINGLE_SELECT_EXPOR_data,"A",passes_workbook_filters_data,1,passes_workbook_custom_filters_data,1,INDIRECT(All_Questions_Q_VERY_LONG_SINGLE_SELECT_EXPORT_NAME_CT &amp; "_data"),M$55)</f>
        <v>0</v>
      </c>
      <c r="N56">
        <f>(All_Questions_Q_VERY_LONG_SINGLE_SELECT_EXPORT_NAME_CT&lt;&gt;"(None)")*COUNTIFS(Q_VERY_LONG_SINGLE_SELECT_EXPOR_data,"A",passes_workbook_filters_data,1,passes_workbook_custom_filters_data,1,INDIRECT(All_Questions_Q_VERY_LONG_SINGLE_SELECT_EXPORT_NAME_CT &amp; "_data"),N$55)</f>
        <v>0</v>
      </c>
      <c r="O56">
        <f>SUM(G56:N56)</f>
        <v>0</v>
      </c>
    </row>
    <row r="57">
      <c r="A57" t="inlineStr">
        <is>
          <t>B</t>
        </is>
      </c>
      <c r="B57">
        <f>COUNTIFS(Q_VERY_LONG_SINGLE_SELECT_EXPOR_data,"B",passes_workbook_filters_data,1,passes_workbook_custom_filters_data,1)</f>
        <v>3</v>
      </c>
      <c r="C57" s="7">
        <f>IFERROR(B57/SUBTOTAL(9,B56:B57),0)</f>
        <v>0.3</v>
      </c>
      <c r="D57" s="14">
        <f>SUBTOTAL(9,B56:B57)</f>
        <v>10</v>
      </c>
      <c r="F57" t="inlineStr">
        <is>
          <t>B</t>
        </is>
      </c>
      <c r="G57">
        <f>(All_Questions_Q_VERY_LONG_SINGLE_SELECT_EXPORT_NAME_CT&lt;&gt;"(None)")*COUNTIFS(Q_VERY_LONG_SINGLE_SELECT_EXPOR_data,"B",passes_workbook_filters_data,1,passes_workbook_custom_filters_data,1,INDIRECT(All_Questions_Q_VERY_LONG_SINGLE_SELECT_EXPORT_NAME_CT &amp; "_data"),G$55)</f>
        <v>0</v>
      </c>
      <c r="H57">
        <f>(All_Questions_Q_VERY_LONG_SINGLE_SELECT_EXPORT_NAME_CT&lt;&gt;"(None)")*COUNTIFS(Q_VERY_LONG_SINGLE_SELECT_EXPOR_data,"B",passes_workbook_filters_data,1,passes_workbook_custom_filters_data,1,INDIRECT(All_Questions_Q_VERY_LONG_SINGLE_SELECT_EXPORT_NAME_CT &amp; "_data"),H$55)</f>
        <v>0</v>
      </c>
      <c r="I57">
        <f>(All_Questions_Q_VERY_LONG_SINGLE_SELECT_EXPORT_NAME_CT&lt;&gt;"(None)")*COUNTIFS(Q_VERY_LONG_SINGLE_SELECT_EXPOR_data,"B",passes_workbook_filters_data,1,passes_workbook_custom_filters_data,1,INDIRECT(All_Questions_Q_VERY_LONG_SINGLE_SELECT_EXPORT_NAME_CT &amp; "_data"),I$55)</f>
        <v>0</v>
      </c>
      <c r="J57">
        <f>(All_Questions_Q_VERY_LONG_SINGLE_SELECT_EXPORT_NAME_CT&lt;&gt;"(None)")*COUNTIFS(Q_VERY_LONG_SINGLE_SELECT_EXPOR_data,"B",passes_workbook_filters_data,1,passes_workbook_custom_filters_data,1,INDIRECT(All_Questions_Q_VERY_LONG_SINGLE_SELECT_EXPORT_NAME_CT &amp; "_data"),J$55)</f>
        <v>0</v>
      </c>
      <c r="K57">
        <f>(All_Questions_Q_VERY_LONG_SINGLE_SELECT_EXPORT_NAME_CT&lt;&gt;"(None)")*COUNTIFS(Q_VERY_LONG_SINGLE_SELECT_EXPOR_data,"B",passes_workbook_filters_data,1,passes_workbook_custom_filters_data,1,INDIRECT(All_Questions_Q_VERY_LONG_SINGLE_SELECT_EXPORT_NAME_CT &amp; "_data"),K$55)</f>
        <v>0</v>
      </c>
      <c r="L57">
        <f>(All_Questions_Q_VERY_LONG_SINGLE_SELECT_EXPORT_NAME_CT&lt;&gt;"(None)")*COUNTIFS(Q_VERY_LONG_SINGLE_SELECT_EXPOR_data,"B",passes_workbook_filters_data,1,passes_workbook_custom_filters_data,1,INDIRECT(All_Questions_Q_VERY_LONG_SINGLE_SELECT_EXPORT_NAME_CT &amp; "_data"),L$55)</f>
        <v>0</v>
      </c>
      <c r="M57">
        <f>(All_Questions_Q_VERY_LONG_SINGLE_SELECT_EXPORT_NAME_CT&lt;&gt;"(None)")*COUNTIFS(Q_VERY_LONG_SINGLE_SELECT_EXPOR_data,"B",passes_workbook_filters_data,1,passes_workbook_custom_filters_data,1,INDIRECT(All_Questions_Q_VERY_LONG_SINGLE_SELECT_EXPORT_NAME_CT &amp; "_data"),M$55)</f>
        <v>0</v>
      </c>
      <c r="N57">
        <f>(All_Questions_Q_VERY_LONG_SINGLE_SELECT_EXPORT_NAME_CT&lt;&gt;"(None)")*COUNTIFS(Q_VERY_LONG_SINGLE_SELECT_EXPOR_data,"B",passes_workbook_filters_data,1,passes_workbook_custom_filters_data,1,INDIRECT(All_Questions_Q_VERY_LONG_SINGLE_SELECT_EXPORT_NAME_CT &amp; "_data"),N$55)</f>
        <v>0</v>
      </c>
      <c r="O57">
        <f>SUM(G57:N57)</f>
        <v>0</v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2026-05-15T05:25:53.767814+00:00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2026-05-15T05:25:53.768440+00:00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2026-05-15T05:25:53.768479+00:00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2026-05-15T05:25:53.769636+00:00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2026-05-15T05:25:53.770466+00:00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2026-05-15T05:25:53.771276+00:00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2026-05-15T05:25:53.771902+00:00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2026-05-15T05:25:53.771919+00:00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2026-05-15T05:25:53.772765+00:00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2026-05-15T05:25:53.773465+00:00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2026-05-15T05:25:53.774038+00:00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2026-05-15T05:25:53.774126+00:00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2026-05-15T05:25:53Z</dcterms:created>
  <dcterms:modified xmlns:dcterms="http://purl.org/dc/terms/" xmlns:xsi="http://www.w3.org/2001/XMLSchema-instance" xsi:type="dcterms:W3CDTF">2026-05-15T05:25:53Z</dcterms:modified>
</cp:coreProperties>
</file>