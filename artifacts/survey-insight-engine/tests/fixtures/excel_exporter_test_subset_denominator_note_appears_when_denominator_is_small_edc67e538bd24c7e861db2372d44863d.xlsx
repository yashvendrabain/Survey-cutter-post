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Questions'!$C$30</definedName>
    <definedName name="All_Questions_Q_MS_EXPORT_F_V">'All Questions'!$E$30</definedName>
    <definedName name="All_Questions_Q_MS_EXPORT_F_resolved_column">'All Questions'!$F$30</definedName>
    <definedName name="All_Questions_Q_MS_EXPORT_F_wrapped">'All Questions'!$G$30</definedName>
    <definedName name="All_Questions_Q_MS_EXPORT_F_resolved_criteria">'All Questions'!$H$30</definedName>
    <definedName name="All_Questions_Q_MS_EXPORT_F_passes_per_q_filter_data">'_RawData'!$O$2:$O$11</definedName>
    <definedName name="All_Questions_Q_MS_EXPORT_CT">'All Questions'!$C$31</definedName>
    <definedName name="All_Questions_Q_NUM_EXPORT_F_Q">'All Questions'!$C$47</definedName>
    <definedName name="All_Questions_Q_NUM_EXPORT_F_V">'All Questions'!$E$47</definedName>
    <definedName name="All_Questions_Q_NUM_EXPORT_F_resolved_column">'All Questions'!$F$47</definedName>
    <definedName name="All_Questions_Q_NUM_EXPORT_F_wrapped">'All Questions'!$G$47</definedName>
    <definedName name="All_Questions_Q_NUM_EXPORT_F_resolved_criteria">'All Questions'!$H$47</definedName>
    <definedName name="All_Questions_Q_NUM_EXPORT_F_passes_per_q_filter_data">'_RawData'!$P$2:$P$11</definedName>
    <definedName name="All_Questions_Q_NUM_EXPORT_CT">'All Questions'!$C$48</definedName>
    <definedName name="All_Questions_Q_GRID_EXPORT_F_Q">'All Questions'!$C$64</definedName>
    <definedName name="All_Questions_Q_GRID_EXPORT_F_V">'All Questions'!$E$64</definedName>
    <definedName name="All_Questions_Q_GRID_EXPORT_F_resolved_column">'All Questions'!$F$64</definedName>
    <definedName name="All_Questions_Q_GRID_EXPORT_F_wrapped">'All Questions'!$G$64</definedName>
    <definedName name="All_Questions_Q_GRID_EXPORT_F_resolved_criteria">'All Questions'!$H$64</definedName>
    <definedName name="All_Questions_Q_GRID_EXPORT_F_passes_per_q_filter_data">'_RawData'!$Q$2:$Q$11</definedName>
    <definedName name="All_Questions_Q_VERY_LONG_SINGLE_SELECT_EXPORT_NAME_F_Q">'All Questions'!$C$75</definedName>
    <definedName name="All_Questions_Q_VERY_LONG_SINGLE_SELECT_EXPORT_NAME_F_V">'All Questions'!$E$75</definedName>
    <definedName name="All_Questions_Q_VERY_LONG_SINGLE_SELECT_EXPORT_NAME_F_resolved_column">'All Questions'!$F$75</definedName>
    <definedName name="All_Questions_Q_VERY_LONG_SINGLE_SELECT_EXPORT_NAME_F_wrapped">'All Questions'!$G$75</definedName>
    <definedName name="All_Questions_Q_VERY_LONG_SINGLE_SELECT_EXPORT_NAME_F_resolved_criteria">'All Questions'!$H$75</definedName>
    <definedName name="All_Questions_Q_VERY_LONG_SINGLE_SELECT_EXPORT_NAME_F_passes_per_q_filter_data">'_RawData'!$R$2:$R$11</definedName>
    <definedName name="All_Questions_Q_VERY_LONG_SINGLE_SELECT_EXPORT_NAME_CT">'All Questions'!$C$76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8" i="7"/>
  <c r="C18" i="7"/>
  <c r="D18" i="7"/>
  <c r="B19" i="7"/>
  <c r="C19" i="7"/>
  <c r="D19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N26" i="7"/>
  <c r="F30" i="7"/>
  <c r="G30" i="7"/>
  <c r="H30" i="7"/>
  <c r="B34" i="7"/>
  <c r="C34" i="7"/>
  <c r="D34" i="7"/>
  <c r="B35" i="7"/>
  <c r="C35" i="7"/>
  <c r="D35" i="7"/>
  <c r="B39" i="7"/>
  <c r="C39" i="7"/>
  <c r="D39" i="7"/>
  <c r="E39" i="7"/>
  <c r="F39" i="7"/>
  <c r="G39" i="7"/>
  <c r="H39" i="7"/>
  <c r="I39" i="7"/>
  <c r="J39" i="7"/>
  <c r="K39" i="7"/>
  <c r="L39" i="7"/>
  <c r="M39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N43" i="7"/>
  <c r="F47" i="7"/>
  <c r="G47" i="7"/>
  <c r="H47" i="7"/>
  <c r="B51" i="7"/>
  <c r="D51" i="7"/>
  <c r="B52" i="7"/>
  <c r="D52" i="7"/>
  <c r="B53" i="7"/>
  <c r="D53" i="7"/>
  <c r="D54" i="7"/>
  <c r="B57" i="7"/>
  <c r="C57" i="7"/>
  <c r="D57" i="7"/>
  <c r="E57" i="7"/>
  <c r="F57" i="7"/>
  <c r="G57" i="7"/>
  <c r="H57" i="7"/>
  <c r="I57" i="7"/>
  <c r="J57" i="7"/>
  <c r="K57" i="7"/>
  <c r="L57" i="7"/>
  <c r="M57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N60" i="7"/>
  <c r="F64" i="7"/>
  <c r="G64" i="7"/>
  <c r="H64" i="7"/>
  <c r="C68" i="7"/>
  <c r="D68" i="7"/>
  <c r="E68" i="7"/>
  <c r="F68" i="7"/>
  <c r="C69" i="7"/>
  <c r="D69" i="7"/>
  <c r="E69" i="7"/>
  <c r="F69" i="7"/>
  <c r="F75" i="7"/>
  <c r="G75" i="7"/>
  <c r="H75" i="7"/>
  <c r="B79" i="7"/>
  <c r="C79" i="7"/>
  <c r="D79" i="7"/>
  <c r="B80" i="7"/>
  <c r="C80" i="7"/>
  <c r="D80" i="7"/>
  <c r="B83" i="7"/>
  <c r="C83" i="7"/>
  <c r="D83" i="7"/>
  <c r="E83" i="7"/>
  <c r="F83" i="7"/>
  <c r="G83" i="7"/>
  <c r="H83" i="7"/>
  <c r="I83" i="7"/>
  <c r="J83" i="7"/>
  <c r="K83" i="7"/>
  <c r="L83" i="7"/>
  <c r="M83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B86" i="7"/>
  <c r="C86" i="7"/>
  <c r="D86" i="7"/>
  <c r="E86" i="7"/>
  <c r="F86" i="7"/>
  <c r="G86" i="7"/>
  <c r="H86" i="7"/>
  <c r="I86" i="7"/>
  <c r="J86" i="7"/>
  <c r="K86" i="7"/>
  <c r="L86" i="7"/>
  <c r="M86" i="7"/>
  <c r="N86" i="7"/>
  <c r="N8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3_1" displayName="T_All_Questions_33_1" ref="A33:D37" headerRowCount="1">
  <autoFilter ref="A33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50_1" displayName="T_All_Questions_50_1" ref="A50:D55" headerRowCount="1">
  <autoFilter ref="A50:D55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8_1" displayName="T_All_Questions_78_1" ref="A78:D81" headerRowCount="1">
  <autoFilter ref="A78:D8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1"/>
    <row r="22">
      <c r="A22" s="4" t="inlineStr">
        <is>
          <t>Option</t>
        </is>
      </c>
      <c r="B22" s="2" t="str">
        <f>IF(All_Questions_Q_SS_EXPORT_CT="(None)","",IFERROR(INDEX(INDIRECT(IFERROR(INDEX(Cross_Tab_Questions_Options_Names,MATCH(All_Questions_Q_SS_EXPORT_CT,Cross_Tab_Questions,0)),"'_Options'!$E$2:$E$2")),2),""))</f>
        <v/>
      </c>
      <c r="C22" s="2" t="str">
        <f>IF(All_Questions_Q_SS_EXPORT_CT="(None)","",IFERROR(INDEX(INDIRECT(IFERROR(INDEX(Cross_Tab_Questions_Options_Names,MATCH(All_Questions_Q_SS_EXPORT_CT,Cross_Tab_Questions,0)),"'_Options'!$E$2:$E$2")),3),""))</f>
        <v/>
      </c>
      <c r="D22" s="2" t="str">
        <f>IF(All_Questions_Q_SS_EXPORT_CT="(None)","",IFERROR(INDEX(INDIRECT(IFERROR(INDEX(Cross_Tab_Questions_Options_Names,MATCH(All_Questions_Q_SS_EXPORT_CT,Cross_Tab_Questions,0)),"'_Options'!$E$2:$E$2")),4),""))</f>
        <v/>
      </c>
      <c r="E22" s="2" t="str">
        <f>IF(All_Questions_Q_SS_EXPORT_CT="(None)","",IFERROR(INDEX(INDIRECT(IFERROR(INDEX(Cross_Tab_Questions_Options_Names,MATCH(All_Questions_Q_SS_EXPORT_CT,Cross_Tab_Questions,0)),"'_Options'!$E$2:$E$2")),5),""))</f>
        <v/>
      </c>
      <c r="F22" s="2" t="str">
        <f>IF(All_Questions_Q_SS_EXPORT_CT="(None)","",IFERROR(INDEX(INDIRECT(IFERROR(INDEX(Cross_Tab_Questions_Options_Names,MATCH(All_Questions_Q_SS_EXPORT_CT,Cross_Tab_Questions,0)),"'_Options'!$E$2:$E$2")),6),""))</f>
        <v/>
      </c>
      <c r="G22" s="2" t="str">
        <f>IF(All_Questions_Q_SS_EXPORT_CT="(None)","",IFERROR(INDEX(INDIRECT(IFERROR(INDEX(Cross_Tab_Questions_Options_Names,MATCH(All_Questions_Q_SS_EXPORT_CT,Cross_Tab_Questions,0)),"'_Options'!$E$2:$E$2")),7),""))</f>
        <v/>
      </c>
      <c r="H22" s="2" t="str">
        <f>IF(All_Questions_Q_SS_EXPORT_CT="(None)","",IFERROR(INDEX(INDIRECT(IFERROR(INDEX(Cross_Tab_Questions_Options_Names,MATCH(All_Questions_Q_SS_EXPORT_CT,Cross_Tab_Questions,0)),"'_Options'!$E$2:$E$2")),8),""))</f>
        <v/>
      </c>
      <c r="I22" s="2" t="str">
        <f>IF(All_Questions_Q_SS_EXPORT_CT="(None)","",IFERROR(INDEX(INDIRECT(IFERROR(INDEX(Cross_Tab_Questions_Options_Names,MATCH(All_Questions_Q_SS_EXPORT_CT,Cross_Tab_Questions,0)),"'_Options'!$E$2:$E$2")),9),""))</f>
        <v/>
      </c>
      <c r="J22" s="2" t="str">
        <f>IF(All_Questions_Q_SS_EXPORT_CT="(None)","",IFERROR(INDEX(INDIRECT(IFERROR(INDEX(Cross_Tab_Questions_Options_Names,MATCH(All_Questions_Q_SS_EXPORT_CT,Cross_Tab_Questions,0)),"'_Options'!$E$2:$E$2")),10),""))</f>
        <v/>
      </c>
      <c r="K22" s="2" t="str">
        <f>IF(All_Questions_Q_SS_EXPORT_CT="(None)","",IFERROR(INDEX(INDIRECT(IFERROR(INDEX(Cross_Tab_Questions_Options_Names,MATCH(All_Questions_Q_SS_EXPORT_CT,Cross_Tab_Questions,0)),"'_Options'!$E$2:$E$2")),11),""))</f>
        <v/>
      </c>
      <c r="L22" s="2" t="str">
        <f>IF(All_Questions_Q_SS_EXPORT_CT="(None)","",IFERROR(INDEX(INDIRECT(IFERROR(INDEX(Cross_Tab_Questions_Options_Names,MATCH(All_Questions_Q_SS_EXPORT_CT,Cross_Tab_Questions,0)),"'_Options'!$E$2:$E$2")),12),""))</f>
        <v/>
      </c>
      <c r="M22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# of resp</t>
        </is>
      </c>
      <c r="C23" s="4" t="inlineStr">
        <is>
          <t># of resp</t>
        </is>
      </c>
      <c r="D23" s="4" t="inlineStr">
        <is>
          <t># of resp</t>
        </is>
      </c>
      <c r="E23" s="4" t="inlineStr">
        <is>
          <t># of resp</t>
        </is>
      </c>
      <c r="F23" s="4" t="inlineStr">
        <is>
          <t># of resp</t>
        </is>
      </c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</row>
    <row r="24">
      <c r="A24" t="inlineStr">
        <is>
          <t>Yes</t>
        </is>
      </c>
      <c r="B24" s="15">
        <f>IF(OR(All_Questions_Q_SS_EXPORT_CT="(None)",B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$22))</f>
        <v>0</v>
      </c>
      <c r="C24" s="15">
        <f>IF(OR(All_Questions_Q_SS_EXPORT_CT="(None)",C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$22))</f>
        <v>0</v>
      </c>
      <c r="D24" s="15">
        <f>IF(OR(All_Questions_Q_SS_EXPORT_CT="(None)",D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$22))</f>
        <v>0</v>
      </c>
      <c r="E24" s="15">
        <f>IF(OR(All_Questions_Q_SS_EXPORT_CT="(None)",E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$22))</f>
        <v>0</v>
      </c>
      <c r="F24" s="15">
        <f>IF(OR(All_Questions_Q_SS_EXPORT_CT="(None)",F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$22))</f>
        <v>0</v>
      </c>
      <c r="G24" s="15">
        <f>IF(OR(All_Questions_Q_SS_EXPORT_CT="(None)",G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$22))</f>
        <v>0</v>
      </c>
      <c r="H24" s="15">
        <f>IF(OR(All_Questions_Q_SS_EXPORT_CT="(None)",H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$22))</f>
        <v>0</v>
      </c>
      <c r="I24" s="15">
        <f>IF(OR(All_Questions_Q_SS_EXPORT_CT="(None)",I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$22))</f>
        <v>0</v>
      </c>
      <c r="J24" s="15">
        <f>IF(OR(All_Questions_Q_SS_EXPORT_CT="(None)",J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$22))</f>
        <v>0</v>
      </c>
      <c r="K24" s="15">
        <f>IF(OR(All_Questions_Q_SS_EXPORT_CT="(None)",K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$22))</f>
        <v>0</v>
      </c>
      <c r="L24" s="15">
        <f>IF(OR(All_Questions_Q_SS_EXPORT_CT="(None)",L$22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$22))</f>
        <v>0</v>
      </c>
      <c r="M24" s="15">
        <f>IF(OR(All_Questions_Q_SS_EXPORT_CT="(None)",M$22=""),"",IF(M$22="Other",COUNTIFS(Q_SS_EXPORT_data,"Yes",passes_workbook_filters_data,1,passes_workbook_custom_filters_data,1,All_Questions_passes_local_filters_data,1,All_Questions_Q_SS_EXPORT_F_passes_per_q_filter_data,1)-SUM(B24,C24,D24,E24,F24,G24,H24,I24,J24,K24,L24)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$22)))</f>
        <v>0</v>
      </c>
      <c r="N24" s="15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5">
      <c r="A25" t="inlineStr">
        <is>
          <t>No</t>
        </is>
      </c>
      <c r="B25" s="15">
        <f>IF(OR(All_Questions_Q_SS_EXPORT_CT="(None)",B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$22))</f>
        <v>0</v>
      </c>
      <c r="C25" s="15">
        <f>IF(OR(All_Questions_Q_SS_EXPORT_CT="(None)",C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$22))</f>
        <v>0</v>
      </c>
      <c r="D25" s="15">
        <f>IF(OR(All_Questions_Q_SS_EXPORT_CT="(None)",D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$22))</f>
        <v>0</v>
      </c>
      <c r="E25" s="15">
        <f>IF(OR(All_Questions_Q_SS_EXPORT_CT="(None)",E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$22))</f>
        <v>0</v>
      </c>
      <c r="F25" s="15">
        <f>IF(OR(All_Questions_Q_SS_EXPORT_CT="(None)",F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$22))</f>
        <v>0</v>
      </c>
      <c r="G25" s="15">
        <f>IF(OR(All_Questions_Q_SS_EXPORT_CT="(None)",G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$22))</f>
        <v>0</v>
      </c>
      <c r="H25" s="15">
        <f>IF(OR(All_Questions_Q_SS_EXPORT_CT="(None)",H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$22))</f>
        <v>0</v>
      </c>
      <c r="I25" s="15">
        <f>IF(OR(All_Questions_Q_SS_EXPORT_CT="(None)",I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$22))</f>
        <v>0</v>
      </c>
      <c r="J25" s="15">
        <f>IF(OR(All_Questions_Q_SS_EXPORT_CT="(None)",J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$22))</f>
        <v>0</v>
      </c>
      <c r="K25" s="15">
        <f>IF(OR(All_Questions_Q_SS_EXPORT_CT="(None)",K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$22))</f>
        <v>0</v>
      </c>
      <c r="L25" s="15">
        <f>IF(OR(All_Questions_Q_SS_EXPORT_CT="(None)",L$22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$22))</f>
        <v>0</v>
      </c>
      <c r="M25" s="15">
        <f>IF(OR(All_Questions_Q_SS_EXPORT_CT="(None)",M$22=""),"",IF(M$22="Other",COUNTIFS(Q_SS_EXPORT_data,"No",passes_workbook_filters_data,1,passes_workbook_custom_filters_data,1,All_Questions_passes_local_filters_data,1,All_Questions_Q_SS_EXPORT_F_passes_per_q_filter_data,1)-SUM(B25,C25,D25,E25,F25,G25,H25,I25,J25,K25,L25)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$22)))</f>
        <v>0</v>
      </c>
      <c r="N25" s="15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7"/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2" t="inlineStr">
        <is>
          <t>Q_MS_EXPORT - Multi select export question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>
      <c r="A30" s="13" t="inlineStr">
        <is>
          <t>Per-question filter</t>
        </is>
      </c>
      <c r="B30" t="inlineStr">
        <is>
          <t>Filter Q</t>
        </is>
      </c>
      <c r="C30" t="inlineStr">
        <is>
          <t>(None)</t>
        </is>
      </c>
      <c r="D30" t="inlineStr">
        <is>
          <t>Value</t>
        </is>
      </c>
      <c r="E30" t="inlineStr">
        <is>
          <t>(All)</t>
        </is>
      </c>
      <c r="F30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30" t="str">
        <f>"|" &amp; SUBSTITUTE(All_Questions_Q_MS_EXPORT_F_V, ", ", "|") &amp; "|"</f>
        <v>|(All)|</v>
      </c>
      <c r="H30" t="str">
        <f>IFERROR(INDEX(All_Questions_Value_Criteria,MATCH(All_Questions_Q_MS_EXPORT_F_Q&amp;"|"&amp;All_Questions_Q_MS_EXPORT_F_V,All_Questions_Value_Keys,0)),All_Questions_Q_MS_EXPORT_F_V)</f>
        <v>(All)</v>
      </c>
    </row>
    <row r="31">
      <c r="A31" s="13" t="inlineStr">
        <is>
          <t>Cross-tab by</t>
        </is>
      </c>
      <c r="C31" t="inlineStr">
        <is>
          <t>(None)</t>
        </is>
      </c>
    </row>
    <row r="32"/>
    <row r="33">
      <c r="A33" s="4" t="inlineStr">
        <is>
          <t>Option</t>
        </is>
      </c>
      <c r="B33" s="4" t="inlineStr">
        <is>
          <t>Count</t>
        </is>
      </c>
      <c r="C33" s="4" t="inlineStr">
        <is>
          <t>%</t>
        </is>
      </c>
      <c r="D33" s="4" t="inlineStr">
        <is>
          <t>Denominator</t>
        </is>
      </c>
    </row>
    <row r="34">
      <c r="A34" t="inlineStr">
        <is>
          <t>First</t>
        </is>
      </c>
      <c r="B34">
        <f>COUNTIFS(Q_MS_EXPORTr1_data,"Selected",passes_workbook_filters_data,1,passes_workbook_custom_filters_data,1,All_Questions_passes_local_filters_data,1,All_Questions_Q_MS_EXPORT_F_passes_per_q_filter_data,1)</f>
        <v>5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4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t="inlineStr">
        <is>
          <t>Second</t>
        </is>
      </c>
      <c r="B35">
        <f>COUNTIFS(Q_MS_EXPORTr2_data,"Selected",passes_workbook_filters_data,1,passes_workbook_custom_filters_data,1,All_Questions_passes_local_filters_data,1,All_Questions_Q_MS_EXPORT_F_passes_per_q_filter_data,1)</f>
        <v>2</v>
      </c>
      <c r="C35" s="7">
        <f>IFERROR(B35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5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6">
      <c r="A36" s="16" t="inlineStr">
        <is>
          <t>Total respondents</t>
        </is>
      </c>
      <c r="B36" s="16" t="n">
        <v>10</v>
      </c>
      <c r="C36" s="16" t="n"/>
      <c r="D36" s="16" t="n"/>
    </row>
    <row r="37">
      <c r="A37" s="4" t="inlineStr">
        <is>
          <t>Total responses</t>
        </is>
      </c>
      <c r="B37" s="4" t="n">
        <v>7</v>
      </c>
      <c r="C37" s="4" t="n"/>
      <c r="D37" s="4" t="n"/>
    </row>
    <row r="38"/>
    <row r="39">
      <c r="A39" s="4" t="inlineStr">
        <is>
          <t>Option</t>
        </is>
      </c>
      <c r="B39" s="2" t="str">
        <f>IF(All_Questions_Q_MS_EXPORT_CT="(None)","",IFERROR(INDEX(INDIRECT(IFERROR(INDEX(Cross_Tab_Questions_Options_Names,MATCH(All_Questions_Q_MS_EXPORT_CT,Cross_Tab_Questions,0)),"'_Options'!$E$2:$E$2")),2),""))</f>
        <v/>
      </c>
      <c r="C39" s="2" t="str">
        <f>IF(All_Questions_Q_MS_EXPORT_CT="(None)","",IFERROR(INDEX(INDIRECT(IFERROR(INDEX(Cross_Tab_Questions_Options_Names,MATCH(All_Questions_Q_MS_EXPORT_CT,Cross_Tab_Questions,0)),"'_Options'!$E$2:$E$2")),3),""))</f>
        <v/>
      </c>
      <c r="D39" s="2" t="str">
        <f>IF(All_Questions_Q_MS_EXPORT_CT="(None)","",IFERROR(INDEX(INDIRECT(IFERROR(INDEX(Cross_Tab_Questions_Options_Names,MATCH(All_Questions_Q_MS_EXPORT_CT,Cross_Tab_Questions,0)),"'_Options'!$E$2:$E$2")),4),""))</f>
        <v/>
      </c>
      <c r="E39" s="2" t="str">
        <f>IF(All_Questions_Q_MS_EXPORT_CT="(None)","",IFERROR(INDEX(INDIRECT(IFERROR(INDEX(Cross_Tab_Questions_Options_Names,MATCH(All_Questions_Q_MS_EXPORT_CT,Cross_Tab_Questions,0)),"'_Options'!$E$2:$E$2")),5),""))</f>
        <v/>
      </c>
      <c r="F39" s="2" t="str">
        <f>IF(All_Questions_Q_MS_EXPORT_CT="(None)","",IFERROR(INDEX(INDIRECT(IFERROR(INDEX(Cross_Tab_Questions_Options_Names,MATCH(All_Questions_Q_MS_EXPORT_CT,Cross_Tab_Questions,0)),"'_Options'!$E$2:$E$2")),6),""))</f>
        <v/>
      </c>
      <c r="G39" s="2" t="str">
        <f>IF(All_Questions_Q_MS_EXPORT_CT="(None)","",IFERROR(INDEX(INDIRECT(IFERROR(INDEX(Cross_Tab_Questions_Options_Names,MATCH(All_Questions_Q_MS_EXPORT_CT,Cross_Tab_Questions,0)),"'_Options'!$E$2:$E$2")),7),""))</f>
        <v/>
      </c>
      <c r="H39" s="2" t="str">
        <f>IF(All_Questions_Q_MS_EXPORT_CT="(None)","",IFERROR(INDEX(INDIRECT(IFERROR(INDEX(Cross_Tab_Questions_Options_Names,MATCH(All_Questions_Q_MS_EXPORT_CT,Cross_Tab_Questions,0)),"'_Options'!$E$2:$E$2")),8),""))</f>
        <v/>
      </c>
      <c r="I39" s="2" t="str">
        <f>IF(All_Questions_Q_MS_EXPORT_CT="(None)","",IFERROR(INDEX(INDIRECT(IFERROR(INDEX(Cross_Tab_Questions_Options_Names,MATCH(All_Questions_Q_MS_EXPORT_CT,Cross_Tab_Questions,0)),"'_Options'!$E$2:$E$2")),9),""))</f>
        <v/>
      </c>
      <c r="J39" s="2" t="str">
        <f>IF(All_Questions_Q_MS_EXPORT_CT="(None)","",IFERROR(INDEX(INDIRECT(IFERROR(INDEX(Cross_Tab_Questions_Options_Names,MATCH(All_Questions_Q_MS_EXPORT_CT,Cross_Tab_Questions,0)),"'_Options'!$E$2:$E$2")),10),""))</f>
        <v/>
      </c>
      <c r="K39" s="2" t="str">
        <f>IF(All_Questions_Q_MS_EXPORT_CT="(None)","",IFERROR(INDEX(INDIRECT(IFERROR(INDEX(Cross_Tab_Questions_Options_Names,MATCH(All_Questions_Q_MS_EXPORT_CT,Cross_Tab_Questions,0)),"'_Options'!$E$2:$E$2")),11),""))</f>
        <v/>
      </c>
      <c r="L39" s="2" t="str">
        <f>IF(All_Questions_Q_MS_EXPORT_CT="(None)","",IFERROR(INDEX(INDIRECT(IFERROR(INDEX(Cross_Tab_Questions_Options_Names,MATCH(All_Questions_Q_MS_EXPORT_CT,Cross_Tab_Questions,0)),"'_Options'!$E$2:$E$2")),12),""))</f>
        <v/>
      </c>
      <c r="M39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9" s="4" t="inlineStr">
        <is>
          <t>Total</t>
        </is>
      </c>
    </row>
    <row r="40">
      <c r="A40" s="4" t="inlineStr"/>
      <c r="B40" s="4" t="inlineStr">
        <is>
          <t>% selected</t>
        </is>
      </c>
      <c r="C40" s="4" t="inlineStr">
        <is>
          <t>% selected</t>
        </is>
      </c>
      <c r="D40" s="4" t="inlineStr">
        <is>
          <t>% selected</t>
        </is>
      </c>
      <c r="E40" s="4" t="inlineStr">
        <is>
          <t>% selected</t>
        </is>
      </c>
      <c r="F40" s="4" t="inlineStr">
        <is>
          <t>% selected</t>
        </is>
      </c>
      <c r="G40" s="4" t="inlineStr">
        <is>
          <t>% selected</t>
        </is>
      </c>
      <c r="H40" s="4" t="inlineStr">
        <is>
          <t>% selected</t>
        </is>
      </c>
      <c r="I40" s="4" t="inlineStr">
        <is>
          <t>% selected</t>
        </is>
      </c>
      <c r="J40" s="4" t="inlineStr">
        <is>
          <t>% selected</t>
        </is>
      </c>
      <c r="K40" s="4" t="inlineStr">
        <is>
          <t>% selected</t>
        </is>
      </c>
      <c r="L40" s="4" t="inlineStr">
        <is>
          <t>% selected</t>
        </is>
      </c>
      <c r="M40" s="4" t="inlineStr">
        <is>
          <t>% selected</t>
        </is>
      </c>
      <c r="N40" s="4" t="inlineStr">
        <is>
          <t>% selected</t>
        </is>
      </c>
    </row>
    <row r="41">
      <c r="A41" t="inlineStr">
        <is>
          <t>First</t>
        </is>
      </c>
      <c r="B41" s="7">
        <f>IF(OR(All_Questions_Q_MS_EXPORT_CT="(None)",B$39=""),"",IF(B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$39)),"")))</f>
        <v>0.5</v>
      </c>
      <c r="C41" s="7">
        <f>IF(OR(All_Questions_Q_MS_EXPORT_CT="(None)",C$39=""),"",IF(C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$39)),"")))</f>
        <v>0.5</v>
      </c>
      <c r="D41" s="7">
        <f>IF(OR(All_Questions_Q_MS_EXPORT_CT="(None)",D$39=""),"",IF(D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$39)),"")))</f>
        <v>0.5</v>
      </c>
      <c r="E41" s="7">
        <f>IF(OR(All_Questions_Q_MS_EXPORT_CT="(None)",E$39=""),"",IF(E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$39)),"")))</f>
        <v>0.5</v>
      </c>
      <c r="F41" s="7">
        <f>IF(OR(All_Questions_Q_MS_EXPORT_CT="(None)",F$39=""),"",IF(F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$39)),"")))</f>
        <v>0.5</v>
      </c>
      <c r="G41" s="7">
        <f>IF(OR(All_Questions_Q_MS_EXPORT_CT="(None)",G$39=""),"",IF(G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$39)),"")))</f>
        <v>0.5</v>
      </c>
      <c r="H41" s="7">
        <f>IF(OR(All_Questions_Q_MS_EXPORT_CT="(None)",H$39=""),"",IF(H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$39)),"")))</f>
        <v>0.5</v>
      </c>
      <c r="I41" s="7">
        <f>IF(OR(All_Questions_Q_MS_EXPORT_CT="(None)",I$39=""),"",IF(I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$39)),"")))</f>
        <v>0.5</v>
      </c>
      <c r="J41" s="7">
        <f>IF(OR(All_Questions_Q_MS_EXPORT_CT="(None)",J$39=""),"",IF(J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$39)),"")))</f>
        <v>0.5</v>
      </c>
      <c r="K41" s="7">
        <f>IF(OR(All_Questions_Q_MS_EXPORT_CT="(None)",K$39=""),"",IF(K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$39)),"")))</f>
        <v>0.5</v>
      </c>
      <c r="L41" s="7">
        <f>IF(OR(All_Questions_Q_MS_EXPORT_CT="(None)",L$39=""),"",IF(L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$39)),"")))</f>
        <v>0.5</v>
      </c>
      <c r="M41" s="7">
        <f>IF(OR(All_Questions_Q_MS_EXPORT_CT="(None)",M$39=""),"",IF(M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$39)),"")))</f>
        <v>0.5</v>
      </c>
      <c r="N41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2">
      <c r="A42" t="inlineStr">
        <is>
          <t>Second</t>
        </is>
      </c>
      <c r="B42" s="7">
        <f>IF(OR(All_Questions_Q_MS_EXPORT_CT="(None)",B$39=""),"",IF(B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$39)),"")))</f>
        <v>0.2</v>
      </c>
      <c r="C42" s="7">
        <f>IF(OR(All_Questions_Q_MS_EXPORT_CT="(None)",C$39=""),"",IF(C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$39)),"")))</f>
        <v>0.2</v>
      </c>
      <c r="D42" s="7">
        <f>IF(OR(All_Questions_Q_MS_EXPORT_CT="(None)",D$39=""),"",IF(D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$39)),"")))</f>
        <v>0.2</v>
      </c>
      <c r="E42" s="7">
        <f>IF(OR(All_Questions_Q_MS_EXPORT_CT="(None)",E$39=""),"",IF(E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$39)),"")))</f>
        <v>0.2</v>
      </c>
      <c r="F42" s="7">
        <f>IF(OR(All_Questions_Q_MS_EXPORT_CT="(None)",F$39=""),"",IF(F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$39)),"")))</f>
        <v>0.2</v>
      </c>
      <c r="G42" s="7">
        <f>IF(OR(All_Questions_Q_MS_EXPORT_CT="(None)",G$39=""),"",IF(G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$39)),"")))</f>
        <v>0.2</v>
      </c>
      <c r="H42" s="7">
        <f>IF(OR(All_Questions_Q_MS_EXPORT_CT="(None)",H$39=""),"",IF(H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$39)),"")))</f>
        <v>0.2</v>
      </c>
      <c r="I42" s="7">
        <f>IF(OR(All_Questions_Q_MS_EXPORT_CT="(None)",I$39=""),"",IF(I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$39)),"")))</f>
        <v>0.2</v>
      </c>
      <c r="J42" s="7">
        <f>IF(OR(All_Questions_Q_MS_EXPORT_CT="(None)",J$39=""),"",IF(J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$39)),"")))</f>
        <v>0.2</v>
      </c>
      <c r="K42" s="7">
        <f>IF(OR(All_Questions_Q_MS_EXPORT_CT="(None)",K$39=""),"",IF(K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$39)),"")))</f>
        <v>0.2</v>
      </c>
      <c r="L42" s="7">
        <f>IF(OR(All_Questions_Q_MS_EXPORT_CT="(None)",L$39=""),"",IF(L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$39)),"")))</f>
        <v>0.2</v>
      </c>
      <c r="M42" s="7">
        <f>IF(OR(All_Questions_Q_MS_EXPORT_CT="(None)",M$39=""),"",IF(M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$39)),"")))</f>
        <v>0.2</v>
      </c>
      <c r="N42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3">
      <c r="A43" s="4" t="inlineStr">
        <is>
          <t>Total respondents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Q_NUM_EXPORT - Numeric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7" t="str">
        <f>"|" &amp; SUBSTITUTE(All_Questions_Q_NUM_EXPORT_F_V, ", ", "|") &amp; "|"</f>
        <v>|(All)|</v>
      </c>
      <c r="H47" t="str">
        <f>IFERROR(INDEX(All_Questions_Value_Criteria,MATCH(All_Questions_Q_NUM_EXPORT_F_Q&amp;"|"&amp;All_Questions_Q_NUM_EXPORT_F_V,All_Questions_Value_Keys,0)),All_Questions_Q_NUM_EXPORT_F_V)</f>
        <v>(All)</v>
      </c>
    </row>
    <row r="48">
      <c r="A48" s="13" t="inlineStr">
        <is>
          <t>Cross-tab by</t>
        </is>
      </c>
      <c r="C48" t="inlineStr">
        <is>
          <t>(None)</t>
        </is>
      </c>
    </row>
    <row r="49"/>
    <row r="50">
      <c r="A50" s="4" t="inlineStr">
        <is>
          <t>Metric</t>
        </is>
      </c>
      <c r="B50" s="4" t="inlineStr">
        <is>
          <t>Value</t>
        </is>
      </c>
      <c r="C50" s="4" t="inlineStr">
        <is>
          <t>Note</t>
        </is>
      </c>
      <c r="D50" s="4" t="inlineStr">
        <is>
          <t>Denominator</t>
        </is>
      </c>
    </row>
    <row r="51">
      <c r="A51" t="inlineStr">
        <is>
          <t>Mean</t>
        </is>
      </c>
      <c r="B51" s="17">
        <f>IFERROR(AVERAGEIFS(Q_NUM_EXPORT_data,passes_workbook_filters_data,1,passes_workbook_custom_filters_data,1,All_Questions_passes_local_filters_data,1,All_Questions_Q_NUM_EXPORT_F_passes_per_q_filter_data,1),0)</f>
        <v>5.5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Min</t>
        </is>
      </c>
      <c r="B52" s="17">
        <f>IFERROR(MINIFS(Q_NUM_EXPORT_data,passes_workbook_filters_data,1,passes_workbook_custom_filters_data,1,All_Questions_passes_local_filters_data,1,All_Questions_Q_NUM_EXPORT_F_passes_per_q_filter_data,1),0)</f>
        <v>1.0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Max</t>
        </is>
      </c>
      <c r="B53" s="17">
        <f>IFERROR(MAXIFS(Q_NUM_EXPORT_data,passes_workbook_filters_data,1,passes_workbook_custom_filters_data,1,All_Questions_passes_local_filters_data,1,All_Questions_Q_NUM_EXPORT_F_passes_per_q_filter_data,1),0)</f>
        <v>10.0</v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Std</t>
        </is>
      </c>
      <c r="B54" s="17" t="n">
        <v>2.9</v>
      </c>
      <c r="C54" t="inlineStr">
        <is>
          <t>static baseline</t>
        </is>
      </c>
      <c r="D54">
        <f>COUNTIFS(Q_NUM_EXPORT_data,"&lt;&gt;",passes_workbook_filters_data,1,passes_workbook_custom_filters_data,1,All_Questions_passes_local_filters_data,1,All_Questions_Q_NUM_EXPORT_F_passes_per_q_filter_data,1)</f>
        <v>10</v>
      </c>
    </row>
    <row r="55">
      <c r="A55" t="inlineStr">
        <is>
          <t>Median</t>
        </is>
      </c>
      <c r="B55" s="17" t="n">
        <v>5.5</v>
      </c>
      <c r="C55" t="inlineStr">
        <is>
          <t>static baseline</t>
        </is>
      </c>
      <c r="D55" s="15" t="n">
        <v>10</v>
      </c>
    </row>
    <row r="56"/>
    <row r="57">
      <c r="A57" s="4" t="inlineStr">
        <is>
          <t>Option</t>
        </is>
      </c>
      <c r="B57" s="2" t="str">
        <f>IF(All_Questions_Q_NUM_EXPORT_CT="(None)","",IFERROR(INDEX(INDIRECT(IFERROR(INDEX(Cross_Tab_Questions_Options_Names,MATCH(All_Questions_Q_NUM_EXPORT_CT,Cross_Tab_Questions,0)),"'_Options'!$E$2:$E$2")),2),""))</f>
        <v/>
      </c>
      <c r="C57" s="2" t="str">
        <f>IF(All_Questions_Q_NUM_EXPORT_CT="(None)","",IFERROR(INDEX(INDIRECT(IFERROR(INDEX(Cross_Tab_Questions_Options_Names,MATCH(All_Questions_Q_NUM_EXPORT_CT,Cross_Tab_Questions,0)),"'_Options'!$E$2:$E$2")),3),""))</f>
        <v/>
      </c>
      <c r="D57" s="2" t="str">
        <f>IF(All_Questions_Q_NUM_EXPORT_CT="(None)","",IFERROR(INDEX(INDIRECT(IFERROR(INDEX(Cross_Tab_Questions_Options_Names,MATCH(All_Questions_Q_NUM_EXPORT_CT,Cross_Tab_Questions,0)),"'_Options'!$E$2:$E$2")),4),""))</f>
        <v/>
      </c>
      <c r="E57" s="2" t="str">
        <f>IF(All_Questions_Q_NUM_EXPORT_CT="(None)","",IFERROR(INDEX(INDIRECT(IFERROR(INDEX(Cross_Tab_Questions_Options_Names,MATCH(All_Questions_Q_NUM_EXPORT_CT,Cross_Tab_Questions,0)),"'_Options'!$E$2:$E$2")),5),""))</f>
        <v/>
      </c>
      <c r="F57" s="2" t="str">
        <f>IF(All_Questions_Q_NUM_EXPORT_CT="(None)","",IFERROR(INDEX(INDIRECT(IFERROR(INDEX(Cross_Tab_Questions_Options_Names,MATCH(All_Questions_Q_NUM_EXPORT_CT,Cross_Tab_Questions,0)),"'_Options'!$E$2:$E$2")),6),""))</f>
        <v/>
      </c>
      <c r="G57" s="2" t="str">
        <f>IF(All_Questions_Q_NUM_EXPORT_CT="(None)","",IFERROR(INDEX(INDIRECT(IFERROR(INDEX(Cross_Tab_Questions_Options_Names,MATCH(All_Questions_Q_NUM_EXPORT_CT,Cross_Tab_Questions,0)),"'_Options'!$E$2:$E$2")),7),""))</f>
        <v/>
      </c>
      <c r="H57" s="2" t="str">
        <f>IF(All_Questions_Q_NUM_EXPORT_CT="(None)","",IFERROR(INDEX(INDIRECT(IFERROR(INDEX(Cross_Tab_Questions_Options_Names,MATCH(All_Questions_Q_NUM_EXPORT_CT,Cross_Tab_Questions,0)),"'_Options'!$E$2:$E$2")),8),""))</f>
        <v/>
      </c>
      <c r="I57" s="2" t="str">
        <f>IF(All_Questions_Q_NUM_EXPORT_CT="(None)","",IFERROR(INDEX(INDIRECT(IFERROR(INDEX(Cross_Tab_Questions_Options_Names,MATCH(All_Questions_Q_NUM_EXPORT_CT,Cross_Tab_Questions,0)),"'_Options'!$E$2:$E$2")),9),""))</f>
        <v/>
      </c>
      <c r="J57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7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7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7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7" s="4" t="inlineStr">
        <is>
          <t>Total</t>
        </is>
      </c>
    </row>
    <row r="58">
      <c r="A58" s="4" t="inlineStr"/>
      <c r="B58" s="4" t="inlineStr">
        <is>
          <t>Mean</t>
        </is>
      </c>
      <c r="C58" s="4" t="inlineStr">
        <is>
          <t>Mean</t>
        </is>
      </c>
      <c r="D58" s="4" t="inlineStr">
        <is>
          <t>Mean</t>
        </is>
      </c>
      <c r="E58" s="4" t="inlineStr">
        <is>
          <t>Mean</t>
        </is>
      </c>
      <c r="F58" s="4" t="inlineStr">
        <is>
          <t>Mean</t>
        </is>
      </c>
      <c r="G58" s="4" t="inlineStr">
        <is>
          <t>Mean</t>
        </is>
      </c>
      <c r="H58" s="4" t="inlineStr">
        <is>
          <t>Mean</t>
        </is>
      </c>
      <c r="I58" s="4" t="inlineStr">
        <is>
          <t>Mean</t>
        </is>
      </c>
      <c r="J58" s="4" t="inlineStr">
        <is>
          <t>Mean</t>
        </is>
      </c>
      <c r="K58" s="4" t="inlineStr">
        <is>
          <t>Mean</t>
        </is>
      </c>
      <c r="L58" s="4" t="inlineStr">
        <is>
          <t>Mean</t>
        </is>
      </c>
      <c r="M58" s="4" t="inlineStr">
        <is>
          <t>Mean</t>
        </is>
      </c>
      <c r="N58" s="4" t="inlineStr">
        <is>
          <t>Mean</t>
        </is>
      </c>
    </row>
    <row r="59">
      <c r="A59" t="inlineStr">
        <is>
          <t>Numeric export question</t>
        </is>
      </c>
      <c r="B59" s="17">
        <f>IF(OR(All_Questions_Q_NUM_EXPORT_CT="(None)",B$57=""),"",IF(B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$57),"")))</f>
        <v>5.5</v>
      </c>
      <c r="C59" s="17">
        <f>IF(OR(All_Questions_Q_NUM_EXPORT_CT="(None)",C$57=""),"",IF(C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$57),"")))</f>
        <v>5.5</v>
      </c>
      <c r="D59" s="17">
        <f>IF(OR(All_Questions_Q_NUM_EXPORT_CT="(None)",D$57=""),"",IF(D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$57),"")))</f>
        <v>5.5</v>
      </c>
      <c r="E59" s="17">
        <f>IF(OR(All_Questions_Q_NUM_EXPORT_CT="(None)",E$57=""),"",IF(E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$57),"")))</f>
        <v>5.5</v>
      </c>
      <c r="F59" s="17">
        <f>IF(OR(All_Questions_Q_NUM_EXPORT_CT="(None)",F$57=""),"",IF(F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$57),"")))</f>
        <v>5.5</v>
      </c>
      <c r="G59" s="17">
        <f>IF(OR(All_Questions_Q_NUM_EXPORT_CT="(None)",G$57=""),"",IF(G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$57),"")))</f>
        <v>5.5</v>
      </c>
      <c r="H59" s="17">
        <f>IF(OR(All_Questions_Q_NUM_EXPORT_CT="(None)",H$57=""),"",IF(H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$57),"")))</f>
        <v>5.5</v>
      </c>
      <c r="I59" s="17">
        <f>IF(OR(All_Questions_Q_NUM_EXPORT_CT="(None)",I$57=""),"",IF(I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$57),"")))</f>
        <v>5.5</v>
      </c>
      <c r="J59" s="17">
        <f>IF(OR(All_Questions_Q_NUM_EXPORT_CT="(None)",J$57=""),"",IF(J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$57),"")))</f>
        <v>5.5</v>
      </c>
      <c r="K59" s="17">
        <f>IF(OR(All_Questions_Q_NUM_EXPORT_CT="(None)",K$57=""),"",IF(K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$57),"")))</f>
        <v>5.5</v>
      </c>
      <c r="L59" s="17">
        <f>IF(OR(All_Questions_Q_NUM_EXPORT_CT="(None)",L$57=""),"",IF(L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$57),"")))</f>
        <v>5.5</v>
      </c>
      <c r="M59" s="17">
        <f>IF(OR(All_Questions_Q_NUM_EXPORT_CT="(None)",M$57=""),"",IF(M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$57),"")))</f>
        <v>5.5</v>
      </c>
      <c r="N59" s="17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60">
      <c r="A60" s="4" t="inlineStr">
        <is>
          <t>Total respondents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1"/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</row>
    <row r="63">
      <c r="A63" s="12" t="inlineStr">
        <is>
          <t>Q_GRID_EXPORT - Grid export question</t>
        </is>
      </c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</row>
    <row r="64">
      <c r="A64" s="13" t="inlineStr">
        <is>
          <t>Per-question filter</t>
        </is>
      </c>
      <c r="B64" t="inlineStr">
        <is>
          <t>Filter Q</t>
        </is>
      </c>
      <c r="C64" t="inlineStr">
        <is>
          <t>(None)</t>
        </is>
      </c>
      <c r="D64" t="inlineStr">
        <is>
          <t>Value</t>
        </is>
      </c>
      <c r="E64" t="inlineStr">
        <is>
          <t>(All)</t>
        </is>
      </c>
      <c r="F64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4" t="str">
        <f>"|" &amp; SUBSTITUTE(All_Questions_Q_GRID_EXPORT_F_V, ", ", "|") &amp; "|"</f>
        <v>|(All)|</v>
      </c>
      <c r="H64" t="str">
        <f>IFERROR(INDEX(All_Questions_Value_Criteria,MATCH(All_Questions_Q_GRID_EXPORT_F_Q&amp;"|"&amp;All_Questions_Q_GRID_EXPORT_F_V,All_Questions_Value_Keys,0)),All_Questions_Q_GRID_EXPORT_F_V)</f>
        <v>(All)</v>
      </c>
    </row>
    <row r="65"/>
    <row r="66">
      <c r="A66" s="4" t="inlineStr">
        <is>
          <t>Sub-question ID</t>
        </is>
      </c>
      <c r="B66" s="4" t="inlineStr">
        <is>
          <t>Sub-question</t>
        </is>
      </c>
      <c r="C66" s="4" t="inlineStr">
        <is>
          <t>High</t>
        </is>
      </c>
      <c r="D66" s="2" t="n"/>
      <c r="E66" s="4" t="inlineStr">
        <is>
          <t>Low</t>
        </is>
      </c>
      <c r="F66" s="2" t="n"/>
    </row>
    <row r="67">
      <c r="A67" s="2" t="inlineStr"/>
      <c r="B67" s="2" t="inlineStr"/>
      <c r="C67" s="4" t="inlineStr">
        <is>
          <t>Count</t>
        </is>
      </c>
      <c r="D67" s="4" t="inlineStr">
        <is>
          <t>%</t>
        </is>
      </c>
      <c r="E67" s="4" t="inlineStr">
        <is>
          <t>Count</t>
        </is>
      </c>
      <c r="F67" s="4" t="inlineStr">
        <is>
          <t>%</t>
        </is>
      </c>
    </row>
    <row r="68">
      <c r="A68" s="18" t="inlineStr">
        <is>
          <t>Q_GRID_EXPORTr1</t>
        </is>
      </c>
      <c r="B68" t="inlineStr">
        <is>
          <t>Grid first row</t>
        </is>
      </c>
      <c r="C68">
        <f>COUNTIFS(Q_GRID_EXPORTr1_data,"High",passes_workbook_filters_data,1,passes_workbook_custom_filters_data,1,All_Questions_passes_local_filters_data,1,All_Questions_Q_GRID_EXPORT_F_passes_per_q_filter_data,1)</f>
        <v>6</v>
      </c>
      <c r="D68" s="7">
        <f>IFERROR(C68/10,0)</f>
        <v>0.6</v>
      </c>
      <c r="E68">
        <f>COUNTIFS(Q_GRID_EXPORTr1_data,"Low",passes_workbook_filters_data,1,passes_workbook_custom_filters_data,1,All_Questions_passes_local_filters_data,1,All_Questions_Q_GRID_EXPORT_F_passes_per_q_filter_data,1)</f>
        <v>4</v>
      </c>
      <c r="F68" s="7">
        <f>IFERROR(E68/10,0)</f>
        <v>0.4</v>
      </c>
    </row>
    <row r="69">
      <c r="A69" s="18" t="inlineStr">
        <is>
          <t>Q_GRID_EXPORTr2</t>
        </is>
      </c>
      <c r="B69" t="inlineStr">
        <is>
          <t>Grid second row</t>
        </is>
      </c>
      <c r="C69">
        <f>COUNTIFS(Q_GRID_EXPORTr2_data,"High",passes_workbook_filters_data,1,passes_workbook_custom_filters_data,1,All_Questions_passes_local_filters_data,1,All_Questions_Q_GRID_EXPORT_F_passes_per_q_filter_data,1)</f>
        <v>5</v>
      </c>
      <c r="D69" s="7">
        <f>IFERROR(C69/10,0)</f>
        <v>0.5</v>
      </c>
      <c r="E69">
        <f>COUNTIFS(Q_GRID_EXPORTr2_data,"Low",passes_workbook_filters_data,1,passes_workbook_custom_filters_data,1,All_Questions_passes_local_filters_data,1,All_Questions_Q_GRID_EXPORT_F_passes_per_q_filter_data,1)</f>
        <v>5</v>
      </c>
      <c r="F69" s="7">
        <f>IFERROR(E69/10,0)</f>
        <v>0.5</v>
      </c>
    </row>
    <row r="70">
      <c r="A70" s="16" t="inlineStr">
        <is>
          <t>Total respondents</t>
        </is>
      </c>
      <c r="B70" s="16" t="n">
        <v>10</v>
      </c>
      <c r="C70" s="16" t="n"/>
      <c r="D70" s="16" t="n"/>
      <c r="E70" s="16" t="n"/>
      <c r="F70" s="16" t="n"/>
    </row>
    <row r="71">
      <c r="A71" s="4" t="inlineStr">
        <is>
          <t>Total responses</t>
        </is>
      </c>
      <c r="B71" s="4" t="n">
        <v>20</v>
      </c>
      <c r="C71" s="4" t="n"/>
      <c r="D71" s="4" t="n"/>
      <c r="E71" s="4" t="n"/>
      <c r="F71" s="4" t="n"/>
    </row>
    <row r="72"/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</row>
    <row r="74">
      <c r="A74" s="12" t="inlineStr">
        <is>
          <t>Q_VERY_LONG_SINGLE_SELECT_EXPORT_NAME - Long sheet name export question</t>
        </is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</row>
    <row r="75">
      <c r="A75" s="13" t="inlineStr">
        <is>
          <t>Per-question filter</t>
        </is>
      </c>
      <c r="B75" t="inlineStr">
        <is>
          <t>Filter Q</t>
        </is>
      </c>
      <c r="C75" t="inlineStr">
        <is>
          <t>(None)</t>
        </is>
      </c>
      <c r="D75" t="inlineStr">
        <is>
          <t>Value</t>
        </is>
      </c>
      <c r="E75" t="inlineStr">
        <is>
          <t>(All)</t>
        </is>
      </c>
      <c r="F75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5" t="str">
        <f>"|" &amp; SUBSTITUTE(All_Questions_Q_VERY_LONG_SINGLE_SELECT_EXPORT_NAME_F_V, ", ", "|") &amp; "|"</f>
        <v>|(All)|</v>
      </c>
      <c r="H75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6">
      <c r="A76" s="13" t="inlineStr">
        <is>
          <t>Cross-tab by</t>
        </is>
      </c>
      <c r="C76" t="inlineStr">
        <is>
          <t>(None)</t>
        </is>
      </c>
    </row>
    <row r="77"/>
    <row r="78">
      <c r="A78" s="4" t="inlineStr">
        <is>
          <t>Option</t>
        </is>
      </c>
      <c r="B78" s="4" t="inlineStr">
        <is>
          <t>Count</t>
        </is>
      </c>
      <c r="C78" s="4" t="inlineStr">
        <is>
          <t>%</t>
        </is>
      </c>
      <c r="D78" s="4" t="inlineStr">
        <is>
          <t>Denominator</t>
        </is>
      </c>
    </row>
    <row r="79">
      <c r="A79" t="inlineStr">
        <is>
          <t>A</t>
        </is>
      </c>
      <c r="B7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9" s="7">
        <f>IFERROR(B79/SUBTOTAL(9,B79:B80),0)</f>
        <v>0.7</v>
      </c>
      <c r="D79" s="15">
        <f>SUBTOTAL(9,B79:B80)</f>
        <v>10</v>
      </c>
    </row>
    <row r="80">
      <c r="A80" t="inlineStr">
        <is>
          <t>B</t>
        </is>
      </c>
      <c r="B8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80" s="7">
        <f>IFERROR(B80/SUBTOTAL(9,B79:B80),0)</f>
        <v>0.3</v>
      </c>
      <c r="D80" s="15">
        <f>SUBTOTAL(9,B79:B80)</f>
        <v>10</v>
      </c>
    </row>
    <row r="81">
      <c r="A81" s="16" t="inlineStr">
        <is>
          <t>Total respondents</t>
        </is>
      </c>
      <c r="B81" s="16" t="n">
        <v>10</v>
      </c>
      <c r="C81" s="16" t="n"/>
      <c r="D81" s="16" t="n"/>
    </row>
    <row r="82"/>
    <row r="83">
      <c r="A83" s="4" t="inlineStr">
        <is>
          <t>Option</t>
        </is>
      </c>
      <c r="B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3" s="4" t="inlineStr">
        <is>
          <t>Total</t>
        </is>
      </c>
    </row>
    <row r="84">
      <c r="A84" s="4" t="inlineStr"/>
      <c r="B84" s="4" t="inlineStr">
        <is>
          <t># of resp</t>
        </is>
      </c>
      <c r="C84" s="4" t="inlineStr">
        <is>
          <t># of resp</t>
        </is>
      </c>
      <c r="D84" s="4" t="inlineStr">
        <is>
          <t># of resp</t>
        </is>
      </c>
      <c r="E84" s="4" t="inlineStr">
        <is>
          <t># of resp</t>
        </is>
      </c>
      <c r="F84" s="4" t="inlineStr">
        <is>
          <t># of resp</t>
        </is>
      </c>
      <c r="G84" s="4" t="inlineStr">
        <is>
          <t># of resp</t>
        </is>
      </c>
      <c r="H84" s="4" t="inlineStr">
        <is>
          <t># of resp</t>
        </is>
      </c>
      <c r="I84" s="4" t="inlineStr">
        <is>
          <t># of resp</t>
        </is>
      </c>
      <c r="J84" s="4" t="inlineStr">
        <is>
          <t># of resp</t>
        </is>
      </c>
      <c r="K84" s="4" t="inlineStr">
        <is>
          <t># of resp</t>
        </is>
      </c>
      <c r="L84" s="4" t="inlineStr">
        <is>
          <t># of resp</t>
        </is>
      </c>
      <c r="M84" s="4" t="inlineStr">
        <is>
          <t># of resp</t>
        </is>
      </c>
      <c r="N84" s="4" t="inlineStr">
        <is>
          <t># of resp</t>
        </is>
      </c>
    </row>
    <row r="85">
      <c r="A85" t="inlineStr">
        <is>
          <t>A</t>
        </is>
      </c>
      <c r="B85" s="15">
        <f>IF(OR(All_Questions_Q_VERY_LONG_SINGLE_SELECT_EXPORT_NAME_CT="(None)",B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$83))</f>
        <v>0</v>
      </c>
      <c r="C85" s="15">
        <f>IF(OR(All_Questions_Q_VERY_LONG_SINGLE_SELECT_EXPORT_NAME_CT="(None)",C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$83))</f>
        <v>0</v>
      </c>
      <c r="D85" s="15">
        <f>IF(OR(All_Questions_Q_VERY_LONG_SINGLE_SELECT_EXPORT_NAME_CT="(None)",D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$83))</f>
        <v>0</v>
      </c>
      <c r="E85" s="15">
        <f>IF(OR(All_Questions_Q_VERY_LONG_SINGLE_SELECT_EXPORT_NAME_CT="(None)",E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$83))</f>
        <v>0</v>
      </c>
      <c r="F85" s="15">
        <f>IF(OR(All_Questions_Q_VERY_LONG_SINGLE_SELECT_EXPORT_NAME_CT="(None)",F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$83))</f>
        <v>0</v>
      </c>
      <c r="G85" s="15">
        <f>IF(OR(All_Questions_Q_VERY_LONG_SINGLE_SELECT_EXPORT_NAME_CT="(None)",G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$83))</f>
        <v>0</v>
      </c>
      <c r="H85" s="15">
        <f>IF(OR(All_Questions_Q_VERY_LONG_SINGLE_SELECT_EXPORT_NAME_CT="(None)",H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$83))</f>
        <v>0</v>
      </c>
      <c r="I85" s="15">
        <f>IF(OR(All_Questions_Q_VERY_LONG_SINGLE_SELECT_EXPORT_NAME_CT="(None)",I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$83))</f>
        <v>0</v>
      </c>
      <c r="J85" s="15">
        <f>IF(OR(All_Questions_Q_VERY_LONG_SINGLE_SELECT_EXPORT_NAME_CT="(None)",J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$83))</f>
        <v>0</v>
      </c>
      <c r="K85" s="15">
        <f>IF(OR(All_Questions_Q_VERY_LONG_SINGLE_SELECT_EXPORT_NAME_CT="(None)",K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$83))</f>
        <v>0</v>
      </c>
      <c r="L85" s="15">
        <f>IF(OR(All_Questions_Q_VERY_LONG_SINGLE_SELECT_EXPORT_NAME_CT="(None)",L$83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$83))</f>
        <v>0</v>
      </c>
      <c r="M85" s="15">
        <f>IF(OR(All_Questions_Q_VERY_LONG_SINGLE_SELECT_EXPORT_NAME_CT="(None)",M$83=""),"",IF(M$83="Other",COUNTIFS(Q_VERY_LONG_SINGLE_SELECT_EXPOR_data,"A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$83)))</f>
        <v>0</v>
      </c>
      <c r="N85" s="15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6">
      <c r="A86" t="inlineStr">
        <is>
          <t>B</t>
        </is>
      </c>
      <c r="B86" s="15">
        <f>IF(OR(All_Questions_Q_VERY_LONG_SINGLE_SELECT_EXPORT_NAME_CT="(None)",B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$83))</f>
        <v>0</v>
      </c>
      <c r="C86" s="15">
        <f>IF(OR(All_Questions_Q_VERY_LONG_SINGLE_SELECT_EXPORT_NAME_CT="(None)",C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$83))</f>
        <v>0</v>
      </c>
      <c r="D86" s="15">
        <f>IF(OR(All_Questions_Q_VERY_LONG_SINGLE_SELECT_EXPORT_NAME_CT="(None)",D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$83))</f>
        <v>0</v>
      </c>
      <c r="E86" s="15">
        <f>IF(OR(All_Questions_Q_VERY_LONG_SINGLE_SELECT_EXPORT_NAME_CT="(None)",E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$83))</f>
        <v>0</v>
      </c>
      <c r="F86" s="15">
        <f>IF(OR(All_Questions_Q_VERY_LONG_SINGLE_SELECT_EXPORT_NAME_CT="(None)",F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$83))</f>
        <v>0</v>
      </c>
      <c r="G86" s="15">
        <f>IF(OR(All_Questions_Q_VERY_LONG_SINGLE_SELECT_EXPORT_NAME_CT="(None)",G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$83))</f>
        <v>0</v>
      </c>
      <c r="H86" s="15">
        <f>IF(OR(All_Questions_Q_VERY_LONG_SINGLE_SELECT_EXPORT_NAME_CT="(None)",H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$83))</f>
        <v>0</v>
      </c>
      <c r="I86" s="15">
        <f>IF(OR(All_Questions_Q_VERY_LONG_SINGLE_SELECT_EXPORT_NAME_CT="(None)",I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$83))</f>
        <v>0</v>
      </c>
      <c r="J86" s="15">
        <f>IF(OR(All_Questions_Q_VERY_LONG_SINGLE_SELECT_EXPORT_NAME_CT="(None)",J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$83))</f>
        <v>0</v>
      </c>
      <c r="K86" s="15">
        <f>IF(OR(All_Questions_Q_VERY_LONG_SINGLE_SELECT_EXPORT_NAME_CT="(None)",K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$83))</f>
        <v>0</v>
      </c>
      <c r="L86" s="15">
        <f>IF(OR(All_Questions_Q_VERY_LONG_SINGLE_SELECT_EXPORT_NAME_CT="(None)",L$83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$83))</f>
        <v>0</v>
      </c>
      <c r="M86" s="15">
        <f>IF(OR(All_Questions_Q_VERY_LONG_SINGLE_SELECT_EXPORT_NAME_CT="(None)",M$83=""),"",IF(M$83="Other",COUNTIFS(Q_VERY_LONG_SINGLE_SELECT_EXPOR_data,"B",passes_workbook_filters_data,1,passes_workbook_custom_filters_data,1,All_Questions_passes_local_filters_data,1,All_Questions_Q_VERY_LONG_SINGLE_SELECT_EXPORT_NAME_F_passes_per_q_filter_data,1)-SUM(B86,C86,D86,E86,F86,G86,H86,I86,J86,K86,L86)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$83)))</f>
        <v>0</v>
      </c>
      <c r="N86" s="1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7">
      <c r="A87" s="4" t="inlineStr">
        <is>
          <t>Total respondents</t>
        </is>
      </c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66:D66"/>
    <mergeCell ref="A1:J1"/>
    <mergeCell ref="E66:F66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4:B3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4:C3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1:D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1:E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1:F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8:D6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8:F6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9:B8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9:C8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5:B8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5:C8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5:D8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5:E8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5:F8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5:G8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5:H8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5:I8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5:J8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5:K8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5:L86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5:M86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30" showDropDown="0" showInputMessage="0" showErrorMessage="0" allowBlank="1" type="list">
      <formula1>=All_Questions</formula1>
    </dataValidation>
    <dataValidation sqref="E30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1" showDropDown="0" showInputMessage="0" showErrorMessage="0" allowBlank="1" type="list">
      <formula1>=Cross_Tab_Questions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8" showDropDown="0" showInputMessage="0" showErrorMessage="0" allowBlank="1" type="list">
      <formula1>=Cross_Tab_Questions</formula1>
    </dataValidation>
    <dataValidation sqref="C64" showDropDown="0" showInputMessage="0" showErrorMessage="0" allowBlank="1" type="list">
      <formula1>=All_Questions</formula1>
    </dataValidation>
    <dataValidation sqref="E6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5" showDropDown="0" showInputMessage="0" showErrorMessage="0" allowBlank="1" type="list">
      <formula1>=All_Questions</formula1>
    </dataValidation>
    <dataValidation sqref="E7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6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B$39</t>
        </is>
      </c>
      <c r="H9">
        <f>IF(OR(All_Questions_Q_MS_EXPORT_CT="(None)",B$39=""),"",IF(B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$39)),"")))</f>
        <v>0</v>
      </c>
      <c r="I9" t="n">
        <v>0.5</v>
      </c>
      <c r="J9" t="n">
        <v>0</v>
      </c>
      <c r="K9" t="n">
        <v>0</v>
      </c>
      <c r="L9" t="inlineStr">
        <is>
          <t>2026-06-09T11:20:30.865342+00:00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C$39</t>
        </is>
      </c>
      <c r="H10">
        <f>IF(OR(All_Questions_Q_MS_EXPORT_CT="(None)",C$39=""),"",IF(C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$39)),"")))</f>
        <v>0</v>
      </c>
      <c r="I10" t="n">
        <v>0.5</v>
      </c>
      <c r="J10" t="n">
        <v>0</v>
      </c>
      <c r="K10" t="n">
        <v>0</v>
      </c>
      <c r="L10" t="inlineStr">
        <is>
          <t>2026-06-09T11:20:30.865641+00:00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D$39</t>
        </is>
      </c>
      <c r="H11">
        <f>IF(OR(All_Questions_Q_MS_EXPORT_CT="(None)",D$39=""),"",IF(D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$39)),"")))</f>
        <v>0</v>
      </c>
      <c r="I11" t="n">
        <v>0.5</v>
      </c>
      <c r="J11" t="n">
        <v>0</v>
      </c>
      <c r="K11" t="n">
        <v>0</v>
      </c>
      <c r="L11" t="inlineStr">
        <is>
          <t>2026-06-09T11:20:30.865937+00:00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E$39</t>
        </is>
      </c>
      <c r="H12">
        <f>IF(OR(All_Questions_Q_MS_EXPORT_CT="(None)",E$39=""),"",IF(E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$39)),"")))</f>
        <v>0</v>
      </c>
      <c r="I12" t="n">
        <v>0.5</v>
      </c>
      <c r="J12" t="n">
        <v>0</v>
      </c>
      <c r="K12" t="n">
        <v>0</v>
      </c>
      <c r="L12" t="inlineStr">
        <is>
          <t>2026-06-09T11:20:30.866249+00:00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F$39</t>
        </is>
      </c>
      <c r="H13">
        <f>IF(OR(All_Questions_Q_MS_EXPORT_CT="(None)",F$39=""),"",IF(F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$39)),"")))</f>
        <v>0</v>
      </c>
      <c r="I13" t="n">
        <v>0.5</v>
      </c>
      <c r="J13" t="n">
        <v>0</v>
      </c>
      <c r="K13" t="n">
        <v>0</v>
      </c>
      <c r="L13" t="inlineStr">
        <is>
          <t>2026-06-09T11:20:30.866522+00:00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G$39</t>
        </is>
      </c>
      <c r="H14">
        <f>IF(OR(All_Questions_Q_MS_EXPORT_CT="(None)",G$39=""),"",IF(G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$39)),"")))</f>
        <v>0</v>
      </c>
      <c r="I14" t="n">
        <v>0.5</v>
      </c>
      <c r="J14" t="n">
        <v>0</v>
      </c>
      <c r="K14" t="n">
        <v>0</v>
      </c>
      <c r="L14" t="inlineStr">
        <is>
          <t>2026-06-09T11:20:30.866792+00:00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H$39</t>
        </is>
      </c>
      <c r="H15">
        <f>IF(OR(All_Questions_Q_MS_EXPORT_CT="(None)",H$39=""),"",IF(H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$39)),"")))</f>
        <v>0</v>
      </c>
      <c r="I15" t="n">
        <v>0.5</v>
      </c>
      <c r="J15" t="n">
        <v>0</v>
      </c>
      <c r="K15" t="n">
        <v>0</v>
      </c>
      <c r="L15" t="inlineStr">
        <is>
          <t>2026-06-09T11:20:30.867117+00:00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I$39</t>
        </is>
      </c>
      <c r="H16">
        <f>IF(OR(All_Questions_Q_MS_EXPORT_CT="(None)",I$39=""),"",IF(I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$39)),"")))</f>
        <v>0</v>
      </c>
      <c r="I16" t="n">
        <v>0.5</v>
      </c>
      <c r="J16" t="n">
        <v>0</v>
      </c>
      <c r="K16" t="n">
        <v>0</v>
      </c>
      <c r="L16" t="inlineStr">
        <is>
          <t>2026-06-09T11:20:30.867389+00:00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J$39</t>
        </is>
      </c>
      <c r="H17">
        <f>IF(OR(All_Questions_Q_MS_EXPORT_CT="(None)",J$39=""),"",IF(J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$39)),"")))</f>
        <v>0</v>
      </c>
      <c r="I17" t="n">
        <v>0.5</v>
      </c>
      <c r="J17" t="n">
        <v>0</v>
      </c>
      <c r="K17" t="n">
        <v>0</v>
      </c>
      <c r="L17" t="inlineStr">
        <is>
          <t>2026-06-09T11:20:30.867654+00:00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K$39</t>
        </is>
      </c>
      <c r="H18">
        <f>IF(OR(All_Questions_Q_MS_EXPORT_CT="(None)",K$39=""),"",IF(K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$39)),"")))</f>
        <v>0</v>
      </c>
      <c r="I18" t="n">
        <v>0.5</v>
      </c>
      <c r="J18" t="n">
        <v>0</v>
      </c>
      <c r="K18" t="n">
        <v>0</v>
      </c>
      <c r="L18" t="inlineStr">
        <is>
          <t>2026-06-09T11:20:30.867936+00:00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L$39</t>
        </is>
      </c>
      <c r="H19">
        <f>IF(OR(All_Questions_Q_MS_EXPORT_CT="(None)",L$39=""),"",IF(L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$39)),"")))</f>
        <v>0</v>
      </c>
      <c r="I19" t="n">
        <v>0.5</v>
      </c>
      <c r="J19" t="n">
        <v>0</v>
      </c>
      <c r="K19" t="n">
        <v>0</v>
      </c>
      <c r="L19" t="inlineStr">
        <is>
          <t>2026-06-09T11:20:30.868239+00:00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M$39</t>
        </is>
      </c>
      <c r="H20">
        <f>IF(OR(All_Questions_Q_MS_EXPORT_CT="(None)",M$39=""),"",IF(M$39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$39)),"")))</f>
        <v>0</v>
      </c>
      <c r="I20" t="n">
        <v>0.5</v>
      </c>
      <c r="J20" t="n">
        <v>0</v>
      </c>
      <c r="K20" t="n">
        <v>0</v>
      </c>
      <c r="L20" t="inlineStr">
        <is>
          <t>2026-06-09T11:20:30.868586+00:00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B$39</t>
        </is>
      </c>
      <c r="H21">
        <f>IF(OR(All_Questions_Q_MS_EXPORT_CT="(None)",B$39=""),"",IF(B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$39)),"")))</f>
        <v>0</v>
      </c>
      <c r="I21" t="n">
        <v>0.2</v>
      </c>
      <c r="J21" t="n">
        <v>0</v>
      </c>
      <c r="K21" t="n">
        <v>0</v>
      </c>
      <c r="L21" t="inlineStr">
        <is>
          <t>2026-06-09T11:20:30.869123+00:00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C$39</t>
        </is>
      </c>
      <c r="H22">
        <f>IF(OR(All_Questions_Q_MS_EXPORT_CT="(None)",C$39=""),"",IF(C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$39)),"")))</f>
        <v>0</v>
      </c>
      <c r="I22" t="n">
        <v>0.2</v>
      </c>
      <c r="J22" t="n">
        <v>0</v>
      </c>
      <c r="K22" t="n">
        <v>0</v>
      </c>
      <c r="L22" t="inlineStr">
        <is>
          <t>2026-06-09T11:20:30.869398+00:00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D$39</t>
        </is>
      </c>
      <c r="H23">
        <f>IF(OR(All_Questions_Q_MS_EXPORT_CT="(None)",D$39=""),"",IF(D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$39)),"")))</f>
        <v>0</v>
      </c>
      <c r="I23" t="n">
        <v>0.2</v>
      </c>
      <c r="J23" t="n">
        <v>0</v>
      </c>
      <c r="K23" t="n">
        <v>0</v>
      </c>
      <c r="L23" t="inlineStr">
        <is>
          <t>2026-06-09T11:20:30.869665+00:00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E$39</t>
        </is>
      </c>
      <c r="H24">
        <f>IF(OR(All_Questions_Q_MS_EXPORT_CT="(None)",E$39=""),"",IF(E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$39)),"")))</f>
        <v>0</v>
      </c>
      <c r="I24" t="n">
        <v>0.2</v>
      </c>
      <c r="J24" t="n">
        <v>0</v>
      </c>
      <c r="K24" t="n">
        <v>0</v>
      </c>
      <c r="L24" t="inlineStr">
        <is>
          <t>2026-06-09T11:20:30.869968+00:00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F$39</t>
        </is>
      </c>
      <c r="H25">
        <f>IF(OR(All_Questions_Q_MS_EXPORT_CT="(None)",F$39=""),"",IF(F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$39)),"")))</f>
        <v>0</v>
      </c>
      <c r="I25" t="n">
        <v>0.2</v>
      </c>
      <c r="J25" t="n">
        <v>0</v>
      </c>
      <c r="K25" t="n">
        <v>0</v>
      </c>
      <c r="L25" t="inlineStr">
        <is>
          <t>2026-06-09T11:20:30.870246+00:00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G$39</t>
        </is>
      </c>
      <c r="H26">
        <f>IF(OR(All_Questions_Q_MS_EXPORT_CT="(None)",G$39=""),"",IF(G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$39)),"")))</f>
        <v>0</v>
      </c>
      <c r="I26" t="n">
        <v>0.2</v>
      </c>
      <c r="J26" t="n">
        <v>0</v>
      </c>
      <c r="K26" t="n">
        <v>0</v>
      </c>
      <c r="L26" t="inlineStr">
        <is>
          <t>2026-06-09T11:20:30.870512+00:00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H$39</t>
        </is>
      </c>
      <c r="H27">
        <f>IF(OR(All_Questions_Q_MS_EXPORT_CT="(None)",H$39=""),"",IF(H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$39)),"")))</f>
        <v>0</v>
      </c>
      <c r="I27" t="n">
        <v>0.2</v>
      </c>
      <c r="J27" t="n">
        <v>0</v>
      </c>
      <c r="K27" t="n">
        <v>0</v>
      </c>
      <c r="L27" t="inlineStr">
        <is>
          <t>2026-06-09T11:20:30.870776+00:00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I$39</t>
        </is>
      </c>
      <c r="H28">
        <f>IF(OR(All_Questions_Q_MS_EXPORT_CT="(None)",I$39=""),"",IF(I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$39)),"")))</f>
        <v>0</v>
      </c>
      <c r="I28" t="n">
        <v>0.2</v>
      </c>
      <c r="J28" t="n">
        <v>0</v>
      </c>
      <c r="K28" t="n">
        <v>0</v>
      </c>
      <c r="L28" t="inlineStr">
        <is>
          <t>2026-06-09T11:20:30.871088+00:00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J$39</t>
        </is>
      </c>
      <c r="H29">
        <f>IF(OR(All_Questions_Q_MS_EXPORT_CT="(None)",J$39=""),"",IF(J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$39)),"")))</f>
        <v>0</v>
      </c>
      <c r="I29" t="n">
        <v>0.2</v>
      </c>
      <c r="J29" t="n">
        <v>0</v>
      </c>
      <c r="K29" t="n">
        <v>0</v>
      </c>
      <c r="L29" t="inlineStr">
        <is>
          <t>2026-06-09T11:20:30.871357+00:00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K$39</t>
        </is>
      </c>
      <c r="H30">
        <f>IF(OR(All_Questions_Q_MS_EXPORT_CT="(None)",K$39=""),"",IF(K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$39)),"")))</f>
        <v>0</v>
      </c>
      <c r="I30" t="n">
        <v>0.2</v>
      </c>
      <c r="J30" t="n">
        <v>0</v>
      </c>
      <c r="K30" t="n">
        <v>0</v>
      </c>
      <c r="L30" t="inlineStr">
        <is>
          <t>2026-06-09T11:20:30.871621+00:00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L$39</t>
        </is>
      </c>
      <c r="H31">
        <f>IF(OR(All_Questions_Q_MS_EXPORT_CT="(None)",L$39=""),"",IF(L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$39)),"")))</f>
        <v>0</v>
      </c>
      <c r="I31" t="n">
        <v>0.2</v>
      </c>
      <c r="J31" t="n">
        <v>0</v>
      </c>
      <c r="K31" t="n">
        <v>0</v>
      </c>
      <c r="L31" t="inlineStr">
        <is>
          <t>2026-06-09T11:20:30.871883+00:00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M$39</t>
        </is>
      </c>
      <c r="H32">
        <f>IF(OR(All_Questions_Q_MS_EXPORT_CT="(None)",M$39=""),"",IF(M$39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$39)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$39)),"")))</f>
        <v>0</v>
      </c>
      <c r="I32" t="n">
        <v>0.2</v>
      </c>
      <c r="J32" t="n">
        <v>0</v>
      </c>
      <c r="K32" t="n">
        <v>0</v>
      </c>
      <c r="L32" t="inlineStr">
        <is>
          <t>2026-06-09T11:20:30.872330+00:00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B$57</t>
        </is>
      </c>
      <c r="H33">
        <f>IF(OR(All_Questions_Q_NUM_EXPORT_CT="(None)",B$57=""),"",IF(B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$57),"")))</f>
        <v>0</v>
      </c>
      <c r="I33" t="n">
        <v>5.5</v>
      </c>
      <c r="J33" t="n">
        <v>0</v>
      </c>
      <c r="K33" t="n">
        <v>0</v>
      </c>
      <c r="L33" t="inlineStr">
        <is>
          <t>2026-06-09T11:20:30.897861+00:00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C$57</t>
        </is>
      </c>
      <c r="H34">
        <f>IF(OR(All_Questions_Q_NUM_EXPORT_CT="(None)",C$57=""),"",IF(C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$57),"")))</f>
        <v>0</v>
      </c>
      <c r="I34" t="n">
        <v>5.5</v>
      </c>
      <c r="J34" t="n">
        <v>0</v>
      </c>
      <c r="K34" t="n">
        <v>0</v>
      </c>
      <c r="L34" t="inlineStr">
        <is>
          <t>2026-06-09T11:20:30.898123+00:00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D$57</t>
        </is>
      </c>
      <c r="H35">
        <f>IF(OR(All_Questions_Q_NUM_EXPORT_CT="(None)",D$57=""),"",IF(D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$57),"")))</f>
        <v>0</v>
      </c>
      <c r="I35" t="n">
        <v>5.5</v>
      </c>
      <c r="J35" t="n">
        <v>0</v>
      </c>
      <c r="K35" t="n">
        <v>0</v>
      </c>
      <c r="L35" t="inlineStr">
        <is>
          <t>2026-06-09T11:20:30.898318+00:00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E$57</t>
        </is>
      </c>
      <c r="H36">
        <f>IF(OR(All_Questions_Q_NUM_EXPORT_CT="(None)",E$57=""),"",IF(E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$57),"")))</f>
        <v>0</v>
      </c>
      <c r="I36" t="n">
        <v>5.5</v>
      </c>
      <c r="J36" t="n">
        <v>0</v>
      </c>
      <c r="K36" t="n">
        <v>0</v>
      </c>
      <c r="L36" t="inlineStr">
        <is>
          <t>2026-06-09T11:20:30.898507+00:00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F$57</t>
        </is>
      </c>
      <c r="H37">
        <f>IF(OR(All_Questions_Q_NUM_EXPORT_CT="(None)",F$57=""),"",IF(F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$57),"")))</f>
        <v>0</v>
      </c>
      <c r="I37" t="n">
        <v>5.5</v>
      </c>
      <c r="J37" t="n">
        <v>0</v>
      </c>
      <c r="K37" t="n">
        <v>0</v>
      </c>
      <c r="L37" t="inlineStr">
        <is>
          <t>2026-06-09T11:20:30.898693+00:00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G$57</t>
        </is>
      </c>
      <c r="H38">
        <f>IF(OR(All_Questions_Q_NUM_EXPORT_CT="(None)",G$57=""),"",IF(G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$57),"")))</f>
        <v>0</v>
      </c>
      <c r="I38" t="n">
        <v>5.5</v>
      </c>
      <c r="J38" t="n">
        <v>0</v>
      </c>
      <c r="K38" t="n">
        <v>0</v>
      </c>
      <c r="L38" t="inlineStr">
        <is>
          <t>2026-06-09T11:20:30.898876+00:00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H$57</t>
        </is>
      </c>
      <c r="H39">
        <f>IF(OR(All_Questions_Q_NUM_EXPORT_CT="(None)",H$57=""),"",IF(H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$57),"")))</f>
        <v>0</v>
      </c>
      <c r="I39" t="n">
        <v>5.5</v>
      </c>
      <c r="J39" t="n">
        <v>0</v>
      </c>
      <c r="K39" t="n">
        <v>0</v>
      </c>
      <c r="L39" t="inlineStr">
        <is>
          <t>2026-06-09T11:20:30.899109+00:00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I$57</t>
        </is>
      </c>
      <c r="H40">
        <f>IF(OR(All_Questions_Q_NUM_EXPORT_CT="(None)",I$57=""),"",IF(I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$57),"")))</f>
        <v>0</v>
      </c>
      <c r="I40" t="n">
        <v>5.5</v>
      </c>
      <c r="J40" t="n">
        <v>0</v>
      </c>
      <c r="K40" t="n">
        <v>0</v>
      </c>
      <c r="L40" t="inlineStr">
        <is>
          <t>2026-06-09T11:20:30.899298+00:00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J$57</t>
        </is>
      </c>
      <c r="H41">
        <f>IF(OR(All_Questions_Q_NUM_EXPORT_CT="(None)",J$57=""),"",IF(J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$57),"")))</f>
        <v>0</v>
      </c>
      <c r="I41" t="n">
        <v>5.5</v>
      </c>
      <c r="J41" t="n">
        <v>0</v>
      </c>
      <c r="K41" t="n">
        <v>0</v>
      </c>
      <c r="L41" t="inlineStr">
        <is>
          <t>2026-06-09T11:20:30.899484+00:00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K$57</t>
        </is>
      </c>
      <c r="H42">
        <f>IF(OR(All_Questions_Q_NUM_EXPORT_CT="(None)",K$57=""),"",IF(K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$57),"")))</f>
        <v>0</v>
      </c>
      <c r="I42" t="n">
        <v>5.5</v>
      </c>
      <c r="J42" t="n">
        <v>0</v>
      </c>
      <c r="K42" t="n">
        <v>0</v>
      </c>
      <c r="L42" t="inlineStr">
        <is>
          <t>2026-06-09T11:20:30.899667+00:00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L$57</t>
        </is>
      </c>
      <c r="H43">
        <f>IF(OR(All_Questions_Q_NUM_EXPORT_CT="(None)",L$57=""),"",IF(L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$57),"")))</f>
        <v>0</v>
      </c>
      <c r="I43" t="n">
        <v>5.5</v>
      </c>
      <c r="J43" t="n">
        <v>0</v>
      </c>
      <c r="K43" t="n">
        <v>0</v>
      </c>
      <c r="L43" t="inlineStr">
        <is>
          <t>2026-06-09T11:20:30.899851+00:00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M$57</t>
        </is>
      </c>
      <c r="H44">
        <f>IF(OR(All_Questions_Q_NUM_EXPORT_CT="(None)",M$57=""),"",IF(M$57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$57),"")))</f>
        <v>0</v>
      </c>
      <c r="I44" t="n">
        <v>5.5</v>
      </c>
      <c r="J44" t="n">
        <v>0</v>
      </c>
      <c r="K44" t="n">
        <v>0</v>
      </c>
      <c r="L44" t="inlineStr">
        <is>
          <t>2026-06-09T11:20:30.900164+00:00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2026-06-09T11:20:30Z</dcterms:created>
  <dcterms:modified xmlns:dcterms="http://purl.org/dc/terms/" xmlns:xsi="http://www.w3.org/2001/XMLSchema-instance" xsi:type="dcterms:W3CDTF">2026-06-09T11:20:30Z</dcterms:modified>
</cp:coreProperties>
</file>