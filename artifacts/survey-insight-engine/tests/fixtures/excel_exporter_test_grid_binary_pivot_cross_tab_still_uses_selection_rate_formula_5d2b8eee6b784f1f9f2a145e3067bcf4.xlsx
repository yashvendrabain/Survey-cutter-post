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resolved_criteria">'All Questions'!$H$24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IF(All_Questions_Q_SEG_CT="(None)","",IFERROR(INDEX(INDIRECT(IFERROR(INDEX(Cross_Tab_Questions_Options_Names,MATCH(All_Questions_Q_SEG_CT,Cross_Tab_Questions,0)),"'_Options'!$E$2:$E$2")),2),""))</f>
        <v/>
      </c>
      <c r="H16" s="2" t="str">
        <f>IF(All_Questions_Q_SEG_CT="(None)","",IFERROR(INDEX(INDIRECT(IFERROR(INDEX(Cross_Tab_Questions_Options_Names,MATCH(All_Questions_Q_SEG_CT,Cross_Tab_Questions,0)),"'_Options'!$E$2:$E$2")),3),""))</f>
        <v/>
      </c>
      <c r="I16" s="2" t="str">
        <f>IF(All_Questions_Q_SEG_CT="(None)","",IFERROR(INDEX(INDIRECT(IFERROR(INDEX(Cross_Tab_Questions_Options_Names,MATCH(All_Questions_Q_SEG_CT,Cross_Tab_Questions,0)),"'_Options'!$E$2:$E$2")),4),""))</f>
        <v/>
      </c>
      <c r="J16" s="2" t="str">
        <f>IF(All_Questions_Q_SEG_CT="(None)","",IFERROR(INDEX(INDIRECT(IFERROR(INDEX(Cross_Tab_Questions_Options_Names,MATCH(All_Questions_Q_SEG_CT,Cross_Tab_Questions,0)),"'_Options'!$E$2:$E$2")),5),""))</f>
        <v/>
      </c>
      <c r="K16" s="2" t="str">
        <f>IF(All_Questions_Q_SEG_CT="(None)","",IFERROR(INDEX(INDIRECT(IFERROR(INDEX(Cross_Tab_Questions_Options_Names,MATCH(All_Questions_Q_SEG_CT,Cross_Tab_Questions,0)),"'_Options'!$E$2:$E$2")),6),""))</f>
        <v/>
      </c>
      <c r="L16" s="2" t="str">
        <f>IF(All_Questions_Q_SEG_CT="(None)","",IFERROR(INDEX(INDIRECT(IFERROR(INDEX(Cross_Tab_Questions_Options_Names,MATCH(All_Questions_Q_SEG_CT,Cross_Tab_Questions,0)),"'_Options'!$E$2:$E$2")),7),""))</f>
        <v/>
      </c>
      <c r="M16" s="2" t="str">
        <f>IF(All_Questions_Q_SEG_CT="(None)","",IFERROR(INDEX(INDIRECT(IFERROR(INDEX(Cross_Tab_Questions_Options_Names,MATCH(All_Questions_Q_SEG_CT,Cross_Tab_Questions,0)),"'_Options'!$E$2:$E$2")),8),""))</f>
        <v/>
      </c>
      <c r="N16" s="2" t="str">
        <f>IF(All_Questions_Q_SEG_CT="(None)","",IFERROR(INDEX(INDIRECT(IFERROR(INDEX(Cross_Tab_Questions_Options_Names,MATCH(All_Questions_Q_SEG_CT,Cross_Tab_Questions,0)),"'_Options'!$E$2:$E$2")),9),""))</f>
        <v/>
      </c>
      <c r="O16" s="2" t="str">
        <f>IF(All_Questions_Q_SEG_CT="(None)","",IFERROR(INDEX(INDIRECT(IFERROR(INDEX(Cross_Tab_Questions_Options_Names,MATCH(All_Questions_Q_SEG_CT,Cross_Tab_Questions,0)),"'_Options'!$E$2:$E$2")),10),""))</f>
        <v/>
      </c>
      <c r="P16" s="2" t="str">
        <f>IF(All_Questions_Q_SEG_CT="(None)","",IFERROR(INDEX(INDIRECT(IFERROR(INDEX(Cross_Tab_Questions_Options_Names,MATCH(All_Questions_Q_SEG_CT,Cross_Tab_Questions,0)),"'_Options'!$E$2:$E$2")),11),""))</f>
        <v/>
      </c>
      <c r="Q16" s="2" t="str">
        <f>IF(All_Questions_Q_SEG_CT="(None)","",IFERROR(INDEX(INDIRECT(IFERROR(INDEX(Cross_Tab_Questions_Options_Names,MATCH(All_Questions_Q_SEG_CT,Cross_Tab_Questions,0)),"'_Options'!$E$2:$E$2")),12),""))</f>
        <v/>
      </c>
      <c r="R16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4" t="str">
        <f>"|" &amp; SUBSTITUTE(All_Questions_Q_GB_F_V, ", ", "|") &amp; "|"</f>
        <v>|(All)|</v>
      </c>
      <c r="H24" t="str">
        <f>IFERROR(INDEX(All_Questions_Value_Criteria,MATCH(All_Questions_Q_GB_F_Q&amp;"|"&amp;All_Questions_Q_GB_F_V,All_Questions_Value_Keys,0)),All_Questions_Q_GB_F_V)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IF(All_Questions_Q_GB_CT="(None)","",IFERROR(INDEX(INDIRECT(IFERROR(INDEX(Cross_Tab_Questions_Options_Names,MATCH(All_Questions_Q_GB_CT,Cross_Tab_Questions,0)),"'_Options'!$E$2:$E$2")),2),""))</f>
        <v/>
      </c>
      <c r="H34" s="2" t="str">
        <f>IF(All_Questions_Q_GB_CT="(None)","",IFERROR(INDEX(INDIRECT(IFERROR(INDEX(Cross_Tab_Questions_Options_Names,MATCH(All_Questions_Q_GB_CT,Cross_Tab_Questions,0)),"'_Options'!$E$2:$E$2")),3),""))</f>
        <v/>
      </c>
      <c r="I34" s="2" t="str">
        <f>IF(All_Questions_Q_GB_CT="(None)","",IFERROR(INDEX(INDIRECT(IFERROR(INDEX(Cross_Tab_Questions_Options_Names,MATCH(All_Questions_Q_GB_CT,Cross_Tab_Questions,0)),"'_Options'!$E$2:$E$2")),4),""))</f>
        <v/>
      </c>
      <c r="J34" s="2" t="str">
        <f>IF(All_Questions_Q_GB_CT="(None)","",IFERROR(INDEX(INDIRECT(IFERROR(INDEX(Cross_Tab_Questions_Options_Names,MATCH(All_Questions_Q_GB_CT,Cross_Tab_Questions,0)),"'_Options'!$E$2:$E$2")),5),""))</f>
        <v/>
      </c>
      <c r="K34" s="2" t="str">
        <f>IF(All_Questions_Q_GB_CT="(None)","",IFERROR(INDEX(INDIRECT(IFERROR(INDEX(Cross_Tab_Questions_Options_Names,MATCH(All_Questions_Q_GB_CT,Cross_Tab_Questions,0)),"'_Options'!$E$2:$E$2")),6),""))</f>
        <v/>
      </c>
      <c r="L34" s="2" t="str">
        <f>IF(All_Questions_Q_GB_CT="(None)","",IFERROR(INDEX(INDIRECT(IFERROR(INDEX(Cross_Tab_Questions_Options_Names,MATCH(All_Questions_Q_GB_CT,Cross_Tab_Questions,0)),"'_Options'!$E$2:$E$2")),7),""))</f>
        <v/>
      </c>
      <c r="M34" s="2" t="str">
        <f>IF(All_Questions_Q_GB_CT="(None)","",IFERROR(INDEX(INDIRECT(IFERROR(INDEX(Cross_Tab_Questions_Options_Names,MATCH(All_Questions_Q_GB_CT,Cross_Tab_Questions,0)),"'_Options'!$E$2:$E$2")),8),""))</f>
        <v/>
      </c>
      <c r="N34" s="2" t="str">
        <f>IF(All_Questions_Q_GB_CT="(None)","",IFERROR(INDEX(INDIRECT(IFERROR(INDEX(Cross_Tab_Questions_Options_Names,MATCH(All_Questions_Q_GB_CT,Cross_Tab_Questions,0)),"'_Options'!$E$2:$E$2")),9),""))</f>
        <v/>
      </c>
      <c r="O34" s="2" t="str">
        <f>IF(All_Questions_Q_GB_CT="(None)","",IFERROR(INDEX(INDIRECT(IFERROR(INDEX(Cross_Tab_Questions_Options_Names,MATCH(All_Questions_Q_GB_CT,Cross_Tab_Questions,0)),"'_Options'!$E$2:$E$2")),10),""))</f>
        <v/>
      </c>
      <c r="P34" s="2" t="str">
        <f>IF(All_Questions_Q_GB_CT="(None)","",IFERROR(INDEX(INDIRECT(IFERROR(INDEX(Cross_Tab_Questions_Options_Names,MATCH(All_Questions_Q_GB_CT,Cross_Tab_Questions,0)),"'_Options'!$E$2:$E$2")),11),""))</f>
        <v/>
      </c>
      <c r="Q34" s="2" t="str">
        <f>IF(All_Questions_Q_GB_CT="(None)","",IFERROR(INDEX(INDIRECT(IFERROR(INDEX(Cross_Tab_Questions_Options_Names,MATCH(All_Questions_Q_GB_CT,Cross_Tab_Questions,0)),"'_Options'!$E$2:$E$2")),12),""))</f>
        <v/>
      </c>
      <c r="R34" s="2" t="str">
        <f>IF(All_Questions_Q_GB_CT="(None)","",IF(COUNTA(INDIRECT(IFERROR(INDEX(Cross_Tab_Questions_Options_Names,MATCH(All_Questions_Q_GB_CT,Cross_Tab_Questions,0)),"'_Options'!$E$2:$E$2")))-1&gt;11,"Other",IFERROR(INDEX(INDIRECT(IFERROR(INDEX(Cross_Tab_Questions_Options_Names,MATCH(All_Questions_Q_GB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2026-06-09T06:55:38.417154+00:00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2026-06-09T06:55:38.417220+00:00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2026-06-09T06:55:38.417259+00:00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2026-06-09T06:55:38.417297+00:00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2026-06-09T06:55:38.417334+00:00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2026-06-09T06:55:38.417372+00:00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2026-06-09T06:55:38.417409+00:00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2026-06-09T06:55:38.417445+00:00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2026-06-09T06:55:38.417482+00:00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2026-06-09T06:55:38.417517+00:00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2026-06-09T06:55:38.417553+00:00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2026-06-09T06:55:38.417600+00:00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2026-06-09T06:55:37Z</dcterms:created>
  <dcterms:modified xmlns:dcterms="http://purl.org/dc/terms/" xmlns:xsi="http://www.w3.org/2001/XMLSchema-instance" xsi:type="dcterms:W3CDTF">2026-06-09T06:55:38Z</dcterms:modified>
</cp:coreProperties>
</file>