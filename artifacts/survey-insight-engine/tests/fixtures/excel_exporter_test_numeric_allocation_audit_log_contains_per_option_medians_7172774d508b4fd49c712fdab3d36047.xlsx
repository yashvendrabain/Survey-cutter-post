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IF(All_Questions_Q20_CT="(None)","",IFERROR(INDEX(INDIRECT(IFERROR(INDEX(All_Questions_Options_Names,MATCH(All_Questions_Q20_CT,All_Questions,0)),"'_Options'!$E$2:$E$2")),2),""))</f>
        <v/>
      </c>
      <c r="H22" s="2" t="str">
        <f>IF(All_Questions_Q20_CT="(None)","",IFERROR(INDEX(INDIRECT(IFERROR(INDEX(All_Questions_Options_Names,MATCH(All_Questions_Q20_CT,All_Questions,0)),"'_Options'!$E$2:$E$2")),3),""))</f>
        <v/>
      </c>
      <c r="I22" s="2" t="str">
        <f>IF(All_Questions_Q20_CT="(None)","",IFERROR(INDEX(INDIRECT(IFERROR(INDEX(All_Questions_Options_Names,MATCH(All_Questions_Q20_CT,All_Questions,0)),"'_Options'!$E$2:$E$2")),4),""))</f>
        <v/>
      </c>
      <c r="J22" s="2" t="str">
        <f>IF(All_Questions_Q20_CT="(None)","",IFERROR(INDEX(INDIRECT(IFERROR(INDEX(All_Questions_Options_Names,MATCH(All_Questions_Q20_CT,All_Questions,0)),"'_Options'!$E$2:$E$2")),5),""))</f>
        <v/>
      </c>
      <c r="K22" s="2" t="str">
        <f>IF(All_Questions_Q20_CT="(None)","",IFERROR(INDEX(INDIRECT(IFERROR(INDEX(All_Questions_Options_Names,MATCH(All_Questions_Q20_CT,All_Questions,0)),"'_Options'!$E$2:$E$2")),6),""))</f>
        <v/>
      </c>
      <c r="L22" s="2" t="str">
        <f>IF(All_Questions_Q20_CT="(None)","",IFERROR(INDEX(INDIRECT(IFERROR(INDEX(All_Questions_Options_Names,MATCH(All_Questions_Q20_CT,All_Questions,0)),"'_Options'!$E$2:$E$2")),7),""))</f>
        <v/>
      </c>
      <c r="M22" s="2" t="str">
        <f>IF(All_Questions_Q20_CT="(None)","",IFERROR(INDEX(INDIRECT(IFERROR(INDEX(All_Questions_Options_Names,MATCH(All_Questions_Q20_CT,All_Questions,0)),"'_Options'!$E$2:$E$2")),8),""))</f>
        <v/>
      </c>
      <c r="N22" s="2" t="str">
        <f>IF(All_Questions_Q20_CT="(None)","",IFERROR(INDEX(INDIRECT(IFERROR(INDEX(All_Questions_Options_Names,MATCH(All_Questions_Q20_CT,All_Questions,0)),"'_Options'!$E$2:$E$2")),9),""))</f>
        <v/>
      </c>
      <c r="O22" s="2" t="str">
        <f>IF(All_Questions_Q20_CT="(None)","",IFERROR(INDEX(INDIRECT(IFERROR(INDEX(All_Questions_Options_Names,MATCH(All_Questions_Q20_CT,All_Questions,0)),"'_Options'!$E$2:$E$2")),10),""))</f>
        <v/>
      </c>
      <c r="P22" s="2" t="str">
        <f>IF(All_Questions_Q20_CT="(None)","",IFERROR(INDEX(INDIRECT(IFERROR(INDEX(All_Questions_Options_Names,MATCH(All_Questions_Q20_CT,All_Questions,0)),"'_Options'!$E$2:$E$2")),11),""))</f>
        <v/>
      </c>
      <c r="Q22" s="2" t="str">
        <f>IF(All_Questions_Q20_CT="(None)","",IFERROR(INDEX(INDIRECT(IFERROR(INDEX(All_Questions_Options_Names,MATCH(All_Questions_Q20_CT,All_Questions,0)),"'_Options'!$E$2:$E$2")),12),""))</f>
        <v/>
      </c>
      <c r="R22" s="2" t="str">
        <f>IF(All_Questions_Q20_CT="(None)","",IF(COUNTA(INDIRECT(IFERROR(INDEX(All_Questions_Options_Names,MATCH(All_Questions_Q20_CT,All_Questions,0)),"'_Options'!$E$2:$E$2")))-1&gt;11,"Other",IFERROR(INDEX(INDIRECT(IFERROR(INDEX(All_Questions_Options_Names,MATCH(All_Questions_Q20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2026-06-08T13:15:09.953349+00:00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2026-06-08T13:15:09.953557+00:00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2026-06-08T13:15:09.953724+00:00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2026-06-08T13:15:09.953887+00:00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2026-06-08T13:15:09.954076+00:00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2026-06-08T13:15:09.954244+00:00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2026-06-08T13:15:09.954440+00:00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2026-06-08T13:15:09.954602+00:00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2026-06-08T13:15:09.954762+00:00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2026-06-08T13:15:09.954921+00:00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2026-06-08T13:15:09.955160+00:00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2026-06-08T13:15:09.955428+00:00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2026-06-08T13:15:09.955705+00:00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2026-06-08T13:15:09.955863+00:00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2026-06-08T13:15:09.956053+00:00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2026-06-08T13:15:09.956218+00:00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2026-06-08T13:15:09.956413+00:00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2026-06-08T13:15:09.956576+00:00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2026-06-08T13:15:09.956736+00:00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2026-06-08T13:15:09.956893+00:00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2026-06-08T13:15:09.957075+00:00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2026-06-08T13:15:09.957237+00:00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2026-06-08T13:15:09.957430+00:00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2026-06-08T13:15:09.957659+00:00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2026-06-08T13:15:09.957927+00:00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2026-06-08T13:15:09.958130+00:00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2026-06-08T13:15:09.958318+00:00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2026-06-08T13:15:09.958490+00:00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2026-06-08T13:15:09.958652+00:00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2026-06-08T13:15:09.958810+00:00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2026-06-08T13:15:09.958992+00:00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2026-06-08T13:15:09.959171+00:00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2026-06-08T13:15:09.959362+00:00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2026-06-08T13:15:09.959525+00:00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2026-06-08T13:15:09.959683+00:00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All_Questions_Data_Names,MATCH(All_Questions_Q20_CT,All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2026-06-08T13:15:09.959907+00:00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2026-06-08T13:15:08Z</dcterms:created>
  <dcterms:modified xmlns:dcterms="http://purl.org/dc/terms/" xmlns:xsi="http://www.w3.org/2001/XMLSchema-instance" xsi:type="dcterms:W3CDTF">2026-06-08T13:15:10Z</dcterms:modified>
</cp:coreProperties>
</file>