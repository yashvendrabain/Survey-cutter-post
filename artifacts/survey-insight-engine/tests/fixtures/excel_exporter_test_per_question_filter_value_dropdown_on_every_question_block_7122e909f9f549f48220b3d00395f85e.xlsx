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'_RawData'!$U$2:$U$11</definedName>
    <definedName name="All_Questions_Q_VERY_LONG_SINGLE_SELECT_EXPORT_NAME_CT">'All Questions'!$C$59</definedName>
    <definedName name="All_Questions_Q_EXTRA_1_F_Q">'All Questions'!$C$68</definedName>
    <definedName name="All_Questions_Q_EXTRA_1_F_V">'All Questions'!$E$68</definedName>
    <definedName name="All_Questions_Q_EXTRA_1_F_resolved_column">'All Questions'!$F$68</definedName>
    <definedName name="All_Questions_Q_EXTRA_1_F_wrapped">'All Questions'!$G$68</definedName>
    <definedName name="All_Questions_Q_EXTRA_1_F_passes_per_q_filter_data">'_RawData'!$V$2:$V$11</definedName>
    <definedName name="All_Questions_Q_EXTRA_1_CT">'All Questions'!$C$69</definedName>
    <definedName name="All_Questions_Q_EXTRA_2_F_Q">'All Questions'!$C$78</definedName>
    <definedName name="All_Questions_Q_EXTRA_2_F_V">'All Questions'!$E$78</definedName>
    <definedName name="All_Questions_Q_EXTRA_2_F_resolved_column">'All Questions'!$F$78</definedName>
    <definedName name="All_Questions_Q_EXTRA_2_F_wrapped">'All Questions'!$G$78</definedName>
    <definedName name="All_Questions_Q_EXTRA_2_F_passes_per_q_filter_data">'_RawData'!$W$2:$W$11</definedName>
    <definedName name="All_Questions_Q_EXTRA_2_CT">'All Questions'!$C$79</definedName>
    <definedName name="All_Questions_Q_EXTRA_3_F_Q">'All Questions'!$C$88</definedName>
    <definedName name="All_Questions_Q_EXTRA_3_F_V">'All Questions'!$E$88</definedName>
    <definedName name="All_Questions_Q_EXTRA_3_F_resolved_column">'All Questions'!$F$88</definedName>
    <definedName name="All_Questions_Q_EXTRA_3_F_wrapped">'All Questions'!$G$88</definedName>
    <definedName name="All_Questions_Q_EXTRA_3_F_passes_per_q_filter_data">'_RawData'!$X$2:$X$11</definedName>
    <definedName name="All_Questions_Q_EXTRA_3_CT">'All Questions'!$C$89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  <c r="F68" i="7"/>
  <c r="G68" i="7"/>
  <c r="G71" i="7"/>
  <c r="H71" i="7"/>
  <c r="I71" i="7"/>
  <c r="J71" i="7"/>
  <c r="K71" i="7"/>
  <c r="L71" i="7"/>
  <c r="M71" i="7"/>
  <c r="N71" i="7"/>
  <c r="O71" i="7"/>
  <c r="P71" i="7"/>
  <c r="Q71" i="7"/>
  <c r="R71" i="7"/>
  <c r="B72" i="7"/>
  <c r="C72" i="7"/>
  <c r="D72" i="7"/>
  <c r="B73" i="7"/>
  <c r="C73" i="7"/>
  <c r="D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S75" i="7"/>
  <c r="F78" i="7"/>
  <c r="G78" i="7"/>
  <c r="G81" i="7"/>
  <c r="H81" i="7"/>
  <c r="I81" i="7"/>
  <c r="J81" i="7"/>
  <c r="K81" i="7"/>
  <c r="L81" i="7"/>
  <c r="M81" i="7"/>
  <c r="N81" i="7"/>
  <c r="O81" i="7"/>
  <c r="P81" i="7"/>
  <c r="Q81" i="7"/>
  <c r="R81" i="7"/>
  <c r="B82" i="7"/>
  <c r="C82" i="7"/>
  <c r="D82" i="7"/>
  <c r="B83" i="7"/>
  <c r="C83" i="7"/>
  <c r="D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S85" i="7"/>
  <c r="F88" i="7"/>
  <c r="G88" i="7"/>
  <c r="G91" i="7"/>
  <c r="H91" i="7"/>
  <c r="I91" i="7"/>
  <c r="J91" i="7"/>
  <c r="K91" i="7"/>
  <c r="L91" i="7"/>
  <c r="M91" i="7"/>
  <c r="N91" i="7"/>
  <c r="O91" i="7"/>
  <c r="P91" i="7"/>
  <c r="Q91" i="7"/>
  <c r="R91" i="7"/>
  <c r="B92" i="7"/>
  <c r="C92" i="7"/>
  <c r="D92" i="7"/>
  <c r="B93" i="7"/>
  <c r="C93" i="7"/>
  <c r="D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S9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71_1" displayName="T_All_Questions_71_1" ref="A71:D74" headerRowCount="1">
  <autoFilter ref="A71:D7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81_1" displayName="T_All_Questions_81_1" ref="A81:D84" headerRowCount="1">
  <autoFilter ref="A81:D8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91_1" displayName="T_All_Questions_91_1" ref="A91:D94" headerRowCount="1">
  <autoFilter ref="A91:D9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2" t="inlineStr">
        <is>
          <t>Q_EXTRA_1 - Extra mixed block question 1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>
      <c r="A68" s="13" t="inlineStr">
        <is>
          <t>Per-question filter</t>
        </is>
      </c>
      <c r="B68" t="inlineStr">
        <is>
          <t>Filter Q</t>
        </is>
      </c>
      <c r="C68" t="inlineStr">
        <is>
          <t>(None)</t>
        </is>
      </c>
      <c r="D68" t="inlineStr">
        <is>
          <t>Value</t>
        </is>
      </c>
      <c r="E68" t="inlineStr">
        <is>
          <t>(All)</t>
        </is>
      </c>
      <c r="F68" t="str">
        <f>IFERROR(INDEX(All_Questions_Data_Names,MATCH(All_Questions_Q_EXTRA_1_F_Q,All_Questions,0)),"'_RawData'!$A:$A")</f>
        <v>respondent_id_data</v>
      </c>
      <c r="G68" t="str">
        <f>"|" &amp; SUBSTITUTE(All_Questions_Q_EXTRA_1_F_V, ", ", "|") &amp; "|"</f>
        <v>|(All)|</v>
      </c>
    </row>
    <row r="69">
      <c r="A69" s="13" t="inlineStr">
        <is>
          <t>Cross-tab by</t>
        </is>
      </c>
      <c r="C69" t="inlineStr">
        <is>
          <t>(None)</t>
        </is>
      </c>
    </row>
    <row r="70"/>
    <row r="71">
      <c r="A71" s="4" t="inlineStr">
        <is>
          <t>Option</t>
        </is>
      </c>
      <c r="B71" s="4" t="inlineStr">
        <is>
          <t>Count</t>
        </is>
      </c>
      <c r="C71" s="4" t="inlineStr">
        <is>
          <t>%</t>
        </is>
      </c>
      <c r="D71" s="4" t="inlineStr">
        <is>
          <t>Denominator</t>
        </is>
      </c>
      <c r="F71" s="4" t="inlineStr">
        <is>
          <t>Option</t>
        </is>
      </c>
      <c r="G71" s="2" t="str">
        <f>IF(All_Questions_Q_EXTRA_1_CT="(None)","",IFERROR(INDEX(INDIRECT(IFERROR(INDEX(All_Questions_Options_Names,MATCH(All_Questions_Q_EXTRA_1_CT,All_Questions,0)),"'_Options'!$E$2:$E$2")),2),""))</f>
        <v/>
      </c>
      <c r="H71" s="2" t="str">
        <f>IF(All_Questions_Q_EXTRA_1_CT="(None)","",IFERROR(INDEX(INDIRECT(IFERROR(INDEX(All_Questions_Options_Names,MATCH(All_Questions_Q_EXTRA_1_CT,All_Questions,0)),"'_Options'!$E$2:$E$2")),3),""))</f>
        <v/>
      </c>
      <c r="I71" s="2" t="str">
        <f>IF(All_Questions_Q_EXTRA_1_CT="(None)","",IFERROR(INDEX(INDIRECT(IFERROR(INDEX(All_Questions_Options_Names,MATCH(All_Questions_Q_EXTRA_1_CT,All_Questions,0)),"'_Options'!$E$2:$E$2")),4),""))</f>
        <v/>
      </c>
      <c r="J71" s="2" t="str">
        <f>IF(All_Questions_Q_EXTRA_1_CT="(None)","",IFERROR(INDEX(INDIRECT(IFERROR(INDEX(All_Questions_Options_Names,MATCH(All_Questions_Q_EXTRA_1_CT,All_Questions,0)),"'_Options'!$E$2:$E$2")),5),""))</f>
        <v/>
      </c>
      <c r="K71" s="2" t="str">
        <f>IF(All_Questions_Q_EXTRA_1_CT="(None)","",IFERROR(INDEX(INDIRECT(IFERROR(INDEX(All_Questions_Options_Names,MATCH(All_Questions_Q_EXTRA_1_CT,All_Questions,0)),"'_Options'!$E$2:$E$2")),6),""))</f>
        <v/>
      </c>
      <c r="L71" s="2" t="str">
        <f>IF(All_Questions_Q_EXTRA_1_CT="(None)","",IFERROR(INDEX(INDIRECT(IFERROR(INDEX(All_Questions_Options_Names,MATCH(All_Questions_Q_EXTRA_1_CT,All_Questions,0)),"'_Options'!$E$2:$E$2")),7),""))</f>
        <v/>
      </c>
      <c r="M71" s="2" t="str">
        <f>IF(All_Questions_Q_EXTRA_1_CT="(None)","",IFERROR(INDEX(INDIRECT(IFERROR(INDEX(All_Questions_Options_Names,MATCH(All_Questions_Q_EXTRA_1_CT,All_Questions,0)),"'_Options'!$E$2:$E$2")),8),""))</f>
        <v/>
      </c>
      <c r="N71" s="2" t="str">
        <f>IF(All_Questions_Q_EXTRA_1_CT="(None)","",IFERROR(INDEX(INDIRECT(IFERROR(INDEX(All_Questions_Options_Names,MATCH(All_Questions_Q_EXTRA_1_CT,All_Questions,0)),"'_Options'!$E$2:$E$2")),9),""))</f>
        <v/>
      </c>
      <c r="O71" s="2" t="str">
        <f>IF(All_Questions_Q_EXTRA_1_CT="(None)","",IFERROR(INDEX(INDIRECT(IFERROR(INDEX(All_Questions_Options_Names,MATCH(All_Questions_Q_EXTRA_1_CT,All_Questions,0)),"'_Options'!$E$2:$E$2")),10),""))</f>
        <v/>
      </c>
      <c r="P71" s="2" t="str">
        <f>IF(All_Questions_Q_EXTRA_1_CT="(None)","",IFERROR(INDEX(INDIRECT(IFERROR(INDEX(All_Questions_Options_Names,MATCH(All_Questions_Q_EXTRA_1_CT,All_Questions,0)),"'_Options'!$E$2:$E$2")),11),""))</f>
        <v/>
      </c>
      <c r="Q71" s="2" t="str">
        <f>IF(All_Questions_Q_EXTRA_1_CT="(None)","",IFERROR(INDEX(INDIRECT(IFERROR(INDEX(All_Questions_Options_Names,MATCH(All_Questions_Q_EXTRA_1_CT,All_Questions,0)),"'_Options'!$E$2:$E$2")),12),""))</f>
        <v/>
      </c>
      <c r="R71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1" s="4" t="inlineStr">
        <is>
          <t>Total</t>
        </is>
      </c>
    </row>
    <row r="72">
      <c r="A72" t="inlineStr">
        <is>
          <t>Extra 1 A</t>
        </is>
      </c>
      <c r="B72">
        <f>COUNTIFS(Q_EXTRA_1_data,"Extra 1 A",passes_workbook_filters_data,1,passes_workbook_custom_filters_data,1,All_Questions_passes_local_filters_data,1,All_Questions_Q_EXTRA_1_F_passes_per_q_filter_data,1)</f>
        <v>6</v>
      </c>
      <c r="C72" s="7">
        <f>IFERROR(B72/SUBTOTAL(9,B72:B73),0)</f>
        <v>0.6</v>
      </c>
      <c r="D72" s="14">
        <f>SUBTOTAL(9,B72:B73)</f>
        <v>10</v>
      </c>
      <c r="F72" s="4" t="inlineStr"/>
      <c r="G72" s="4" t="inlineStr">
        <is>
          <t># of resp</t>
        </is>
      </c>
      <c r="H72" s="4" t="inlineStr">
        <is>
          <t># of resp</t>
        </is>
      </c>
      <c r="I72" s="4" t="inlineStr">
        <is>
          <t># of resp</t>
        </is>
      </c>
      <c r="J72" s="4" t="inlineStr">
        <is>
          <t># of resp</t>
        </is>
      </c>
      <c r="K72" s="4" t="inlineStr">
        <is>
          <t># of resp</t>
        </is>
      </c>
      <c r="L72" s="4" t="inlineStr">
        <is>
          <t># of resp</t>
        </is>
      </c>
      <c r="M72" s="4" t="inlineStr">
        <is>
          <t># of resp</t>
        </is>
      </c>
      <c r="N72" s="4" t="inlineStr">
        <is>
          <t># of resp</t>
        </is>
      </c>
      <c r="O72" s="4" t="inlineStr">
        <is>
          <t># of resp</t>
        </is>
      </c>
      <c r="P72" s="4" t="inlineStr">
        <is>
          <t># of resp</t>
        </is>
      </c>
      <c r="Q72" s="4" t="inlineStr">
        <is>
          <t># of resp</t>
        </is>
      </c>
      <c r="R72" s="4" t="inlineStr">
        <is>
          <t># of resp</t>
        </is>
      </c>
      <c r="S72" s="4" t="inlineStr">
        <is>
          <t># of resp</t>
        </is>
      </c>
    </row>
    <row r="73">
      <c r="A73" t="inlineStr">
        <is>
          <t>Extra 1 B</t>
        </is>
      </c>
      <c r="B73">
        <f>COUNTIFS(Q_EXTRA_1_data,"Extra 1 B",passes_workbook_filters_data,1,passes_workbook_custom_filters_data,1,All_Questions_passes_local_filters_data,1,All_Questions_Q_EXTRA_1_F_passes_per_q_filter_data,1)</f>
        <v>4</v>
      </c>
      <c r="C73" s="7">
        <f>IFERROR(B73/SUBTOTAL(9,B72:B73),0)</f>
        <v>0.4</v>
      </c>
      <c r="D73" s="14">
        <f>SUBTOTAL(9,B72:B73)</f>
        <v>10</v>
      </c>
      <c r="F73" t="inlineStr">
        <is>
          <t>Extra 1 A</t>
        </is>
      </c>
      <c r="G73">
        <f>IF(OR(All_Questions_Q_EXTRA_1_CT="(None)",G$71=""),"",COUNTIFS(Q_EXTRA_1_data,"Extra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3">
        <f>IF(OR(All_Questions_Q_EXTRA_1_CT="(None)",H$71=""),"",COUNTIFS(Q_EXTRA_1_data,"Extra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3">
        <f>IF(OR(All_Questions_Q_EXTRA_1_CT="(None)",I$71=""),"",COUNTIFS(Q_EXTRA_1_data,"Extra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3">
        <f>IF(OR(All_Questions_Q_EXTRA_1_CT="(None)",J$71=""),"",COUNTIFS(Q_EXTRA_1_data,"Extra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3">
        <f>IF(OR(All_Questions_Q_EXTRA_1_CT="(None)",K$71=""),"",COUNTIFS(Q_EXTRA_1_data,"Extra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3">
        <f>IF(OR(All_Questions_Q_EXTRA_1_CT="(None)",L$71=""),"",COUNTIFS(Q_EXTRA_1_data,"Extra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3">
        <f>IF(OR(All_Questions_Q_EXTRA_1_CT="(None)",M$71=""),"",COUNTIFS(Q_EXTRA_1_data,"Extra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3">
        <f>IF(OR(All_Questions_Q_EXTRA_1_CT="(None)",N$71=""),"",COUNTIFS(Q_EXTRA_1_data,"Extra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3">
        <f>IF(OR(All_Questions_Q_EXTRA_1_CT="(None)",O$71=""),"",COUNTIFS(Q_EXTRA_1_data,"Extra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3">
        <f>IF(OR(All_Questions_Q_EXTRA_1_CT="(None)",P$71=""),"",COUNTIFS(Q_EXTRA_1_data,"Extra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3">
        <f>IF(OR(All_Questions_Q_EXTRA_1_CT="(None)",Q$71=""),"",COUNTIFS(Q_EXTRA_1_data,"Extra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3">
        <f>IF(OR(All_Questions_Q_EXTRA_1_CT="(None)",R$71=""),"",IF(R$71="Other",COUNTIFS(Q_EXTRA_1_data,"Extra 1 A",passes_workbook_filters_data,1,passes_workbook_custom_filters_data,1,All_Questions_passes_local_filters_data,1,All_Questions_Q_EXTRA_1_F_passes_per_q_filter_data,1)-SUM(G73,H73,I73,J73,K73,L73,M73,N73,O73,P73,Q73),COUNTIFS(Q_EXTRA_1_data,"Extra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3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4">
      <c r="A74" s="15" t="inlineStr">
        <is>
          <t>Total respondents</t>
        </is>
      </c>
      <c r="B74" s="15" t="n">
        <v>10</v>
      </c>
      <c r="C74" s="15" t="n"/>
      <c r="D74" s="15" t="n"/>
      <c r="F74" t="inlineStr">
        <is>
          <t>Extra 1 B</t>
        </is>
      </c>
      <c r="G74">
        <f>IF(OR(All_Questions_Q_EXTRA_1_CT="(None)",G$71=""),"",COUNTIFS(Q_EXTRA_1_data,"Extra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4">
        <f>IF(OR(All_Questions_Q_EXTRA_1_CT="(None)",H$71=""),"",COUNTIFS(Q_EXTRA_1_data,"Extra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4">
        <f>IF(OR(All_Questions_Q_EXTRA_1_CT="(None)",I$71=""),"",COUNTIFS(Q_EXTRA_1_data,"Extra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4">
        <f>IF(OR(All_Questions_Q_EXTRA_1_CT="(None)",J$71=""),"",COUNTIFS(Q_EXTRA_1_data,"Extra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4">
        <f>IF(OR(All_Questions_Q_EXTRA_1_CT="(None)",K$71=""),"",COUNTIFS(Q_EXTRA_1_data,"Extra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4">
        <f>IF(OR(All_Questions_Q_EXTRA_1_CT="(None)",L$71=""),"",COUNTIFS(Q_EXTRA_1_data,"Extra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4">
        <f>IF(OR(All_Questions_Q_EXTRA_1_CT="(None)",M$71=""),"",COUNTIFS(Q_EXTRA_1_data,"Extra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4">
        <f>IF(OR(All_Questions_Q_EXTRA_1_CT="(None)",N$71=""),"",COUNTIFS(Q_EXTRA_1_data,"Extra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4">
        <f>IF(OR(All_Questions_Q_EXTRA_1_CT="(None)",O$71=""),"",COUNTIFS(Q_EXTRA_1_data,"Extra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4">
        <f>IF(OR(All_Questions_Q_EXTRA_1_CT="(None)",P$71=""),"",COUNTIFS(Q_EXTRA_1_data,"Extra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4">
        <f>IF(OR(All_Questions_Q_EXTRA_1_CT="(None)",Q$71=""),"",COUNTIFS(Q_EXTRA_1_data,"Extra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4">
        <f>IF(OR(All_Questions_Q_EXTRA_1_CT="(None)",R$71=""),"",IF(R$71="Other",COUNTIFS(Q_EXTRA_1_data,"Extra 1 B",passes_workbook_filters_data,1,passes_workbook_custom_filters_data,1,All_Questions_passes_local_filters_data,1,All_Questions_Q_EXTRA_1_F_passes_per_q_filter_data,1)-SUM(G74,H74,I74,J74,K74,L74,M74,N74,O74,P74,Q74),COUNTIFS(Q_EXTRA_1_data,"Extra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5">
      <c r="F75" s="4" t="inlineStr">
        <is>
          <t>Total respondents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2" t="inlineStr">
        <is>
          <t>Q_EXTRA_2 - Extra mixed block question 2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>
      <c r="A78" s="13" t="inlineStr">
        <is>
          <t>Per-question filter</t>
        </is>
      </c>
      <c r="B78" t="inlineStr">
        <is>
          <t>Filter Q</t>
        </is>
      </c>
      <c r="C78" t="inlineStr">
        <is>
          <t>(None)</t>
        </is>
      </c>
      <c r="D78" t="inlineStr">
        <is>
          <t>Value</t>
        </is>
      </c>
      <c r="E78" t="inlineStr">
        <is>
          <t>(All)</t>
        </is>
      </c>
      <c r="F78" t="str">
        <f>IFERROR(INDEX(All_Questions_Data_Names,MATCH(All_Questions_Q_EXTRA_2_F_Q,All_Questions,0)),"'_RawData'!$A:$A")</f>
        <v>respondent_id_data</v>
      </c>
      <c r="G78" t="str">
        <f>"|" &amp; SUBSTITUTE(All_Questions_Q_EXTRA_2_F_V, ", ", "|") &amp; "|"</f>
        <v>|(All)|</v>
      </c>
    </row>
    <row r="79">
      <c r="A79" s="13" t="inlineStr">
        <is>
          <t>Cross-tab by</t>
        </is>
      </c>
      <c r="C79" t="inlineStr">
        <is>
          <t>(None)</t>
        </is>
      </c>
    </row>
    <row r="80"/>
    <row r="81">
      <c r="A81" s="4" t="inlineStr">
        <is>
          <t>Option</t>
        </is>
      </c>
      <c r="B81" s="4" t="inlineStr">
        <is>
          <t>Count</t>
        </is>
      </c>
      <c r="C81" s="4" t="inlineStr">
        <is>
          <t>%</t>
        </is>
      </c>
      <c r="D81" s="4" t="inlineStr">
        <is>
          <t>Denominator</t>
        </is>
      </c>
      <c r="F81" s="4" t="inlineStr">
        <is>
          <t>Option</t>
        </is>
      </c>
      <c r="G81" s="2" t="str">
        <f>IF(All_Questions_Q_EXTRA_2_CT="(None)","",IFERROR(INDEX(INDIRECT(IFERROR(INDEX(All_Questions_Options_Names,MATCH(All_Questions_Q_EXTRA_2_CT,All_Questions,0)),"'_Options'!$E$2:$E$2")),2),""))</f>
        <v/>
      </c>
      <c r="H81" s="2" t="str">
        <f>IF(All_Questions_Q_EXTRA_2_CT="(None)","",IFERROR(INDEX(INDIRECT(IFERROR(INDEX(All_Questions_Options_Names,MATCH(All_Questions_Q_EXTRA_2_CT,All_Questions,0)),"'_Options'!$E$2:$E$2")),3),""))</f>
        <v/>
      </c>
      <c r="I81" s="2" t="str">
        <f>IF(All_Questions_Q_EXTRA_2_CT="(None)","",IFERROR(INDEX(INDIRECT(IFERROR(INDEX(All_Questions_Options_Names,MATCH(All_Questions_Q_EXTRA_2_CT,All_Questions,0)),"'_Options'!$E$2:$E$2")),4),""))</f>
        <v/>
      </c>
      <c r="J81" s="2" t="str">
        <f>IF(All_Questions_Q_EXTRA_2_CT="(None)","",IFERROR(INDEX(INDIRECT(IFERROR(INDEX(All_Questions_Options_Names,MATCH(All_Questions_Q_EXTRA_2_CT,All_Questions,0)),"'_Options'!$E$2:$E$2")),5),""))</f>
        <v/>
      </c>
      <c r="K81" s="2" t="str">
        <f>IF(All_Questions_Q_EXTRA_2_CT="(None)","",IFERROR(INDEX(INDIRECT(IFERROR(INDEX(All_Questions_Options_Names,MATCH(All_Questions_Q_EXTRA_2_CT,All_Questions,0)),"'_Options'!$E$2:$E$2")),6),""))</f>
        <v/>
      </c>
      <c r="L81" s="2" t="str">
        <f>IF(All_Questions_Q_EXTRA_2_CT="(None)","",IFERROR(INDEX(INDIRECT(IFERROR(INDEX(All_Questions_Options_Names,MATCH(All_Questions_Q_EXTRA_2_CT,All_Questions,0)),"'_Options'!$E$2:$E$2")),7),""))</f>
        <v/>
      </c>
      <c r="M81" s="2" t="str">
        <f>IF(All_Questions_Q_EXTRA_2_CT="(None)","",IFERROR(INDEX(INDIRECT(IFERROR(INDEX(All_Questions_Options_Names,MATCH(All_Questions_Q_EXTRA_2_CT,All_Questions,0)),"'_Options'!$E$2:$E$2")),8),""))</f>
        <v/>
      </c>
      <c r="N81" s="2" t="str">
        <f>IF(All_Questions_Q_EXTRA_2_CT="(None)","",IFERROR(INDEX(INDIRECT(IFERROR(INDEX(All_Questions_Options_Names,MATCH(All_Questions_Q_EXTRA_2_CT,All_Questions,0)),"'_Options'!$E$2:$E$2")),9),""))</f>
        <v/>
      </c>
      <c r="O81" s="2" t="str">
        <f>IF(All_Questions_Q_EXTRA_2_CT="(None)","",IFERROR(INDEX(INDIRECT(IFERROR(INDEX(All_Questions_Options_Names,MATCH(All_Questions_Q_EXTRA_2_CT,All_Questions,0)),"'_Options'!$E$2:$E$2")),10),""))</f>
        <v/>
      </c>
      <c r="P81" s="2" t="str">
        <f>IF(All_Questions_Q_EXTRA_2_CT="(None)","",IFERROR(INDEX(INDIRECT(IFERROR(INDEX(All_Questions_Options_Names,MATCH(All_Questions_Q_EXTRA_2_CT,All_Questions,0)),"'_Options'!$E$2:$E$2")),11),""))</f>
        <v/>
      </c>
      <c r="Q81" s="2" t="str">
        <f>IF(All_Questions_Q_EXTRA_2_CT="(None)","",IFERROR(INDEX(INDIRECT(IFERROR(INDEX(All_Questions_Options_Names,MATCH(All_Questions_Q_EXTRA_2_CT,All_Questions,0)),"'_Options'!$E$2:$E$2")),12),""))</f>
        <v/>
      </c>
      <c r="R81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1" s="4" t="inlineStr">
        <is>
          <t>Total</t>
        </is>
      </c>
    </row>
    <row r="82">
      <c r="A82" t="inlineStr">
        <is>
          <t>Extra 2 A</t>
        </is>
      </c>
      <c r="B82">
        <f>COUNTIFS(Q_EXTRA_2_data,"Extra 2 A",passes_workbook_filters_data,1,passes_workbook_custom_filters_data,1,All_Questions_passes_local_filters_data,1,All_Questions_Q_EXTRA_2_F_passes_per_q_filter_data,1)</f>
        <v>6</v>
      </c>
      <c r="C82" s="7">
        <f>IFERROR(B82/SUBTOTAL(9,B82:B83),0)</f>
        <v>0.6</v>
      </c>
      <c r="D82" s="14">
        <f>SUBTOTAL(9,B82:B83)</f>
        <v>10</v>
      </c>
      <c r="F82" s="4" t="inlineStr"/>
      <c r="G82" s="4" t="inlineStr">
        <is>
          <t># of resp</t>
        </is>
      </c>
      <c r="H82" s="4" t="inlineStr">
        <is>
          <t># of resp</t>
        </is>
      </c>
      <c r="I82" s="4" t="inlineStr">
        <is>
          <t># of resp</t>
        </is>
      </c>
      <c r="J82" s="4" t="inlineStr">
        <is>
          <t># of resp</t>
        </is>
      </c>
      <c r="K82" s="4" t="inlineStr">
        <is>
          <t># of resp</t>
        </is>
      </c>
      <c r="L82" s="4" t="inlineStr">
        <is>
          <t># of resp</t>
        </is>
      </c>
      <c r="M82" s="4" t="inlineStr">
        <is>
          <t># of resp</t>
        </is>
      </c>
      <c r="N82" s="4" t="inlineStr">
        <is>
          <t># of resp</t>
        </is>
      </c>
      <c r="O82" s="4" t="inlineStr">
        <is>
          <t># of resp</t>
        </is>
      </c>
      <c r="P82" s="4" t="inlineStr">
        <is>
          <t># of resp</t>
        </is>
      </c>
      <c r="Q82" s="4" t="inlineStr">
        <is>
          <t># of resp</t>
        </is>
      </c>
      <c r="R82" s="4" t="inlineStr">
        <is>
          <t># of resp</t>
        </is>
      </c>
      <c r="S82" s="4" t="inlineStr">
        <is>
          <t># of resp</t>
        </is>
      </c>
    </row>
    <row r="83">
      <c r="A83" t="inlineStr">
        <is>
          <t>Extra 2 B</t>
        </is>
      </c>
      <c r="B83">
        <f>COUNTIFS(Q_EXTRA_2_data,"Extra 2 B",passes_workbook_filters_data,1,passes_workbook_custom_filters_data,1,All_Questions_passes_local_filters_data,1,All_Questions_Q_EXTRA_2_F_passes_per_q_filter_data,1)</f>
        <v>4</v>
      </c>
      <c r="C83" s="7">
        <f>IFERROR(B83/SUBTOTAL(9,B82:B83),0)</f>
        <v>0.4</v>
      </c>
      <c r="D83" s="14">
        <f>SUBTOTAL(9,B82:B83)</f>
        <v>10</v>
      </c>
      <c r="F83" t="inlineStr">
        <is>
          <t>Extra 2 A</t>
        </is>
      </c>
      <c r="G83">
        <f>IF(OR(All_Questions_Q_EXTRA_2_CT="(None)",G$81=""),"",COUNTIFS(Q_EXTRA_2_data,"Extra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3">
        <f>IF(OR(All_Questions_Q_EXTRA_2_CT="(None)",H$81=""),"",COUNTIFS(Q_EXTRA_2_data,"Extra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3">
        <f>IF(OR(All_Questions_Q_EXTRA_2_CT="(None)",I$81=""),"",COUNTIFS(Q_EXTRA_2_data,"Extra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3">
        <f>IF(OR(All_Questions_Q_EXTRA_2_CT="(None)",J$81=""),"",COUNTIFS(Q_EXTRA_2_data,"Extra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3">
        <f>IF(OR(All_Questions_Q_EXTRA_2_CT="(None)",K$81=""),"",COUNTIFS(Q_EXTRA_2_data,"Extra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3">
        <f>IF(OR(All_Questions_Q_EXTRA_2_CT="(None)",L$81=""),"",COUNTIFS(Q_EXTRA_2_data,"Extra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3">
        <f>IF(OR(All_Questions_Q_EXTRA_2_CT="(None)",M$81=""),"",COUNTIFS(Q_EXTRA_2_data,"Extra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3">
        <f>IF(OR(All_Questions_Q_EXTRA_2_CT="(None)",N$81=""),"",COUNTIFS(Q_EXTRA_2_data,"Extra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3">
        <f>IF(OR(All_Questions_Q_EXTRA_2_CT="(None)",O$81=""),"",COUNTIFS(Q_EXTRA_2_data,"Extra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3">
        <f>IF(OR(All_Questions_Q_EXTRA_2_CT="(None)",P$81=""),"",COUNTIFS(Q_EXTRA_2_data,"Extra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3">
        <f>IF(OR(All_Questions_Q_EXTRA_2_CT="(None)",Q$81=""),"",COUNTIFS(Q_EXTRA_2_data,"Extra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3">
        <f>IF(OR(All_Questions_Q_EXTRA_2_CT="(None)",R$81=""),"",IF(R$81="Other",COUNTIFS(Q_EXTRA_2_data,"Extra 2 A",passes_workbook_filters_data,1,passes_workbook_custom_filters_data,1,All_Questions_passes_local_filters_data,1,All_Questions_Q_EXTRA_2_F_passes_per_q_filter_data,1)-SUM(G83,H83,I83,J83,K83,L83,M83,N83,O83,P83,Q83),COUNTIFS(Q_EXTRA_2_data,"Extra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3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4">
      <c r="A84" s="15" t="inlineStr">
        <is>
          <t>Total respondents</t>
        </is>
      </c>
      <c r="B84" s="15" t="n">
        <v>10</v>
      </c>
      <c r="C84" s="15" t="n"/>
      <c r="D84" s="15" t="n"/>
      <c r="F84" t="inlineStr">
        <is>
          <t>Extra 2 B</t>
        </is>
      </c>
      <c r="G84">
        <f>IF(OR(All_Questions_Q_EXTRA_2_CT="(None)",G$81=""),"",COUNTIFS(Q_EXTRA_2_data,"Extra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4">
        <f>IF(OR(All_Questions_Q_EXTRA_2_CT="(None)",H$81=""),"",COUNTIFS(Q_EXTRA_2_data,"Extra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4">
        <f>IF(OR(All_Questions_Q_EXTRA_2_CT="(None)",I$81=""),"",COUNTIFS(Q_EXTRA_2_data,"Extra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4">
        <f>IF(OR(All_Questions_Q_EXTRA_2_CT="(None)",J$81=""),"",COUNTIFS(Q_EXTRA_2_data,"Extra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4">
        <f>IF(OR(All_Questions_Q_EXTRA_2_CT="(None)",K$81=""),"",COUNTIFS(Q_EXTRA_2_data,"Extra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4">
        <f>IF(OR(All_Questions_Q_EXTRA_2_CT="(None)",L$81=""),"",COUNTIFS(Q_EXTRA_2_data,"Extra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4">
        <f>IF(OR(All_Questions_Q_EXTRA_2_CT="(None)",M$81=""),"",COUNTIFS(Q_EXTRA_2_data,"Extra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4">
        <f>IF(OR(All_Questions_Q_EXTRA_2_CT="(None)",N$81=""),"",COUNTIFS(Q_EXTRA_2_data,"Extra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4">
        <f>IF(OR(All_Questions_Q_EXTRA_2_CT="(None)",O$81=""),"",COUNTIFS(Q_EXTRA_2_data,"Extra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4">
        <f>IF(OR(All_Questions_Q_EXTRA_2_CT="(None)",P$81=""),"",COUNTIFS(Q_EXTRA_2_data,"Extra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4">
        <f>IF(OR(All_Questions_Q_EXTRA_2_CT="(None)",Q$81=""),"",COUNTIFS(Q_EXTRA_2_data,"Extra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4">
        <f>IF(OR(All_Questions_Q_EXTRA_2_CT="(None)",R$81=""),"",IF(R$81="Other",COUNTIFS(Q_EXTRA_2_data,"Extra 2 B",passes_workbook_filters_data,1,passes_workbook_custom_filters_data,1,All_Questions_passes_local_filters_data,1,All_Questions_Q_EXTRA_2_F_passes_per_q_filter_data,1)-SUM(G84,H84,I84,J84,K84,L84,M84,N84,O84,P84,Q84),COUNTIFS(Q_EXTRA_2_data,"Extra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5">
      <c r="F85" s="4" t="inlineStr">
        <is>
          <t>Total respondents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2" t="inlineStr">
        <is>
          <t>Q_EXTRA_3 - Extra mixed block question 3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>
      <c r="A88" s="13" t="inlineStr">
        <is>
          <t>Per-question filter</t>
        </is>
      </c>
      <c r="B88" t="inlineStr">
        <is>
          <t>Filter Q</t>
        </is>
      </c>
      <c r="C88" t="inlineStr">
        <is>
          <t>(None)</t>
        </is>
      </c>
      <c r="D88" t="inlineStr">
        <is>
          <t>Value</t>
        </is>
      </c>
      <c r="E88" t="inlineStr">
        <is>
          <t>(All)</t>
        </is>
      </c>
      <c r="F88" t="str">
        <f>IFERROR(INDEX(All_Questions_Data_Names,MATCH(All_Questions_Q_EXTRA_3_F_Q,All_Questions,0)),"'_RawData'!$A:$A")</f>
        <v>respondent_id_data</v>
      </c>
      <c r="G88" t="str">
        <f>"|" &amp; SUBSTITUTE(All_Questions_Q_EXTRA_3_F_V, ", ", "|") &amp; "|"</f>
        <v>|(All)|</v>
      </c>
    </row>
    <row r="89">
      <c r="A89" s="13" t="inlineStr">
        <is>
          <t>Cross-tab by</t>
        </is>
      </c>
      <c r="C89" t="inlineStr">
        <is>
          <t>(None)</t>
        </is>
      </c>
    </row>
    <row r="90"/>
    <row r="91">
      <c r="A91" s="4" t="inlineStr">
        <is>
          <t>Option</t>
        </is>
      </c>
      <c r="B91" s="4" t="inlineStr">
        <is>
          <t>Count</t>
        </is>
      </c>
      <c r="C91" s="4" t="inlineStr">
        <is>
          <t>%</t>
        </is>
      </c>
      <c r="D91" s="4" t="inlineStr">
        <is>
          <t>Denominator</t>
        </is>
      </c>
      <c r="F91" s="4" t="inlineStr">
        <is>
          <t>Option</t>
        </is>
      </c>
      <c r="G91" s="2" t="str">
        <f>IF(All_Questions_Q_EXTRA_3_CT="(None)","",IFERROR(INDEX(INDIRECT(IFERROR(INDEX(All_Questions_Options_Names,MATCH(All_Questions_Q_EXTRA_3_CT,All_Questions,0)),"'_Options'!$E$2:$E$2")),2),""))</f>
        <v/>
      </c>
      <c r="H91" s="2" t="str">
        <f>IF(All_Questions_Q_EXTRA_3_CT="(None)","",IFERROR(INDEX(INDIRECT(IFERROR(INDEX(All_Questions_Options_Names,MATCH(All_Questions_Q_EXTRA_3_CT,All_Questions,0)),"'_Options'!$E$2:$E$2")),3),""))</f>
        <v/>
      </c>
      <c r="I91" s="2" t="str">
        <f>IF(All_Questions_Q_EXTRA_3_CT="(None)","",IFERROR(INDEX(INDIRECT(IFERROR(INDEX(All_Questions_Options_Names,MATCH(All_Questions_Q_EXTRA_3_CT,All_Questions,0)),"'_Options'!$E$2:$E$2")),4),""))</f>
        <v/>
      </c>
      <c r="J91" s="2" t="str">
        <f>IF(All_Questions_Q_EXTRA_3_CT="(None)","",IFERROR(INDEX(INDIRECT(IFERROR(INDEX(All_Questions_Options_Names,MATCH(All_Questions_Q_EXTRA_3_CT,All_Questions,0)),"'_Options'!$E$2:$E$2")),5),""))</f>
        <v/>
      </c>
      <c r="K91" s="2" t="str">
        <f>IF(All_Questions_Q_EXTRA_3_CT="(None)","",IFERROR(INDEX(INDIRECT(IFERROR(INDEX(All_Questions_Options_Names,MATCH(All_Questions_Q_EXTRA_3_CT,All_Questions,0)),"'_Options'!$E$2:$E$2")),6),""))</f>
        <v/>
      </c>
      <c r="L91" s="2" t="str">
        <f>IF(All_Questions_Q_EXTRA_3_CT="(None)","",IFERROR(INDEX(INDIRECT(IFERROR(INDEX(All_Questions_Options_Names,MATCH(All_Questions_Q_EXTRA_3_CT,All_Questions,0)),"'_Options'!$E$2:$E$2")),7),""))</f>
        <v/>
      </c>
      <c r="M91" s="2" t="str">
        <f>IF(All_Questions_Q_EXTRA_3_CT="(None)","",IFERROR(INDEX(INDIRECT(IFERROR(INDEX(All_Questions_Options_Names,MATCH(All_Questions_Q_EXTRA_3_CT,All_Questions,0)),"'_Options'!$E$2:$E$2")),8),""))</f>
        <v/>
      </c>
      <c r="N91" s="2" t="str">
        <f>IF(All_Questions_Q_EXTRA_3_CT="(None)","",IFERROR(INDEX(INDIRECT(IFERROR(INDEX(All_Questions_Options_Names,MATCH(All_Questions_Q_EXTRA_3_CT,All_Questions,0)),"'_Options'!$E$2:$E$2")),9),""))</f>
        <v/>
      </c>
      <c r="O91" s="2" t="str">
        <f>IF(All_Questions_Q_EXTRA_3_CT="(None)","",IFERROR(INDEX(INDIRECT(IFERROR(INDEX(All_Questions_Options_Names,MATCH(All_Questions_Q_EXTRA_3_CT,All_Questions,0)),"'_Options'!$E$2:$E$2")),10),""))</f>
        <v/>
      </c>
      <c r="P91" s="2" t="str">
        <f>IF(All_Questions_Q_EXTRA_3_CT="(None)","",IFERROR(INDEX(INDIRECT(IFERROR(INDEX(All_Questions_Options_Names,MATCH(All_Questions_Q_EXTRA_3_CT,All_Questions,0)),"'_Options'!$E$2:$E$2")),11),""))</f>
        <v/>
      </c>
      <c r="Q91" s="2" t="str">
        <f>IF(All_Questions_Q_EXTRA_3_CT="(None)","",IFERROR(INDEX(INDIRECT(IFERROR(INDEX(All_Questions_Options_Names,MATCH(All_Questions_Q_EXTRA_3_CT,All_Questions,0)),"'_Options'!$E$2:$E$2")),12),""))</f>
        <v/>
      </c>
      <c r="R91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1" s="4" t="inlineStr">
        <is>
          <t>Total</t>
        </is>
      </c>
    </row>
    <row r="92">
      <c r="A92" t="inlineStr">
        <is>
          <t>Extra 3 A</t>
        </is>
      </c>
      <c r="B92">
        <f>COUNTIFS(Q_EXTRA_3_data,"Extra 3 A",passes_workbook_filters_data,1,passes_workbook_custom_filters_data,1,All_Questions_passes_local_filters_data,1,All_Questions_Q_EXTRA_3_F_passes_per_q_filter_data,1)</f>
        <v>6</v>
      </c>
      <c r="C92" s="7">
        <f>IFERROR(B92/SUBTOTAL(9,B92:B93),0)</f>
        <v>0.6</v>
      </c>
      <c r="D92" s="14">
        <f>SUBTOTAL(9,B92:B93)</f>
        <v>10</v>
      </c>
      <c r="F92" s="4" t="inlineStr"/>
      <c r="G92" s="4" t="inlineStr">
        <is>
          <t># of resp</t>
        </is>
      </c>
      <c r="H92" s="4" t="inlineStr">
        <is>
          <t># of resp</t>
        </is>
      </c>
      <c r="I92" s="4" t="inlineStr">
        <is>
          <t># of resp</t>
        </is>
      </c>
      <c r="J92" s="4" t="inlineStr">
        <is>
          <t># of resp</t>
        </is>
      </c>
      <c r="K92" s="4" t="inlineStr">
        <is>
          <t># of resp</t>
        </is>
      </c>
      <c r="L92" s="4" t="inlineStr">
        <is>
          <t># of resp</t>
        </is>
      </c>
      <c r="M92" s="4" t="inlineStr">
        <is>
          <t># of resp</t>
        </is>
      </c>
      <c r="N92" s="4" t="inlineStr">
        <is>
          <t># of resp</t>
        </is>
      </c>
      <c r="O92" s="4" t="inlineStr">
        <is>
          <t># of resp</t>
        </is>
      </c>
      <c r="P92" s="4" t="inlineStr">
        <is>
          <t># of resp</t>
        </is>
      </c>
      <c r="Q92" s="4" t="inlineStr">
        <is>
          <t># of resp</t>
        </is>
      </c>
      <c r="R92" s="4" t="inlineStr">
        <is>
          <t># of resp</t>
        </is>
      </c>
      <c r="S92" s="4" t="inlineStr">
        <is>
          <t># of resp</t>
        </is>
      </c>
    </row>
    <row r="93">
      <c r="A93" t="inlineStr">
        <is>
          <t>Extra 3 B</t>
        </is>
      </c>
      <c r="B93">
        <f>COUNTIFS(Q_EXTRA_3_data,"Extra 3 B",passes_workbook_filters_data,1,passes_workbook_custom_filters_data,1,All_Questions_passes_local_filters_data,1,All_Questions_Q_EXTRA_3_F_passes_per_q_filter_data,1)</f>
        <v>4</v>
      </c>
      <c r="C93" s="7">
        <f>IFERROR(B93/SUBTOTAL(9,B92:B93),0)</f>
        <v>0.4</v>
      </c>
      <c r="D93" s="14">
        <f>SUBTOTAL(9,B92:B93)</f>
        <v>10</v>
      </c>
      <c r="F93" t="inlineStr">
        <is>
          <t>Extra 3 A</t>
        </is>
      </c>
      <c r="G93">
        <f>IF(OR(All_Questions_Q_EXTRA_3_CT="(None)",G$91=""),"",COUNTIFS(Q_EXTRA_3_data,"Extra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3">
        <f>IF(OR(All_Questions_Q_EXTRA_3_CT="(None)",H$91=""),"",COUNTIFS(Q_EXTRA_3_data,"Extra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3">
        <f>IF(OR(All_Questions_Q_EXTRA_3_CT="(None)",I$91=""),"",COUNTIFS(Q_EXTRA_3_data,"Extra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3">
        <f>IF(OR(All_Questions_Q_EXTRA_3_CT="(None)",J$91=""),"",COUNTIFS(Q_EXTRA_3_data,"Extra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3">
        <f>IF(OR(All_Questions_Q_EXTRA_3_CT="(None)",K$91=""),"",COUNTIFS(Q_EXTRA_3_data,"Extra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3">
        <f>IF(OR(All_Questions_Q_EXTRA_3_CT="(None)",L$91=""),"",COUNTIFS(Q_EXTRA_3_data,"Extra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3">
        <f>IF(OR(All_Questions_Q_EXTRA_3_CT="(None)",M$91=""),"",COUNTIFS(Q_EXTRA_3_data,"Extra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3">
        <f>IF(OR(All_Questions_Q_EXTRA_3_CT="(None)",N$91=""),"",COUNTIFS(Q_EXTRA_3_data,"Extra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3">
        <f>IF(OR(All_Questions_Q_EXTRA_3_CT="(None)",O$91=""),"",COUNTIFS(Q_EXTRA_3_data,"Extra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3">
        <f>IF(OR(All_Questions_Q_EXTRA_3_CT="(None)",P$91=""),"",COUNTIFS(Q_EXTRA_3_data,"Extra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3">
        <f>IF(OR(All_Questions_Q_EXTRA_3_CT="(None)",Q$91=""),"",COUNTIFS(Q_EXTRA_3_data,"Extra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3">
        <f>IF(OR(All_Questions_Q_EXTRA_3_CT="(None)",R$91=""),"",IF(R$91="Other",COUNTIFS(Q_EXTRA_3_data,"Extra 3 A",passes_workbook_filters_data,1,passes_workbook_custom_filters_data,1,All_Questions_passes_local_filters_data,1,All_Questions_Q_EXTRA_3_F_passes_per_q_filter_data,1)-SUM(G93,H93,I93,J93,K93,L93,M93,N93,O93,P93,Q93),COUNTIFS(Q_EXTRA_3_data,"Extra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3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4">
      <c r="A94" s="15" t="inlineStr">
        <is>
          <t>Total respondents</t>
        </is>
      </c>
      <c r="B94" s="15" t="n">
        <v>10</v>
      </c>
      <c r="C94" s="15" t="n"/>
      <c r="D94" s="15" t="n"/>
      <c r="F94" t="inlineStr">
        <is>
          <t>Extra 3 B</t>
        </is>
      </c>
      <c r="G94">
        <f>IF(OR(All_Questions_Q_EXTRA_3_CT="(None)",G$91=""),"",COUNTIFS(Q_EXTRA_3_data,"Extra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4">
        <f>IF(OR(All_Questions_Q_EXTRA_3_CT="(None)",H$91=""),"",COUNTIFS(Q_EXTRA_3_data,"Extra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4">
        <f>IF(OR(All_Questions_Q_EXTRA_3_CT="(None)",I$91=""),"",COUNTIFS(Q_EXTRA_3_data,"Extra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4">
        <f>IF(OR(All_Questions_Q_EXTRA_3_CT="(None)",J$91=""),"",COUNTIFS(Q_EXTRA_3_data,"Extra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4">
        <f>IF(OR(All_Questions_Q_EXTRA_3_CT="(None)",K$91=""),"",COUNTIFS(Q_EXTRA_3_data,"Extra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4">
        <f>IF(OR(All_Questions_Q_EXTRA_3_CT="(None)",L$91=""),"",COUNTIFS(Q_EXTRA_3_data,"Extra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4">
        <f>IF(OR(All_Questions_Q_EXTRA_3_CT="(None)",M$91=""),"",COUNTIFS(Q_EXTRA_3_data,"Extra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4">
        <f>IF(OR(All_Questions_Q_EXTRA_3_CT="(None)",N$91=""),"",COUNTIFS(Q_EXTRA_3_data,"Extra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4">
        <f>IF(OR(All_Questions_Q_EXTRA_3_CT="(None)",O$91=""),"",COUNTIFS(Q_EXTRA_3_data,"Extra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4">
        <f>IF(OR(All_Questions_Q_EXTRA_3_CT="(None)",P$91=""),"",COUNTIFS(Q_EXTRA_3_data,"Extra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4">
        <f>IF(OR(All_Questions_Q_EXTRA_3_CT="(None)",Q$91=""),"",COUNTIFS(Q_EXTRA_3_data,"Extra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4">
        <f>IF(OR(All_Questions_Q_EXTRA_3_CT="(None)",R$91=""),"",IF(R$91="Other",COUNTIFS(Q_EXTRA_3_data,"Extra 3 B",passes_workbook_filters_data,1,passes_workbook_custom_filters_data,1,All_Questions_passes_local_filters_data,1,All_Questions_Q_EXTRA_3_F_passes_per_q_filter_data,1)-SUM(G94,H94,I94,J94,K94,L94,M94,N94,O94,P94,Q94),COUNTIFS(Q_EXTRA_3_data,"Extra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5">
      <c r="F95" s="4" t="inlineStr">
        <is>
          <t>Total respondents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2:B7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2:C7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3:G7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3:H7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3:I7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3:J7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3:K7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3:L7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3:M7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3:N7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3:O7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3:P7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3:Q74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3:R74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2:B8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2:C8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3:G84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3:H84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3:I84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3:J84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3:K84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3:L84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3:M84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3:N84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3:O84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3:P84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3:Q84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3:R84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2:B9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2:C9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3:G94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3:H94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3:I94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3:J94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3:K94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3:L94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3:M94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3:N94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3:O94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3:P94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3:Q94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3:R94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C68" showDropDown="0" showInputMessage="0" showErrorMessage="0" allowBlank="1" type="list">
      <formula1>=All_Questions</formula1>
    </dataValidation>
    <dataValidation sqref="E68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9" showDropDown="0" showInputMessage="0" showErrorMessage="0" allowBlank="1" type="list">
      <formula1>=All_Questions</formula1>
    </dataValidation>
    <dataValidation sqref="C78" showDropDown="0" showInputMessage="0" showErrorMessage="0" allowBlank="1" type="list">
      <formula1>=All_Questions</formula1>
    </dataValidation>
    <dataValidation sqref="E78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9" showDropDown="0" showInputMessage="0" showErrorMessage="0" allowBlank="1" type="list">
      <formula1>=All_Questions</formula1>
    </dataValidation>
    <dataValidation sqref="C88" showDropDown="0" showInputMessage="0" showErrorMessage="0" allowBlank="1" type="list">
      <formula1>=All_Questions</formula1>
    </dataValidation>
    <dataValidation sqref="E88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2026-06-05T08:40:05Z</dcterms:created>
  <dcterms:modified xmlns:dcterms="http://purl.org/dc/terms/" xmlns:xsi="http://www.w3.org/2001/XMLSchema-instance" xsi:type="dcterms:W3CDTF">2026-06-05T08:40:08Z</dcterms:modified>
</cp:coreProperties>
</file>