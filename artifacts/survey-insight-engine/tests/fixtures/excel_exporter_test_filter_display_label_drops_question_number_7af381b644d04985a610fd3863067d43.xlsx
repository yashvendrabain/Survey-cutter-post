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In Which Country Are You Based?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IF(All_Questions_Q_NUM_EXPORT_CT="(None)","",IFERROR(INDEX(INDIRECT(IFERROR(INDEX(All_Questions_Options_Names,MATCH(All_Questions_Q_NUM_EXPORT_CT,All_Questions,0)),"'_Options'!$E$2:$E$2")),2),""))</f>
        <v/>
      </c>
      <c r="H35" s="2" t="str">
        <f>IF(All_Questions_Q_NUM_EXPORT_CT="(None)","",IFERROR(INDEX(INDIRECT(IFERROR(INDEX(All_Questions_Options_Names,MATCH(All_Questions_Q_NUM_EXPORT_CT,All_Questions,0)),"'_Options'!$E$2:$E$2")),3),""))</f>
        <v/>
      </c>
      <c r="I35" s="2" t="str">
        <f>IF(All_Questions_Q_NUM_EXPORT_CT="(None)","",IFERROR(INDEX(INDIRECT(IFERROR(INDEX(All_Questions_Options_Names,MATCH(All_Questions_Q_NUM_EXPORT_CT,All_Questions,0)),"'_Options'!$E$2:$E$2")),4),""))</f>
        <v/>
      </c>
      <c r="J35" s="2" t="str">
        <f>IF(All_Questions_Q_NUM_EXPORT_CT="(None)","",IFERROR(INDEX(INDIRECT(IFERROR(INDEX(All_Questions_Options_Names,MATCH(All_Questions_Q_NUM_EXPORT_CT,All_Questions,0)),"'_Options'!$E$2:$E$2")),5),""))</f>
        <v/>
      </c>
      <c r="K35" s="2" t="str">
        <f>IF(All_Questions_Q_NUM_EXPORT_CT="(None)","",IFERROR(INDEX(INDIRECT(IFERROR(INDEX(All_Questions_Options_Names,MATCH(All_Questions_Q_NUM_EXPORT_CT,All_Questions,0)),"'_Options'!$E$2:$E$2")),6),""))</f>
        <v/>
      </c>
      <c r="L35" s="2" t="str">
        <f>IF(All_Questions_Q_NUM_EXPORT_CT="(None)","",IFERROR(INDEX(INDIRECT(IFERROR(INDEX(All_Questions_Options_Names,MATCH(All_Questions_Q_NUM_EXPORT_CT,All_Questions,0)),"'_Options'!$E$2:$E$2")),7),""))</f>
        <v/>
      </c>
      <c r="M35" s="2" t="str">
        <f>IF(All_Questions_Q_NUM_EXPORT_CT="(None)","",IFERROR(INDEX(INDIRECT(IFERROR(INDEX(All_Questions_Options_Names,MATCH(All_Questions_Q_NUM_EXPORT_CT,All_Questions,0)),"'_Options'!$E$2:$E$2")),8),""))</f>
        <v/>
      </c>
      <c r="N35" s="2" t="str">
        <f>IF(All_Questions_Q_NUM_EXPORT_CT="(None)","",IFERROR(INDEX(INDIRECT(IFERROR(INDEX(All_Questions_Options_Names,MATCH(All_Questions_Q_NUM_EXPORT_CT,All_Questions,0)),"'_Options'!$E$2:$E$2")),9),""))</f>
        <v/>
      </c>
      <c r="O35" s="2" t="str">
        <f>IF(All_Questions_Q_NUM_EXPORT_CT="(None)","",IFERROR(INDEX(INDIRECT(IFERROR(INDEX(All_Questions_Options_Names,MATCH(All_Questions_Q_NUM_EXPORT_CT,All_Questions,0)),"'_Options'!$E$2:$E$2")),10),""))</f>
        <v/>
      </c>
      <c r="P35" s="2" t="str">
        <f>IF(All_Questions_Q_NUM_EXPORT_CT="(None)","",IFERROR(INDEX(INDIRECT(IFERROR(INDEX(All_Questions_Options_Names,MATCH(All_Questions_Q_NUM_EXPORT_CT,All_Questions,0)),"'_Options'!$E$2:$E$2")),11),""))</f>
        <v/>
      </c>
      <c r="Q35" s="2" t="str">
        <f>IF(All_Questions_Q_NUM_EXPORT_CT="(None)","",IFERROR(INDEX(INDIRECT(IFERROR(INDEX(All_Questions_Options_Names,MATCH(All_Questions_Q_NUM_EXPORT_CT,All_Questions,0)),"'_Options'!$E$2:$E$2")),12),""))</f>
        <v/>
      </c>
      <c r="R3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IFERROR(INDEX(All_Questions_Data_Names,MATCH(All_Questions_Q_GRID_EXPORT_F_Q,All_Questions,0)),"'_RawData'!$A:$A")</f>
        <v>respondent_id_data</v>
      </c>
      <c r="G42" t="str">
        <f>"|" &amp; SUBSTITUTE(All_Questions_Q_GRID_EXPORT_F_V, ", ", "|") &amp; "|"</f>
        <v>|(All)|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IF(All_Questions_Q_GRID_EXPORT_CT="(None)","",IFERROR(INDEX(INDIRECT(IFERROR(INDEX(All_Questions_Options_Names,MATCH(All_Questions_Q_GRID_EXPORT_CT,All_Questions,0)),"'_Options'!$E$2:$E$2")),2),""))</f>
        <v/>
      </c>
      <c r="H52" s="2" t="str">
        <f>IF(All_Questions_Q_GRID_EXPORT_CT="(None)","",IFERROR(INDEX(INDIRECT(IFERROR(INDEX(All_Questions_Options_Names,MATCH(All_Questions_Q_GRID_EXPORT_CT,All_Questions,0)),"'_Options'!$E$2:$E$2")),3),""))</f>
        <v/>
      </c>
      <c r="I52" s="2" t="str">
        <f>IF(All_Questions_Q_GRID_EXPORT_CT="(None)","",IFERROR(INDEX(INDIRECT(IFERROR(INDEX(All_Questions_Options_Names,MATCH(All_Questions_Q_GRID_EXPORT_CT,All_Questions,0)),"'_Options'!$E$2:$E$2")),4),""))</f>
        <v/>
      </c>
      <c r="J52" s="2" t="str">
        <f>IF(All_Questions_Q_GRID_EXPORT_CT="(None)","",IFERROR(INDEX(INDIRECT(IFERROR(INDEX(All_Questions_Options_Names,MATCH(All_Questions_Q_GRID_EXPORT_CT,All_Questions,0)),"'_Options'!$E$2:$E$2")),5),""))</f>
        <v/>
      </c>
      <c r="K52" s="2" t="str">
        <f>IF(All_Questions_Q_GRID_EXPORT_CT="(None)","",IFERROR(INDEX(INDIRECT(IFERROR(INDEX(All_Questions_Options_Names,MATCH(All_Questions_Q_GRID_EXPORT_CT,All_Questions,0)),"'_Options'!$E$2:$E$2")),6),""))</f>
        <v/>
      </c>
      <c r="L52" s="2" t="str">
        <f>IF(All_Questions_Q_GRID_EXPORT_CT="(None)","",IFERROR(INDEX(INDIRECT(IFERROR(INDEX(All_Questions_Options_Names,MATCH(All_Questions_Q_GRID_EXPORT_CT,All_Questions,0)),"'_Options'!$E$2:$E$2")),7),""))</f>
        <v/>
      </c>
      <c r="M52" s="2" t="str">
        <f>IF(All_Questions_Q_GRID_EXPORT_CT="(None)","",IFERROR(INDEX(INDIRECT(IFERROR(INDEX(All_Questions_Options_Names,MATCH(All_Questions_Q_GRID_EXPORT_CT,All_Questions,0)),"'_Options'!$E$2:$E$2")),8),""))</f>
        <v/>
      </c>
      <c r="N52" s="2" t="str">
        <f>IF(All_Questions_Q_GRID_EXPORT_CT="(None)","",IFERROR(INDEX(INDIRECT(IFERROR(INDEX(All_Questions_Options_Names,MATCH(All_Questions_Q_GRID_EXPORT_CT,All_Questions,0)),"'_Options'!$E$2:$E$2")),9),""))</f>
        <v/>
      </c>
      <c r="O52" s="2" t="str">
        <f>IF(All_Questions_Q_GRID_EXPORT_CT="(None)","",IFERROR(INDEX(INDIRECT(IFERROR(INDEX(All_Questions_Options_Names,MATCH(All_Questions_Q_GRID_EXPORT_CT,All_Questions,0)),"'_Options'!$E$2:$E$2")),10),""))</f>
        <v/>
      </c>
      <c r="P52" s="2" t="str">
        <f>IF(All_Questions_Q_GRID_EXPORT_CT="(None)","",IFERROR(INDEX(INDIRECT(IFERROR(INDEX(All_Questions_Options_Names,MATCH(All_Questions_Q_GRID_EXPORT_CT,All_Questions,0)),"'_Options'!$E$2:$E$2")),11),""))</f>
        <v/>
      </c>
      <c r="Q52" s="2" t="str">
        <f>IF(All_Questions_Q_GRID_EXPORT_CT="(None)","",IFERROR(INDEX(INDIRECT(IFERROR(INDEX(All_Questions_Options_Names,MATCH(All_Questions_Q_GRID_EXPORT_CT,All_Questions,0)),"'_Options'!$E$2:$E$2")),12),""))</f>
        <v/>
      </c>
      <c r="R5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IFERROR(INDEX(All_Questions_Data_Names,MATCH(All_Questions_Q_VERY_LONG_SINGLE_SELECT_EXPORT_NAME_F_Q,All_Questions,0)),"'_RawData'!$A:$A")</f>
        <v>respondent_id_data</v>
      </c>
      <c r="G60" t="str">
        <f>"|" &amp; SUBSTITUTE(All_Questions_Q_VERY_LONG_SINGLE_SELECT_EXPORT_NAME_F_V, ", ", "|") &amp; "|"</f>
        <v>|(All)|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2026-06-08T09:15:46.711693+00:00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2026-06-08T09:15:46.711734+00:00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2026-06-08T09:15:46.711762+00:00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2026-06-08T09:15:46.711790+00:00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2026-06-08T09:15:46.711816+00:00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2026-06-08T09:15:46.711843+00:00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2026-06-08T09:15:46.711868+00:00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2026-06-08T09:15:46.711894+00:00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2026-06-08T09:15:46.711920+00:00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2026-06-08T09:15:46.711945+00:00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2026-06-08T09:15:46.711971+00:00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2026-06-08T09:15:46.712004+00:00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2026-06-08T09:15:46.712055+00:00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2026-06-08T09:15:46.712107+00:00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2026-06-08T09:15:46.712169+00:00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2026-06-08T09:15:46.712202+00:00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2026-06-08T09:15:46.712233+00:00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2026-06-08T09:15:46.712260+00:00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2026-06-08T09:15:46.712288+00:00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2026-06-08T09:15:46.712315+00:00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2026-06-08T09:15:46.712341+00:00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2026-06-08T09:15:46.712369+00:00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2026-06-08T09:15:46.712398+00:00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2026-06-08T09:15:46.712434+00:00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2026-06-08T09:15:46.716015+00:00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2026-06-08T09:15:46.716043+00:00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2026-06-08T09:15:46.716064+00:00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2026-06-08T09:15:46.716111+00:00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2026-06-08T09:15:46.716162+00:00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2026-06-08T09:15:46.716184+00:00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2026-06-08T09:15:46.716205+00:00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2026-06-08T09:15:46.716225+00:00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2026-06-08T09:15:46.716244+00:00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2026-06-08T09:15:46.716262+00:00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2026-06-08T09:15:46.716279+00:00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2026-06-08T09:15:46.716304+00:00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2026-06-08T09:15:46Z</dcterms:created>
  <dcterms:modified xmlns:dcterms="http://purl.org/dc/terms/" xmlns:xsi="http://www.w3.org/2001/XMLSchema-instance" xsi:type="dcterms:W3CDTF">2026-06-08T09:15:46Z</dcterms:modified>
</cp:coreProperties>
</file>