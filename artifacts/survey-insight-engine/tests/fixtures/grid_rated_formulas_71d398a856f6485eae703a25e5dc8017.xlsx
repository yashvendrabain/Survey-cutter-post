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30r1c1_data">'_RawData'!$B$2:$B$5</definedName>
    <definedName name="Q30r1c2_data">'_RawData'!$C$2:$C$5</definedName>
    <definedName name="Q30r2c1_data">'_RawData'!$D$2:$D$5</definedName>
    <definedName name="Q30r2c2_data">'_RawData'!$E$2:$E$5</definedName>
    <definedName name="All_Questions">'_Options'!$A$2:$A$2</definedName>
    <definedName name="All_Questions_Local">'_Options'!$B$2:$B$3</definedName>
    <definedName name="None_options">'_Options'!$E$2:$E$2</definedName>
    <definedName name="Q30r1c1_options">'_Options'!$F$2:$F$4</definedName>
    <definedName name="Q30r1c1_local_options">'_Options'!$J$2:$J$5</definedName>
    <definedName name="Q30r1c2_options">'_Options'!$G$2:$G$4</definedName>
    <definedName name="Q30r1c2_local_options">'_Options'!$K$2:$K$5</definedName>
    <definedName name="Q30r2c1_options">'_Options'!$H$2:$H$4</definedName>
    <definedName name="Q30r2c1_local_options">'_Options'!$L$2:$L$5</definedName>
    <definedName name="Q30r2c2_options">'_Options'!$I$2:$I$4</definedName>
    <definedName name="Q30r2c2_local_options">'_Options'!$M$2:$M$5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'_RawData'!$J$2:$J$5</definedName>
    <definedName name="All_Questions_Q30_F_Q">'All Questions'!$C$13</definedName>
    <definedName name="All_Questions_Q30_F_V">'All Questions'!$E$13</definedName>
    <definedName name="All_Questions_Q30_F_resolved_column">'All Questions'!$F$13</definedName>
    <definedName name="All_Questions_Q30_F_wrapped">'All Questions'!$G$13</definedName>
    <definedName name="All_Questions_Q30_F_passes_per_q_filter_data">'_RawData'!$K$2:$K$5</definedName>
    <definedName name="All_Questions_Q3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F3" i="1"/>
  <c r="G3" i="1"/>
  <c r="H3" i="1"/>
  <c r="I3" i="1"/>
  <c r="J3" i="1"/>
  <c r="K3" i="1"/>
  <c r="F4" i="1"/>
  <c r="G4" i="1"/>
  <c r="H4" i="1"/>
  <c r="I4" i="1"/>
  <c r="J4" i="1"/>
  <c r="K4" i="1"/>
  <c r="F5" i="1"/>
  <c r="G5" i="1"/>
  <c r="H5" i="1"/>
  <c r="I5" i="1"/>
  <c r="J5" i="1"/>
  <c r="K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7" i="7"/>
  <c r="D17" i="7"/>
  <c r="E17" i="7"/>
  <c r="C18" i="7"/>
  <c r="D18" i="7"/>
  <c r="E18" i="7"/>
  <c r="B19" i="7"/>
  <c r="B20" i="7"/>
  <c r="C2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Q30r1c1</t>
        </is>
      </c>
      <c r="C1" t="inlineStr">
        <is>
          <t>Q30r1c2</t>
        </is>
      </c>
      <c r="D1" t="inlineStr">
        <is>
          <t>Q30r2c1</t>
        </is>
      </c>
      <c r="E1" t="inlineStr">
        <is>
          <t>Q30r2c2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All_Questions_Q30_F_passes_per_q_filter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1)&amp;"|",All_Questions_Q30_F_wrapped)),1,0),0))*1</f>
        <v>1</v>
      </c>
    </row>
    <row r="3">
      <c r="A3" t="n">
        <v>2</v>
      </c>
      <c r="B3" t="inlineStr">
        <is>
          <t>9</t>
        </is>
      </c>
      <c r="C3" t="inlineStr">
        <is>
          <t>7</t>
        </is>
      </c>
      <c r="D3" t="inlineStr">
        <is>
          <t>9</t>
        </is>
      </c>
      <c r="E3" t="inlineStr">
        <is>
          <t>6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2)&amp;"|",All_Questions_Q30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3)&amp;"|",All_Questions_Q30_F_wrapped)),1,0),0))*1</f>
        <v>1</v>
      </c>
    </row>
    <row r="5">
      <c r="A5" t="n">
        <v>4</v>
      </c>
      <c r="D5" t="inlineStr">
        <is>
          <t>8</t>
        </is>
      </c>
      <c r="E5" t="inlineStr">
        <is>
          <t>6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4)&amp;"|",All_Questions_Q30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Q30r1c1_options</t>
        </is>
      </c>
      <c r="G1" t="inlineStr">
        <is>
          <t>Q30r1c2_options</t>
        </is>
      </c>
      <c r="H1" t="inlineStr">
        <is>
          <t>Q30r2c1_options</t>
        </is>
      </c>
      <c r="I1" t="inlineStr">
        <is>
          <t>Q30r2c2_options</t>
        </is>
      </c>
      <c r="J1" t="inlineStr">
        <is>
          <t>Q30r1c1_local_options</t>
        </is>
      </c>
      <c r="K1" t="inlineStr">
        <is>
          <t>Q30r1c2_local_options</t>
        </is>
      </c>
      <c r="L1" t="inlineStr">
        <is>
          <t>Q30r2c1_local_options</t>
        </is>
      </c>
      <c r="M1" t="inlineStr">
        <is>
          <t>Q30r2c2_local_options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8</t>
        </is>
      </c>
      <c r="K4" t="inlineStr">
        <is>
          <t>6</t>
        </is>
      </c>
      <c r="L4" t="inlineStr">
        <is>
          <t>9</t>
        </is>
      </c>
      <c r="M4" t="inlineStr">
        <is>
          <t>7</t>
        </is>
      </c>
    </row>
    <row r="5">
      <c r="J5" t="inlineStr">
        <is>
          <t>9</t>
        </is>
      </c>
      <c r="K5" t="inlineStr">
        <is>
          <t>7</t>
        </is>
      </c>
      <c r="L5" t="inlineStr">
        <is>
          <t>8</t>
        </is>
      </c>
      <c r="M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8" customWidth="1" min="3" max="3"/>
    <col width="12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Rate each vendor attribute</t>
        </is>
      </c>
      <c r="D2" t="inlineStr">
        <is>
          <t>GRID_RATED</t>
        </is>
      </c>
      <c r="E2" t="inlineStr">
        <is>
          <t>Q30r1c1, Q30r1c2, Q30r2c1, Q30r2c2</t>
        </is>
      </c>
      <c r="F2" t="n">
        <v>11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GRID_RATED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Q30 -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IFERROR(INDEX(All_Questions_Data_Names,MATCH(All_Questions_Q30_F_Q,All_Questions,0)),"'_RawData'!$A:$A")</f>
        <v>respondent_id_data</v>
      </c>
      <c r="G13" t="str">
        <f>"|" &amp; SUBSTITUTE(All_Questions_Q30_F_V,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Winner</t>
        </is>
      </c>
      <c r="D16" s="4" t="inlineStr">
        <is>
          <t>Other vendor</t>
        </is>
      </c>
      <c r="E16" s="4" t="inlineStr">
        <is>
          <t>Delta</t>
        </is>
      </c>
    </row>
    <row r="17">
      <c r="A17" s="14" t="inlineStr">
        <is>
          <t>Q30r1</t>
        </is>
      </c>
      <c r="B17" t="inlineStr">
        <is>
          <t>Pre-purchase familiarity</t>
        </is>
      </c>
      <c r="C17" s="15">
        <f>IFERROR(AVERAGEIFS(Q30r1c1_data,Q30r1c1_data,"&gt;=0",passes_workbook_filters_data,1,passes_workbook_custom_filters_data,1,All_Questions_passes_local_filters_data,1,All_Questions_Q30_F_passes_per_q_filter_data,1),"-")</f>
        <v>8.3</v>
      </c>
      <c r="D17" s="15">
        <f>IFERROR(AVERAGEIFS(Q30r1c2_data,Q30r1c2_data,"&gt;=0",passes_workbook_filters_data,1,passes_workbook_custom_filters_data,1,All_Questions_passes_local_filters_data,1,All_Questions_Q30_F_passes_per_q_filter_data,1),"-")</f>
        <v>6.7</v>
      </c>
      <c r="E17" s="15">
        <f>C17-D17</f>
        <v>1.6</v>
      </c>
    </row>
    <row r="18">
      <c r="A18" s="14" t="inlineStr">
        <is>
          <t>Q30r2</t>
        </is>
      </c>
      <c r="B18" t="inlineStr">
        <is>
          <t>Customer validation</t>
        </is>
      </c>
      <c r="C18" s="15">
        <f>IFERROR(AVERAGEIFS(Q30r2c1_data,Q30r2c1_data,"&gt;=0",passes_workbook_filters_data,1,passes_workbook_custom_filters_data,1,All_Questions_passes_local_filters_data,1,All_Questions_Q30_F_passes_per_q_filter_data,1),"-")</f>
        <v>8.7</v>
      </c>
      <c r="D18" s="15">
        <f>IFERROR(AVERAGEIFS(Q30r2c2_data,Q30r2c2_data,"&gt;=0",passes_workbook_filters_data,1,passes_workbook_custom_filters_data,1,All_Questions_passes_local_filters_data,1,All_Questions_Q30_F_passes_per_q_filter_data,1),"-")</f>
        <v>6.3</v>
      </c>
      <c r="E18" s="15">
        <f>C18-D18</f>
        <v>2.4</v>
      </c>
    </row>
    <row r="19">
      <c r="A19" s="16" t="inlineStr">
        <is>
          <t>Total respondents</t>
        </is>
      </c>
      <c r="B19" s="17">
        <f>COUNTIFS(Q30r1c1_data,"&lt;&gt;",passes_workbook_filters_data,1,passes_workbook_custom_filters_data,1,All_Questions_passes_local_filters_data,1,All_Questions_Q30_F_passes_per_q_filter_data,1)</f>
        <v>4</v>
      </c>
      <c r="C19" s="16" t="n"/>
      <c r="D19" s="16" t="n"/>
      <c r="E19" s="16" t="n"/>
    </row>
    <row r="20">
      <c r="A20" s="4" t="inlineStr">
        <is>
          <t>Total responses</t>
        </is>
      </c>
      <c r="B20" s="18">
        <f>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12</v>
      </c>
      <c r="C20" s="4" t="n"/>
      <c r="D20" s="4" t="n"/>
      <c r="E20" s="4" t="n"/>
    </row>
    <row r="21">
      <c r="B21" s="5" t="inlineStr">
        <is>
          <t>QC check</t>
        </is>
      </c>
      <c r="C21">
        <f>B20=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</v>
      </c>
    </row>
  </sheetData>
  <mergeCells count="1">
    <mergeCell ref="A1:J1"/>
  </mergeCells>
  <conditionalFormatting sqref="C17:C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7:D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=INDIRECT(IFERROR(INDEX(All_Questions_Options_Names,MATCH(All_Questions_Q30_F_Q,All_Questions,0)),"'_Options'!$E$2:$E$2"))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2026-05-26T14:30:05Z</dcterms:created>
  <dcterms:modified xmlns:dcterms="http://purl.org/dc/terms/" xmlns:xsi="http://www.w3.org/2001/XMLSchema-instance" xsi:type="dcterms:W3CDTF">2026-05-26T14:30:07Z</dcterms:modified>
</cp:coreProperties>
</file>