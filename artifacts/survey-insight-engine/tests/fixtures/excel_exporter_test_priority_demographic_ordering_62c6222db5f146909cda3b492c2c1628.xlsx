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IFERROR(INDEX(All_Questions_Data_Names,MATCH(Demographics_Q_MS_EXPORT_F_Q,All_Questions,0)),"'_RawData'!$A:$A")</f>
        <v>respondent_id_data</v>
      </c>
      <c r="G26" t="str">
        <f>"|" &amp; SUBSTITUTE(Demographics_Q_MS_EXPORT_F_V,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IF(Demographics_Q_MS_EXPORT_CT="(None)","",IFERROR(INDEX(INDIRECT(IFERROR(INDEX(All_Questions_Options_Names,MATCH(Demographics_Q_MS_EXPORT_CT,All_Questions,0)),"'_Options'!$E$2:$E$2")),2),""))</f>
        <v/>
      </c>
      <c r="H29" s="2" t="str">
        <f>IF(Demographics_Q_MS_EXPORT_CT="(None)","",IFERROR(INDEX(INDIRECT(IFERROR(INDEX(All_Questions_Options_Names,MATCH(Demographics_Q_MS_EXPORT_CT,All_Questions,0)),"'_Options'!$E$2:$E$2")),3),""))</f>
        <v/>
      </c>
      <c r="I29" s="2" t="str">
        <f>IF(Demographics_Q_MS_EXPORT_CT="(None)","",IFERROR(INDEX(INDIRECT(IFERROR(INDEX(All_Questions_Options_Names,MATCH(Demographics_Q_MS_EXPORT_CT,All_Questions,0)),"'_Options'!$E$2:$E$2")),4),""))</f>
        <v/>
      </c>
      <c r="J29" s="2" t="str">
        <f>IF(Demographics_Q_MS_EXPORT_CT="(None)","",IFERROR(INDEX(INDIRECT(IFERROR(INDEX(All_Questions_Options_Names,MATCH(Demographics_Q_MS_EXPORT_CT,All_Questions,0)),"'_Options'!$E$2:$E$2")),5),""))</f>
        <v/>
      </c>
      <c r="K29" s="2" t="str">
        <f>IF(Demographics_Q_MS_EXPORT_CT="(None)","",IFERROR(INDEX(INDIRECT(IFERROR(INDEX(All_Questions_Options_Names,MATCH(Demographics_Q_MS_EXPORT_CT,All_Questions,0)),"'_Options'!$E$2:$E$2")),6),""))</f>
        <v/>
      </c>
      <c r="L29" s="2" t="str">
        <f>IF(Demographics_Q_MS_EXPORT_CT="(None)","",IFERROR(INDEX(INDIRECT(IFERROR(INDEX(All_Questions_Options_Names,MATCH(Demographics_Q_MS_EXPORT_CT,All_Questions,0)),"'_Options'!$E$2:$E$2")),7),""))</f>
        <v/>
      </c>
      <c r="M29" s="2" t="str">
        <f>IF(Demographics_Q_MS_EXPORT_CT="(None)","",IFERROR(INDEX(INDIRECT(IFERROR(INDEX(All_Questions_Options_Names,MATCH(Demographics_Q_MS_EXPORT_CT,All_Questions,0)),"'_Options'!$E$2:$E$2")),8),""))</f>
        <v/>
      </c>
      <c r="N29" s="2" t="str">
        <f>IF(Demographics_Q_MS_EXPORT_CT="(None)","",IFERROR(INDEX(INDIRECT(IFERROR(INDEX(All_Questions_Options_Names,MATCH(Demographics_Q_MS_EXPORT_CT,All_Questions,0)),"'_Options'!$E$2:$E$2")),9),""))</f>
        <v/>
      </c>
      <c r="O29" s="2" t="str">
        <f>IF(Demographics_Q_MS_EXPORT_CT="(None)","",IFERROR(INDEX(INDIRECT(IFERROR(INDEX(All_Questions_Options_Names,MATCH(Demographics_Q_MS_EXPORT_CT,All_Questions,0)),"'_Options'!$E$2:$E$2")),10),""))</f>
        <v/>
      </c>
      <c r="P29" s="2" t="str">
        <f>IF(Demographics_Q_MS_EXPORT_CT="(None)","",IFERROR(INDEX(INDIRECT(IFERROR(INDEX(All_Questions_Options_Names,MATCH(Demographics_Q_MS_EXPORT_CT,All_Questions,0)),"'_Options'!$E$2:$E$2")),11),""))</f>
        <v/>
      </c>
      <c r="Q29" s="2" t="str">
        <f>IF(Demographics_Q_MS_EXPORT_CT="(None)","",IFERROR(INDEX(INDIRECT(IFERROR(INDEX(All_Questions_Options_Names,MATCH(Demographics_Q_MS_EXPORT_CT,All_Questions,0)),"'_Options'!$E$2:$E$2")),12),""))</f>
        <v/>
      </c>
      <c r="R29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IF(All_Questions_Q_NUM_EXPORT_CT="(None)","",IFERROR(INDEX(INDIRECT(IFERROR(INDEX(All_Questions_Options_Names,MATCH(All_Questions_Q_NUM_EXPORT_CT,All_Questions,0)),"'_Options'!$E$2:$E$2")),2),""))</f>
        <v/>
      </c>
      <c r="H25" s="2" t="str">
        <f>IF(All_Questions_Q_NUM_EXPORT_CT="(None)","",IFERROR(INDEX(INDIRECT(IFERROR(INDEX(All_Questions_Options_Names,MATCH(All_Questions_Q_NUM_EXPORT_CT,All_Questions,0)),"'_Options'!$E$2:$E$2")),3),""))</f>
        <v/>
      </c>
      <c r="I25" s="2" t="str">
        <f>IF(All_Questions_Q_NUM_EXPORT_CT="(None)","",IFERROR(INDEX(INDIRECT(IFERROR(INDEX(All_Questions_Options_Names,MATCH(All_Questions_Q_NUM_EXPORT_CT,All_Questions,0)),"'_Options'!$E$2:$E$2")),4),""))</f>
        <v/>
      </c>
      <c r="J25" s="2" t="str">
        <f>IF(All_Questions_Q_NUM_EXPORT_CT="(None)","",IFERROR(INDEX(INDIRECT(IFERROR(INDEX(All_Questions_Options_Names,MATCH(All_Questions_Q_NUM_EXPORT_CT,All_Questions,0)),"'_Options'!$E$2:$E$2")),5),""))</f>
        <v/>
      </c>
      <c r="K25" s="2" t="str">
        <f>IF(All_Questions_Q_NUM_EXPORT_CT="(None)","",IFERROR(INDEX(INDIRECT(IFERROR(INDEX(All_Questions_Options_Names,MATCH(All_Questions_Q_NUM_EXPORT_CT,All_Questions,0)),"'_Options'!$E$2:$E$2")),6),""))</f>
        <v/>
      </c>
      <c r="L25" s="2" t="str">
        <f>IF(All_Questions_Q_NUM_EXPORT_CT="(None)","",IFERROR(INDEX(INDIRECT(IFERROR(INDEX(All_Questions_Options_Names,MATCH(All_Questions_Q_NUM_EXPORT_CT,All_Questions,0)),"'_Options'!$E$2:$E$2")),7),""))</f>
        <v/>
      </c>
      <c r="M25" s="2" t="str">
        <f>IF(All_Questions_Q_NUM_EXPORT_CT="(None)","",IFERROR(INDEX(INDIRECT(IFERROR(INDEX(All_Questions_Options_Names,MATCH(All_Questions_Q_NUM_EXPORT_CT,All_Questions,0)),"'_Options'!$E$2:$E$2")),8),""))</f>
        <v/>
      </c>
      <c r="N25" s="2" t="str">
        <f>IF(All_Questions_Q_NUM_EXPORT_CT="(None)","",IFERROR(INDEX(INDIRECT(IFERROR(INDEX(All_Questions_Options_Names,MATCH(All_Questions_Q_NUM_EXPORT_CT,All_Questions,0)),"'_Options'!$E$2:$E$2")),9),""))</f>
        <v/>
      </c>
      <c r="O25" s="2" t="str">
        <f>IF(All_Questions_Q_NUM_EXPORT_CT="(None)","",IFERROR(INDEX(INDIRECT(IFERROR(INDEX(All_Questions_Options_Names,MATCH(All_Questions_Q_NUM_EXPORT_CT,All_Questions,0)),"'_Options'!$E$2:$E$2")),10),""))</f>
        <v/>
      </c>
      <c r="P25" s="2" t="str">
        <f>IF(All_Questions_Q_NUM_EXPORT_CT="(None)","",IFERROR(INDEX(INDIRECT(IFERROR(INDEX(All_Questions_Options_Names,MATCH(All_Questions_Q_NUM_EXPORT_CT,All_Questions,0)),"'_Options'!$E$2:$E$2")),11),""))</f>
        <v/>
      </c>
      <c r="Q25" s="2" t="str">
        <f>IF(All_Questions_Q_NUM_EXPORT_CT="(None)","",IFERROR(INDEX(INDIRECT(IFERROR(INDEX(All_Questions_Options_Names,MATCH(All_Questions_Q_NUM_EXPORT_CT,All_Questions,0)),"'_Options'!$E$2:$E$2")),12),""))</f>
        <v/>
      </c>
      <c r="R2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IFERROR(INDEX(All_Questions_Data_Names,MATCH(All_Questions_Q_GRID_EXPORT_F_Q,All_Questions,0)),"'_RawData'!$A:$A")</f>
        <v>respondent_id_data</v>
      </c>
      <c r="G32" t="str">
        <f>"|" &amp; SUBSTITUTE(All_Questions_Q_GRID_EXPORT_F_V, ", ", "|") &amp; "|"</f>
        <v>|(All)|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IF(All_Questions_Q_GRID_EXPORT_CT="(None)","",IFERROR(INDEX(INDIRECT(IFERROR(INDEX(All_Questions_Options_Names,MATCH(All_Questions_Q_GRID_EXPORT_CT,All_Questions,0)),"'_Options'!$E$2:$E$2")),2),""))</f>
        <v/>
      </c>
      <c r="H42" s="2" t="str">
        <f>IF(All_Questions_Q_GRID_EXPORT_CT="(None)","",IFERROR(INDEX(INDIRECT(IFERROR(INDEX(All_Questions_Options_Names,MATCH(All_Questions_Q_GRID_EXPORT_CT,All_Questions,0)),"'_Options'!$E$2:$E$2")),3),""))</f>
        <v/>
      </c>
      <c r="I42" s="2" t="str">
        <f>IF(All_Questions_Q_GRID_EXPORT_CT="(None)","",IFERROR(INDEX(INDIRECT(IFERROR(INDEX(All_Questions_Options_Names,MATCH(All_Questions_Q_GRID_EXPORT_CT,All_Questions,0)),"'_Options'!$E$2:$E$2")),4),""))</f>
        <v/>
      </c>
      <c r="J42" s="2" t="str">
        <f>IF(All_Questions_Q_GRID_EXPORT_CT="(None)","",IFERROR(INDEX(INDIRECT(IFERROR(INDEX(All_Questions_Options_Names,MATCH(All_Questions_Q_GRID_EXPORT_CT,All_Questions,0)),"'_Options'!$E$2:$E$2")),5),""))</f>
        <v/>
      </c>
      <c r="K42" s="2" t="str">
        <f>IF(All_Questions_Q_GRID_EXPORT_CT="(None)","",IFERROR(INDEX(INDIRECT(IFERROR(INDEX(All_Questions_Options_Names,MATCH(All_Questions_Q_GRID_EXPORT_CT,All_Questions,0)),"'_Options'!$E$2:$E$2")),6),""))</f>
        <v/>
      </c>
      <c r="L42" s="2" t="str">
        <f>IF(All_Questions_Q_GRID_EXPORT_CT="(None)","",IFERROR(INDEX(INDIRECT(IFERROR(INDEX(All_Questions_Options_Names,MATCH(All_Questions_Q_GRID_EXPORT_CT,All_Questions,0)),"'_Options'!$E$2:$E$2")),7),""))</f>
        <v/>
      </c>
      <c r="M42" s="2" t="str">
        <f>IF(All_Questions_Q_GRID_EXPORT_CT="(None)","",IFERROR(INDEX(INDIRECT(IFERROR(INDEX(All_Questions_Options_Names,MATCH(All_Questions_Q_GRID_EXPORT_CT,All_Questions,0)),"'_Options'!$E$2:$E$2")),8),""))</f>
        <v/>
      </c>
      <c r="N42" s="2" t="str">
        <f>IF(All_Questions_Q_GRID_EXPORT_CT="(None)","",IFERROR(INDEX(INDIRECT(IFERROR(INDEX(All_Questions_Options_Names,MATCH(All_Questions_Q_GRID_EXPORT_CT,All_Questions,0)),"'_Options'!$E$2:$E$2")),9),""))</f>
        <v/>
      </c>
      <c r="O42" s="2" t="str">
        <f>IF(All_Questions_Q_GRID_EXPORT_CT="(None)","",IFERROR(INDEX(INDIRECT(IFERROR(INDEX(All_Questions_Options_Names,MATCH(All_Questions_Q_GRID_EXPORT_CT,All_Questions,0)),"'_Options'!$E$2:$E$2")),10),""))</f>
        <v/>
      </c>
      <c r="P42" s="2" t="str">
        <f>IF(All_Questions_Q_GRID_EXPORT_CT="(None)","",IFERROR(INDEX(INDIRECT(IFERROR(INDEX(All_Questions_Options_Names,MATCH(All_Questions_Q_GRID_EXPORT_CT,All_Questions,0)),"'_Options'!$E$2:$E$2")),11),""))</f>
        <v/>
      </c>
      <c r="Q42" s="2" t="str">
        <f>IF(All_Questions_Q_GRID_EXPORT_CT="(None)","",IFERROR(INDEX(INDIRECT(IFERROR(INDEX(All_Questions_Options_Names,MATCH(All_Questions_Q_GRID_EXPORT_CT,All_Questions,0)),"'_Options'!$E$2:$E$2")),12),""))</f>
        <v/>
      </c>
      <c r="R4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IFERROR(INDEX(All_Questions_Data_Names,MATCH(All_Questions_Q_VERY_LONG_SINGLE_SELECT_EXPORT_NAME_F_Q,All_Questions,0)),"'_RawData'!$A:$A")</f>
        <v>respondent_id_data</v>
      </c>
      <c r="G50" t="str">
        <f>"|" &amp; SUBSTITUTE(All_Questions_Q_VERY_LONG_SINGLE_SELECT_EXPORT_NAME_F_V, ", ", "|") &amp; "|"</f>
        <v>|(All)|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=All_Questions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2026-06-08T13:15:34.384348+00:00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2026-06-08T13:15:34.384644+00:00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2026-06-08T13:15:34.384896+00:00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2026-06-08T13:15:34.385203+00:00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2026-06-08T13:15:34.385486+00:00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2026-06-08T13:15:34.385727+00:00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2026-06-08T13:15:34.386008+00:00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2026-06-08T13:15:34.386257+00:00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2026-06-08T13:15:34.386531+00:00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2026-06-08T13:15:34.386766+00:00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2026-06-08T13:15:34.387029+00:00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2026-06-08T13:15:34.387454+00:00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2026-06-08T13:15:34.387904+00:00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2026-06-08T13:15:34.388171+00:00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2026-06-08T13:15:34.388475+00:00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2026-06-08T13:15:34.388715+00:00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2026-06-08T13:15:34.388968+00:00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2026-06-08T13:15:34.389213+00:00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2026-06-08T13:15:34.389486+00:00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2026-06-08T13:15:34.389732+00:00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2026-06-08T13:15:34.389985+00:00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2026-06-08T13:15:34.390231+00:00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2026-06-08T13:15:34.390502+00:00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All_Questions_Data_Names,MATCH(Demographics_Q_MS_EXPORT_CT,All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2026-06-08T13:15:34.390808+00:00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2026-06-08T13:15:34.430340+00:00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2026-06-08T13:15:34.430541+00:00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2026-06-08T13:15:34.430712+00:00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2026-06-08T13:15:34.430876+00:00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2026-06-08T13:15:34.431070+00:00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2026-06-08T13:15:34.431239+00:00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2026-06-08T13:15:34.431443+00:00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2026-06-08T13:15:34.431610+00:00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2026-06-08T13:15:34.431773+00:00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2026-06-08T13:15:34.431939+00:00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2026-06-08T13:15:34.432140+00:00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2026-06-08T13:15:34.432405+00:00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2026-06-08T13:15:34Z</dcterms:created>
  <dcterms:modified xmlns:dcterms="http://purl.org/dc/terms/" xmlns:xsi="http://www.w3.org/2001/XMLSchema-instance" xsi:type="dcterms:W3CDTF">2026-06-08T13:15:34Z</dcterms:modified>
</cp:coreProperties>
</file>