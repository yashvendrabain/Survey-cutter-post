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I16" i="7"/>
  <c r="K16" i="7"/>
  <c r="M16" i="7"/>
  <c r="O16" i="7"/>
  <c r="Q16" i="7"/>
  <c r="S16" i="7"/>
  <c r="U16" i="7"/>
  <c r="W16" i="7"/>
  <c r="Y16" i="7"/>
  <c r="AA16" i="7"/>
  <c r="AC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E20" i="7"/>
  <c r="F23" i="7"/>
  <c r="G23" i="7"/>
  <c r="G26" i="7"/>
  <c r="I26" i="7"/>
  <c r="K26" i="7"/>
  <c r="M26" i="7"/>
  <c r="O26" i="7"/>
  <c r="Q26" i="7"/>
  <c r="S26" i="7"/>
  <c r="U26" i="7"/>
  <c r="W26" i="7"/>
  <c r="Y26" i="7"/>
  <c r="AA26" i="7"/>
  <c r="AC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E30" i="7"/>
  <c r="F33" i="7"/>
  <c r="G33" i="7"/>
  <c r="B37" i="7"/>
  <c r="D37" i="7"/>
  <c r="B38" i="7"/>
  <c r="D38" i="7"/>
  <c r="B39" i="7"/>
  <c r="D39" i="7"/>
  <c r="D40" i="7"/>
  <c r="F45" i="7"/>
  <c r="G45" i="7"/>
  <c r="G48" i="7"/>
  <c r="I48" i="7"/>
  <c r="K48" i="7"/>
  <c r="M48" i="7"/>
  <c r="O48" i="7"/>
  <c r="Q48" i="7"/>
  <c r="S48" i="7"/>
  <c r="U48" i="7"/>
  <c r="W48" i="7"/>
  <c r="Y48" i="7"/>
  <c r="AA48" i="7"/>
  <c r="AC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AB50" i="7"/>
  <c r="AC50" i="7"/>
  <c r="AD50" i="7"/>
  <c r="AE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AE51" i="7"/>
  <c r="AE52" i="7"/>
  <c r="F55" i="7"/>
  <c r="G55" i="7"/>
  <c r="G58" i="7"/>
  <c r="I58" i="7"/>
  <c r="K58" i="7"/>
  <c r="M58" i="7"/>
  <c r="O58" i="7"/>
  <c r="Q58" i="7"/>
  <c r="S58" i="7"/>
  <c r="U58" i="7"/>
  <c r="W58" i="7"/>
  <c r="Y58" i="7"/>
  <c r="AA58" i="7"/>
  <c r="AC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AB60" i="7"/>
  <c r="AC60" i="7"/>
  <c r="AD60" i="7"/>
  <c r="AE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C61" i="7"/>
  <c r="AD61" i="7"/>
  <c r="AE61" i="7"/>
  <c r="AE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n"/>
      <c r="I16" s="2" t="str">
        <f>IF(All_Questions_Q_SS_EXPORT_CT="(None)","",IFERROR(INDEX(INDIRECT(IFERROR(INDEX(All_Questions_Options_Names,MATCH(All_Questions_Q_SS_EXPORT_CT,All_Questions,0)),"'_Options'!$E$2:$E$2")),3),""))</f>
        <v/>
      </c>
      <c r="J16" s="2" t="n"/>
      <c r="K16" s="2" t="str">
        <f>IF(All_Questions_Q_SS_EXPORT_CT="(None)","",IFERROR(INDEX(INDIRECT(IFERROR(INDEX(All_Questions_Options_Names,MATCH(All_Questions_Q_SS_EXPORT_CT,All_Questions,0)),"'_Options'!$E$2:$E$2")),4),""))</f>
        <v/>
      </c>
      <c r="L16" s="2" t="n"/>
      <c r="M16" s="2" t="str">
        <f>IF(All_Questions_Q_SS_EXPORT_CT="(None)","",IFERROR(INDEX(INDIRECT(IFERROR(INDEX(All_Questions_Options_Names,MATCH(All_Questions_Q_SS_EXPORT_CT,All_Questions,0)),"'_Options'!$E$2:$E$2")),5),""))</f>
        <v/>
      </c>
      <c r="N16" s="2" t="n"/>
      <c r="O16" s="2" t="str">
        <f>IF(All_Questions_Q_SS_EXPORT_CT="(None)","",IFERROR(INDEX(INDIRECT(IFERROR(INDEX(All_Questions_Options_Names,MATCH(All_Questions_Q_SS_EXPORT_CT,All_Questions,0)),"'_Options'!$E$2:$E$2")),6),""))</f>
        <v/>
      </c>
      <c r="P16" s="2" t="n"/>
      <c r="Q16" s="2" t="str">
        <f>IF(All_Questions_Q_SS_EXPORT_CT="(None)","",IFERROR(INDEX(INDIRECT(IFERROR(INDEX(All_Questions_Options_Names,MATCH(All_Questions_Q_SS_EXPORT_CT,All_Questions,0)),"'_Options'!$E$2:$E$2")),7),""))</f>
        <v/>
      </c>
      <c r="R16" s="2" t="n"/>
      <c r="S16" s="2" t="str">
        <f>IF(All_Questions_Q_SS_EXPORT_CT="(None)","",IFERROR(INDEX(INDIRECT(IFERROR(INDEX(All_Questions_Options_Names,MATCH(All_Questions_Q_SS_EXPORT_CT,All_Questions,0)),"'_Options'!$E$2:$E$2")),8),""))</f>
        <v/>
      </c>
      <c r="T16" s="2" t="n"/>
      <c r="U16" s="2" t="str">
        <f>IF(All_Questions_Q_SS_EXPORT_CT="(None)","",IFERROR(INDEX(INDIRECT(IFERROR(INDEX(All_Questions_Options_Names,MATCH(All_Questions_Q_SS_EXPORT_CT,All_Questions,0)),"'_Options'!$E$2:$E$2")),9),""))</f>
        <v/>
      </c>
      <c r="V16" s="2" t="n"/>
      <c r="W16" s="2" t="str">
        <f>IF(All_Questions_Q_SS_EXPORT_CT="(None)","",IFERROR(INDEX(INDIRECT(IFERROR(INDEX(All_Questions_Options_Names,MATCH(All_Questions_Q_SS_EXPORT_CT,All_Questions,0)),"'_Options'!$E$2:$E$2")),10),""))</f>
        <v/>
      </c>
      <c r="X16" s="2" t="n"/>
      <c r="Y16" s="2" t="str">
        <f>IF(All_Questions_Q_SS_EXPORT_CT="(None)","",IFERROR(INDEX(INDIRECT(IFERROR(INDEX(All_Questions_Options_Names,MATCH(All_Questions_Q_SS_EXPORT_CT,All_Questions,0)),"'_Options'!$E$2:$E$2")),11),""))</f>
        <v/>
      </c>
      <c r="Z16" s="2" t="n"/>
      <c r="AA16" s="2" t="str">
        <f>IF(All_Questions_Q_SS_EXPORT_CT="(None)","",IFERROR(INDEX(INDIRECT(IFERROR(INDEX(All_Questions_Options_Names,MATCH(All_Questions_Q_SS_EXPORT_CT,All_Questions,0)),"'_Options'!$E$2:$E$2")),12),""))</f>
        <v/>
      </c>
      <c r="AB16" s="2" t="n"/>
      <c r="AC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AD16" s="2" t="n"/>
      <c r="AE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% of resp</t>
        </is>
      </c>
      <c r="I17" s="4" t="inlineStr">
        <is>
          <t># of resp</t>
        </is>
      </c>
      <c r="J17" s="4" t="inlineStr">
        <is>
          <t>% of resp</t>
        </is>
      </c>
      <c r="K17" s="4" t="inlineStr">
        <is>
          <t># of resp</t>
        </is>
      </c>
      <c r="L17" s="4" t="inlineStr">
        <is>
          <t>% of resp</t>
        </is>
      </c>
      <c r="M17" s="4" t="inlineStr">
        <is>
          <t># of resp</t>
        </is>
      </c>
      <c r="N17" s="4" t="inlineStr">
        <is>
          <t>% of resp</t>
        </is>
      </c>
      <c r="O17" s="4" t="inlineStr">
        <is>
          <t># of resp</t>
        </is>
      </c>
      <c r="P17" s="4" t="inlineStr">
        <is>
          <t>% of resp</t>
        </is>
      </c>
      <c r="Q17" s="4" t="inlineStr">
        <is>
          <t># of resp</t>
        </is>
      </c>
      <c r="R17" s="4" t="inlineStr">
        <is>
          <t>% of resp</t>
        </is>
      </c>
      <c r="S17" s="4" t="inlineStr">
        <is>
          <t># of resp</t>
        </is>
      </c>
      <c r="T17" s="4" t="inlineStr">
        <is>
          <t>% of resp</t>
        </is>
      </c>
      <c r="U17" s="4" t="inlineStr">
        <is>
          <t># of resp</t>
        </is>
      </c>
      <c r="V17" s="4" t="inlineStr">
        <is>
          <t>% of resp</t>
        </is>
      </c>
      <c r="W17" s="4" t="inlineStr">
        <is>
          <t># of resp</t>
        </is>
      </c>
      <c r="X17" s="4" t="inlineStr">
        <is>
          <t>% of resp</t>
        </is>
      </c>
      <c r="Y17" s="4" t="inlineStr">
        <is>
          <t># of resp</t>
        </is>
      </c>
      <c r="Z17" s="4" t="inlineStr">
        <is>
          <t>% of resp</t>
        </is>
      </c>
      <c r="AA17" s="4" t="inlineStr">
        <is>
          <t># of resp</t>
        </is>
      </c>
      <c r="AB17" s="4" t="inlineStr">
        <is>
          <t>% of resp</t>
        </is>
      </c>
      <c r="AC17" s="4" t="inlineStr">
        <is>
          <t># of resp</t>
        </is>
      </c>
      <c r="AD17" s="4" t="inlineStr">
        <is>
          <t>% of resp</t>
        </is>
      </c>
      <c r="AE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 s="7">
        <f>IFERROR(G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,0)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 s="7">
        <f>IFERROR(I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,0)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 s="7">
        <f>IFERROR(K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,0)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 s="7">
        <f>IFERROR(M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,0)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 s="7">
        <f>IFERROR(O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,0)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 s="7">
        <f>IFERROR(Q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,0)</f>
        <v>0</v>
      </c>
      <c r="S18">
        <f>IF(OR(All_Questions_Q_SS_EXPORT_CT="(None)",S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S$16))</f>
        <v>0</v>
      </c>
      <c r="T18" s="7">
        <f>IFERROR(S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S$16)),0)</f>
        <v>0</v>
      </c>
      <c r="U18">
        <f>IF(OR(All_Questions_Q_SS_EXPORT_CT="(None)",U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U$16))</f>
        <v>0</v>
      </c>
      <c r="V18" s="7">
        <f>IFERROR(U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U$16)),0)</f>
        <v>0</v>
      </c>
      <c r="W18">
        <f>IF(OR(All_Questions_Q_SS_EXPORT_CT="(None)",W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W$16))</f>
        <v>0</v>
      </c>
      <c r="X18" s="7">
        <f>IFERROR(W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W$16)),0)</f>
        <v>0</v>
      </c>
      <c r="Y18">
        <f>IF(OR(All_Questions_Q_SS_EXPORT_CT="(None)",Y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Y$16))</f>
        <v>0</v>
      </c>
      <c r="Z18" s="7">
        <f>IFERROR(Y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Y$16)),0)</f>
        <v>0</v>
      </c>
      <c r="AA18">
        <f>IF(OR(All_Questions_Q_SS_EXPORT_CT="(None)",AA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A$16))</f>
        <v>0</v>
      </c>
      <c r="AB18" s="7">
        <f>IFERROR(AA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A$16)),0)</f>
        <v>0</v>
      </c>
      <c r="AC18">
        <f>IF(OR(All_Questions_Q_SS_EXPORT_CT="(None)",AC$16=""),"",IF(AC$16="Other",COUNTIFS(Q_SS_EXPORT_data,"Yes",passes_workbook_filters_data,1,passes_workbook_custom_filters_data,1,All_Questions_passes_local_filters_data,1,All_Questions_Q_SS_EXPORT_F_passes_per_q_filter_data,1)-SUM(G18,I18,K18,M18,O18,Q18,S18,U18,W18,Y18,AA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C$16)))</f>
        <v>0</v>
      </c>
      <c r="AD18" s="7">
        <f>IFERROR(AC18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S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U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W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Y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A$16)),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C$16))),0)</f>
        <v>0</v>
      </c>
      <c r="AE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 s="7">
        <f>IFERROR(G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,0)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 s="7">
        <f>IFERROR(I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,0)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 s="7">
        <f>IFERROR(K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,0)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 s="7">
        <f>IFERROR(M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,0)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 s="7">
        <f>IFERROR(O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,0)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 s="7">
        <f>IFERROR(Q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,0)</f>
        <v>0</v>
      </c>
      <c r="S19">
        <f>IF(OR(All_Questions_Q_SS_EXPORT_CT="(None)",S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S$16))</f>
        <v>0</v>
      </c>
      <c r="T19" s="7">
        <f>IFERROR(S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S$16)),0)</f>
        <v>0</v>
      </c>
      <c r="U19">
        <f>IF(OR(All_Questions_Q_SS_EXPORT_CT="(None)",U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U$16))</f>
        <v>0</v>
      </c>
      <c r="V19" s="7">
        <f>IFERROR(U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U$16)),0)</f>
        <v>0</v>
      </c>
      <c r="W19">
        <f>IF(OR(All_Questions_Q_SS_EXPORT_CT="(None)",W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W$16))</f>
        <v>0</v>
      </c>
      <c r="X19" s="7">
        <f>IFERROR(W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W$16)),0)</f>
        <v>0</v>
      </c>
      <c r="Y19">
        <f>IF(OR(All_Questions_Q_SS_EXPORT_CT="(None)",Y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Y$16))</f>
        <v>0</v>
      </c>
      <c r="Z19" s="7">
        <f>IFERROR(Y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Y$16)),0)</f>
        <v>0</v>
      </c>
      <c r="AA19">
        <f>IF(OR(All_Questions_Q_SS_EXPORT_CT="(None)",AA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A$16))</f>
        <v>0</v>
      </c>
      <c r="AB19" s="7">
        <f>IFERROR(AA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A$16)),0)</f>
        <v>0</v>
      </c>
      <c r="AC19">
        <f>IF(OR(All_Questions_Q_SS_EXPORT_CT="(None)",AC$16=""),"",IF(AC$16="Other",COUNTIFS(Q_SS_EXPORT_data,"No",passes_workbook_filters_data,1,passes_workbook_custom_filters_data,1,All_Questions_passes_local_filters_data,1,All_Questions_Q_SS_EXPORT_F_passes_per_q_filter_data,1)-SUM(G19,I19,K19,M19,O19,Q19,S19,U19,W19,Y19,AA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C$16)))</f>
        <v>0</v>
      </c>
      <c r="AD19" s="7">
        <f>IFERROR(AC19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S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U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W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Y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A$16)),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C$16))),0)</f>
        <v>0</v>
      </c>
      <c r="AE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n"/>
      <c r="I26" s="2" t="str">
        <f>IF(All_Questions_Q_MS_EXPORT_CT="(None)","",IFERROR(INDEX(INDIRECT(IFERROR(INDEX(All_Questions_Options_Names,MATCH(All_Questions_Q_MS_EXPORT_CT,All_Questions,0)),"'_Options'!$E$2:$E$2")),3),""))</f>
        <v/>
      </c>
      <c r="J26" s="2" t="n"/>
      <c r="K26" s="2" t="str">
        <f>IF(All_Questions_Q_MS_EXPORT_CT="(None)","",IFERROR(INDEX(INDIRECT(IFERROR(INDEX(All_Questions_Options_Names,MATCH(All_Questions_Q_MS_EXPORT_CT,All_Questions,0)),"'_Options'!$E$2:$E$2")),4),""))</f>
        <v/>
      </c>
      <c r="L26" s="2" t="n"/>
      <c r="M26" s="2" t="str">
        <f>IF(All_Questions_Q_MS_EXPORT_CT="(None)","",IFERROR(INDEX(INDIRECT(IFERROR(INDEX(All_Questions_Options_Names,MATCH(All_Questions_Q_MS_EXPORT_CT,All_Questions,0)),"'_Options'!$E$2:$E$2")),5),""))</f>
        <v/>
      </c>
      <c r="N26" s="2" t="n"/>
      <c r="O26" s="2" t="str">
        <f>IF(All_Questions_Q_MS_EXPORT_CT="(None)","",IFERROR(INDEX(INDIRECT(IFERROR(INDEX(All_Questions_Options_Names,MATCH(All_Questions_Q_MS_EXPORT_CT,All_Questions,0)),"'_Options'!$E$2:$E$2")),6),""))</f>
        <v/>
      </c>
      <c r="P26" s="2" t="n"/>
      <c r="Q26" s="2" t="str">
        <f>IF(All_Questions_Q_MS_EXPORT_CT="(None)","",IFERROR(INDEX(INDIRECT(IFERROR(INDEX(All_Questions_Options_Names,MATCH(All_Questions_Q_MS_EXPORT_CT,All_Questions,0)),"'_Options'!$E$2:$E$2")),7),""))</f>
        <v/>
      </c>
      <c r="R26" s="2" t="n"/>
      <c r="S26" s="2" t="str">
        <f>IF(All_Questions_Q_MS_EXPORT_CT="(None)","",IFERROR(INDEX(INDIRECT(IFERROR(INDEX(All_Questions_Options_Names,MATCH(All_Questions_Q_MS_EXPORT_CT,All_Questions,0)),"'_Options'!$E$2:$E$2")),8),""))</f>
        <v/>
      </c>
      <c r="T26" s="2" t="n"/>
      <c r="U26" s="2" t="str">
        <f>IF(All_Questions_Q_MS_EXPORT_CT="(None)","",IFERROR(INDEX(INDIRECT(IFERROR(INDEX(All_Questions_Options_Names,MATCH(All_Questions_Q_MS_EXPORT_CT,All_Questions,0)),"'_Options'!$E$2:$E$2")),9),""))</f>
        <v/>
      </c>
      <c r="V26" s="2" t="n"/>
      <c r="W26" s="2" t="str">
        <f>IF(All_Questions_Q_MS_EXPORT_CT="(None)","",IFERROR(INDEX(INDIRECT(IFERROR(INDEX(All_Questions_Options_Names,MATCH(All_Questions_Q_MS_EXPORT_CT,All_Questions,0)),"'_Options'!$E$2:$E$2")),10),""))</f>
        <v/>
      </c>
      <c r="X26" s="2" t="n"/>
      <c r="Y26" s="2" t="str">
        <f>IF(All_Questions_Q_MS_EXPORT_CT="(None)","",IFERROR(INDEX(INDIRECT(IFERROR(INDEX(All_Questions_Options_Names,MATCH(All_Questions_Q_MS_EXPORT_CT,All_Questions,0)),"'_Options'!$E$2:$E$2")),11),""))</f>
        <v/>
      </c>
      <c r="Z26" s="2" t="n"/>
      <c r="AA26" s="2" t="str">
        <f>IF(All_Questions_Q_MS_EXPORT_CT="(None)","",IFERROR(INDEX(INDIRECT(IFERROR(INDEX(All_Questions_Options_Names,MATCH(All_Questions_Q_MS_EXPORT_CT,All_Questions,0)),"'_Options'!$E$2:$E$2")),12),""))</f>
        <v/>
      </c>
      <c r="AB26" s="2" t="n"/>
      <c r="AC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AD26" s="2" t="n"/>
      <c r="AE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% of resp</t>
        </is>
      </c>
      <c r="I27" s="4" t="inlineStr">
        <is>
          <t># of resp</t>
        </is>
      </c>
      <c r="J27" s="4" t="inlineStr">
        <is>
          <t>% of resp</t>
        </is>
      </c>
      <c r="K27" s="4" t="inlineStr">
        <is>
          <t># of resp</t>
        </is>
      </c>
      <c r="L27" s="4" t="inlineStr">
        <is>
          <t>% of resp</t>
        </is>
      </c>
      <c r="M27" s="4" t="inlineStr">
        <is>
          <t># of resp</t>
        </is>
      </c>
      <c r="N27" s="4" t="inlineStr">
        <is>
          <t>% of resp</t>
        </is>
      </c>
      <c r="O27" s="4" t="inlineStr">
        <is>
          <t># of resp</t>
        </is>
      </c>
      <c r="P27" s="4" t="inlineStr">
        <is>
          <t>% of resp</t>
        </is>
      </c>
      <c r="Q27" s="4" t="inlineStr">
        <is>
          <t># of resp</t>
        </is>
      </c>
      <c r="R27" s="4" t="inlineStr">
        <is>
          <t>% of resp</t>
        </is>
      </c>
      <c r="S27" s="4" t="inlineStr">
        <is>
          <t># of resp</t>
        </is>
      </c>
      <c r="T27" s="4" t="inlineStr">
        <is>
          <t>% of resp</t>
        </is>
      </c>
      <c r="U27" s="4" t="inlineStr">
        <is>
          <t># of resp</t>
        </is>
      </c>
      <c r="V27" s="4" t="inlineStr">
        <is>
          <t>% of resp</t>
        </is>
      </c>
      <c r="W27" s="4" t="inlineStr">
        <is>
          <t># of resp</t>
        </is>
      </c>
      <c r="X27" s="4" t="inlineStr">
        <is>
          <t>% of resp</t>
        </is>
      </c>
      <c r="Y27" s="4" t="inlineStr">
        <is>
          <t># of resp</t>
        </is>
      </c>
      <c r="Z27" s="4" t="inlineStr">
        <is>
          <t>% of resp</t>
        </is>
      </c>
      <c r="AA27" s="4" t="inlineStr">
        <is>
          <t># of resp</t>
        </is>
      </c>
      <c r="AB27" s="4" t="inlineStr">
        <is>
          <t>% of resp</t>
        </is>
      </c>
      <c r="AC27" s="4" t="inlineStr">
        <is>
          <t># of resp</t>
        </is>
      </c>
      <c r="AD27" s="4" t="inlineStr">
        <is>
          <t>% of resp</t>
        </is>
      </c>
      <c r="AE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 s="7">
        <f>IFERROR(G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,0)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 s="7">
        <f>IFERROR(I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,0)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 s="7">
        <f>IFERROR(K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,0)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 s="7">
        <f>IFERROR(M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,0)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 s="7">
        <f>IFERROR(O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,0)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 s="7">
        <f>IFERROR(Q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,0)</f>
        <v>0</v>
      </c>
      <c r="S28">
        <f>IF(OR(All_Questions_Q_MS_EXPORT_CT="(None)",S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S$26))</f>
        <v>0</v>
      </c>
      <c r="T28" s="7">
        <f>IFERROR(S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S$26)),0)</f>
        <v>0</v>
      </c>
      <c r="U28">
        <f>IF(OR(All_Questions_Q_MS_EXPORT_CT="(None)",U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U$26))</f>
        <v>0</v>
      </c>
      <c r="V28" s="7">
        <f>IFERROR(U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U$26)),0)</f>
        <v>0</v>
      </c>
      <c r="W28">
        <f>IF(OR(All_Questions_Q_MS_EXPORT_CT="(None)",W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W$26))</f>
        <v>0</v>
      </c>
      <c r="X28" s="7">
        <f>IFERROR(W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W$26)),0)</f>
        <v>0</v>
      </c>
      <c r="Y28">
        <f>IF(OR(All_Questions_Q_MS_EXPORT_CT="(None)",Y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Y$26))</f>
        <v>0</v>
      </c>
      <c r="Z28" s="7">
        <f>IFERROR(Y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Y$26)),0)</f>
        <v>0</v>
      </c>
      <c r="AA28">
        <f>IF(OR(All_Questions_Q_MS_EXPORT_CT="(None)",AA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A$26))</f>
        <v>0</v>
      </c>
      <c r="AB28" s="7">
        <f>IFERROR(AA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A$26)),0)</f>
        <v>0</v>
      </c>
      <c r="AC28">
        <f>IF(OR(All_Questions_Q_MS_EXPORT_CT="(None)",AC$26=""),"",IF(AC$26="Other",COUNTIFS(Q_MS_EXPORTr1_data,"Selected",passes_workbook_filters_data,1,passes_workbook_custom_filters_data,1,All_Questions_passes_local_filters_data,1,All_Questions_Q_MS_EXPORT_F_passes_per_q_filter_data,1)-SUM(G28,I28,K28,M28,O28,Q28,S28,U28,W28,Y28,AA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C$26)))</f>
        <v>0</v>
      </c>
      <c r="AD28" s="7">
        <f>IFERROR(AC28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S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U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W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Y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A$26)),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C$26))),0)</f>
        <v>0</v>
      </c>
      <c r="AE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 s="7">
        <f>IFERROR(G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,0)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 s="7">
        <f>IFERROR(I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,0)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 s="7">
        <f>IFERROR(K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,0)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 s="7">
        <f>IFERROR(M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,0)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 s="7">
        <f>IFERROR(O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,0)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 s="7">
        <f>IFERROR(Q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,0)</f>
        <v>0</v>
      </c>
      <c r="S29">
        <f>IF(OR(All_Questions_Q_MS_EXPORT_CT="(None)",S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S$26))</f>
        <v>0</v>
      </c>
      <c r="T29" s="7">
        <f>IFERROR(S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S$26)),0)</f>
        <v>0</v>
      </c>
      <c r="U29">
        <f>IF(OR(All_Questions_Q_MS_EXPORT_CT="(None)",U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U$26))</f>
        <v>0</v>
      </c>
      <c r="V29" s="7">
        <f>IFERROR(U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U$26)),0)</f>
        <v>0</v>
      </c>
      <c r="W29">
        <f>IF(OR(All_Questions_Q_MS_EXPORT_CT="(None)",W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W$26))</f>
        <v>0</v>
      </c>
      <c r="X29" s="7">
        <f>IFERROR(W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W$26)),0)</f>
        <v>0</v>
      </c>
      <c r="Y29">
        <f>IF(OR(All_Questions_Q_MS_EXPORT_CT="(None)",Y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Y$26))</f>
        <v>0</v>
      </c>
      <c r="Z29" s="7">
        <f>IFERROR(Y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Y$26)),0)</f>
        <v>0</v>
      </c>
      <c r="AA29">
        <f>IF(OR(All_Questions_Q_MS_EXPORT_CT="(None)",AA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A$26))</f>
        <v>0</v>
      </c>
      <c r="AB29" s="7">
        <f>IFERROR(AA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A$26)),0)</f>
        <v>0</v>
      </c>
      <c r="AC29">
        <f>IF(OR(All_Questions_Q_MS_EXPORT_CT="(None)",AC$26=""),"",IF(AC$26="Other",COUNTIFS(Q_MS_EXPORTr2_data,"Selected",passes_workbook_filters_data,1,passes_workbook_custom_filters_data,1,All_Questions_passes_local_filters_data,1,All_Questions_Q_MS_EXPORT_F_passes_per_q_filter_data,1)-SUM(G29,I29,K29,M29,O29,Q29,S29,U29,W29,Y29,AA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C$26)))</f>
        <v>0</v>
      </c>
      <c r="AD29" s="7">
        <f>IFERROR(AC29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S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U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W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Y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A$26)),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C$26))),0)</f>
        <v>0</v>
      </c>
      <c r="AE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IFERROR(INDEX(All_Questions_Data_Names,MATCH(All_Questions_Q_NUM_EXPORT_F_Q,All_Questions,0)),"'_RawData'!$A:$A")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IFERROR(INDEX(All_Questions_Data_Names,MATCH(All_Questions_Q_GRID_EXPORT_F_Q,All_Questions,0)),"'_RawData'!$A:$A")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IF(All_Questions_Q_GRID_EXPORT_CT="(None)","",IFERROR(INDEX(INDIRECT(IFERROR(INDEX(All_Questions_Options_Names,MATCH(All_Questions_Q_GRID_EXPORT_CT,All_Questions,0)),"'_Options'!$E$2:$E$2")),2),""))</f>
        <v/>
      </c>
      <c r="H48" s="2" t="n"/>
      <c r="I48" s="2" t="str">
        <f>IF(All_Questions_Q_GRID_EXPORT_CT="(None)","",IFERROR(INDEX(INDIRECT(IFERROR(INDEX(All_Questions_Options_Names,MATCH(All_Questions_Q_GRID_EXPORT_CT,All_Questions,0)),"'_Options'!$E$2:$E$2")),3),""))</f>
        <v/>
      </c>
      <c r="J48" s="2" t="n"/>
      <c r="K48" s="2" t="str">
        <f>IF(All_Questions_Q_GRID_EXPORT_CT="(None)","",IFERROR(INDEX(INDIRECT(IFERROR(INDEX(All_Questions_Options_Names,MATCH(All_Questions_Q_GRID_EXPORT_CT,All_Questions,0)),"'_Options'!$E$2:$E$2")),4),""))</f>
        <v/>
      </c>
      <c r="L48" s="2" t="n"/>
      <c r="M48" s="2" t="str">
        <f>IF(All_Questions_Q_GRID_EXPORT_CT="(None)","",IFERROR(INDEX(INDIRECT(IFERROR(INDEX(All_Questions_Options_Names,MATCH(All_Questions_Q_GRID_EXPORT_CT,All_Questions,0)),"'_Options'!$E$2:$E$2")),5),""))</f>
        <v/>
      </c>
      <c r="N48" s="2" t="n"/>
      <c r="O48" s="2" t="str">
        <f>IF(All_Questions_Q_GRID_EXPORT_CT="(None)","",IFERROR(INDEX(INDIRECT(IFERROR(INDEX(All_Questions_Options_Names,MATCH(All_Questions_Q_GRID_EXPORT_CT,All_Questions,0)),"'_Options'!$E$2:$E$2")),6),""))</f>
        <v/>
      </c>
      <c r="P48" s="2" t="n"/>
      <c r="Q48" s="2" t="str">
        <f>IF(All_Questions_Q_GRID_EXPORT_CT="(None)","",IFERROR(INDEX(INDIRECT(IFERROR(INDEX(All_Questions_Options_Names,MATCH(All_Questions_Q_GRID_EXPORT_CT,All_Questions,0)),"'_Options'!$E$2:$E$2")),7),""))</f>
        <v/>
      </c>
      <c r="R48" s="2" t="n"/>
      <c r="S48" s="2" t="str">
        <f>IF(All_Questions_Q_GRID_EXPORT_CT="(None)","",IFERROR(INDEX(INDIRECT(IFERROR(INDEX(All_Questions_Options_Names,MATCH(All_Questions_Q_GRID_EXPORT_CT,All_Questions,0)),"'_Options'!$E$2:$E$2")),8),""))</f>
        <v/>
      </c>
      <c r="T48" s="2" t="n"/>
      <c r="U48" s="2" t="str">
        <f>IF(All_Questions_Q_GRID_EXPORT_CT="(None)","",IFERROR(INDEX(INDIRECT(IFERROR(INDEX(All_Questions_Options_Names,MATCH(All_Questions_Q_GRID_EXPORT_CT,All_Questions,0)),"'_Options'!$E$2:$E$2")),9),""))</f>
        <v/>
      </c>
      <c r="V48" s="2" t="n"/>
      <c r="W48" s="2" t="str">
        <f>IF(All_Questions_Q_GRID_EXPORT_CT="(None)","",IFERROR(INDEX(INDIRECT(IFERROR(INDEX(All_Questions_Options_Names,MATCH(All_Questions_Q_GRID_EXPORT_CT,All_Questions,0)),"'_Options'!$E$2:$E$2")),10),""))</f>
        <v/>
      </c>
      <c r="X48" s="2" t="n"/>
      <c r="Y48" s="2" t="str">
        <f>IF(All_Questions_Q_GRID_EXPORT_CT="(None)","",IFERROR(INDEX(INDIRECT(IFERROR(INDEX(All_Questions_Options_Names,MATCH(All_Questions_Q_GRID_EXPORT_CT,All_Questions,0)),"'_Options'!$E$2:$E$2")),11),""))</f>
        <v/>
      </c>
      <c r="Z48" s="2" t="n"/>
      <c r="AA48" s="2" t="str">
        <f>IF(All_Questions_Q_GRID_EXPORT_CT="(None)","",IFERROR(INDEX(INDIRECT(IFERROR(INDEX(All_Questions_Options_Names,MATCH(All_Questions_Q_GRID_EXPORT_CT,All_Questions,0)),"'_Options'!$E$2:$E$2")),12),""))</f>
        <v/>
      </c>
      <c r="AB48" s="2" t="n"/>
      <c r="AC48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AD48" s="2" t="n"/>
      <c r="AE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% of resp</t>
        </is>
      </c>
      <c r="I49" s="4" t="inlineStr">
        <is>
          <t># of resp</t>
        </is>
      </c>
      <c r="J49" s="4" t="inlineStr">
        <is>
          <t>% of resp</t>
        </is>
      </c>
      <c r="K49" s="4" t="inlineStr">
        <is>
          <t># of resp</t>
        </is>
      </c>
      <c r="L49" s="4" t="inlineStr">
        <is>
          <t>% of resp</t>
        </is>
      </c>
      <c r="M49" s="4" t="inlineStr">
        <is>
          <t># of resp</t>
        </is>
      </c>
      <c r="N49" s="4" t="inlineStr">
        <is>
          <t>% of resp</t>
        </is>
      </c>
      <c r="O49" s="4" t="inlineStr">
        <is>
          <t># of resp</t>
        </is>
      </c>
      <c r="P49" s="4" t="inlineStr">
        <is>
          <t>% of resp</t>
        </is>
      </c>
      <c r="Q49" s="4" t="inlineStr">
        <is>
          <t># of resp</t>
        </is>
      </c>
      <c r="R49" s="4" t="inlineStr">
        <is>
          <t>% of resp</t>
        </is>
      </c>
      <c r="S49" s="4" t="inlineStr">
        <is>
          <t># of resp</t>
        </is>
      </c>
      <c r="T49" s="4" t="inlineStr">
        <is>
          <t>% of resp</t>
        </is>
      </c>
      <c r="U49" s="4" t="inlineStr">
        <is>
          <t># of resp</t>
        </is>
      </c>
      <c r="V49" s="4" t="inlineStr">
        <is>
          <t>% of resp</t>
        </is>
      </c>
      <c r="W49" s="4" t="inlineStr">
        <is>
          <t># of resp</t>
        </is>
      </c>
      <c r="X49" s="4" t="inlineStr">
        <is>
          <t>% of resp</t>
        </is>
      </c>
      <c r="Y49" s="4" t="inlineStr">
        <is>
          <t># of resp</t>
        </is>
      </c>
      <c r="Z49" s="4" t="inlineStr">
        <is>
          <t>% of resp</t>
        </is>
      </c>
      <c r="AA49" s="4" t="inlineStr">
        <is>
          <t># of resp</t>
        </is>
      </c>
      <c r="AB49" s="4" t="inlineStr">
        <is>
          <t>% of resp</t>
        </is>
      </c>
      <c r="AC49" s="4" t="inlineStr">
        <is>
          <t># of resp</t>
        </is>
      </c>
      <c r="AD49" s="4" t="inlineStr">
        <is>
          <t>% of resp</t>
        </is>
      </c>
      <c r="AE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</f>
        <v>0</v>
      </c>
      <c r="H50" s="7">
        <f>IFERROR(G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,0)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</f>
        <v>0</v>
      </c>
      <c r="J50" s="7">
        <f>IFERROR(I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,0)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</f>
        <v>0</v>
      </c>
      <c r="L50" s="7">
        <f>IFERROR(K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,0)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</f>
        <v>0</v>
      </c>
      <c r="N50" s="7">
        <f>IFERROR(M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,0)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</f>
        <v>0</v>
      </c>
      <c r="P50" s="7">
        <f>IFERROR(O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,0)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</f>
        <v>0</v>
      </c>
      <c r="R50" s="7">
        <f>IFERROR(Q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,0)</f>
        <v>0</v>
      </c>
      <c r="S50">
        <f>IF(OR(All_Questions_Q_GRID_EXPORT_CT="(None)",S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S$48))</f>
        <v>0</v>
      </c>
      <c r="T50" s="7">
        <f>IFERROR(S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S$48)),0)</f>
        <v>0</v>
      </c>
      <c r="U50">
        <f>IF(OR(All_Questions_Q_GRID_EXPORT_CT="(None)",U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U$48))</f>
        <v>0</v>
      </c>
      <c r="V50" s="7">
        <f>IFERROR(U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U$48)),0)</f>
        <v>0</v>
      </c>
      <c r="W50">
        <f>IF(OR(All_Questions_Q_GRID_EXPORT_CT="(None)",W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W$48))</f>
        <v>0</v>
      </c>
      <c r="X50" s="7">
        <f>IFERROR(W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W$48)),0)</f>
        <v>0</v>
      </c>
      <c r="Y50">
        <f>IF(OR(All_Questions_Q_GRID_EXPORT_CT="(None)",Y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Y$48))</f>
        <v>0</v>
      </c>
      <c r="Z50" s="7">
        <f>IFERROR(Y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Y$48)),0)</f>
        <v>0</v>
      </c>
      <c r="AA50">
        <f>IF(OR(All_Questions_Q_GRID_EXPORT_CT="(None)",AA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A$48))</f>
        <v>0</v>
      </c>
      <c r="AB50" s="7">
        <f>IFERROR(AA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A$48)),0)</f>
        <v>0</v>
      </c>
      <c r="AC50">
        <f>IF(OR(All_Questions_Q_GRID_EXPORT_CT="(None)",AC$48=""),"",IF(AC$48="Other",COUNTIFS(Q_GRID_EXPORTr1_data,"Selected",passes_workbook_filters_data,1,passes_workbook_custom_filters_data,1,All_Questions_passes_local_filters_data,1,All_Questions_Q_GRID_EXPORT_F_passes_per_q_filter_data,1)-SUM(G50,I50,K50,M50,O50,Q50,S50,U50,W50,Y50,AA50)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C$48)))</f>
        <v>0</v>
      </c>
      <c r="AD50" s="7">
        <f>IFERROR(AC50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S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U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W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Y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A$48)),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C$48))),0)</f>
        <v>0</v>
      </c>
      <c r="AE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</f>
        <v>0</v>
      </c>
      <c r="H51" s="7">
        <f>IFERROR(G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,0)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</f>
        <v>0</v>
      </c>
      <c r="J51" s="7">
        <f>IFERROR(I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,0)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</f>
        <v>0</v>
      </c>
      <c r="L51" s="7">
        <f>IFERROR(K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,0)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</f>
        <v>0</v>
      </c>
      <c r="N51" s="7">
        <f>IFERROR(M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,0)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</f>
        <v>0</v>
      </c>
      <c r="P51" s="7">
        <f>IFERROR(O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,0)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</f>
        <v>0</v>
      </c>
      <c r="R51" s="7">
        <f>IFERROR(Q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,0)</f>
        <v>0</v>
      </c>
      <c r="S51">
        <f>IF(OR(All_Questions_Q_GRID_EXPORT_CT="(None)",S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S$48))</f>
        <v>0</v>
      </c>
      <c r="T51" s="7">
        <f>IFERROR(S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S$48)),0)</f>
        <v>0</v>
      </c>
      <c r="U51">
        <f>IF(OR(All_Questions_Q_GRID_EXPORT_CT="(None)",U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U$48))</f>
        <v>0</v>
      </c>
      <c r="V51" s="7">
        <f>IFERROR(U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U$48)),0)</f>
        <v>0</v>
      </c>
      <c r="W51">
        <f>IF(OR(All_Questions_Q_GRID_EXPORT_CT="(None)",W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W$48))</f>
        <v>0</v>
      </c>
      <c r="X51" s="7">
        <f>IFERROR(W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W$48)),0)</f>
        <v>0</v>
      </c>
      <c r="Y51">
        <f>IF(OR(All_Questions_Q_GRID_EXPORT_CT="(None)",Y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Y$48))</f>
        <v>0</v>
      </c>
      <c r="Z51" s="7">
        <f>IFERROR(Y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Y$48)),0)</f>
        <v>0</v>
      </c>
      <c r="AA51">
        <f>IF(OR(All_Questions_Q_GRID_EXPORT_CT="(None)",AA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A$48))</f>
        <v>0</v>
      </c>
      <c r="AB51" s="7">
        <f>IFERROR(AA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A$48)),0)</f>
        <v>0</v>
      </c>
      <c r="AC51">
        <f>IF(OR(All_Questions_Q_GRID_EXPORT_CT="(None)",AC$48=""),"",IF(AC$48="Other",COUNTIFS(Q_GRID_EXPORTr2_data,"Selected",passes_workbook_filters_data,1,passes_workbook_custom_filters_data,1,All_Questions_passes_local_filters_data,1,All_Questions_Q_GRID_EXPORT_F_passes_per_q_filter_data,1)-SUM(G51,I51,K51,M51,O51,Q51,S51,U51,W51,Y51,AA51)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C$48)))</f>
        <v>0</v>
      </c>
      <c r="AD51" s="7">
        <f>IFERROR(AC51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S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U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W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Y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A$48)),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C$48))),0)</f>
        <v>0</v>
      </c>
      <c r="AE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IFERROR(INDEX(All_Questions_Data_Names,MATCH(All_Questions_Q_VERY_LONG_SINGLE_SELECT_EXPORT_NAME_F_Q,All_Questions,0)),"'_RawData'!$A:$A")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8" s="2" t="n"/>
      <c r="I58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J58" s="2" t="n"/>
      <c r="K58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L58" s="2" t="n"/>
      <c r="M58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N58" s="2" t="n"/>
      <c r="O58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P58" s="2" t="n"/>
      <c r="Q58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R58" s="2" t="n"/>
      <c r="S58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T58" s="2" t="n"/>
      <c r="U58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V58" s="2" t="n"/>
      <c r="W58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X58" s="2" t="n"/>
      <c r="Y58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Z58" s="2" t="n"/>
      <c r="AA58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AB58" s="2" t="n"/>
      <c r="AC58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AD58" s="2" t="n"/>
      <c r="AE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% of resp</t>
        </is>
      </c>
      <c r="I59" s="4" t="inlineStr">
        <is>
          <t># of resp</t>
        </is>
      </c>
      <c r="J59" s="4" t="inlineStr">
        <is>
          <t>% of resp</t>
        </is>
      </c>
      <c r="K59" s="4" t="inlineStr">
        <is>
          <t># of resp</t>
        </is>
      </c>
      <c r="L59" s="4" t="inlineStr">
        <is>
          <t>% of resp</t>
        </is>
      </c>
      <c r="M59" s="4" t="inlineStr">
        <is>
          <t># of resp</t>
        </is>
      </c>
      <c r="N59" s="4" t="inlineStr">
        <is>
          <t>% of resp</t>
        </is>
      </c>
      <c r="O59" s="4" t="inlineStr">
        <is>
          <t># of resp</t>
        </is>
      </c>
      <c r="P59" s="4" t="inlineStr">
        <is>
          <t>% of resp</t>
        </is>
      </c>
      <c r="Q59" s="4" t="inlineStr">
        <is>
          <t># of resp</t>
        </is>
      </c>
      <c r="R59" s="4" t="inlineStr">
        <is>
          <t>% of resp</t>
        </is>
      </c>
      <c r="S59" s="4" t="inlineStr">
        <is>
          <t># of resp</t>
        </is>
      </c>
      <c r="T59" s="4" t="inlineStr">
        <is>
          <t>% of resp</t>
        </is>
      </c>
      <c r="U59" s="4" t="inlineStr">
        <is>
          <t># of resp</t>
        </is>
      </c>
      <c r="V59" s="4" t="inlineStr">
        <is>
          <t>% of resp</t>
        </is>
      </c>
      <c r="W59" s="4" t="inlineStr">
        <is>
          <t># of resp</t>
        </is>
      </c>
      <c r="X59" s="4" t="inlineStr">
        <is>
          <t>% of resp</t>
        </is>
      </c>
      <c r="Y59" s="4" t="inlineStr">
        <is>
          <t># of resp</t>
        </is>
      </c>
      <c r="Z59" s="4" t="inlineStr">
        <is>
          <t>% of resp</t>
        </is>
      </c>
      <c r="AA59" s="4" t="inlineStr">
        <is>
          <t># of resp</t>
        </is>
      </c>
      <c r="AB59" s="4" t="inlineStr">
        <is>
          <t>% of resp</t>
        </is>
      </c>
      <c r="AC59" s="4" t="inlineStr">
        <is>
          <t># of resp</t>
        </is>
      </c>
      <c r="AD59" s="4" t="inlineStr">
        <is>
          <t>% of resp</t>
        </is>
      </c>
      <c r="AE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</f>
        <v>0</v>
      </c>
      <c r="H60" s="7">
        <f>IFERROR(G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,0)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</f>
        <v>0</v>
      </c>
      <c r="J60" s="7">
        <f>IFERROR(I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,0)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</f>
        <v>0</v>
      </c>
      <c r="L60" s="7">
        <f>IFERROR(K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,0)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</f>
        <v>0</v>
      </c>
      <c r="N60" s="7">
        <f>IFERROR(M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,0)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</f>
        <v>0</v>
      </c>
      <c r="P60" s="7">
        <f>IFERROR(O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,0)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</f>
        <v>0</v>
      </c>
      <c r="R60" s="7">
        <f>IFERROR(Q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,0)</f>
        <v>0</v>
      </c>
      <c r="S60">
        <f>IF(OR(All_Questions_Q_VERY_LONG_SINGLE_SELECT_EXPORT_NAME_CT="(None)",S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S$58))</f>
        <v>0</v>
      </c>
      <c r="T60" s="7">
        <f>IFERROR(S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S$58)),0)</f>
        <v>0</v>
      </c>
      <c r="U60">
        <f>IF(OR(All_Questions_Q_VERY_LONG_SINGLE_SELECT_EXPORT_NAME_CT="(None)",U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U$58))</f>
        <v>0</v>
      </c>
      <c r="V60" s="7">
        <f>IFERROR(U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U$58)),0)</f>
        <v>0</v>
      </c>
      <c r="W60">
        <f>IF(OR(All_Questions_Q_VERY_LONG_SINGLE_SELECT_EXPORT_NAME_CT="(None)",W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W$58))</f>
        <v>0</v>
      </c>
      <c r="X60" s="7">
        <f>IFERROR(W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W$58)),0)</f>
        <v>0</v>
      </c>
      <c r="Y60">
        <f>IF(OR(All_Questions_Q_VERY_LONG_SINGLE_SELECT_EXPORT_NAME_CT="(None)",Y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Y$58))</f>
        <v>0</v>
      </c>
      <c r="Z60" s="7">
        <f>IFERROR(Y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Y$58)),0)</f>
        <v>0</v>
      </c>
      <c r="AA60">
        <f>IF(OR(All_Questions_Q_VERY_LONG_SINGLE_SELECT_EXPORT_NAME_CT="(None)",AA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A$58))</f>
        <v>0</v>
      </c>
      <c r="AB60" s="7">
        <f>IFERROR(AA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A$58)),0)</f>
        <v>0</v>
      </c>
      <c r="AC60">
        <f>IF(OR(All_Questions_Q_VERY_LONG_SINGLE_SELECT_EXPORT_NAME_CT="(None)",AC$58=""),"",IF(AC$58="Other",COUNTIFS(Q_VERY_LONG_SINGLE_SELECT_EXPOR_data,"A",passes_workbook_filters_data,1,passes_workbook_custom_filters_data,1,All_Questions_passes_local_filters_data,1,All_Questions_Q_VERY_LONG_SINGLE_SELECT_EXPORT_NAME_F_passes_per_q_filter_data,1)-SUM(G60,I60,K60,M60,O60,Q60,S60,U60,W60,Y60,AA60)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C$58)))</f>
        <v>0</v>
      </c>
      <c r="AD60" s="7">
        <f>IFERROR(AC60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S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U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W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Y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A$58)),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C$58))),0)</f>
        <v>0</v>
      </c>
      <c r="AE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</f>
        <v>0</v>
      </c>
      <c r="H61" s="7">
        <f>IFERROR(G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,0)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</f>
        <v>0</v>
      </c>
      <c r="J61" s="7">
        <f>IFERROR(I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,0)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</f>
        <v>0</v>
      </c>
      <c r="L61" s="7">
        <f>IFERROR(K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,0)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</f>
        <v>0</v>
      </c>
      <c r="N61" s="7">
        <f>IFERROR(M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,0)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</f>
        <v>0</v>
      </c>
      <c r="P61" s="7">
        <f>IFERROR(O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,0)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</f>
        <v>0</v>
      </c>
      <c r="R61" s="7">
        <f>IFERROR(Q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,0)</f>
        <v>0</v>
      </c>
      <c r="S61">
        <f>IF(OR(All_Questions_Q_VERY_LONG_SINGLE_SELECT_EXPORT_NAME_CT="(None)",S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S$58))</f>
        <v>0</v>
      </c>
      <c r="T61" s="7">
        <f>IFERROR(S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S$58)),0)</f>
        <v>0</v>
      </c>
      <c r="U61">
        <f>IF(OR(All_Questions_Q_VERY_LONG_SINGLE_SELECT_EXPORT_NAME_CT="(None)",U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U$58))</f>
        <v>0</v>
      </c>
      <c r="V61" s="7">
        <f>IFERROR(U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U$58)),0)</f>
        <v>0</v>
      </c>
      <c r="W61">
        <f>IF(OR(All_Questions_Q_VERY_LONG_SINGLE_SELECT_EXPORT_NAME_CT="(None)",W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W$58))</f>
        <v>0</v>
      </c>
      <c r="X61" s="7">
        <f>IFERROR(W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W$58)),0)</f>
        <v>0</v>
      </c>
      <c r="Y61">
        <f>IF(OR(All_Questions_Q_VERY_LONG_SINGLE_SELECT_EXPORT_NAME_CT="(None)",Y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Y$58))</f>
        <v>0</v>
      </c>
      <c r="Z61" s="7">
        <f>IFERROR(Y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Y$58)),0)</f>
        <v>0</v>
      </c>
      <c r="AA61">
        <f>IF(OR(All_Questions_Q_VERY_LONG_SINGLE_SELECT_EXPORT_NAME_CT="(None)",AA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A$58))</f>
        <v>0</v>
      </c>
      <c r="AB61" s="7">
        <f>IFERROR(AA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A$58)),0)</f>
        <v>0</v>
      </c>
      <c r="AC61">
        <f>IF(OR(All_Questions_Q_VERY_LONG_SINGLE_SELECT_EXPORT_NAME_CT="(None)",AC$58=""),"",IF(AC$58="Other",COUNTIFS(Q_VERY_LONG_SINGLE_SELECT_EXPOR_data,"B",passes_workbook_filters_data,1,passes_workbook_custom_filters_data,1,All_Questions_passes_local_filters_data,1,All_Questions_Q_VERY_LONG_SINGLE_SELECT_EXPORT_NAME_F_passes_per_q_filter_data,1)-SUM(G61,I61,K61,M61,O61,Q61,S61,U61,W61,Y61,AA61)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C$58)))</f>
        <v>0</v>
      </c>
      <c r="AD61" s="7">
        <f>IFERROR(AC61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S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U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W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Y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A$58)),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C$58))),0)</f>
        <v>0</v>
      </c>
      <c r="AE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49">
    <mergeCell ref="K16:L16"/>
    <mergeCell ref="Q16:R16"/>
    <mergeCell ref="AC48:AD48"/>
    <mergeCell ref="S16:T16"/>
    <mergeCell ref="AC16:AD16"/>
    <mergeCell ref="S58:T58"/>
    <mergeCell ref="Y58:Z58"/>
    <mergeCell ref="I26:J26"/>
    <mergeCell ref="G48:H48"/>
    <mergeCell ref="M48:N48"/>
    <mergeCell ref="K26:L26"/>
    <mergeCell ref="AA58:AB58"/>
    <mergeCell ref="S48:T48"/>
    <mergeCell ref="W26:X26"/>
    <mergeCell ref="I16:J16"/>
    <mergeCell ref="U48:V48"/>
    <mergeCell ref="AA48:AB48"/>
    <mergeCell ref="Q58:R58"/>
    <mergeCell ref="AC58:AD58"/>
    <mergeCell ref="U16:V16"/>
    <mergeCell ref="O26:P26"/>
    <mergeCell ref="Q26:R26"/>
    <mergeCell ref="Y26:Z26"/>
    <mergeCell ref="I58:J58"/>
    <mergeCell ref="AA26:AB26"/>
    <mergeCell ref="M16:N16"/>
    <mergeCell ref="K58:L58"/>
    <mergeCell ref="AC26:AD26"/>
    <mergeCell ref="A1:J1"/>
    <mergeCell ref="O16:P16"/>
    <mergeCell ref="W16:X16"/>
    <mergeCell ref="Y16:Z16"/>
    <mergeCell ref="AA16:AB16"/>
    <mergeCell ref="G58:H58"/>
    <mergeCell ref="U58:V58"/>
    <mergeCell ref="I48:J48"/>
    <mergeCell ref="W58:X58"/>
    <mergeCell ref="G26:H26"/>
    <mergeCell ref="M26:N26"/>
    <mergeCell ref="K48:L48"/>
    <mergeCell ref="O58:P58"/>
    <mergeCell ref="O48:P48"/>
    <mergeCell ref="Q48:R48"/>
    <mergeCell ref="W48:X48"/>
    <mergeCell ref="G16:H16"/>
    <mergeCell ref="Y48:Z48"/>
    <mergeCell ref="S26:T26"/>
    <mergeCell ref="U26:V26"/>
    <mergeCell ref="M58:N58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8:T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8:V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8:X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8:Z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8:AB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8:AD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8:T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8:V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8:X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8:Z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28:AB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8:AD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50:T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50:V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50:X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50:Z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50:AB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50:AD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60:T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60:V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60:X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60:Z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60:AB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60:AD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2026-05-18T12:48:48Z</dcterms:created>
  <dcterms:modified xmlns:dcterms="http://purl.org/dc/terms/" xmlns:xsi="http://www.w3.org/2001/XMLSchema-instance" xsi:type="dcterms:W3CDTF">2026-05-18T12:48:48Z</dcterms:modified>
</cp:coreProperties>
</file>