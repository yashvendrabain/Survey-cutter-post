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IFERROR(INDEX(All_Questions_Data_Names,MATCH(All_Questions_Q_MS_EXPORT_F_Q,All_Questions,0)),"'_RawData'!$A:$A")</f>
        <v>respondent_id_data</v>
      </c>
      <c r="G24" t="str">
        <f>"|" &amp; SUBSTITUTE(All_Questions_Q_MS_EXPORT_F_V,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IF(All_Questions_Q_MS_EXPORT_CT="(None)","",IFERROR(INDEX(INDIRECT(IFERROR(INDEX(All_Questions_Options_Names,MATCH(All_Questions_Q_MS_EXPORT_CT,All_Questions,0)),"'_Options'!$E$2:$E$2")),2),""))</f>
        <v/>
      </c>
      <c r="H27" s="2" t="str">
        <f>IF(All_Questions_Q_MS_EXPORT_CT="(None)","",IFERROR(INDEX(INDIRECT(IFERROR(INDEX(All_Questions_Options_Names,MATCH(All_Questions_Q_MS_EXPORT_CT,All_Questions,0)),"'_Options'!$E$2:$E$2")),3),""))</f>
        <v/>
      </c>
      <c r="I27" s="2" t="str">
        <f>IF(All_Questions_Q_MS_EXPORT_CT="(None)","",IFERROR(INDEX(INDIRECT(IFERROR(INDEX(All_Questions_Options_Names,MATCH(All_Questions_Q_MS_EXPORT_CT,All_Questions,0)),"'_Options'!$E$2:$E$2")),4),""))</f>
        <v/>
      </c>
      <c r="J27" s="2" t="str">
        <f>IF(All_Questions_Q_MS_EXPORT_CT="(None)","",IFERROR(INDEX(INDIRECT(IFERROR(INDEX(All_Questions_Options_Names,MATCH(All_Questions_Q_MS_EXPORT_CT,All_Questions,0)),"'_Options'!$E$2:$E$2")),5),""))</f>
        <v/>
      </c>
      <c r="K27" s="2" t="str">
        <f>IF(All_Questions_Q_MS_EXPORT_CT="(None)","",IFERROR(INDEX(INDIRECT(IFERROR(INDEX(All_Questions_Options_Names,MATCH(All_Questions_Q_MS_EXPORT_CT,All_Questions,0)),"'_Options'!$E$2:$E$2")),6),""))</f>
        <v/>
      </c>
      <c r="L27" s="2" t="str">
        <f>IF(All_Questions_Q_MS_EXPORT_CT="(None)","",IFERROR(INDEX(INDIRECT(IFERROR(INDEX(All_Questions_Options_Names,MATCH(All_Questions_Q_MS_EXPORT_CT,All_Questions,0)),"'_Options'!$E$2:$E$2")),7),""))</f>
        <v/>
      </c>
      <c r="M27" s="2" t="str">
        <f>IF(All_Questions_Q_MS_EXPORT_CT="(None)","",IFERROR(INDEX(INDIRECT(IFERROR(INDEX(All_Questions_Options_Names,MATCH(All_Questions_Q_MS_EXPORT_CT,All_Questions,0)),"'_Options'!$E$2:$E$2")),8),""))</f>
        <v/>
      </c>
      <c r="N27" s="2" t="str">
        <f>IF(All_Questions_Q_MS_EXPORT_CT="(None)","",IFERROR(INDEX(INDIRECT(IFERROR(INDEX(All_Questions_Options_Names,MATCH(All_Questions_Q_MS_EXPORT_CT,All_Questions,0)),"'_Options'!$E$2:$E$2")),9),""))</f>
        <v/>
      </c>
      <c r="O27" s="2" t="str">
        <f>IF(All_Questions_Q_MS_EXPORT_CT="(None)","",IFERROR(INDEX(INDIRECT(IFERROR(INDEX(All_Questions_Options_Names,MATCH(All_Questions_Q_MS_EXPORT_CT,All_Questions,0)),"'_Options'!$E$2:$E$2")),10),""))</f>
        <v/>
      </c>
      <c r="P27" s="2" t="str">
        <f>IF(All_Questions_Q_MS_EXPORT_CT="(None)","",IFERROR(INDEX(INDIRECT(IFERROR(INDEX(All_Questions_Options_Names,MATCH(All_Questions_Q_MS_EXPORT_CT,All_Questions,0)),"'_Options'!$E$2:$E$2")),11),""))</f>
        <v/>
      </c>
      <c r="Q27" s="2" t="str">
        <f>IF(All_Questions_Q_MS_EXPORT_CT="(None)","",IFERROR(INDEX(INDIRECT(IFERROR(INDEX(All_Questions_Options_Names,MATCH(All_Questions_Q_MS_EXPORT_CT,All_Questions,0)),"'_Options'!$E$2:$E$2")),12),""))</f>
        <v/>
      </c>
      <c r="R2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IFERROR(INDEX(All_Questions_Data_Names,MATCH(All_Questions_Q_NUM_EXPORT_F_Q,All_Questions,0)),"'_RawData'!$A:$A")</f>
        <v>respondent_id_data</v>
      </c>
      <c r="G35" t="str">
        <f>"|" &amp; SUBSTITUTE(All_Questions_Q_NUM_EXPORT_F_V,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IF(All_Questions_Q_NUM_EXPORT_CT="(None)","",IFERROR(INDEX(INDIRECT(IFERROR(INDEX(All_Questions_Options_Names,MATCH(All_Questions_Q_NUM_EXPORT_CT,All_Questions,0)),"'_Options'!$E$2:$E$2")),2),""))</f>
        <v/>
      </c>
      <c r="H45" s="2" t="str">
        <f>IF(All_Questions_Q_NUM_EXPORT_CT="(None)","",IFERROR(INDEX(INDIRECT(IFERROR(INDEX(All_Questions_Options_Names,MATCH(All_Questions_Q_NUM_EXPORT_CT,All_Questions,0)),"'_Options'!$E$2:$E$2")),3),""))</f>
        <v/>
      </c>
      <c r="I45" s="2" t="str">
        <f>IF(All_Questions_Q_NUM_EXPORT_CT="(None)","",IFERROR(INDEX(INDIRECT(IFERROR(INDEX(All_Questions_Options_Names,MATCH(All_Questions_Q_NUM_EXPORT_CT,All_Questions,0)),"'_Options'!$E$2:$E$2")),4),""))</f>
        <v/>
      </c>
      <c r="J45" s="2" t="str">
        <f>IF(All_Questions_Q_NUM_EXPORT_CT="(None)","",IFERROR(INDEX(INDIRECT(IFERROR(INDEX(All_Questions_Options_Names,MATCH(All_Questions_Q_NUM_EXPORT_CT,All_Questions,0)),"'_Options'!$E$2:$E$2")),5),""))</f>
        <v/>
      </c>
      <c r="K45" s="2" t="str">
        <f>IF(All_Questions_Q_NUM_EXPORT_CT="(None)","",IFERROR(INDEX(INDIRECT(IFERROR(INDEX(All_Questions_Options_Names,MATCH(All_Questions_Q_NUM_EXPORT_CT,All_Questions,0)),"'_Options'!$E$2:$E$2")),6),""))</f>
        <v/>
      </c>
      <c r="L45" s="2" t="str">
        <f>IF(All_Questions_Q_NUM_EXPORT_CT="(None)","",IFERROR(INDEX(INDIRECT(IFERROR(INDEX(All_Questions_Options_Names,MATCH(All_Questions_Q_NUM_EXPORT_CT,All_Questions,0)),"'_Options'!$E$2:$E$2")),7),""))</f>
        <v/>
      </c>
      <c r="M45" s="2" t="str">
        <f>IF(All_Questions_Q_NUM_EXPORT_CT="(None)","",IFERROR(INDEX(INDIRECT(IFERROR(INDEX(All_Questions_Options_Names,MATCH(All_Questions_Q_NUM_EXPORT_CT,All_Questions,0)),"'_Options'!$E$2:$E$2")),8),""))</f>
        <v/>
      </c>
      <c r="N45" s="2" t="str">
        <f>IF(All_Questions_Q_NUM_EXPORT_CT="(None)","",IFERROR(INDEX(INDIRECT(IFERROR(INDEX(All_Questions_Options_Names,MATCH(All_Questions_Q_NUM_EXPORT_CT,All_Questions,0)),"'_Options'!$E$2:$E$2")),9),""))</f>
        <v/>
      </c>
      <c r="O45" s="2" t="str">
        <f>IF(All_Questions_Q_NUM_EXPORT_CT="(None)","",IFERROR(INDEX(INDIRECT(IFERROR(INDEX(All_Questions_Options_Names,MATCH(All_Questions_Q_NUM_EXPORT_CT,All_Questions,0)),"'_Options'!$E$2:$E$2")),10),""))</f>
        <v/>
      </c>
      <c r="P45" s="2" t="str">
        <f>IF(All_Questions_Q_NUM_EXPORT_CT="(None)","",IFERROR(INDEX(INDIRECT(IFERROR(INDEX(All_Questions_Options_Names,MATCH(All_Questions_Q_NUM_EXPORT_CT,All_Questions,0)),"'_Options'!$E$2:$E$2")),11),""))</f>
        <v/>
      </c>
      <c r="Q45" s="2" t="str">
        <f>IF(All_Questions_Q_NUM_EXPORT_CT="(None)","",IFERROR(INDEX(INDIRECT(IFERROR(INDEX(All_Questions_Options_Names,MATCH(All_Questions_Q_NUM_EXPORT_CT,All_Questions,0)),"'_Options'!$E$2:$E$2")),12),""))</f>
        <v/>
      </c>
      <c r="R45" s="2" t="str">
        <f>IF(All_Questions_Q_NUM_EXPORT_CT="(None)","",IF(COUNTA(INDIRECT(IFERROR(INDEX(All_Questions_Options_Names,MATCH(All_Questions_Q_NUM_EXPORT_CT,All_Questions,0)),"'_Options'!$E$2:$E$2")))-1&gt;11,"Other",IFERROR(INDEX(INDIRECT(IFERROR(INDEX(All_Questions_Options_Names,MATCH(All_Questions_Q_NUM_EXPORT_CT,All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IFERROR(INDEX(All_Questions_Data_Names,MATCH(All_Questions_Q_GRID_EXPORT_F_Q,All_Questions,0)),"'_RawData'!$A:$A")</f>
        <v>respondent_id_data</v>
      </c>
      <c r="G52" t="str">
        <f>"|" &amp; SUBSTITUTE(All_Questions_Q_GRID_EXPORT_F_V,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IF(All_Questions_Q_GRID_EXPORT_CT="(None)","",IFERROR(INDEX(INDIRECT(IFERROR(INDEX(All_Questions_Options_Names,MATCH(All_Questions_Q_GRID_EXPORT_CT,All_Questions,0)),"'_Options'!$E$2:$E$2")),2),""))</f>
        <v/>
      </c>
      <c r="H62" s="2" t="str">
        <f>IF(All_Questions_Q_GRID_EXPORT_CT="(None)","",IFERROR(INDEX(INDIRECT(IFERROR(INDEX(All_Questions_Options_Names,MATCH(All_Questions_Q_GRID_EXPORT_CT,All_Questions,0)),"'_Options'!$E$2:$E$2")),3),""))</f>
        <v/>
      </c>
      <c r="I62" s="2" t="str">
        <f>IF(All_Questions_Q_GRID_EXPORT_CT="(None)","",IFERROR(INDEX(INDIRECT(IFERROR(INDEX(All_Questions_Options_Names,MATCH(All_Questions_Q_GRID_EXPORT_CT,All_Questions,0)),"'_Options'!$E$2:$E$2")),4),""))</f>
        <v/>
      </c>
      <c r="J62" s="2" t="str">
        <f>IF(All_Questions_Q_GRID_EXPORT_CT="(None)","",IFERROR(INDEX(INDIRECT(IFERROR(INDEX(All_Questions_Options_Names,MATCH(All_Questions_Q_GRID_EXPORT_CT,All_Questions,0)),"'_Options'!$E$2:$E$2")),5),""))</f>
        <v/>
      </c>
      <c r="K62" s="2" t="str">
        <f>IF(All_Questions_Q_GRID_EXPORT_CT="(None)","",IFERROR(INDEX(INDIRECT(IFERROR(INDEX(All_Questions_Options_Names,MATCH(All_Questions_Q_GRID_EXPORT_CT,All_Questions,0)),"'_Options'!$E$2:$E$2")),6),""))</f>
        <v/>
      </c>
      <c r="L62" s="2" t="str">
        <f>IF(All_Questions_Q_GRID_EXPORT_CT="(None)","",IFERROR(INDEX(INDIRECT(IFERROR(INDEX(All_Questions_Options_Names,MATCH(All_Questions_Q_GRID_EXPORT_CT,All_Questions,0)),"'_Options'!$E$2:$E$2")),7),""))</f>
        <v/>
      </c>
      <c r="M62" s="2" t="str">
        <f>IF(All_Questions_Q_GRID_EXPORT_CT="(None)","",IFERROR(INDEX(INDIRECT(IFERROR(INDEX(All_Questions_Options_Names,MATCH(All_Questions_Q_GRID_EXPORT_CT,All_Questions,0)),"'_Options'!$E$2:$E$2")),8),""))</f>
        <v/>
      </c>
      <c r="N62" s="2" t="str">
        <f>IF(All_Questions_Q_GRID_EXPORT_CT="(None)","",IFERROR(INDEX(INDIRECT(IFERROR(INDEX(All_Questions_Options_Names,MATCH(All_Questions_Q_GRID_EXPORT_CT,All_Questions,0)),"'_Options'!$E$2:$E$2")),9),""))</f>
        <v/>
      </c>
      <c r="O62" s="2" t="str">
        <f>IF(All_Questions_Q_GRID_EXPORT_CT="(None)","",IFERROR(INDEX(INDIRECT(IFERROR(INDEX(All_Questions_Options_Names,MATCH(All_Questions_Q_GRID_EXPORT_CT,All_Questions,0)),"'_Options'!$E$2:$E$2")),10),""))</f>
        <v/>
      </c>
      <c r="P62" s="2" t="str">
        <f>IF(All_Questions_Q_GRID_EXPORT_CT="(None)","",IFERROR(INDEX(INDIRECT(IFERROR(INDEX(All_Questions_Options_Names,MATCH(All_Questions_Q_GRID_EXPORT_CT,All_Questions,0)),"'_Options'!$E$2:$E$2")),11),""))</f>
        <v/>
      </c>
      <c r="Q62" s="2" t="str">
        <f>IF(All_Questions_Q_GRID_EXPORT_CT="(None)","",IFERROR(INDEX(INDIRECT(IFERROR(INDEX(All_Questions_Options_Names,MATCH(All_Questions_Q_GRID_EXPORT_CT,All_Questions,0)),"'_Options'!$E$2:$E$2")),12),""))</f>
        <v/>
      </c>
      <c r="R62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IFERROR(INDEX(All_Questions_Data_Names,MATCH(All_Questions_Q_VERY_LONG_SINGLE_SELECT_EXPORT_NAME_F_Q,All_Questions,0)),"'_RawData'!$A:$A")</f>
        <v>respondent_id_data</v>
      </c>
      <c r="G70" t="str">
        <f>"|" &amp; SUBSTITUTE(All_Questions_Q_VERY_LONG_SINGLE_SELECT_EXPORT_NAME_F_V, ", ", "|") &amp; "|"</f>
        <v>|(All)|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73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73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73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73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73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73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73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73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73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73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73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=All_Questions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2026-06-08T09:16:31.455461+00:00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2026-06-08T09:16:31.455700+00:00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2026-06-08T09:16:31.455906+00:00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2026-06-08T09:16:31.456151+00:00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2026-06-08T09:16:31.456362+00:00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2026-06-08T09:16:31.456562+00:00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2026-06-08T09:16:31.456763+00:00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2026-06-08T09:16:31.456960+00:00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2026-06-08T09:16:31.457223+00:00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2026-06-08T09:16:31.457428+00:00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2026-06-08T09:16:31.457630+00:00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2026-06-08T09:16:31.457888+00:00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2026-06-08T09:16:31.458292+00:00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2026-06-08T09:16:31.458494+00:00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2026-06-08T09:16:31.458692+00:00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2026-06-08T09:16:31.458890+00:00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2026-06-08T09:16:31.459107+00:00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2026-06-08T09:16:31.459338+00:00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2026-06-08T09:16:31.459538+00:00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2026-06-08T09:16:31.459734+00:00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2026-06-08T09:16:31.459930+00:00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2026-06-08T09:16:31.460167+00:00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2026-06-08T09:16:31.460371+00:00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All_Questions_Data_Names,MATCH(All_Questions_Q_MS_EXPORT_CT,All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2026-06-08T09:16:31.460629+00:00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2026-06-08T09:16:31.479793+00:00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2026-06-08T09:16:31.479957+00:00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2026-06-08T09:16:31.480141+00:00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2026-06-08T09:16:31.480292+00:00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2026-06-08T09:16:31.480431+00:00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2026-06-08T09:16:31.480570+00:00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2026-06-08T09:16:31.480706+00:00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2026-06-08T09:16:31.480840+00:00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2026-06-08T09:16:31.480971+00:00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2026-06-08T09:16:31.481147+00:00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2026-06-08T09:16:31.481293+00:00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All_Questions_Data_Names,MATCH(All_Questions_Q_NUM_EXPORT_CT,All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2026-06-08T09:16:31.481492+00:00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2026-06-08T09:16:31Z</dcterms:created>
  <dcterms:modified xmlns:dcterms="http://purl.org/dc/terms/" xmlns:xsi="http://www.w3.org/2001/XMLSchema-instance" xsi:type="dcterms:W3CDTF">2026-06-08T09:16:31Z</dcterms:modified>
</cp:coreProperties>
</file>