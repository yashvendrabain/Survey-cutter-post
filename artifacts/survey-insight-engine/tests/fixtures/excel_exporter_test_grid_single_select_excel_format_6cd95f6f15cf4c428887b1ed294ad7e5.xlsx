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'_RawData'!$A$2:$A$81</definedName>
    <definedName name="r1_data">'_RawData'!$B$2:$B$81</definedName>
    <definedName name="r2_data">'_RawData'!$C$2:$C$81</definedName>
    <definedName name="r3_data">'_RawData'!$D$2:$D$81</definedName>
    <definedName name="All_Questions">'_Options'!$A$2:$A$2</definedName>
    <definedName name="All_Questions_Local">'_Options'!$B$2:$B$3</definedName>
    <definedName name="None_options">'_Options'!$E$2:$E$2</definedName>
    <definedName name="r1_options">'_Options'!$F$2:$F$3</definedName>
    <definedName name="r1_local_options">'_Options'!$I$2:$I$4</definedName>
    <definedName name="r2_options">'_Options'!$G$2:$G$3</definedName>
    <definedName name="r2_local_options">'_Options'!$J$2:$J$4</definedName>
    <definedName name="r3_options">'_Options'!$H$2:$H$3</definedName>
    <definedName name="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'_RawData'!$E$2:$E$81</definedName>
    <definedName name="F_Custom1_match_data">'_RawData'!$F$2:$F$81</definedName>
    <definedName name="F_Custom2_match_data">'_RawData'!$G$2:$G$81</definedName>
    <definedName name="passes_workbook_custom_filters_data">'_RawData'!$H$2:$H$81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'_RawData'!$I$2:$I$81</definedName>
    <definedName name="All_Questions_Q_GRID_FORMAT_F_Q">'All Questions'!$C$13</definedName>
    <definedName name="All_Questions_Q_GRID_FORMAT_F_V">'All Questions'!$E$13</definedName>
    <definedName name="All_Questions_Q_GRID_FORMAT_F_resolved_column">'All Questions'!$F$13</definedName>
    <definedName name="All_Questions_Q_GRID_FORMAT_F_wrapped">'All Questions'!$G$13</definedName>
    <definedName name="All_Questions_Q_GRID_FORMAT_F_passes_per_q_filter_data">'_RawData'!$J$2:$J$81</definedName>
    <definedName name="All_Questions_Q_GRID_FORMA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All_Questions_Q_GRID_FORMAT_F_passes_per_q_filter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1)&amp;"|",All_Questions_Q_GRID_FORMAT_F_wrapped)),1,0),0))*1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2)&amp;"|",All_Questions_Q_GRID_FORMAT_F_wrapped)),1,0),0))*1</f>
        <v>1</v>
      </c>
    </row>
    <row r="4">
      <c r="A4" t="n">
        <v>3</v>
      </c>
      <c r="B4" t="inlineStr">
        <is>
          <t>Selected</t>
        </is>
      </c>
      <c r="C4" t="inlineStr">
        <is>
          <t>Selected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3)&amp;"|",All_Questions_Q_GRID_FORMAT_F_wrapped)),1,0),0))*1</f>
        <v>1</v>
      </c>
    </row>
    <row r="5">
      <c r="A5" t="n">
        <v>4</v>
      </c>
      <c r="B5" t="inlineStr">
        <is>
          <t>Selected</t>
        </is>
      </c>
      <c r="C5" t="inlineStr">
        <is>
          <t>Selected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4)&amp;"|",All_Questions_Q_GRID_FORMAT_F_wrapped)),1,0),0))*1</f>
        <v>1</v>
      </c>
    </row>
    <row r="6">
      <c r="A6" t="n">
        <v>5</v>
      </c>
      <c r="B6" t="inlineStr">
        <is>
          <t>Selected</t>
        </is>
      </c>
      <c r="C6" t="inlineStr">
        <is>
          <t>Selected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5)&amp;"|",All_Questions_Q_GRID_FORMAT_F_wrapped)),1,0),0))*1</f>
        <v>1</v>
      </c>
    </row>
    <row r="7">
      <c r="A7" t="n">
        <v>6</v>
      </c>
      <c r="B7" t="inlineStr">
        <is>
          <t>Selected</t>
        </is>
      </c>
      <c r="C7" t="inlineStr">
        <is>
          <t>Selected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6)&amp;"|",All_Questions_Q_GRID_FORMAT_F_wrapped)),1,0),0))*1</f>
        <v>1</v>
      </c>
    </row>
    <row r="8">
      <c r="A8" t="n">
        <v>7</v>
      </c>
      <c r="B8" t="inlineStr">
        <is>
          <t>Selected</t>
        </is>
      </c>
      <c r="C8" t="inlineStr">
        <is>
          <t>Selected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7)&amp;"|",All_Questions_Q_GRID_FORMAT_F_wrapped)),1,0),0))*1</f>
        <v>1</v>
      </c>
    </row>
    <row r="9">
      <c r="A9" t="n">
        <v>8</v>
      </c>
      <c r="B9" t="inlineStr">
        <is>
          <t>Selected</t>
        </is>
      </c>
      <c r="C9" t="inlineStr">
        <is>
          <t>Selected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8)&amp;"|",All_Questions_Q_GRID_FORMAT_F_wrapped)),1,0),0))*1</f>
        <v>1</v>
      </c>
    </row>
    <row r="10">
      <c r="A10" t="n">
        <v>9</v>
      </c>
      <c r="B10" t="inlineStr">
        <is>
          <t>Selected</t>
        </is>
      </c>
      <c r="C10" t="inlineStr">
        <is>
          <t>Selected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9)&amp;"|",All_Questions_Q_GRID_FORMAT_F_wrapped)),1,0),0))*1</f>
        <v>1</v>
      </c>
    </row>
    <row r="11">
      <c r="A11" t="n">
        <v>10</v>
      </c>
      <c r="B11" t="inlineStr">
        <is>
          <t>Selected</t>
        </is>
      </c>
      <c r="C11" t="inlineStr">
        <is>
          <t>Selected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10)&amp;"|",All_Questions_Q_GRID_FORMAT_F_wrapped)),1,0),0))*1</f>
        <v>1</v>
      </c>
    </row>
    <row r="12">
      <c r="A12" t="n">
        <v>11</v>
      </c>
      <c r="B12" t="inlineStr">
        <is>
          <t>Selected</t>
        </is>
      </c>
      <c r="C12" t="inlineStr">
        <is>
          <t>Selected</t>
        </is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11)&amp;"|",All_Questions_Q_GRID_FORMAT_F_wrapped)),1,0),0))*1</f>
        <v>1</v>
      </c>
    </row>
    <row r="13">
      <c r="A13" t="n">
        <v>12</v>
      </c>
      <c r="B13" t="inlineStr">
        <is>
          <t>Selected</t>
        </is>
      </c>
      <c r="C13" t="inlineStr">
        <is>
          <t>Selected</t>
        </is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12)&amp;"|",All_Questions_Q_GRID_FORMAT_F_wrapped)),1,0),0))*1</f>
        <v>1</v>
      </c>
    </row>
    <row r="14">
      <c r="A14" t="n">
        <v>13</v>
      </c>
      <c r="B14" t="inlineStr">
        <is>
          <t>Selected</t>
        </is>
      </c>
      <c r="C14" t="inlineStr">
        <is>
          <t>Selected</t>
        </is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13)&amp;"|",All_Questions_Q_GRID_FORMAT_F_wrapped)),1,0),0))*1</f>
        <v>1</v>
      </c>
    </row>
    <row r="15">
      <c r="A15" t="n">
        <v>14</v>
      </c>
      <c r="B15" t="inlineStr">
        <is>
          <t>Selected</t>
        </is>
      </c>
      <c r="C15" t="inlineStr">
        <is>
          <t>Selected</t>
        </is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14)&amp;"|",All_Questions_Q_GRID_FORMAT_F_wrapped)),1,0),0))*1</f>
        <v>1</v>
      </c>
    </row>
    <row r="16">
      <c r="A16" t="n">
        <v>15</v>
      </c>
      <c r="B16" t="inlineStr">
        <is>
          <t>Selected</t>
        </is>
      </c>
      <c r="C16" t="inlineStr">
        <is>
          <t>Selected</t>
        </is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15)&amp;"|",All_Questions_Q_GRID_FORMAT_F_wrapped)),1,0),0))*1</f>
        <v>1</v>
      </c>
    </row>
    <row r="17">
      <c r="A17" t="n">
        <v>16</v>
      </c>
      <c r="B17" t="inlineStr">
        <is>
          <t>Selected</t>
        </is>
      </c>
      <c r="C17" t="inlineStr">
        <is>
          <t>Selected</t>
        </is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16)&amp;"|",All_Questions_Q_GRID_FORMAT_F_wrapped)),1,0),0))*1</f>
        <v>1</v>
      </c>
    </row>
    <row r="18">
      <c r="A18" t="n">
        <v>17</v>
      </c>
      <c r="B18" t="inlineStr">
        <is>
          <t>Selected</t>
        </is>
      </c>
      <c r="C18" t="inlineStr">
        <is>
          <t>Selected</t>
        </is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17)&amp;"|",All_Questions_Q_GRID_FORMAT_F_wrapped)),1,0),0))*1</f>
        <v>1</v>
      </c>
    </row>
    <row r="19">
      <c r="A19" t="n">
        <v>18</v>
      </c>
      <c r="B19" t="inlineStr">
        <is>
          <t>Selected</t>
        </is>
      </c>
      <c r="C19" t="inlineStr">
        <is>
          <t>Selected</t>
        </is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18)&amp;"|",All_Questions_Q_GRID_FORMAT_F_wrapped)),1,0),0))*1</f>
        <v>1</v>
      </c>
    </row>
    <row r="20">
      <c r="A20" t="n">
        <v>19</v>
      </c>
      <c r="B20" t="inlineStr">
        <is>
          <t>Selected</t>
        </is>
      </c>
      <c r="C20" t="inlineStr">
        <is>
          <t>Selected</t>
        </is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19)&amp;"|",All_Questions_Q_GRID_FORMAT_F_wrapped)),1,0),0))*1</f>
        <v>1</v>
      </c>
    </row>
    <row r="21">
      <c r="A21" t="n">
        <v>20</v>
      </c>
      <c r="B21" t="inlineStr">
        <is>
          <t>Selected</t>
        </is>
      </c>
      <c r="C21" t="inlineStr">
        <is>
          <t>Selected</t>
        </is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20)&amp;"|",All_Questions_Q_GRID_FORMAT_F_wrapped)),1,0),0))*1</f>
        <v>1</v>
      </c>
    </row>
    <row r="22">
      <c r="A22" t="n">
        <v>21</v>
      </c>
      <c r="B22" t="inlineStr">
        <is>
          <t>Selected</t>
        </is>
      </c>
      <c r="C22" t="inlineStr">
        <is>
          <t>Selected</t>
        </is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21)&amp;"|",All_Questions_Q_GRID_FORMAT_F_wrapped)),1,0),0))*1</f>
        <v>1</v>
      </c>
    </row>
    <row r="23">
      <c r="A23" t="n">
        <v>22</v>
      </c>
      <c r="B23" t="inlineStr">
        <is>
          <t>Selected</t>
        </is>
      </c>
      <c r="C23" t="inlineStr">
        <is>
          <t>Selected</t>
        </is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22)&amp;"|",All_Questions_Q_GRID_FORMAT_F_wrapped)),1,0),0))*1</f>
        <v>1</v>
      </c>
    </row>
    <row r="24">
      <c r="A24" t="n">
        <v>23</v>
      </c>
      <c r="B24" t="inlineStr">
        <is>
          <t>Selected</t>
        </is>
      </c>
      <c r="C24" t="inlineStr">
        <is>
          <t>Selected</t>
        </is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23)&amp;"|",All_Questions_Q_GRID_FORMAT_F_wrapped)),1,0),0))*1</f>
        <v>1</v>
      </c>
    </row>
    <row r="25">
      <c r="A25" t="n">
        <v>24</v>
      </c>
      <c r="B25" t="inlineStr">
        <is>
          <t>Selected</t>
        </is>
      </c>
      <c r="C25" t="inlineStr">
        <is>
          <t>Selected</t>
        </is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24)&amp;"|",All_Questions_Q_GRID_FORMAT_F_wrapped)),1,0),0))*1</f>
        <v>1</v>
      </c>
    </row>
    <row r="26">
      <c r="A26" t="n">
        <v>25</v>
      </c>
      <c r="B26" t="inlineStr">
        <is>
          <t>Selected</t>
        </is>
      </c>
      <c r="C26" t="inlineStr">
        <is>
          <t>Selected</t>
        </is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25)&amp;"|",All_Questions_Q_GRID_FORMAT_F_wrapped)),1,0),0))*1</f>
        <v>1</v>
      </c>
    </row>
    <row r="27">
      <c r="A27" t="n">
        <v>26</v>
      </c>
      <c r="B27" t="inlineStr">
        <is>
          <t>Selected</t>
        </is>
      </c>
      <c r="C27" t="inlineStr">
        <is>
          <t>Selected</t>
        </is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26)&amp;"|",All_Questions_Q_GRID_FORMAT_F_wrapped)),1,0),0))*1</f>
        <v>1</v>
      </c>
    </row>
    <row r="28">
      <c r="A28" t="n">
        <v>27</v>
      </c>
      <c r="B28" t="inlineStr">
        <is>
          <t>Selected</t>
        </is>
      </c>
      <c r="C28" t="inlineStr">
        <is>
          <t>Selected</t>
        </is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27)&amp;"|",All_Questions_Q_GRID_FORMAT_F_wrapped)),1,0),0))*1</f>
        <v>1</v>
      </c>
    </row>
    <row r="29">
      <c r="A29" t="n">
        <v>28</v>
      </c>
      <c r="B29" t="inlineStr">
        <is>
          <t>Selected</t>
        </is>
      </c>
      <c r="C29" t="inlineStr">
        <is>
          <t>Selected</t>
        </is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28)&amp;"|",All_Questions_Q_GRID_FORMAT_F_wrapped)),1,0),0))*1</f>
        <v>1</v>
      </c>
    </row>
    <row r="30">
      <c r="A30" t="n">
        <v>29</v>
      </c>
      <c r="B30" t="inlineStr">
        <is>
          <t>Selected</t>
        </is>
      </c>
      <c r="C30" t="inlineStr">
        <is>
          <t>Selected</t>
        </is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29)&amp;"|",All_Questions_Q_GRID_FORMAT_F_wrapped)),1,0),0))*1</f>
        <v>1</v>
      </c>
    </row>
    <row r="31">
      <c r="A31" t="n">
        <v>30</v>
      </c>
      <c r="B31" t="inlineStr">
        <is>
          <t>Selected</t>
        </is>
      </c>
      <c r="C31" t="inlineStr">
        <is>
          <t>Selected</t>
        </is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30)&amp;"|",All_Questions_Q_GRID_FORMAT_F_wrapped)),1,0),0))*1</f>
        <v>1</v>
      </c>
    </row>
    <row r="32">
      <c r="A32" t="n">
        <v>31</v>
      </c>
      <c r="B32" t="inlineStr">
        <is>
          <t>Selected</t>
        </is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31)&amp;"|",All_Questions_Q_GRID_FORMAT_F_wrapped)),1,0),0))*1</f>
        <v>1</v>
      </c>
    </row>
    <row r="33">
      <c r="A33" t="n">
        <v>32</v>
      </c>
      <c r="B33" t="inlineStr">
        <is>
          <t>Selected</t>
        </is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32)&amp;"|",All_Questions_Q_GRID_FORMAT_F_wrapped)),1,0),0))*1</f>
        <v>1</v>
      </c>
    </row>
    <row r="34">
      <c r="A34" t="n">
        <v>33</v>
      </c>
      <c r="B34" t="inlineStr">
        <is>
          <t>Selected</t>
        </is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33)&amp;"|",All_Questions_Q_GRID_FORMAT_F_wrapped)),1,0),0))*1</f>
        <v>1</v>
      </c>
    </row>
    <row r="35">
      <c r="A35" t="n">
        <v>34</v>
      </c>
      <c r="B35" t="inlineStr">
        <is>
          <t>Selected</t>
        </is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34)&amp;"|",All_Questions_Q_GRID_FORMAT_F_wrapped)),1,0),0))*1</f>
        <v>1</v>
      </c>
    </row>
    <row r="36">
      <c r="A36" t="n">
        <v>35</v>
      </c>
      <c r="B36" t="inlineStr">
        <is>
          <t>Selected</t>
        </is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35)&amp;"|",All_Questions_Q_GRID_FORMAT_F_wrapped)),1,0),0))*1</f>
        <v>1</v>
      </c>
    </row>
    <row r="37">
      <c r="A37" t="n">
        <v>36</v>
      </c>
      <c r="B37" t="inlineStr">
        <is>
          <t>Selected</t>
        </is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36)&amp;"|",All_Questions_Q_GRID_FORMAT_F_wrapped)),1,0),0))*1</f>
        <v>1</v>
      </c>
    </row>
    <row r="38">
      <c r="A38" t="n">
        <v>37</v>
      </c>
      <c r="B38" t="inlineStr">
        <is>
          <t>Selected</t>
        </is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37)&amp;"|",All_Questions_Q_GRID_FORMAT_F_wrapped)),1,0),0))*1</f>
        <v>1</v>
      </c>
    </row>
    <row r="39">
      <c r="A39" t="n">
        <v>38</v>
      </c>
      <c r="B39" t="inlineStr">
        <is>
          <t>Selected</t>
        </is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38)&amp;"|",All_Questions_Q_GRID_FORMAT_F_wrapped)),1,0),0))*1</f>
        <v>1</v>
      </c>
    </row>
    <row r="40">
      <c r="A40" t="n">
        <v>39</v>
      </c>
      <c r="B40" t="inlineStr">
        <is>
          <t>Selected</t>
        </is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39)&amp;"|",All_Questions_Q_GRID_FORMAT_F_wrapped)),1,0),0))*1</f>
        <v>1</v>
      </c>
    </row>
    <row r="41">
      <c r="A41" t="n">
        <v>40</v>
      </c>
      <c r="B41" t="inlineStr">
        <is>
          <t>Selected</t>
        </is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40)&amp;"|",All_Questions_Q_GRID_FORMAT_F_wrapped)),1,0),0))*1</f>
        <v>1</v>
      </c>
    </row>
    <row r="42">
      <c r="A42" t="n">
        <v>41</v>
      </c>
      <c r="B42" t="inlineStr">
        <is>
          <t>Selected</t>
        </is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41)&amp;"|",All_Questions_Q_GRID_FORMAT_F_wrapped)),1,0),0))*1</f>
        <v>1</v>
      </c>
    </row>
    <row r="43">
      <c r="A43" t="n">
        <v>42</v>
      </c>
      <c r="B43" t="inlineStr">
        <is>
          <t>Selected</t>
        </is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42)&amp;"|",All_Questions_Q_GRID_FORMAT_F_wrapped)),1,0),0))*1</f>
        <v>1</v>
      </c>
    </row>
    <row r="44">
      <c r="A44" t="n">
        <v>43</v>
      </c>
      <c r="B44" t="inlineStr">
        <is>
          <t>Selected</t>
        </is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43)&amp;"|",All_Questions_Q_GRID_FORMAT_F_wrapped)),1,0),0))*1</f>
        <v>1</v>
      </c>
    </row>
    <row r="45">
      <c r="A45" t="n">
        <v>44</v>
      </c>
      <c r="B45" t="inlineStr">
        <is>
          <t>Selected</t>
        </is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44)&amp;"|",All_Questions_Q_GRID_FORMAT_F_wrapped)),1,0),0))*1</f>
        <v>1</v>
      </c>
    </row>
    <row r="46">
      <c r="A46" t="n">
        <v>45</v>
      </c>
      <c r="B46" t="inlineStr">
        <is>
          <t>Selected</t>
        </is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45)&amp;"|",All_Questions_Q_GRID_FORMAT_F_wrapped)),1,0),0))*1</f>
        <v>1</v>
      </c>
    </row>
    <row r="47">
      <c r="A47" t="n">
        <v>46</v>
      </c>
      <c r="B47" t="inlineStr">
        <is>
          <t>Selected</t>
        </is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46)&amp;"|",All_Questions_Q_GRID_FORMAT_F_wrapped)),1,0),0))*1</f>
        <v>1</v>
      </c>
    </row>
    <row r="48">
      <c r="A48" t="n">
        <v>47</v>
      </c>
      <c r="B48" t="inlineStr">
        <is>
          <t>Selected</t>
        </is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47)&amp;"|",All_Questions_Q_GRID_FORMAT_F_wrapped)),1,0),0))*1</f>
        <v>1</v>
      </c>
    </row>
    <row r="49">
      <c r="A49" t="n">
        <v>48</v>
      </c>
      <c r="B49" t="inlineStr">
        <is>
          <t>Selected</t>
        </is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48)&amp;"|",All_Questions_Q_GRID_FORMAT_F_wrapped)),1,0),0))*1</f>
        <v>1</v>
      </c>
    </row>
    <row r="50">
      <c r="A50" t="n">
        <v>49</v>
      </c>
      <c r="B50" t="inlineStr">
        <is>
          <t>Selected</t>
        </is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49)&amp;"|",All_Questions_Q_GRID_FORMAT_F_wrapped)),1,0),0))*1</f>
        <v>1</v>
      </c>
    </row>
    <row r="51">
      <c r="A51" t="n">
        <v>50</v>
      </c>
      <c r="B51" t="inlineStr">
        <is>
          <t>Selected</t>
        </is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50)&amp;"|",All_Questions_Q_GRID_FORMAT_F_wrapped)),1,0),0))*1</f>
        <v>1</v>
      </c>
    </row>
    <row r="52">
      <c r="A52" t="n">
        <v>51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51)&amp;"|",All_Questions_Q_GRID_FORMAT_F_wrapped)),1,0),0))*1</f>
        <v>1</v>
      </c>
    </row>
    <row r="53">
      <c r="A53" t="n">
        <v>52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52)&amp;"|",All_Questions_Q_GRID_FORMAT_F_wrapped)),1,0),0))*1</f>
        <v>1</v>
      </c>
    </row>
    <row r="54">
      <c r="A54" t="n">
        <v>53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53)&amp;"|",All_Questions_Q_GRID_FORMAT_F_wrapped)),1,0),0))*1</f>
        <v>1</v>
      </c>
    </row>
    <row r="55">
      <c r="A55" t="n">
        <v>54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54)&amp;"|",All_Questions_Q_GRID_FORMAT_F_wrapped)),1,0),0))*1</f>
        <v>1</v>
      </c>
    </row>
    <row r="56">
      <c r="A56" t="n">
        <v>55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55)&amp;"|",All_Questions_Q_GRID_FORMAT_F_wrapped)),1,0),0))*1</f>
        <v>1</v>
      </c>
    </row>
    <row r="57">
      <c r="A57" t="n">
        <v>56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56)&amp;"|",All_Questions_Q_GRID_FORMAT_F_wrapped)),1,0),0))*1</f>
        <v>1</v>
      </c>
    </row>
    <row r="58">
      <c r="A58" t="n">
        <v>57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57)&amp;"|",All_Questions_Q_GRID_FORMAT_F_wrapped)),1,0),0))*1</f>
        <v>1</v>
      </c>
    </row>
    <row r="59">
      <c r="A59" t="n">
        <v>58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58)&amp;"|",All_Questions_Q_GRID_FORMAT_F_wrapped)),1,0),0))*1</f>
        <v>1</v>
      </c>
    </row>
    <row r="60">
      <c r="A60" t="n">
        <v>59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59)&amp;"|",All_Questions_Q_GRID_FORMAT_F_wrapped)),1,0),0))*1</f>
        <v>1</v>
      </c>
    </row>
    <row r="61">
      <c r="A61" t="n">
        <v>60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60)&amp;"|",All_Questions_Q_GRID_FORMAT_F_wrapped)),1,0),0))*1</f>
        <v>1</v>
      </c>
    </row>
    <row r="62">
      <c r="A62" t="n">
        <v>61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61)&amp;"|",All_Questions_Q_GRID_FORMAT_F_wrapped)),1,0),0))*1</f>
        <v>1</v>
      </c>
    </row>
    <row r="63">
      <c r="A63" t="n">
        <v>62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62)&amp;"|",All_Questions_Q_GRID_FORMAT_F_wrapped)),1,0),0))*1</f>
        <v>1</v>
      </c>
    </row>
    <row r="64">
      <c r="A64" t="n">
        <v>63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63)&amp;"|",All_Questions_Q_GRID_FORMAT_F_wrapped)),1,0),0))*1</f>
        <v>1</v>
      </c>
    </row>
    <row r="65">
      <c r="A65" t="n">
        <v>64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64)&amp;"|",All_Questions_Q_GRID_FORMAT_F_wrapped)),1,0),0))*1</f>
        <v>1</v>
      </c>
    </row>
    <row r="66">
      <c r="A66" t="n">
        <v>65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65)&amp;"|",All_Questions_Q_GRID_FORMAT_F_wrapped)),1,0),0))*1</f>
        <v>1</v>
      </c>
    </row>
    <row r="67">
      <c r="A67" t="n">
        <v>66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66)&amp;"|",All_Questions_Q_GRID_FORMAT_F_wrapped)),1,0),0))*1</f>
        <v>1</v>
      </c>
    </row>
    <row r="68">
      <c r="A68" t="n">
        <v>67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67)&amp;"|",All_Questions_Q_GRID_FORMAT_F_wrapped)),1,0),0))*1</f>
        <v>1</v>
      </c>
    </row>
    <row r="69">
      <c r="A69" t="n">
        <v>68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68)&amp;"|",All_Questions_Q_GRID_FORMAT_F_wrapped)),1,0),0))*1</f>
        <v>1</v>
      </c>
    </row>
    <row r="70">
      <c r="A70" t="n">
        <v>69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69)&amp;"|",All_Questions_Q_GRID_FORMAT_F_wrapped)),1,0),0))*1</f>
        <v>1</v>
      </c>
    </row>
    <row r="71">
      <c r="A71" t="n">
        <v>70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70)&amp;"|",All_Questions_Q_GRID_FORMAT_F_wrapped)),1,0),0))*1</f>
        <v>1</v>
      </c>
    </row>
    <row r="72">
      <c r="A72" t="n">
        <v>71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71)&amp;"|",All_Questions_Q_GRID_FORMAT_F_wrapped)),1,0),0))*1</f>
        <v>1</v>
      </c>
    </row>
    <row r="73">
      <c r="A73" t="n">
        <v>72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72)&amp;"|",All_Questions_Q_GRID_FORMAT_F_wrapped)),1,0),0))*1</f>
        <v>1</v>
      </c>
    </row>
    <row r="74">
      <c r="A74" t="n">
        <v>73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73)&amp;"|",All_Questions_Q_GRID_FORMAT_F_wrapped)),1,0),0))*1</f>
        <v>1</v>
      </c>
    </row>
    <row r="75">
      <c r="A75" t="n">
        <v>74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74)&amp;"|",All_Questions_Q_GRID_FORMAT_F_wrapped)),1,0),0))*1</f>
        <v>1</v>
      </c>
    </row>
    <row r="76">
      <c r="A76" t="n">
        <v>75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75)&amp;"|",All_Questions_Q_GRID_FORMAT_F_wrapped)),1,0),0))*1</f>
        <v>1</v>
      </c>
    </row>
    <row r="77">
      <c r="A77" t="n">
        <v>76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76)&amp;"|",All_Questions_Q_GRID_FORMAT_F_wrapped)),1,0),0))*1</f>
        <v>1</v>
      </c>
    </row>
    <row r="78">
      <c r="A78" t="n">
        <v>77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77)&amp;"|",All_Questions_Q_GRID_FORMAT_F_wrapped)),1,0),0))*1</f>
        <v>1</v>
      </c>
    </row>
    <row r="79">
      <c r="A79" t="n">
        <v>78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78)&amp;"|",All_Questions_Q_GRID_FORMAT_F_wrapped)),1,0),0))*1</f>
        <v>1</v>
      </c>
    </row>
    <row r="80">
      <c r="A80" t="n">
        <v>79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79)&amp;"|",All_Questions_Q_GRID_FORMAT_F_wrapped)),1,0),0))*1</f>
        <v>1</v>
      </c>
    </row>
    <row r="81">
      <c r="A81" t="n">
        <v>80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80)&amp;"|",All_Questions_Q_GRID_FORMAT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r1_options</t>
        </is>
      </c>
      <c r="G1" t="inlineStr">
        <is>
          <t>r2_options</t>
        </is>
      </c>
      <c r="H1" t="inlineStr">
        <is>
          <t>r3_options</t>
        </is>
      </c>
      <c r="I1" t="inlineStr">
        <is>
          <t>r1_local_options</t>
        </is>
      </c>
      <c r="J1" t="inlineStr">
        <is>
          <t>r2_local_options</t>
        </is>
      </c>
      <c r="K1" t="inlineStr">
        <is>
          <t>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'_RawData'!$A$2:$A$81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Selected</t>
        </is>
      </c>
      <c r="J4" t="inlineStr">
        <is>
          <t>Selected</t>
        </is>
      </c>
      <c r="K4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80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22" customWidth="1" min="3" max="3"/>
    <col width="20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[Q_GRID_FORMAT]</t>
        </is>
      </c>
      <c r="B2" t="inlineStr">
        <is>
          <t>Q_GRID_FORMAT</t>
        </is>
      </c>
      <c r="C2" t="inlineStr">
        <is>
          <t>Grid format question</t>
        </is>
      </c>
      <c r="D2" t="inlineStr">
        <is>
          <t>GRID_SINGLE_SELECT</t>
        </is>
      </c>
      <c r="E2" t="inlineStr">
        <is>
          <t>r1, r2, r3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Q_GRID_FORMAT</t>
        </is>
      </c>
      <c r="B2" t="inlineStr">
        <is>
          <t>Q_GRID_FORMAT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80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Q_GRID_FORMAT - Grid format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IFERROR(INDEX(All_Questions_Data_Names,MATCH(All_Questions_Q_GRID_FORMAT_F_Q,All_Questions,0)),"'_RawData'!$A:$A")</f>
        <v>respondent_id_data</v>
      </c>
      <c r="G13" t="str">
        <f>"|" &amp; SUBSTITUTE(All_Questions_Q_GRID_FORMAT_F_V,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IF(All_Questions_Q_GRID_FORMAT_CT="(None)","",IFERROR(INDEX(INDIRECT(IFERROR(INDEX(All_Questions_Options_Names,MATCH(All_Questions_Q_GRID_FORMAT_CT,All_Questions,0)),"'_Options'!$E$2:$E$2")),2),""))</f>
        <v/>
      </c>
      <c r="H16" s="2" t="str">
        <f>IF(All_Questions_Q_GRID_FORMAT_CT="(None)","",IFERROR(INDEX(INDIRECT(IFERROR(INDEX(All_Questions_Options_Names,MATCH(All_Questions_Q_GRID_FORMAT_CT,All_Questions,0)),"'_Options'!$E$2:$E$2")),3),""))</f>
        <v/>
      </c>
      <c r="I16" s="2" t="str">
        <f>IF(All_Questions_Q_GRID_FORMAT_CT="(None)","",IFERROR(INDEX(INDIRECT(IFERROR(INDEX(All_Questions_Options_Names,MATCH(All_Questions_Q_GRID_FORMAT_CT,All_Questions,0)),"'_Options'!$E$2:$E$2")),4),""))</f>
        <v/>
      </c>
      <c r="J16" s="2" t="str">
        <f>IF(All_Questions_Q_GRID_FORMAT_CT="(None)","",IFERROR(INDEX(INDIRECT(IFERROR(INDEX(All_Questions_Options_Names,MATCH(All_Questions_Q_GRID_FORMAT_CT,All_Questions,0)),"'_Options'!$E$2:$E$2")),5),""))</f>
        <v/>
      </c>
      <c r="K16" s="2" t="str">
        <f>IF(All_Questions_Q_GRID_FORMAT_CT="(None)","",IFERROR(INDEX(INDIRECT(IFERROR(INDEX(All_Questions_Options_Names,MATCH(All_Questions_Q_GRID_FORMAT_CT,All_Questions,0)),"'_Options'!$E$2:$E$2")),6),""))</f>
        <v/>
      </c>
      <c r="L16" s="2" t="str">
        <f>IF(All_Questions_Q_GRID_FORMAT_CT="(None)","",IFERROR(INDEX(INDIRECT(IFERROR(INDEX(All_Questions_Options_Names,MATCH(All_Questions_Q_GRID_FORMAT_CT,All_Questions,0)),"'_Options'!$E$2:$E$2")),7),""))</f>
        <v/>
      </c>
      <c r="M16" s="2" t="str">
        <f>IF(All_Questions_Q_GRID_FORMAT_CT="(None)","",IFERROR(INDEX(INDIRECT(IFERROR(INDEX(All_Questions_Options_Names,MATCH(All_Questions_Q_GRID_FORMAT_CT,All_Questions,0)),"'_Options'!$E$2:$E$2")),8),""))</f>
        <v/>
      </c>
      <c r="N16" s="2" t="str">
        <f>IF(All_Questions_Q_GRID_FORMAT_CT="(None)","",IFERROR(INDEX(INDIRECT(IFERROR(INDEX(All_Questions_Options_Names,MATCH(All_Questions_Q_GRID_FORMAT_CT,All_Questions,0)),"'_Options'!$E$2:$E$2")),9),""))</f>
        <v/>
      </c>
      <c r="O16" s="2" t="str">
        <f>IF(All_Questions_Q_GRID_FORMAT_CT="(None)","",IFERROR(INDEX(INDIRECT(IFERROR(INDEX(All_Questions_Options_Names,MATCH(All_Questions_Q_GRID_FORMAT_CT,All_Questions,0)),"'_Options'!$E$2:$E$2")),10),""))</f>
        <v/>
      </c>
      <c r="P16" s="2" t="str">
        <f>IF(All_Questions_Q_GRID_FORMAT_CT="(None)","",IFERROR(INDEX(INDIRECT(IFERROR(INDEX(All_Questions_Options_Names,MATCH(All_Questions_Q_GRID_FORMAT_CT,All_Questions,0)),"'_Options'!$E$2:$E$2")),11),""))</f>
        <v/>
      </c>
      <c r="Q16" s="2" t="str">
        <f>IF(All_Questions_Q_GRID_FORMAT_CT="(None)","",IFERROR(INDEX(INDIRECT(IFERROR(INDEX(All_Questions_Options_Names,MATCH(All_Questions_Q_GRID_FORMAT_CT,All_Questions,0)),"'_Options'!$E$2:$E$2")),12),""))</f>
        <v/>
      </c>
      <c r="R16" s="2" t="str">
        <f>IF(All_Questions_Q_GRID_FORMAT_CT="(None)","",IF(COUNTA(INDIRECT(IFERROR(INDEX(All_Questions_Options_Names,MATCH(All_Questions_Q_GRID_FORMAT_CT,All_Questions,0)),"'_Options'!$E$2:$E$2")))-1&gt;11,"Other",IFERROR(INDEX(INDIRECT(IFERROR(INDEX(All_Questions_Options_Names,MATCH(All_Questions_Q_GRID_FORMAT_CT,All_Questions,0)),"'_Options'!$E$2:$E$2")),13),"")))</f>
        <v/>
      </c>
      <c r="S16" s="4" t="inlineStr">
        <is>
          <t>Total</t>
        </is>
      </c>
    </row>
    <row r="17">
      <c r="A17" t="inlineStr">
        <is>
          <t>Option A</t>
        </is>
      </c>
      <c r="B17">
        <f>COUNTIFS(r1_data,"Selected",passes_workbook_filters_data,1,passes_workbook_custom_filters_data,1,All_Questions_passes_local_filters_data,1,All_Questions_Q_GRID_FORMAT_F_passes_per_q_filter_data,1)</f>
        <v>50</v>
      </c>
      <c r="C17" s="7">
        <f>IFERROR(B17/SUBTOTAL(9,B17:B18),0)</f>
        <v>0.625</v>
      </c>
      <c r="D17" s="14">
        <f>SUBTOTAL(9,B17:B18)</f>
        <v>80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Option B</t>
        </is>
      </c>
      <c r="B18">
        <f>COUNTIFS(r2_data,"Selected",passes_workbook_filters_data,1,passes_workbook_custom_filters_data,1,All_Questions_passes_local_filters_data,1,All_Questions_Q_GRID_FORMAT_F_passes_per_q_filter_data,1)</f>
        <v>30</v>
      </c>
      <c r="C18" s="7">
        <f>IFERROR(B18/SUBTOTAL(9,B17:B18),0)</f>
        <v>0.375</v>
      </c>
      <c r="D18" s="14">
        <f>SUBTOTAL(9,B17:B18)</f>
        <v>80</v>
      </c>
      <c r="F18" t="inlineStr">
        <is>
          <t>Option A</t>
        </is>
      </c>
      <c r="G18">
        <f>IF(OR(All_Questions_Q_GRID_FORMAT_CT="(None)",G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8">
        <f>IF(OR(All_Questions_Q_GRID_FORMAT_CT="(None)",H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8">
        <f>IF(OR(All_Questions_Q_GRID_FORMAT_CT="(None)",I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8">
        <f>IF(OR(All_Questions_Q_GRID_FORMAT_CT="(None)",J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8">
        <f>IF(OR(All_Questions_Q_GRID_FORMAT_CT="(None)",K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8">
        <f>IF(OR(All_Questions_Q_GRID_FORMAT_CT="(None)",L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8">
        <f>IF(OR(All_Questions_Q_GRID_FORMAT_CT="(None)",M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8">
        <f>IF(OR(All_Questions_Q_GRID_FORMAT_CT="(None)",N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8">
        <f>IF(OR(All_Questions_Q_GRID_FORMAT_CT="(None)",O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8">
        <f>IF(OR(All_Questions_Q_GRID_FORMAT_CT="(None)",P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8">
        <f>IF(OR(All_Questions_Q_GRID_FORMAT_CT="(None)",Q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8">
        <f>IF(OR(All_Questions_Q_GRID_FORMAT_CT="(None)",R$16=""),"",IF(R$16="Other",COUNTIFS(r1_data,"Selected",passes_workbook_filters_data,1,passes_workbook_custom_filters_data,1,All_Questions_passes_local_filters_data,1,All_Questions_Q_GRID_FORMAT_F_passes_per_q_filter_data,1)-SUM(G18,H18,I18,J18,K18,L18,M18,N18,O18,P18,Q18)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8">
        <f>IF(All_Questions_Q_GRID_FORMAT_CT="(None)","",COUNTIFS(r1_data,"Selected",passes_workbook_filters_data,1,passes_workbook_custom_filters_data,1,All_Questions_passes_local_filters_data,1,All_Questions_Q_GRID_FORMAT_F_passes_per_q_filter_data,1))</f>
        <v>0</v>
      </c>
    </row>
    <row r="19">
      <c r="A19" s="15" t="inlineStr">
        <is>
          <t>Total respondents</t>
        </is>
      </c>
      <c r="B19" s="15" t="n">
        <v>80</v>
      </c>
      <c r="C19" s="15" t="n"/>
      <c r="D19" s="15" t="n"/>
      <c r="F19" t="inlineStr">
        <is>
          <t>Option B</t>
        </is>
      </c>
      <c r="G19">
        <f>IF(OR(All_Questions_Q_GRID_FORMAT_CT="(None)",G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9">
        <f>IF(OR(All_Questions_Q_GRID_FORMAT_CT="(None)",H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9">
        <f>IF(OR(All_Questions_Q_GRID_FORMAT_CT="(None)",I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9">
        <f>IF(OR(All_Questions_Q_GRID_FORMAT_CT="(None)",J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9">
        <f>IF(OR(All_Questions_Q_GRID_FORMAT_CT="(None)",K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9">
        <f>IF(OR(All_Questions_Q_GRID_FORMAT_CT="(None)",L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9">
        <f>IF(OR(All_Questions_Q_GRID_FORMAT_CT="(None)",M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9">
        <f>IF(OR(All_Questions_Q_GRID_FORMAT_CT="(None)",N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9">
        <f>IF(OR(All_Questions_Q_GRID_FORMAT_CT="(None)",O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9">
        <f>IF(OR(All_Questions_Q_GRID_FORMAT_CT="(None)",P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9">
        <f>IF(OR(All_Questions_Q_GRID_FORMAT_CT="(None)",Q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9">
        <f>IF(OR(All_Questions_Q_GRID_FORMAT_CT="(None)",R$16=""),"",IF(R$16="Other",COUNTIFS(r2_data,"Selected",passes_workbook_filters_data,1,passes_workbook_custom_filters_data,1,All_Questions_passes_local_filters_data,1,All_Questions_Q_GRID_FORMAT_F_passes_per_q_filter_data,1)-SUM(G19,H19,I19,J19,K19,L19,M19,N19,O19,P19,Q19)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9">
        <f>IF(All_Questions_Q_GRID_FORMAT_CT="(None)","",COUNTIFS(r2_data,"Selected",passes_workbook_filters_data,1,passes_workbook_custom_filters_data,1,All_Questions_passes_local_filters_data,1,All_Questions_Q_GRID_FORMAT_F_passes_per_q_filter_data,1))</f>
        <v>0</v>
      </c>
    </row>
    <row r="20">
      <c r="A20" s="4" t="inlineStr">
        <is>
          <t>Total responses</t>
        </is>
      </c>
      <c r="B20" s="4" t="n">
        <v>80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IF(All_Questions_Q_GRID_FORMAT_CT="(None)","",COUNTIFS(respondent_id_data,"&lt;&gt;",passes_workbook_filters_data,1,passes_workbook_custom_filters_data,1,All_Questions_passes_local_filters_data,1,All_Questions_Q_GRID_FORMAT_F_passes_per_q_filter_data,1))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=INDIRECT(IFERROR(INDEX(All_Questions_Options_Names,MATCH(All_Questions_Q_GRID_FORMAT_F_Q,All_Questions,0)),"'_Options'!$E$2:$E$2"))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9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2026-06-03T21:14:19Z</dcterms:created>
  <dcterms:modified xmlns:dcterms="http://purl.org/dc/terms/" xmlns:xsi="http://www.w3.org/2001/XMLSchema-instance" xsi:type="dcterms:W3CDTF">2026-06-03T21:14:19Z</dcterms:modified>
</cp:coreProperties>
</file>