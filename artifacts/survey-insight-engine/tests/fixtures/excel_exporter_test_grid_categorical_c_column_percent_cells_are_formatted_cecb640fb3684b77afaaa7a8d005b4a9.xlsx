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  <row r="22"/>
    <row r="23">
      <c r="F23" s="4" t="inlineStr">
        <is>
          <t>Option</t>
        </is>
      </c>
      <c r="G23" s="2" t="str">
        <f>IF(All_Questions_Q26_CT="(None)","",IFERROR(INDEX(INDIRECT(IFERROR(INDEX(All_Questions_Options_Names,MATCH(All_Questions_Q26_CT,All_Questions,0)),"'_Options'!$E$2:$E$2")),2),""))</f>
        <v/>
      </c>
      <c r="H23" s="2" t="str">
        <f>IF(All_Questions_Q26_CT="(None)","",IFERROR(INDEX(INDIRECT(IFERROR(INDEX(All_Questions_Options_Names,MATCH(All_Questions_Q26_CT,All_Questions,0)),"'_Options'!$E$2:$E$2")),3),""))</f>
        <v/>
      </c>
      <c r="I23" s="2" t="str">
        <f>IF(All_Questions_Q26_CT="(None)","",IFERROR(INDEX(INDIRECT(IFERROR(INDEX(All_Questions_Options_Names,MATCH(All_Questions_Q26_CT,All_Questions,0)),"'_Options'!$E$2:$E$2")),4),""))</f>
        <v/>
      </c>
      <c r="J23" s="2" t="str">
        <f>IF(All_Questions_Q26_CT="(None)","",IFERROR(INDEX(INDIRECT(IFERROR(INDEX(All_Questions_Options_Names,MATCH(All_Questions_Q26_CT,All_Questions,0)),"'_Options'!$E$2:$E$2")),5),""))</f>
        <v/>
      </c>
      <c r="K23" s="2" t="str">
        <f>IF(All_Questions_Q26_CT="(None)","",IFERROR(INDEX(INDIRECT(IFERROR(INDEX(All_Questions_Options_Names,MATCH(All_Questions_Q26_CT,All_Questions,0)),"'_Options'!$E$2:$E$2")),6),""))</f>
        <v/>
      </c>
      <c r="L23" s="2" t="str">
        <f>IF(All_Questions_Q26_CT="(None)","",IFERROR(INDEX(INDIRECT(IFERROR(INDEX(All_Questions_Options_Names,MATCH(All_Questions_Q26_CT,All_Questions,0)),"'_Options'!$E$2:$E$2")),7),""))</f>
        <v/>
      </c>
      <c r="M23" s="2" t="str">
        <f>IF(All_Questions_Q26_CT="(None)","",IFERROR(INDEX(INDIRECT(IFERROR(INDEX(All_Questions_Options_Names,MATCH(All_Questions_Q26_CT,All_Questions,0)),"'_Options'!$E$2:$E$2")),8),""))</f>
        <v/>
      </c>
      <c r="N23" s="2" t="str">
        <f>IF(All_Questions_Q26_CT="(None)","",IFERROR(INDEX(INDIRECT(IFERROR(INDEX(All_Questions_Options_Names,MATCH(All_Questions_Q26_CT,All_Questions,0)),"'_Options'!$E$2:$E$2")),9),""))</f>
        <v/>
      </c>
      <c r="O23" s="2" t="str">
        <f>IF(All_Questions_Q26_CT="(None)","",IFERROR(INDEX(INDIRECT(IFERROR(INDEX(All_Questions_Options_Names,MATCH(All_Questions_Q26_CT,All_Questions,0)),"'_Options'!$E$2:$E$2")),10),""))</f>
        <v/>
      </c>
      <c r="P23" s="2" t="str">
        <f>IF(All_Questions_Q26_CT="(None)","",IFERROR(INDEX(INDIRECT(IFERROR(INDEX(All_Questions_Options_Names,MATCH(All_Questions_Q26_CT,All_Questions,0)),"'_Options'!$E$2:$E$2")),11),""))</f>
        <v/>
      </c>
      <c r="Q23" s="2" t="str">
        <f>IF(All_Questions_Q26_CT="(None)","",IFERROR(INDEX(INDIRECT(IFERROR(INDEX(All_Questions_Options_Names,MATCH(All_Questions_Q26_CT,All_Questions,0)),"'_Options'!$E$2:$E$2")),12),""))</f>
        <v/>
      </c>
      <c r="R23" s="2" t="str">
        <f>IF(All_Questions_Q26_CT="(None)","",IF(COUNTA(INDIRECT(IFERROR(INDEX(All_Questions_Options_Names,MATCH(All_Questions_Q26_CT,All_Questions,0)),"'_Options'!$E$2:$E$2")))-1&gt;11,"Other",IFERROR(INDEX(INDIRECT(IFERROR(INDEX(All_Questions_Options_Names,MATCH(All_Questions_Q26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Finance</t>
        </is>
      </c>
      <c r="G25" s="16">
        <f>IF(OR(All_Questions_Q26_CT="(None)",G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5" s="16">
        <f>IF(OR(All_Questions_Q26_CT="(None)",H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5" s="16">
        <f>IF(OR(All_Questions_Q26_CT="(None)",I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5" s="16">
        <f>IF(OR(All_Questions_Q26_CT="(None)",J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5" s="16">
        <f>IF(OR(All_Questions_Q26_CT="(None)",K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5" s="16">
        <f>IF(OR(All_Questions_Q26_CT="(None)",L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5" s="16">
        <f>IF(OR(All_Questions_Q26_CT="(None)",M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5" s="16">
        <f>IF(OR(All_Questions_Q26_CT="(None)",N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5" s="16">
        <f>IF(OR(All_Questions_Q26_CT="(None)",O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5" s="16">
        <f>IF(OR(All_Questions_Q26_CT="(None)",P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5" s="16">
        <f>IF(OR(All_Questions_Q26_CT="(None)",Q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5" s="16">
        <f>IF(OR(All_Questions_Q26_CT="(None)",R$23=""),"",IF(R$23="Other",COUNTIFS(Q26r2c2_data,"Selected",passes_workbook_filters_data,1,passes_workbook_custom_filters_data,1,All_Questions_passes_local_filters_data,1,All_Questions_Q26_F_passes_per_q_filter_data,1)-SUM(G25,H25,I25,J25,K25,L25,M25,N25,O25,P25,Q25)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5" s="16">
        <f>IF(All_Questions_Q26_CT="(None)","",COUNTIFS(Q26r2c2_data,"Selected",passes_workbook_filters_data,1,passes_workbook_custom_filters_data,1,All_Questions_passes_local_filters_data,1,All_Questions_Q26_F_passes_per_q_filter_data,1))</f>
        <v>0</v>
      </c>
    </row>
    <row r="26">
      <c r="F26" t="inlineStr">
        <is>
          <t>IT / Technical</t>
        </is>
      </c>
      <c r="G26" s="16">
        <f>IF(OR(All_Questions_Q26_CT="(None)",G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6" s="16">
        <f>IF(OR(All_Questions_Q26_CT="(None)",H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6" s="16">
        <f>IF(OR(All_Questions_Q26_CT="(None)",I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6" s="16">
        <f>IF(OR(All_Questions_Q26_CT="(None)",J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6" s="16">
        <f>IF(OR(All_Questions_Q26_CT="(None)",K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6" s="16">
        <f>IF(OR(All_Questions_Q26_CT="(None)",L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6" s="16">
        <f>IF(OR(All_Questions_Q26_CT="(None)",M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6" s="16">
        <f>IF(OR(All_Questions_Q26_CT="(None)",N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6" s="16">
        <f>IF(OR(All_Questions_Q26_CT="(None)",O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6" s="16">
        <f>IF(OR(All_Questions_Q26_CT="(None)",P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6" s="16">
        <f>IF(OR(All_Questions_Q26_CT="(None)",Q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6" s="16">
        <f>IF(OR(All_Questions_Q26_CT="(None)",R$23=""),"",IF(R$23="Other",COUNTIFS(Q26r1c2_data,"Selected",passes_workbook_filters_data,1,passes_workbook_custom_filters_data,1,All_Questions_passes_local_filters_data,1,All_Questions_Q26_F_passes_per_q_filter_data,1)-SUM(G26,H26,I26,J26,K26,L26,M26,N26,O26,P26,Q26)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6" s="16">
        <f>IF(All_Questions_Q26_CT="(None)","",COUNTIFS(Q26r1c2_data,"Selected",passes_workbook_filters_data,1,passes_workbook_custom_filters_data,1,All_Questions_passes_local_filters_data,1,All_Questions_Q26_F_passes_per_q_filter_data,1))</f>
        <v>0</v>
      </c>
    </row>
    <row r="27">
      <c r="F27" t="inlineStr">
        <is>
          <t>IT / Technical</t>
        </is>
      </c>
      <c r="G27" s="16">
        <f>IF(OR(All_Questions_Q26_CT="(None)",G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7" s="16">
        <f>IF(OR(All_Questions_Q26_CT="(None)",H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7" s="16">
        <f>IF(OR(All_Questions_Q26_CT="(None)",I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7" s="16">
        <f>IF(OR(All_Questions_Q26_CT="(None)",J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7" s="16">
        <f>IF(OR(All_Questions_Q26_CT="(None)",K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7" s="16">
        <f>IF(OR(All_Questions_Q26_CT="(None)",L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7" s="16">
        <f>IF(OR(All_Questions_Q26_CT="(None)",M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7" s="16">
        <f>IF(OR(All_Questions_Q26_CT="(None)",N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7" s="16">
        <f>IF(OR(All_Questions_Q26_CT="(None)",O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7" s="16">
        <f>IF(OR(All_Questions_Q26_CT="(None)",P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7" s="16">
        <f>IF(OR(All_Questions_Q26_CT="(None)",Q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7" s="16">
        <f>IF(OR(All_Questions_Q26_CT="(None)",R$23=""),"",IF(R$23="Other",COUNTIFS(Q26r1c3_data,"Selected",passes_workbook_filters_data,1,passes_workbook_custom_filters_data,1,All_Questions_passes_local_filters_data,1,All_Questions_Q26_F_passes_per_q_filter_data,1)-SUM(G27,H27,I27,J27,K27,L27,M27,N27,O27,P27,Q27)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7" s="16">
        <f>IF(All_Questions_Q26_CT="(None)","",COUNTIFS(Q26r1c3_data,"Selected",passes_workbook_filters_data,1,passes_workbook_custom_filters_data,1,All_Questions_passes_local_filters_data,1,All_Questions_Q26_F_passes_per_q_filter_data,1))</f>
        <v>0</v>
      </c>
    </row>
    <row r="28">
      <c r="F28" t="inlineStr">
        <is>
          <t>IT / Technical</t>
        </is>
      </c>
      <c r="G28" s="16">
        <f>IF(OR(All_Questions_Q26_CT="(None)",G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8" s="16">
        <f>IF(OR(All_Questions_Q26_CT="(None)",H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8" s="16">
        <f>IF(OR(All_Questions_Q26_CT="(None)",I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8" s="16">
        <f>IF(OR(All_Questions_Q26_CT="(None)",J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8" s="16">
        <f>IF(OR(All_Questions_Q26_CT="(None)",K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8" s="16">
        <f>IF(OR(All_Questions_Q26_CT="(None)",L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8" s="16">
        <f>IF(OR(All_Questions_Q26_CT="(None)",M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8" s="16">
        <f>IF(OR(All_Questions_Q26_CT="(None)",N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8" s="16">
        <f>IF(OR(All_Questions_Q26_CT="(None)",O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8" s="16">
        <f>IF(OR(All_Questions_Q26_CT="(None)",P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8" s="16">
        <f>IF(OR(All_Questions_Q26_CT="(None)",Q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8" s="16">
        <f>IF(OR(All_Questions_Q26_CT="(None)",R$23=""),"",IF(R$23="Other",COUNTIFS(Q26r1c1_data,"Selected",passes_workbook_filters_data,1,passes_workbook_custom_filters_data,1,All_Questions_passes_local_filters_data,1,All_Questions_Q26_F_passes_per_q_filter_data,1)-SUM(G28,H28,I28,J28,K28,L28,M28,N28,O28,P28,Q28)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8" s="16">
        <f>IF(All_Questions_Q26_CT="(None)","",COUNTIFS(Q26r1c1_data,"Selected",passes_workbook_filters_data,1,passes_workbook_custom_filters_data,1,All_Questions_passes_local_filters_data,1,All_Questions_Q26_F_passes_per_q_filter_data,1))</f>
        <v>0</v>
      </c>
    </row>
    <row r="29">
      <c r="F29" t="inlineStr">
        <is>
          <t>Finance</t>
        </is>
      </c>
      <c r="G29" s="16">
        <f>IF(OR(All_Questions_Q26_CT="(None)",G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9" s="16">
        <f>IF(OR(All_Questions_Q26_CT="(None)",H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9" s="16">
        <f>IF(OR(All_Questions_Q26_CT="(None)",I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9" s="16">
        <f>IF(OR(All_Questions_Q26_CT="(None)",J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9" s="16">
        <f>IF(OR(All_Questions_Q26_CT="(None)",K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9" s="16">
        <f>IF(OR(All_Questions_Q26_CT="(None)",L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9" s="16">
        <f>IF(OR(All_Questions_Q26_CT="(None)",M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9" s="16">
        <f>IF(OR(All_Questions_Q26_CT="(None)",N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9" s="16">
        <f>IF(OR(All_Questions_Q26_CT="(None)",O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9" s="16">
        <f>IF(OR(All_Questions_Q26_CT="(None)",P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9" s="16">
        <f>IF(OR(All_Questions_Q26_CT="(None)",Q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9" s="16">
        <f>IF(OR(All_Questions_Q26_CT="(None)",R$23=""),"",IF(R$23="Other",COUNTIFS(Q26r2c3_data,"Selected",passes_workbook_filters_data,1,passes_workbook_custom_filters_data,1,All_Questions_passes_local_filters_data,1,All_Questions_Q26_F_passes_per_q_filter_data,1)-SUM(G29,H29,I29,J29,K29,L29,M29,N29,O29,P29,Q29)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9" s="16">
        <f>IF(All_Questions_Q26_CT="(None)","",COUNTIFS(Q26r2c3_data,"Selected",passes_workbook_filters_data,1,passes_workbook_custom_filters_data,1,All_Questions_passes_local_filters_data,1,All_Questions_Q26_F_passes_per_q_filter_data,1))</f>
        <v>0</v>
      </c>
    </row>
    <row r="30">
      <c r="F30" t="inlineStr">
        <is>
          <t>Finance</t>
        </is>
      </c>
      <c r="G30" s="16">
        <f>IF(OR(All_Questions_Q26_CT="(None)",G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30" s="16">
        <f>IF(OR(All_Questions_Q26_CT="(None)",H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30" s="16">
        <f>IF(OR(All_Questions_Q26_CT="(None)",I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30" s="16">
        <f>IF(OR(All_Questions_Q26_CT="(None)",J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30" s="16">
        <f>IF(OR(All_Questions_Q26_CT="(None)",K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30" s="16">
        <f>IF(OR(All_Questions_Q26_CT="(None)",L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30" s="16">
        <f>IF(OR(All_Questions_Q26_CT="(None)",M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30" s="16">
        <f>IF(OR(All_Questions_Q26_CT="(None)",N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30" s="16">
        <f>IF(OR(All_Questions_Q26_CT="(None)",O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30" s="16">
        <f>IF(OR(All_Questions_Q26_CT="(None)",P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30" s="16">
        <f>IF(OR(All_Questions_Q26_CT="(None)",Q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30" s="16">
        <f>IF(OR(All_Questions_Q26_CT="(None)",R$23=""),"",IF(R$23="Other",COUNTIFS(Q26r2c1_data,"Selected",passes_workbook_filters_data,1,passes_workbook_custom_filters_data,1,All_Questions_passes_local_filters_data,1,All_Questions_Q26_F_passes_per_q_filter_data,1)-SUM(G30,H30,I30,J30,K30,L30,M30,N30,O30,P30,Q30)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30" s="16">
        <f>IF(All_Questions_Q26_CT="(None)","",COUNTIFS(Q26r2c1_data,"Selected",passes_workbook_filters_data,1,passes_workbook_custom_filters_data,1,All_Questions_passes_local_filters_data,1,All_Questions_Q26_F_passes_per_q_filter_data,1))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IF(All_Questions_Q26_CT="(None)","",COUNTIFS(respondent_id_data,"&lt;&gt;",passes_workbook_filters_data,1,passes_workbook_custom_filters_data,1,All_Questions_passes_local_filters_data,1,All_Questions_Q26_F_passes_per_q_filter_data,1))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3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3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3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3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3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2026-06-08T13:14:54Z</dcterms:created>
  <dcterms:modified xmlns:dcterms="http://purl.org/dc/terms/" xmlns:xsi="http://www.w3.org/2001/XMLSchema-instance" xsi:type="dcterms:W3CDTF">2026-06-08T13:14:54Z</dcterms:modified>
</cp:coreProperties>
</file>