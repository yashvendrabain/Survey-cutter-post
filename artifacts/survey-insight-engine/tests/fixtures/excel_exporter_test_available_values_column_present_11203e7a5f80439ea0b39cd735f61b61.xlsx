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Default Extension="vml" ContentType="application/vnd.openxmlformats-officedocument.vmlDrawing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sheets/sheet2.xml" ContentType="application/vnd.openxmlformats-officedocument.spreadsheetml.worksheet+xml"/>
  <ns0:Override PartName="/xl/worksheets/sheet3.xml" ContentType="application/vnd.openxmlformats-officedocument.spreadsheetml.worksheet+xml"/>
  <ns0:Override PartName="/xl/comments/comment1.xml" ContentType="application/vnd.openxmlformats-officedocument.spreadsheetml.comments+xml"/>
  <ns0:Override PartName="/xl/worksheets/sheet4.xml" ContentType="application/vnd.openxmlformats-officedocument.spreadsheetml.worksheet+xml"/>
  <ns0:Override PartName="/xl/worksheets/sheet5.xml" ContentType="application/vnd.openxmlformats-officedocument.spreadsheetml.worksheet+xml"/>
  <ns0:Override PartName="/xl/worksheets/sheet6.xml" ContentType="application/vnd.openxmlformats-officedocument.spreadsheetml.worksheet+xml"/>
  <ns0:Override PartName="/xl/worksheets/sheet7.xml" ContentType="application/vnd.openxmlformats-officedocument.spreadsheetml.worksheet+xml"/>
  <ns0:Override PartName="/xl/comments/comment2.xml" ContentType="application/vnd.openxmlformats-officedocument.spreadsheetml.comments+xml"/>
  <ns0:Override PartName="/xl/tables/table1.xml" ContentType="application/vnd.openxmlformats-officedocument.spreadsheetml.table+xml"/>
  <ns0:Override PartName="/xl/worksheets/sheet8.xml" ContentType="application/vnd.openxmlformats-officedocument.spreadsheetml.worksheet+xml"/>
  <ns0:Override PartName="/xl/comments/comment3.xml" ContentType="application/vnd.openxmlformats-officedocument.spreadsheetml.comments+xml"/>
  <ns0:Override PartName="/xl/tables/table2.xml" ContentType="application/vnd.openxmlformats-officedocument.spreadsheetml.table+xml"/>
  <ns0:Override PartName="/xl/tables/table3.xml" ContentType="application/vnd.openxmlformats-officedocument.spreadsheetml.table+xml"/>
  <ns0:Override PartName="/xl/tables/table4.xml" ContentType="application/vnd.openxmlformats-officedocument.spreadsheetml.table+xml"/>
  <ns0:Override PartName="/xl/tables/table5.xml" ContentType="application/vnd.openxmlformats-officedocument.spreadsheetml.table+xml"/>
  <ns0:Override PartName="/xl/worksheets/sheet9.xml" ContentType="application/vnd.openxmlformats-officedocument.spreadsheetml.worksheet+xml"/>
  <ns0:Override PartName="/xl/worksheets/sheet10.xml" ContentType="application/vnd.openxmlformats-officedocument.spreadsheetml.worksheet+xml"/>
  <ns0:Override PartName="/xl/worksheets/sheet11.xml" ContentType="application/vnd.openxmlformats-officedocument.spreadsheetml.worksheet+xml"/>
  <ns0:Override PartName="/xl/workbook.xml" ContentType="application/vnd.openxmlformats-officedocument.spreadsheetml.sheet.main+xml"/>
  <ns0:Override PartName="/xl/calcChain.xml" ContentType="application/vnd.openxmlformats-officedocument.spreadsheetml.calcChain+xml"/>
</ns0: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2" autoFilterDateGrouping="1"/>
  </bookViews>
  <sheets>
    <sheet xmlns:r="http://schemas.openxmlformats.org/officeDocument/2006/relationships" name="_RawData" sheetId="1" state="hidden" r:id="rId1"/>
    <sheet xmlns:r="http://schemas.openxmlformats.org/officeDocument/2006/relationships" name="_Options" sheetId="2" state="hidden" r:id="rId2"/>
    <sheet xmlns:r="http://schemas.openxmlformats.org/officeDocument/2006/relationships" name="Filters" sheetId="3" state="visible" r:id="rId3"/>
    <sheet xmlns:r="http://schemas.openxmlformats.org/officeDocument/2006/relationships" name="Run_Summary" sheetId="4" state="visible" r:id="rId4"/>
    <sheet xmlns:r="http://schemas.openxmlformats.org/officeDocument/2006/relationships" name="Question_Metadata" sheetId="5" state="visible" r:id="rId5"/>
    <sheet xmlns:r="http://schemas.openxmlformats.org/officeDocument/2006/relationships" name="Single_Cut_Index" sheetId="6" state="visible" r:id="rId6"/>
    <sheet xmlns:r="http://schemas.openxmlformats.org/officeDocument/2006/relationships" name="Demographics" sheetId="7" state="visible" r:id="rId7"/>
    <sheet xmlns:r="http://schemas.openxmlformats.org/officeDocument/2006/relationships" name="All Questions" sheetId="8" state="visible" r:id="rId8"/>
    <sheet xmlns:r="http://schemas.openxmlformats.org/officeDocument/2006/relationships" name="Calculation_Log" sheetId="9" state="visible" r:id="rId9"/>
    <sheet xmlns:r="http://schemas.openxmlformats.org/officeDocument/2006/relationships" name="Filter_Log" sheetId="10" state="visible" r:id="rId10"/>
    <sheet xmlns:r="http://schemas.openxmlformats.org/officeDocument/2006/relationships" name="Warnings" sheetId="11" state="visible" r:id="rId11"/>
  </sheets>
  <definedNames>
    <definedName name="respondent_id_data">'_RawData'!$A$2:$A$11</definedName>
    <definedName name="Q_SS_EXPORT_data">'_RawData'!$B$2:$B$11</definedName>
    <definedName name="Q_MS_EXPORTr1_data">'_RawData'!$C$2:$C$11</definedName>
    <definedName name="Q_MS_EXPORTr2_data">'_RawData'!$D$2:$D$11</definedName>
    <definedName name="Q_NUM_EXPORT_data">'_RawData'!$E$2:$E$11</definedName>
    <definedName name="Q_GRID_EXPORTr1_data">'_RawData'!$F$2:$F$11</definedName>
    <definedName name="Q_GRID_EXPORTr2_data">'_RawData'!$G$2:$G$11</definedName>
    <definedName name="Q_VERY_LONG_SINGLE_SELECT_EXPOR_data">'_RawData'!$H$2:$H$11</definedName>
    <definedName name="All_Questions">'_Options'!$A$2:$A$9</definedName>
    <definedName name="All_Questions_Local">'_Options'!$B$2:$B$10</definedName>
    <definedName name="None_options">'_Options'!$C$2:$C$2</definedName>
    <definedName name="Q_SS_EXPORT_options">'_Options'!$D$2:$D$4</definedName>
    <definedName name="Q_SS_EXPORT_local_options">'_Options'!$K$2:$K$5</definedName>
    <definedName name="Q_MS_EXPORTr1_options">'_Options'!$E$2:$E$3</definedName>
    <definedName name="Q_MS_EXPORTr1_local_options">'_Options'!$L$2:$L$4</definedName>
    <definedName name="Q_MS_EXPORTr2_options">'_Options'!$F$2:$F$3</definedName>
    <definedName name="Q_MS_EXPORTr2_local_options">'_Options'!$M$2:$M$4</definedName>
    <definedName name="Q_NUM_EXPORT_options">'_Options'!$G$2:$G$3</definedName>
    <definedName name="Q_NUM_EXPORT_local_options">'_Options'!$N$2:$N$4</definedName>
    <definedName name="Q_GRID_EXPORTr1_options">'_Options'!$H$2:$H$3</definedName>
    <definedName name="Q_GRID_EXPORTr1_local_options">'_Options'!$O$2:$O$4</definedName>
    <definedName name="Q_GRID_EXPORTr2_options">'_Options'!$I$2:$I$3</definedName>
    <definedName name="Q_GRID_EXPORTr2_local_options">'_Options'!$P$2:$P$4</definedName>
    <definedName name="Q_VERY_LONG_SINGLE_SELECT_EXPOR_options">'_Options'!$J$2:$J$4</definedName>
    <definedName name="Q_VERY_LONG_SINGLE_SELECT_EXPOR_local_options">'_Options'!$Q$2:$Q$5</definedName>
    <definedName name="F_Country">'Filters'!$B$4</definedName>
    <definedName name="F_Country_wrapped">'Filters'!$C$4</definedName>
    <definedName name="F_Custom1_Q">'Filters'!$B$7</definedName>
    <definedName name="F_Custom1_V">'Filters'!$D$7</definedName>
    <definedName name="F_Custom1_resolved_column">'Filters'!$E$7</definedName>
    <definedName name="F_Custom1_wrapped">'Filters'!$F$7</definedName>
    <definedName name="F_Custom2_Q">'Filters'!$B$8</definedName>
    <definedName name="F_Custom2_V">'Filters'!$D$8</definedName>
    <definedName name="F_Custom2_resolved_column">'Filters'!$E$8</definedName>
    <definedName name="F_Custom2_wrapped">'Filters'!$F$8</definedName>
    <definedName name="F_Country_match_data">'_RawData'!$I$2:$I$11</definedName>
    <definedName name="passes_workbook_filters_data">'_RawData'!$J$2:$J$11</definedName>
    <definedName name="F_Custom1_match_data">'_RawData'!$K$2:$K$11</definedName>
    <definedName name="F_Custom2_match_data">'_RawData'!$L$2:$L$11</definedName>
    <definedName name="passes_workbook_custom_filters_data">'_RawData'!$M$2:$M$11</definedName>
    <definedName name="Demographics_F_Country">'Demographics'!$B$5</definedName>
    <definedName name="Demographics_F_Country_resolved">'Demographics'!$C$5</definedName>
    <definedName name="Demographics_F_Country_wrapped">'Demographics'!$D$5</definedName>
    <definedName name="Demographics_F_Custom1_Q">'Demographics'!$B$6</definedName>
    <definedName name="Demographics_F_Custom1_Q_resolved">'Demographics'!$C$6</definedName>
    <definedName name="Demographics_F_Custom1_V">'Demographics'!$B$7</definedName>
    <definedName name="Demographics_F_Custom1_V_resolved">'Demographics'!$C$7</definedName>
    <definedName name="Demographics_F_Custom1_wrapped">'Demographics'!$D$7</definedName>
    <definedName name="Demographics_F_Custom1_resolved_column">'Demographics'!$F$7</definedName>
    <definedName name="Demographics_F_Custom2_Q">'Demographics'!$B$8</definedName>
    <definedName name="Demographics_F_Custom2_Q_resolved">'Demographics'!$C$8</definedName>
    <definedName name="Demographics_F_Custom2_V">'Demographics'!$B$9</definedName>
    <definedName name="Demographics_F_Custom2_V_resolved">'Demographics'!$C$9</definedName>
    <definedName name="Demographics_F_Custom2_wrapped">'Demographics'!$D$9</definedName>
    <definedName name="Demographics_F_Custom2_resolved_column">'Demographics'!$F$9</definedName>
    <definedName name="Demographics_F_Country_local_match_data">'_RawData'!$N$2:$N$11</definedName>
    <definedName name="Demographics_passes_local_filters_data">'_RawData'!$O$2:$O$11</definedName>
    <definedName name="Demographics_Q_SS_EXPORT_F_Q">'Demographics'!$C$14</definedName>
    <definedName name="Demographics_Q_SS_EXPORT_F_V">'Demographics'!$E$14</definedName>
    <definedName name="Demographics_Q_SS_EXPORT_F_resolved_column">'Demographics'!$F$14</definedName>
    <definedName name="Demographics_Q_SS_EXPORT_F_wrapped">'Demographics'!$G$14</definedName>
    <definedName name="Demographics_Q_SS_EXPORT_F_passes_per_q_filter_data">'_RawData'!$P$2:$P$11</definedName>
    <definedName name="Demographics_Q_SS_EXPORT_CT">'Demographics'!$C$15</definedName>
    <definedName name="All_Questions_F_Country">'All Questions'!$B$5</definedName>
    <definedName name="All_Questions_F_Country_resolved">'All Questions'!$C$5</definedName>
    <definedName name="All_Questions_F_Country_wrapped">'All Questions'!$D$5</definedName>
    <definedName name="All_Questions_F_Custom1_Q">'All Questions'!$B$6</definedName>
    <definedName name="All_Questions_F_Custom1_Q_resolved">'All Questions'!$C$6</definedName>
    <definedName name="All_Questions_F_Custom1_V">'All Questions'!$B$7</definedName>
    <definedName name="All_Questions_F_Custom1_V_resolved">'All Questions'!$C$7</definedName>
    <definedName name="All_Questions_F_Custom1_wrapped">'All Questions'!$D$7</definedName>
    <definedName name="All_Questions_F_Custom1_resolved_column">'All Questions'!$F$7</definedName>
    <definedName name="All_Questions_F_Custom2_Q">'All Questions'!$B$8</definedName>
    <definedName name="All_Questions_F_Custom2_Q_resolved">'All Questions'!$C$8</definedName>
    <definedName name="All_Questions_F_Custom2_V">'All Questions'!$B$9</definedName>
    <definedName name="All_Questions_F_Custom2_V_resolved">'All Questions'!$C$9</definedName>
    <definedName name="All_Questions_F_Custom2_wrapped">'All Questions'!$D$9</definedName>
    <definedName name="All_Questions_F_Custom2_resolved_column">'All Questions'!$F$9</definedName>
    <definedName name="All_Questions_F_Country_local_match_data">'_RawData'!$Q$2:$Q$11</definedName>
    <definedName name="All_Questions_passes_local_filters_data">'_RawData'!$R$2:$R$11</definedName>
    <definedName name="All_Questions_Q_MS_EXPORT_F_Q">'All Questions'!$C$14</definedName>
    <definedName name="All_Questions_Q_MS_EXPORT_F_V">'All Questions'!$E$14</definedName>
    <definedName name="All_Questions_Q_MS_EXPORT_F_resolved_column">'All Questions'!$F$14</definedName>
    <definedName name="All_Questions_Q_MS_EXPORT_F_wrapped">'All Questions'!$G$14</definedName>
    <definedName name="All_Questions_Q_MS_EXPORT_F_passes_per_q_filter_data">'_RawData'!$S$2:$S$11</definedName>
    <definedName name="All_Questions_Q_MS_EXPORT_CT">'All Questions'!$C$15</definedName>
    <definedName name="All_Questions_Q_NUM_EXPORT_F_Q">'All Questions'!$C$23</definedName>
    <definedName name="All_Questions_Q_NUM_EXPORT_F_V">'All Questions'!$E$23</definedName>
    <definedName name="All_Questions_Q_NUM_EXPORT_F_resolved_column">'All Questions'!$F$23</definedName>
    <definedName name="All_Questions_Q_NUM_EXPORT_F_wrapped">'All Questions'!$G$23</definedName>
    <definedName name="All_Questions_Q_NUM_EXPORT_F_passes_per_q_filter_data">'_RawData'!$T$2:$T$11</definedName>
    <definedName name="All_Questions_Q_NUM_EXPORT_CT">'All Questions'!$C$24</definedName>
    <definedName name="All_Questions_Q_GRID_EXPORT_F_Q">'All Questions'!$C$35</definedName>
    <definedName name="All_Questions_Q_GRID_EXPORT_F_V">'All Questions'!$E$35</definedName>
    <definedName name="All_Questions_Q_GRID_EXPORT_F_resolved_column">'All Questions'!$F$35</definedName>
    <definedName name="All_Questions_Q_GRID_EXPORT_F_wrapped">'All Questions'!$G$35</definedName>
    <definedName name="All_Questions_Q_GRID_EXPORT_F_passes_per_q_filter_data">'_RawData'!$U$2:$U$11</definedName>
    <definedName name="All_Questions_Q_GRID_EXPORT_CT">'All Questions'!$C$36</definedName>
    <definedName name="All_Questions_Q_VERY_LONG_SINGLE_SELECT_EXPORT_NAME_F_Q">'All Questions'!$C$44</definedName>
    <definedName name="All_Questions_Q_VERY_LONG_SINGLE_SELECT_EXPORT_NAME_F_V">'All Questions'!$E$44</definedName>
    <definedName name="All_Questions_Q_VERY_LONG_SINGLE_SELECT_EXPORT_NAME_F_resolved_column">'All Questions'!$F$44</definedName>
    <definedName name="All_Questions_Q_VERY_LONG_SINGLE_SELECT_EXPORT_NAME_F_wrapped">'All Questions'!$G$44</definedName>
    <definedName name="All_Questions_Q_VERY_LONG_SINGLE_SELECT_EXPORT_NAME_F_passes_per_q_filter_data">'_RawData'!$V$2:$V$11</definedName>
    <definedName name="All_Questions_Q_VERY_LONG_SINGLE_SELECT_EXPORT_NAME_CT">'All Questions'!$C$45</definedName>
  </definedNames>
  <calcPr calcId="124519" fullCalcOnLoad="1"/>
</workbook>
</file>

<file path=xl/calcChain.xml><?xml version="1.0" encoding="utf-8"?>
<calcChain xmlns="http://schemas.openxmlformats.org/spreadsheetml/2006/main">
  <c r="I2" i="1"/>
  <c r="J2" i="1"/>
  <c r="K2" i="1"/>
  <c r="L2" i="1"/>
  <c r="M2" i="1"/>
  <c r="N2" i="1"/>
  <c r="O2" i="1"/>
  <c r="P2" i="1"/>
  <c r="Q2" i="1"/>
  <c r="R2" i="1"/>
  <c r="S2" i="1"/>
  <c r="T2" i="1"/>
  <c r="U2" i="1"/>
  <c r="V2" i="1"/>
  <c r="I3" i="1"/>
  <c r="J3" i="1"/>
  <c r="K3" i="1"/>
  <c r="L3" i="1"/>
  <c r="M3" i="1"/>
  <c r="N3" i="1"/>
  <c r="O3" i="1"/>
  <c r="P3" i="1"/>
  <c r="Q3" i="1"/>
  <c r="R3" i="1"/>
  <c r="S3" i="1"/>
  <c r="T3" i="1"/>
  <c r="U3" i="1"/>
  <c r="V3" i="1"/>
  <c r="I4" i="1"/>
  <c r="J4" i="1"/>
  <c r="K4" i="1"/>
  <c r="L4" i="1"/>
  <c r="M4" i="1"/>
  <c r="N4" i="1"/>
  <c r="O4" i="1"/>
  <c r="P4" i="1"/>
  <c r="Q4" i="1"/>
  <c r="R4" i="1"/>
  <c r="S4" i="1"/>
  <c r="T4" i="1"/>
  <c r="U4" i="1"/>
  <c r="V4" i="1"/>
  <c r="I5" i="1"/>
  <c r="J5" i="1"/>
  <c r="K5" i="1"/>
  <c r="L5" i="1"/>
  <c r="M5" i="1"/>
  <c r="N5" i="1"/>
  <c r="O5" i="1"/>
  <c r="P5" i="1"/>
  <c r="Q5" i="1"/>
  <c r="R5" i="1"/>
  <c r="S5" i="1"/>
  <c r="T5" i="1"/>
  <c r="U5" i="1"/>
  <c r="V5" i="1"/>
  <c r="I6" i="1"/>
  <c r="J6" i="1"/>
  <c r="K6" i="1"/>
  <c r="L6" i="1"/>
  <c r="M6" i="1"/>
  <c r="N6" i="1"/>
  <c r="O6" i="1"/>
  <c r="P6" i="1"/>
  <c r="Q6" i="1"/>
  <c r="R6" i="1"/>
  <c r="S6" i="1"/>
  <c r="T6" i="1"/>
  <c r="U6" i="1"/>
  <c r="V6" i="1"/>
  <c r="I7" i="1"/>
  <c r="J7" i="1"/>
  <c r="K7" i="1"/>
  <c r="L7" i="1"/>
  <c r="M7" i="1"/>
  <c r="N7" i="1"/>
  <c r="O7" i="1"/>
  <c r="P7" i="1"/>
  <c r="Q7" i="1"/>
  <c r="R7" i="1"/>
  <c r="S7" i="1"/>
  <c r="T7" i="1"/>
  <c r="U7" i="1"/>
  <c r="V7" i="1"/>
  <c r="I8" i="1"/>
  <c r="J8" i="1"/>
  <c r="K8" i="1"/>
  <c r="L8" i="1"/>
  <c r="M8" i="1"/>
  <c r="N8" i="1"/>
  <c r="O8" i="1"/>
  <c r="P8" i="1"/>
  <c r="Q8" i="1"/>
  <c r="R8" i="1"/>
  <c r="S8" i="1"/>
  <c r="T8" i="1"/>
  <c r="U8" i="1"/>
  <c r="V8" i="1"/>
  <c r="I9" i="1"/>
  <c r="J9" i="1"/>
  <c r="K9" i="1"/>
  <c r="L9" i="1"/>
  <c r="M9" i="1"/>
  <c r="N9" i="1"/>
  <c r="O9" i="1"/>
  <c r="P9" i="1"/>
  <c r="Q9" i="1"/>
  <c r="R9" i="1"/>
  <c r="S9" i="1"/>
  <c r="T9" i="1"/>
  <c r="U9" i="1"/>
  <c r="V9" i="1"/>
  <c r="I10" i="1"/>
  <c r="J10" i="1"/>
  <c r="K10" i="1"/>
  <c r="L10" i="1"/>
  <c r="M10" i="1"/>
  <c r="N10" i="1"/>
  <c r="O10" i="1"/>
  <c r="P10" i="1"/>
  <c r="Q10" i="1"/>
  <c r="R10" i="1"/>
  <c r="S10" i="1"/>
  <c r="T10" i="1"/>
  <c r="U10" i="1"/>
  <c r="V10" i="1"/>
  <c r="I11" i="1"/>
  <c r="J11" i="1"/>
  <c r="K11" i="1"/>
  <c r="L11" i="1"/>
  <c r="M11" i="1"/>
  <c r="N11" i="1"/>
  <c r="O11" i="1"/>
  <c r="P11" i="1"/>
  <c r="Q11" i="1"/>
  <c r="R11" i="1"/>
  <c r="S11" i="1"/>
  <c r="T11" i="1"/>
  <c r="U11" i="1"/>
  <c r="V11" i="1"/>
  <c r="C4" i="3"/>
  <c r="E7" i="3"/>
  <c r="F7" i="3"/>
  <c r="E8" i="3"/>
  <c r="F8" i="3"/>
  <c r="C5" i="7"/>
  <c r="D5" i="7"/>
  <c r="C6" i="7"/>
  <c r="C7" i="7"/>
  <c r="D7" i="7"/>
  <c r="F7" i="7"/>
  <c r="C8" i="7"/>
  <c r="C9" i="7"/>
  <c r="D9" i="7"/>
  <c r="F9" i="7"/>
  <c r="F14" i="7"/>
  <c r="G14" i="7"/>
  <c r="G17" i="7"/>
  <c r="H17" i="7"/>
  <c r="I17" i="7"/>
  <c r="J17" i="7"/>
  <c r="K17" i="7"/>
  <c r="L17" i="7"/>
  <c r="M17" i="7"/>
  <c r="N17" i="7"/>
  <c r="B18" i="7"/>
  <c r="C18" i="7"/>
  <c r="D18" i="7"/>
  <c r="G18" i="7"/>
  <c r="H18" i="7"/>
  <c r="I18" i="7"/>
  <c r="J18" i="7"/>
  <c r="K18" i="7"/>
  <c r="L18" i="7"/>
  <c r="M18" i="7"/>
  <c r="N18" i="7"/>
  <c r="O18" i="7"/>
  <c r="B19" i="7"/>
  <c r="C19" i="7"/>
  <c r="D19" i="7"/>
  <c r="G19" i="7"/>
  <c r="H19" i="7"/>
  <c r="I19" i="7"/>
  <c r="J19" i="7"/>
  <c r="K19" i="7"/>
  <c r="L19" i="7"/>
  <c r="M19" i="7"/>
  <c r="N19" i="7"/>
  <c r="O19" i="7"/>
  <c r="C5" i="8"/>
  <c r="D5" i="8"/>
  <c r="C6" i="8"/>
  <c r="C7" i="8"/>
  <c r="D7" i="8"/>
  <c r="F7" i="8"/>
  <c r="C8" i="8"/>
  <c r="C9" i="8"/>
  <c r="D9" i="8"/>
  <c r="F9" i="8"/>
  <c r="F14" i="8"/>
  <c r="G14" i="8"/>
  <c r="G17" i="8"/>
  <c r="H17" i="8"/>
  <c r="I17" i="8"/>
  <c r="J17" i="8"/>
  <c r="K17" i="8"/>
  <c r="L17" i="8"/>
  <c r="M17" i="8"/>
  <c r="N17" i="8"/>
  <c r="B18" i="8"/>
  <c r="C18" i="8"/>
  <c r="D18" i="8"/>
  <c r="G18" i="8"/>
  <c r="H18" i="8"/>
  <c r="I18" i="8"/>
  <c r="J18" i="8"/>
  <c r="K18" i="8"/>
  <c r="L18" i="8"/>
  <c r="M18" i="8"/>
  <c r="N18" i="8"/>
  <c r="O18" i="8"/>
  <c r="B19" i="8"/>
  <c r="C19" i="8"/>
  <c r="D19" i="8"/>
  <c r="G19" i="8"/>
  <c r="H19" i="8"/>
  <c r="I19" i="8"/>
  <c r="J19" i="8"/>
  <c r="K19" i="8"/>
  <c r="L19" i="8"/>
  <c r="M19" i="8"/>
  <c r="N19" i="8"/>
  <c r="O19" i="8"/>
  <c r="F23" i="8"/>
  <c r="G23" i="8"/>
  <c r="B27" i="8"/>
  <c r="D27" i="8"/>
  <c r="B28" i="8"/>
  <c r="D28" i="8"/>
  <c r="B29" i="8"/>
  <c r="D29" i="8"/>
  <c r="D30" i="8"/>
  <c r="F35" i="8"/>
  <c r="G35" i="8"/>
  <c r="G38" i="8"/>
  <c r="H38" i="8"/>
  <c r="I38" i="8"/>
  <c r="J38" i="8"/>
  <c r="K38" i="8"/>
  <c r="L38" i="8"/>
  <c r="M38" i="8"/>
  <c r="N38" i="8"/>
  <c r="B39" i="8"/>
  <c r="C39" i="8"/>
  <c r="D39" i="8"/>
  <c r="G39" i="8"/>
  <c r="H39" i="8"/>
  <c r="I39" i="8"/>
  <c r="J39" i="8"/>
  <c r="K39" i="8"/>
  <c r="L39" i="8"/>
  <c r="M39" i="8"/>
  <c r="N39" i="8"/>
  <c r="O39" i="8"/>
  <c r="B40" i="8"/>
  <c r="C40" i="8"/>
  <c r="D40" i="8"/>
  <c r="G40" i="8"/>
  <c r="H40" i="8"/>
  <c r="I40" i="8"/>
  <c r="J40" i="8"/>
  <c r="K40" i="8"/>
  <c r="L40" i="8"/>
  <c r="M40" i="8"/>
  <c r="N40" i="8"/>
  <c r="O40" i="8"/>
  <c r="F44" i="8"/>
  <c r="G44" i="8"/>
  <c r="G47" i="8"/>
  <c r="H47" i="8"/>
  <c r="I47" i="8"/>
  <c r="J47" i="8"/>
  <c r="K47" i="8"/>
  <c r="L47" i="8"/>
  <c r="M47" i="8"/>
  <c r="N47" i="8"/>
  <c r="B48" i="8"/>
  <c r="C48" i="8"/>
  <c r="D48" i="8"/>
  <c r="G48" i="8"/>
  <c r="H48" i="8"/>
  <c r="I48" i="8"/>
  <c r="J48" i="8"/>
  <c r="K48" i="8"/>
  <c r="L48" i="8"/>
  <c r="M48" i="8"/>
  <c r="N48" i="8"/>
  <c r="O48" i="8"/>
  <c r="B49" i="8"/>
  <c r="C49" i="8"/>
  <c r="D49" i="8"/>
  <c r="G49" i="8"/>
  <c r="H49" i="8"/>
  <c r="I49" i="8"/>
  <c r="J49" i="8"/>
  <c r="K49" i="8"/>
  <c r="L49" i="8"/>
  <c r="M49" i="8"/>
  <c r="N49" i="8"/>
  <c r="O49" i="8"/>
</calcChain>
</file>

<file path=xl/styles.xml><?xml version="1.0" encoding="utf-8"?>
<styleSheet xmlns="http://schemas.openxmlformats.org/spreadsheetml/2006/main">
  <numFmts count="1">
    <numFmt numFmtId="164" formatCode="0.0%"/>
  </numFmts>
  <fonts count="9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b val="1"/>
      <color rgb="00FFFFFF"/>
      <sz val="10"/>
    </font>
    <font>
      <name val="Arial"/>
      <i val="1"/>
      <color rgb="00666666"/>
      <sz val="10"/>
    </font>
    <font>
      <name val="Calibri"/>
      <family val="2"/>
      <color theme="10"/>
      <sz val="12"/>
      <scheme val="minor"/>
    </font>
    <font>
      <name val="Arial"/>
      <b val="1"/>
      <color rgb="00FFFFFF"/>
      <sz val="12"/>
    </font>
    <font>
      <name val="Arial"/>
      <i val="1"/>
      <color rgb="00666666"/>
      <sz val="9"/>
    </font>
    <font>
      <name val="Arial"/>
      <b val="1"/>
      <sz val="11"/>
    </font>
    <font>
      <name val="Arial"/>
      <b val="1"/>
      <sz val="9"/>
    </font>
  </fonts>
  <fills count="4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CC0000"/>
        <bgColor rgb="00CC0000"/>
      </patternFill>
    </fill>
  </fills>
  <borders count="2">
    <border>
      <left/>
      <right/>
      <top/>
      <bottom/>
      <diagonal/>
    </border>
    <border>
      <bottom style="thin">
        <color rgb="00BFBFBF"/>
      </bottom>
    </border>
  </borders>
  <cellStyleXfs count="2">
    <xf numFmtId="0" fontId="0" fillId="0" borderId="0"/>
    <xf numFmtId="0" fontId="4" fillId="0" borderId="0"/>
  </cellStyleXfs>
  <cellXfs count="15">
    <xf numFmtId="0" fontId="0" fillId="0" borderId="0" pivotButton="0" quotePrefix="0" xfId="0"/>
    <xf numFmtId="0" fontId="2" fillId="3" borderId="0" pivotButton="0" quotePrefix="0" xfId="0"/>
    <xf numFmtId="0" fontId="0" fillId="2" borderId="0" pivotButton="0" quotePrefix="0" xfId="0"/>
    <xf numFmtId="0" fontId="3" fillId="0" borderId="0" pivotButton="0" quotePrefix="0" xfId="0"/>
    <xf numFmtId="0" fontId="1" fillId="2" borderId="0" pivotButton="0" quotePrefix="0" xfId="0"/>
    <xf numFmtId="0" fontId="1" fillId="0" borderId="0" pivotButton="0" quotePrefix="0" xfId="0"/>
    <xf numFmtId="0" fontId="4" fillId="0" borderId="0" pivotButton="0" quotePrefix="0" xfId="1"/>
    <xf numFmtId="164" fontId="0" fillId="0" borderId="0" pivotButton="0" quotePrefix="0" xfId="0"/>
    <xf numFmtId="0" fontId="5" fillId="3" borderId="0" applyAlignment="1" pivotButton="0" quotePrefix="0" xfId="0">
      <alignment vertical="center"/>
    </xf>
    <xf numFmtId="0" fontId="0" fillId="3" borderId="0" pivotButton="0" quotePrefix="0" xfId="0"/>
    <xf numFmtId="0" fontId="6" fillId="0" borderId="0" pivotButton="0" quotePrefix="0" xfId="0"/>
    <xf numFmtId="0" fontId="0" fillId="0" borderId="1" pivotButton="0" quotePrefix="0" xfId="0"/>
    <xf numFmtId="0" fontId="7" fillId="0" borderId="0" pivotButton="0" quotePrefix="0" xfId="0"/>
    <xf numFmtId="0" fontId="8" fillId="0" borderId="0" pivotButton="0" quotePrefix="0" xfId="0"/>
    <xf numFmtId="3" fontId="0" fillId="0" borderId="0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worksheet" Target="/xl/worksheets/sheet2.xml" Id="rId2" /><ns0:Relationship Type="http://schemas.openxmlformats.org/officeDocument/2006/relationships/worksheet" Target="/xl/worksheets/sheet3.xml" Id="rId3" /><ns0:Relationship Type="http://schemas.openxmlformats.org/officeDocument/2006/relationships/worksheet" Target="/xl/worksheets/sheet4.xml" Id="rId4" /><ns0:Relationship Type="http://schemas.openxmlformats.org/officeDocument/2006/relationships/worksheet" Target="/xl/worksheets/sheet5.xml" Id="rId5" /><ns0:Relationship Type="http://schemas.openxmlformats.org/officeDocument/2006/relationships/worksheet" Target="/xl/worksheets/sheet6.xml" Id="rId6" /><ns0:Relationship Type="http://schemas.openxmlformats.org/officeDocument/2006/relationships/worksheet" Target="/xl/worksheets/sheet7.xml" Id="rId7" /><ns0:Relationship Type="http://schemas.openxmlformats.org/officeDocument/2006/relationships/worksheet" Target="/xl/worksheets/sheet8.xml" Id="rId8" /><ns0:Relationship Type="http://schemas.openxmlformats.org/officeDocument/2006/relationships/worksheet" Target="/xl/worksheets/sheet9.xml" Id="rId9" /><ns0:Relationship Type="http://schemas.openxmlformats.org/officeDocument/2006/relationships/worksheet" Target="/xl/worksheets/sheet10.xml" Id="rId10" /><ns0:Relationship Type="http://schemas.openxmlformats.org/officeDocument/2006/relationships/worksheet" Target="/xl/worksheets/sheet11.xml" Id="rId11" /><ns0:Relationship Type="http://schemas.openxmlformats.org/officeDocument/2006/relationships/styles" Target="styles.xml" Id="rId12" /><ns0:Relationship Type="http://schemas.openxmlformats.org/officeDocument/2006/relationships/theme" Target="theme/theme1.xml" Id="rId13" /><ns0:Relationship Id="rId14" Type="http://schemas.openxmlformats.org/officeDocument/2006/relationships/calcChain" Target="calcChain.xml" /></ns0:Relationships>
</file>

<file path=xl/comments/comment1.xml><?xml version="1.0" encoding="utf-8"?>
<comments xmlns="http://schemas.openxmlformats.org/spreadsheetml/2006/main">
  <authors>
    <author>Survey Analysis Engine</author>
  </authors>
  <commentList>
    <comment ref="A4" authorId="0" shapeId="0">
      <text>
        <t>Single select export question</t>
      </text>
    </comment>
  </commentList>
</comments>
</file>

<file path=xl/comments/comment2.xml><?xml version="1.0" encoding="utf-8"?>
<comments xmlns="http://schemas.openxmlformats.org/spreadsheetml/2006/main">
  <authors>
    <author>Survey Analysis Engine</author>
  </authors>
  <commentList>
    <comment ref="A5" authorId="0" shapeId="0">
      <text>
        <t>Single select export question</t>
      </text>
    </comment>
    <comment ref="A13" authorId="0" shapeId="0">
      <text>
        <t>Single select export question</t>
      </text>
    </comment>
  </commentList>
</comments>
</file>

<file path=xl/comments/comment3.xml><?xml version="1.0" encoding="utf-8"?>
<comments xmlns="http://schemas.openxmlformats.org/spreadsheetml/2006/main">
  <authors>
    <author>Survey Analysis Engine</author>
  </authors>
  <commentList>
    <comment ref="A5" authorId="0" shapeId="0">
      <text>
        <t>Single select export question</t>
      </text>
    </comment>
    <comment ref="A13" authorId="0" shapeId="0">
      <text>
        <t>Multi select export question</t>
      </text>
    </comment>
    <comment ref="A22" authorId="0" shapeId="0">
      <text>
        <t>Numeric export question</t>
      </text>
    </comment>
    <comment ref="A34" authorId="0" shapeId="0">
      <text>
        <t>Grid export question</t>
      </text>
    </comment>
    <comment ref="A43" authorId="0" shapeId="0">
      <text>
        <t>Long sheet name export question</t>
      </text>
    </comment>
  </commentList>
</comments>
</file>

<file path=xl/tables/table1.xml><?xml version="1.0" encoding="utf-8"?>
<table xmlns="http://schemas.openxmlformats.org/spreadsheetml/2006/main" id="1" name="T_Demographics_17_1" displayName="T_Demographics_17_1" ref="A17:D19" headerRowCount="1">
  <autoFilter ref="A17:D19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2.xml><?xml version="1.0" encoding="utf-8"?>
<table xmlns="http://schemas.openxmlformats.org/spreadsheetml/2006/main" id="2" name="T_All_Questions_17_1" displayName="T_All_Questions_17_1" ref="A17:D19" headerRowCount="1">
  <autoFilter ref="A17:D19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3.xml><?xml version="1.0" encoding="utf-8"?>
<table xmlns="http://schemas.openxmlformats.org/spreadsheetml/2006/main" id="3" name="T_All_Questions_26_1" displayName="T_All_Questions_26_1" ref="A26:D30" headerRowCount="1">
  <autoFilter ref="A26:D30"/>
  <tableColumns count="4">
    <tableColumn id="1" name="Metric"/>
    <tableColumn id="2" name="Value"/>
    <tableColumn id="3" name="Note"/>
    <tableColumn id="4" name="Denominator"/>
  </tableColumns>
  <tableStyleInfo name="TableStyleLight9" showFirstColumn="0" showLastColumn="0" showRowStripes="1" showColumnStripes="0"/>
</table>
</file>

<file path=xl/tables/table4.xml><?xml version="1.0" encoding="utf-8"?>
<table xmlns="http://schemas.openxmlformats.org/spreadsheetml/2006/main" id="4" name="T_All_Questions_38_1" displayName="T_All_Questions_38_1" ref="A38:D40" headerRowCount="1">
  <autoFilter ref="A38:D40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5.xml><?xml version="1.0" encoding="utf-8"?>
<table xmlns="http://schemas.openxmlformats.org/spreadsheetml/2006/main" id="5" name="T_All_Questions_47_1" displayName="T_All_Questions_47_1" ref="A47:D49" headerRowCount="1">
  <autoFilter ref="A47:D49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3.xml.rels><Relationships xmlns="http://schemas.openxmlformats.org/package/2006/relationships"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_rels/sheet6.xml.rels><Relationships xmlns="http://schemas.openxmlformats.org/package/2006/relationships"><Relationship Type="http://schemas.openxmlformats.org/officeDocument/2006/relationships/hyperlink" Target="#'Demographics'!A1" TargetMode="External" Id="rId1"/><Relationship Type="http://schemas.openxmlformats.org/officeDocument/2006/relationships/hyperlink" Target="#'All Questions'!A1" TargetMode="External" Id="rId2"/><Relationship Type="http://schemas.openxmlformats.org/officeDocument/2006/relationships/hyperlink" Target="#'All Questions'!A1" TargetMode="External" Id="rId3"/><Relationship Type="http://schemas.openxmlformats.org/officeDocument/2006/relationships/hyperlink" Target="#'All Questions'!A1" TargetMode="External" Id="rId4"/><Relationship Type="http://schemas.openxmlformats.org/officeDocument/2006/relationships/hyperlink" Target="#'All Questions'!A1" TargetMode="External" Id="rId5"/></Relationships>
</file>

<file path=xl/worksheets/_rels/sheet7.xml.rels><Relationships xmlns="http://schemas.openxmlformats.org/package/2006/relationships"><Relationship Type="http://schemas.openxmlformats.org/officeDocument/2006/relationships/table" Target="/xl/tables/table1.xml" Id="rId1"/><Relationship Type="http://schemas.openxmlformats.org/officeDocument/2006/relationships/comments" Target="/xl/comments/comment2.xml" Id="comments"/><Relationship Type="http://schemas.openxmlformats.org/officeDocument/2006/relationships/vmlDrawing" Target="/xl/drawings/commentsDrawing2.vml" Id="anysvml"/></Relationships>
</file>

<file path=xl/worksheets/_rels/sheet8.xml.rels><Relationships xmlns="http://schemas.openxmlformats.org/package/2006/relationships"><Relationship Type="http://schemas.openxmlformats.org/officeDocument/2006/relationships/table" Target="/xl/tables/table2.xml" Id="rId1"/><Relationship Type="http://schemas.openxmlformats.org/officeDocument/2006/relationships/table" Target="/xl/tables/table3.xml" Id="rId2"/><Relationship Type="http://schemas.openxmlformats.org/officeDocument/2006/relationships/table" Target="/xl/tables/table4.xml" Id="rId3"/><Relationship Type="http://schemas.openxmlformats.org/officeDocument/2006/relationships/table" Target="/xl/tables/table5.xml" Id="rId4"/><Relationship Type="http://schemas.openxmlformats.org/officeDocument/2006/relationships/comments" Target="/xl/comments/comment3.xml" Id="comments"/><Relationship Type="http://schemas.openxmlformats.org/officeDocument/2006/relationships/vmlDrawing" Target="/xl/drawings/commentsDrawing3.vml" Id="anysvml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respondent_id</t>
        </is>
      </c>
      <c r="B1" t="inlineStr">
        <is>
          <t>Q_SS_EXPORT</t>
        </is>
      </c>
      <c r="C1" t="inlineStr">
        <is>
          <t>Q_MS_EXPORTr1</t>
        </is>
      </c>
      <c r="D1" t="inlineStr">
        <is>
          <t>Q_MS_EXPORTr2</t>
        </is>
      </c>
      <c r="E1" t="inlineStr">
        <is>
          <t>Q_NUM_EXPORT</t>
        </is>
      </c>
      <c r="F1" t="inlineStr">
        <is>
          <t>Q_GRID_EXPORTr1</t>
        </is>
      </c>
      <c r="G1" t="inlineStr">
        <is>
          <t>Q_GRID_EXPORTr2</t>
        </is>
      </c>
      <c r="H1" t="inlineStr">
        <is>
          <t>Q_VERY_LONG_SINGLE_SELECT_EXPOR</t>
        </is>
      </c>
      <c r="I1" t="inlineStr">
        <is>
          <t>F_Country_match</t>
        </is>
      </c>
      <c r="J1" t="inlineStr">
        <is>
          <t>passes_workbook_filters</t>
        </is>
      </c>
      <c r="K1" t="inlineStr">
        <is>
          <t>F_Custom1_match</t>
        </is>
      </c>
      <c r="L1" t="inlineStr">
        <is>
          <t>F_Custom2_match</t>
        </is>
      </c>
      <c r="M1" t="inlineStr">
        <is>
          <t>passes_workbook_custom_filters</t>
        </is>
      </c>
      <c r="N1" t="inlineStr">
        <is>
          <t>Demographics_F_Country_local_match</t>
        </is>
      </c>
      <c r="O1" t="inlineStr">
        <is>
          <t>Demographics_passes_local_filters</t>
        </is>
      </c>
      <c r="P1" t="inlineStr">
        <is>
          <t>Demographics_Q_SS_EXPORT_F_passes_per_q_filter</t>
        </is>
      </c>
      <c r="Q1" t="inlineStr">
        <is>
          <t>All_Questions_F_Country_local_match</t>
        </is>
      </c>
      <c r="R1" t="inlineStr">
        <is>
          <t>All_Questions_passes_local_filters</t>
        </is>
      </c>
      <c r="S1" t="inlineStr">
        <is>
          <t>All_Questions_Q_MS_EXPORT_F_passes_per_q_filter</t>
        </is>
      </c>
      <c r="T1" t="inlineStr">
        <is>
          <t>All_Questions_Q_NUM_EXPORT_F_passes_per_q_filter</t>
        </is>
      </c>
      <c r="U1" t="inlineStr">
        <is>
          <t>All_Questions_Q_GRID_EXPORT_F_passes_per_q_filter</t>
        </is>
      </c>
      <c r="V1" t="inlineStr">
        <is>
          <t>All_Questions_Q_VERY_LONG_SINGLE_SELECT_EXPORT_NAME_F_passes_per_q_filter</t>
        </is>
      </c>
    </row>
    <row r="2">
      <c r="A2" t="n">
        <v>1</v>
      </c>
      <c r="B2" t="inlineStr">
        <is>
          <t>Yes</t>
        </is>
      </c>
      <c r="C2" t="inlineStr">
        <is>
          <t>Selected</t>
        </is>
      </c>
      <c r="D2" t="inlineStr">
        <is>
          <t>Selected</t>
        </is>
      </c>
      <c r="E2" t="n">
        <v>5.5</v>
      </c>
      <c r="F2" t="inlineStr">
        <is>
          <t>Selected</t>
        </is>
      </c>
      <c r="G2" t="inlineStr">
        <is>
          <t>Selected</t>
        </is>
      </c>
      <c r="H2" t="inlineStr">
        <is>
          <t>A</t>
        </is>
      </c>
      <c r="I2">
        <f>(((F_Country="(All)")+(F_Country="")+ISBLANK(F_Country)+ISNUMBER(SEARCH("|"&amp;B2&amp;"|",F_Country_wrapped)))&gt;0)*1</f>
        <v>1</v>
      </c>
      <c r="J2">
        <f>I2*1</f>
        <v>1</v>
      </c>
      <c r="K2">
        <f>IF(OR(F_Custom1_Q="(None)",F_Custom1_Q="",ISBLANK(F_Custom1_Q),F_Custom1_V="(All)",F_Custom1_V="",ISBLANK(F_Custom1_V)),1,IFERROR(IF(ISNUMBER(SEARCH("|"&amp;INDEX($A2:$H2,1,MATCH(F_Custom1_Q,$A$1:$H$1,0))&amp;"|",F_Custom1_wrapped)),1,0),0))</f>
        <v>1</v>
      </c>
      <c r="L2">
        <f>IF(OR(F_Custom2_Q="(None)",F_Custom2_Q="",ISBLANK(F_Custom2_Q),F_Custom2_V="(All)",F_Custom2_V="",ISBLANK(F_Custom2_V)),1,IFERROR(IF(ISNUMBER(SEARCH("|"&amp;INDEX($A2:$H2,1,MATCH(F_Custom2_Q,$A$1:$H$1,0))&amp;"|",F_Custom2_wrapped)),1,0),0))</f>
        <v>1</v>
      </c>
      <c r="M2">
        <f>K2*L2*1</f>
        <v>1</v>
      </c>
      <c r="N2">
        <f>(((Demographics_F_Country_resolved="(All)")+(Demographics_F_Country_resolved="")+ISBLANK(Demographics_F_Country_resolved)+ISNUMBER(SEARCH("|"&amp;B2&amp;"|",Demographics_F_Country_wrapped)))&gt;0)*1</f>
        <v>1</v>
      </c>
      <c r="O2">
        <f>N2*1</f>
        <v>1</v>
      </c>
      <c r="P2">
        <f>IF(OR(Demographics_Q_SS_EXPORT_F_Q="(None)",Demographics_Q_SS_EXPORT_F_Q="",ISBLANK(Demographics_Q_SS_EXPORT_F_Q),Demographics_Q_SS_EXPORT_F_V="(All)",Demographics_Q_SS_EXPORT_F_V="",ISBLANK(Demographics_Q_SS_EXPORT_F_V)),1,IFERROR(IF(ISNUMBER(SEARCH("|"&amp;INDEX($A2:$H2,1,MATCH(Demographics_Q_SS_EXPORT_F_Q,$A$1:$H$1,0))&amp;"|",Demographics_Q_SS_EXPORT_F_wrapped)),1,0),0))</f>
        <v>1</v>
      </c>
      <c r="Q2">
        <f>(((All_Questions_F_Country_resolved="(All)")+(All_Questions_F_Country_resolved="")+ISBLANK(All_Questions_F_Country_resolved)+ISNUMBER(SEARCH("|"&amp;B2&amp;"|",All_Questions_F_Country_wrapped)))&gt;0)*1</f>
        <v>1</v>
      </c>
      <c r="R2">
        <f>Q2*1</f>
        <v>1</v>
      </c>
      <c r="S2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$A2:$H2,1,MATCH(All_Questions_Q_MS_EXPORT_F_Q,$A$1:$H$1,0))&amp;"|",All_Questions_Q_MS_EXPORT_F_wrapped)),1,0),0))</f>
        <v>1</v>
      </c>
      <c r="T2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$A2:$H2,1,MATCH(All_Questions_Q_NUM_EXPORT_F_Q,$A$1:$H$1,0))&amp;"|",All_Questions_Q_NUM_EXPORT_F_wrapped)),1,0),0))</f>
        <v>1</v>
      </c>
      <c r="U2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$A2:$H2,1,MATCH(All_Questions_Q_GRID_EXPORT_F_Q,$A$1:$H$1,0))&amp;"|",All_Questions_Q_GRID_EXPORT_F_wrapped)),1,0),0))</f>
        <v>1</v>
      </c>
      <c r="V2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$A2:$H2,1,MATCH(All_Questions_Q_VERY_LONG_SINGLE_SELECT_EXPORT_NAME_F_Q,$A$1:$H$1,0))&amp;"|",All_Questions_Q_VERY_LONG_SINGLE_SELECT_EXPORT_NAME_F_wrapped)),1,0),0))</f>
        <v>1</v>
      </c>
    </row>
    <row r="3">
      <c r="A3" t="n">
        <v>2</v>
      </c>
      <c r="B3" t="inlineStr">
        <is>
          <t>Yes</t>
        </is>
      </c>
      <c r="C3" t="inlineStr">
        <is>
          <t>Selected</t>
        </is>
      </c>
      <c r="D3" t="inlineStr">
        <is>
          <t>Selected</t>
        </is>
      </c>
      <c r="E3" t="n">
        <v>5.5</v>
      </c>
      <c r="F3" t="inlineStr">
        <is>
          <t>Selected</t>
        </is>
      </c>
      <c r="G3" t="inlineStr">
        <is>
          <t>Selected</t>
        </is>
      </c>
      <c r="H3" t="inlineStr">
        <is>
          <t>A</t>
        </is>
      </c>
      <c r="I3">
        <f>(((F_Country="(All)")+(F_Country="")+ISBLANK(F_Country)+ISNUMBER(SEARCH("|"&amp;B3&amp;"|",F_Country_wrapped)))&gt;0)*1</f>
        <v>1</v>
      </c>
      <c r="J3">
        <f>I3*1</f>
        <v>1</v>
      </c>
      <c r="K3">
        <f>IF(OR(F_Custom1_Q="(None)",F_Custom1_Q="",ISBLANK(F_Custom1_Q),F_Custom1_V="(All)",F_Custom1_V="",ISBLANK(F_Custom1_V)),1,IFERROR(IF(ISNUMBER(SEARCH("|"&amp;INDEX($A3:$H3,1,MATCH(F_Custom1_Q,$A$1:$H$1,0))&amp;"|",F_Custom1_wrapped)),1,0),0))</f>
        <v>1</v>
      </c>
      <c r="L3">
        <f>IF(OR(F_Custom2_Q="(None)",F_Custom2_Q="",ISBLANK(F_Custom2_Q),F_Custom2_V="(All)",F_Custom2_V="",ISBLANK(F_Custom2_V)),1,IFERROR(IF(ISNUMBER(SEARCH("|"&amp;INDEX($A3:$H3,1,MATCH(F_Custom2_Q,$A$1:$H$1,0))&amp;"|",F_Custom2_wrapped)),1,0),0))</f>
        <v>1</v>
      </c>
      <c r="M3">
        <f>K3*L3*1</f>
        <v>1</v>
      </c>
      <c r="N3">
        <f>(((Demographics_F_Country_resolved="(All)")+(Demographics_F_Country_resolved="")+ISBLANK(Demographics_F_Country_resolved)+ISNUMBER(SEARCH("|"&amp;B3&amp;"|",Demographics_F_Country_wrapped)))&gt;0)*1</f>
        <v>1</v>
      </c>
      <c r="O3">
        <f>N3*1</f>
        <v>1</v>
      </c>
      <c r="P3">
        <f>IF(OR(Demographics_Q_SS_EXPORT_F_Q="(None)",Demographics_Q_SS_EXPORT_F_Q="",ISBLANK(Demographics_Q_SS_EXPORT_F_Q),Demographics_Q_SS_EXPORT_F_V="(All)",Demographics_Q_SS_EXPORT_F_V="",ISBLANK(Demographics_Q_SS_EXPORT_F_V)),1,IFERROR(IF(ISNUMBER(SEARCH("|"&amp;INDEX($A3:$H3,1,MATCH(Demographics_Q_SS_EXPORT_F_Q,$A$1:$H$1,0))&amp;"|",Demographics_Q_SS_EXPORT_F_wrapped)),1,0),0))</f>
        <v>1</v>
      </c>
      <c r="Q3">
        <f>(((All_Questions_F_Country_resolved="(All)")+(All_Questions_F_Country_resolved="")+ISBLANK(All_Questions_F_Country_resolved)+ISNUMBER(SEARCH("|"&amp;B3&amp;"|",All_Questions_F_Country_wrapped)))&gt;0)*1</f>
        <v>1</v>
      </c>
      <c r="R3">
        <f>Q3*1</f>
        <v>1</v>
      </c>
      <c r="S3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$A3:$H3,1,MATCH(All_Questions_Q_MS_EXPORT_F_Q,$A$1:$H$1,0))&amp;"|",All_Questions_Q_MS_EXPORT_F_wrapped)),1,0),0))</f>
        <v>1</v>
      </c>
      <c r="T3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$A3:$H3,1,MATCH(All_Questions_Q_NUM_EXPORT_F_Q,$A$1:$H$1,0))&amp;"|",All_Questions_Q_NUM_EXPORT_F_wrapped)),1,0),0))</f>
        <v>1</v>
      </c>
      <c r="U3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$A3:$H3,1,MATCH(All_Questions_Q_GRID_EXPORT_F_Q,$A$1:$H$1,0))&amp;"|",All_Questions_Q_GRID_EXPORT_F_wrapped)),1,0),0))</f>
        <v>1</v>
      </c>
      <c r="V3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$A3:$H3,1,MATCH(All_Questions_Q_VERY_LONG_SINGLE_SELECT_EXPORT_NAME_F_Q,$A$1:$H$1,0))&amp;"|",All_Questions_Q_VERY_LONG_SINGLE_SELECT_EXPORT_NAME_F_wrapped)),1,0),0))</f>
        <v>1</v>
      </c>
    </row>
    <row r="4">
      <c r="A4" t="n">
        <v>3</v>
      </c>
      <c r="B4" t="inlineStr">
        <is>
          <t>Yes</t>
        </is>
      </c>
      <c r="C4" t="inlineStr">
        <is>
          <t>Selected</t>
        </is>
      </c>
      <c r="E4" t="n">
        <v>5.5</v>
      </c>
      <c r="F4" t="inlineStr">
        <is>
          <t>Selected</t>
        </is>
      </c>
      <c r="G4" t="inlineStr">
        <is>
          <t>Selected</t>
        </is>
      </c>
      <c r="H4" t="inlineStr">
        <is>
          <t>A</t>
        </is>
      </c>
      <c r="I4">
        <f>(((F_Country="(All)")+(F_Country="")+ISBLANK(F_Country)+ISNUMBER(SEARCH("|"&amp;B4&amp;"|",F_Country_wrapped)))&gt;0)*1</f>
        <v>1</v>
      </c>
      <c r="J4">
        <f>I4*1</f>
        <v>1</v>
      </c>
      <c r="K4">
        <f>IF(OR(F_Custom1_Q="(None)",F_Custom1_Q="",ISBLANK(F_Custom1_Q),F_Custom1_V="(All)",F_Custom1_V="",ISBLANK(F_Custom1_V)),1,IFERROR(IF(ISNUMBER(SEARCH("|"&amp;INDEX($A4:$H4,1,MATCH(F_Custom1_Q,$A$1:$H$1,0))&amp;"|",F_Custom1_wrapped)),1,0),0))</f>
        <v>1</v>
      </c>
      <c r="L4">
        <f>IF(OR(F_Custom2_Q="(None)",F_Custom2_Q="",ISBLANK(F_Custom2_Q),F_Custom2_V="(All)",F_Custom2_V="",ISBLANK(F_Custom2_V)),1,IFERROR(IF(ISNUMBER(SEARCH("|"&amp;INDEX($A4:$H4,1,MATCH(F_Custom2_Q,$A$1:$H$1,0))&amp;"|",F_Custom2_wrapped)),1,0),0))</f>
        <v>1</v>
      </c>
      <c r="M4">
        <f>K4*L4*1</f>
        <v>1</v>
      </c>
      <c r="N4">
        <f>(((Demographics_F_Country_resolved="(All)")+(Demographics_F_Country_resolved="")+ISBLANK(Demographics_F_Country_resolved)+ISNUMBER(SEARCH("|"&amp;B4&amp;"|",Demographics_F_Country_wrapped)))&gt;0)*1</f>
        <v>1</v>
      </c>
      <c r="O4">
        <f>N4*1</f>
        <v>1</v>
      </c>
      <c r="P4">
        <f>IF(OR(Demographics_Q_SS_EXPORT_F_Q="(None)",Demographics_Q_SS_EXPORT_F_Q="",ISBLANK(Demographics_Q_SS_EXPORT_F_Q),Demographics_Q_SS_EXPORT_F_V="(All)",Demographics_Q_SS_EXPORT_F_V="",ISBLANK(Demographics_Q_SS_EXPORT_F_V)),1,IFERROR(IF(ISNUMBER(SEARCH("|"&amp;INDEX($A4:$H4,1,MATCH(Demographics_Q_SS_EXPORT_F_Q,$A$1:$H$1,0))&amp;"|",Demographics_Q_SS_EXPORT_F_wrapped)),1,0),0))</f>
        <v>1</v>
      </c>
      <c r="Q4">
        <f>(((All_Questions_F_Country_resolved="(All)")+(All_Questions_F_Country_resolved="")+ISBLANK(All_Questions_F_Country_resolved)+ISNUMBER(SEARCH("|"&amp;B4&amp;"|",All_Questions_F_Country_wrapped)))&gt;0)*1</f>
        <v>1</v>
      </c>
      <c r="R4">
        <f>Q4*1</f>
        <v>1</v>
      </c>
      <c r="S4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$A4:$H4,1,MATCH(All_Questions_Q_MS_EXPORT_F_Q,$A$1:$H$1,0))&amp;"|",All_Questions_Q_MS_EXPORT_F_wrapped)),1,0),0))</f>
        <v>1</v>
      </c>
      <c r="T4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$A4:$H4,1,MATCH(All_Questions_Q_NUM_EXPORT_F_Q,$A$1:$H$1,0))&amp;"|",All_Questions_Q_NUM_EXPORT_F_wrapped)),1,0),0))</f>
        <v>1</v>
      </c>
      <c r="U4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$A4:$H4,1,MATCH(All_Questions_Q_GRID_EXPORT_F_Q,$A$1:$H$1,0))&amp;"|",All_Questions_Q_GRID_EXPORT_F_wrapped)),1,0),0))</f>
        <v>1</v>
      </c>
      <c r="V4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$A4:$H4,1,MATCH(All_Questions_Q_VERY_LONG_SINGLE_SELECT_EXPORT_NAME_F_Q,$A$1:$H$1,0))&amp;"|",All_Questions_Q_VERY_LONG_SINGLE_SELECT_EXPORT_NAME_F_wrapped)),1,0),0))</f>
        <v>1</v>
      </c>
    </row>
    <row r="5">
      <c r="A5" t="n">
        <v>4</v>
      </c>
      <c r="B5" t="inlineStr">
        <is>
          <t>Yes</t>
        </is>
      </c>
      <c r="C5" t="inlineStr">
        <is>
          <t>Selected</t>
        </is>
      </c>
      <c r="E5" t="n">
        <v>5.5</v>
      </c>
      <c r="F5" t="inlineStr">
        <is>
          <t>Selected</t>
        </is>
      </c>
      <c r="G5" t="inlineStr">
        <is>
          <t>Selected</t>
        </is>
      </c>
      <c r="H5" t="inlineStr">
        <is>
          <t>A</t>
        </is>
      </c>
      <c r="I5">
        <f>(((F_Country="(All)")+(F_Country="")+ISBLANK(F_Country)+ISNUMBER(SEARCH("|"&amp;B5&amp;"|",F_Country_wrapped)))&gt;0)*1</f>
        <v>1</v>
      </c>
      <c r="J5">
        <f>I5*1</f>
        <v>1</v>
      </c>
      <c r="K5">
        <f>IF(OR(F_Custom1_Q="(None)",F_Custom1_Q="",ISBLANK(F_Custom1_Q),F_Custom1_V="(All)",F_Custom1_V="",ISBLANK(F_Custom1_V)),1,IFERROR(IF(ISNUMBER(SEARCH("|"&amp;INDEX($A5:$H5,1,MATCH(F_Custom1_Q,$A$1:$H$1,0))&amp;"|",F_Custom1_wrapped)),1,0),0))</f>
        <v>1</v>
      </c>
      <c r="L5">
        <f>IF(OR(F_Custom2_Q="(None)",F_Custom2_Q="",ISBLANK(F_Custom2_Q),F_Custom2_V="(All)",F_Custom2_V="",ISBLANK(F_Custom2_V)),1,IFERROR(IF(ISNUMBER(SEARCH("|"&amp;INDEX($A5:$H5,1,MATCH(F_Custom2_Q,$A$1:$H$1,0))&amp;"|",F_Custom2_wrapped)),1,0),0))</f>
        <v>1</v>
      </c>
      <c r="M5">
        <f>K5*L5*1</f>
        <v>1</v>
      </c>
      <c r="N5">
        <f>(((Demographics_F_Country_resolved="(All)")+(Demographics_F_Country_resolved="")+ISBLANK(Demographics_F_Country_resolved)+ISNUMBER(SEARCH("|"&amp;B5&amp;"|",Demographics_F_Country_wrapped)))&gt;0)*1</f>
        <v>1</v>
      </c>
      <c r="O5">
        <f>N5*1</f>
        <v>1</v>
      </c>
      <c r="P5">
        <f>IF(OR(Demographics_Q_SS_EXPORT_F_Q="(None)",Demographics_Q_SS_EXPORT_F_Q="",ISBLANK(Demographics_Q_SS_EXPORT_F_Q),Demographics_Q_SS_EXPORT_F_V="(All)",Demographics_Q_SS_EXPORT_F_V="",ISBLANK(Demographics_Q_SS_EXPORT_F_V)),1,IFERROR(IF(ISNUMBER(SEARCH("|"&amp;INDEX($A5:$H5,1,MATCH(Demographics_Q_SS_EXPORT_F_Q,$A$1:$H$1,0))&amp;"|",Demographics_Q_SS_EXPORT_F_wrapped)),1,0),0))</f>
        <v>1</v>
      </c>
      <c r="Q5">
        <f>(((All_Questions_F_Country_resolved="(All)")+(All_Questions_F_Country_resolved="")+ISBLANK(All_Questions_F_Country_resolved)+ISNUMBER(SEARCH("|"&amp;B5&amp;"|",All_Questions_F_Country_wrapped)))&gt;0)*1</f>
        <v>1</v>
      </c>
      <c r="R5">
        <f>Q5*1</f>
        <v>1</v>
      </c>
      <c r="S5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$A5:$H5,1,MATCH(All_Questions_Q_MS_EXPORT_F_Q,$A$1:$H$1,0))&amp;"|",All_Questions_Q_MS_EXPORT_F_wrapped)),1,0),0))</f>
        <v>1</v>
      </c>
      <c r="T5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$A5:$H5,1,MATCH(All_Questions_Q_NUM_EXPORT_F_Q,$A$1:$H$1,0))&amp;"|",All_Questions_Q_NUM_EXPORT_F_wrapped)),1,0),0))</f>
        <v>1</v>
      </c>
      <c r="U5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$A5:$H5,1,MATCH(All_Questions_Q_GRID_EXPORT_F_Q,$A$1:$H$1,0))&amp;"|",All_Questions_Q_GRID_EXPORT_F_wrapped)),1,0),0))</f>
        <v>1</v>
      </c>
      <c r="V5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$A5:$H5,1,MATCH(All_Questions_Q_VERY_LONG_SINGLE_SELECT_EXPORT_NAME_F_Q,$A$1:$H$1,0))&amp;"|",All_Questions_Q_VERY_LONG_SINGLE_SELECT_EXPORT_NAME_F_wrapped)),1,0),0))</f>
        <v>1</v>
      </c>
    </row>
    <row r="6">
      <c r="A6" t="n">
        <v>5</v>
      </c>
      <c r="B6" t="inlineStr">
        <is>
          <t>Yes</t>
        </is>
      </c>
      <c r="C6" t="inlineStr">
        <is>
          <t>Selected</t>
        </is>
      </c>
      <c r="E6" t="n">
        <v>5.5</v>
      </c>
      <c r="F6" t="inlineStr">
        <is>
          <t>Selected</t>
        </is>
      </c>
      <c r="G6" t="inlineStr">
        <is>
          <t>Selected</t>
        </is>
      </c>
      <c r="H6" t="inlineStr">
        <is>
          <t>A</t>
        </is>
      </c>
      <c r="I6">
        <f>(((F_Country="(All)")+(F_Country="")+ISBLANK(F_Country)+ISNUMBER(SEARCH("|"&amp;B6&amp;"|",F_Country_wrapped)))&gt;0)*1</f>
        <v>1</v>
      </c>
      <c r="J6">
        <f>I6*1</f>
        <v>1</v>
      </c>
      <c r="K6">
        <f>IF(OR(F_Custom1_Q="(None)",F_Custom1_Q="",ISBLANK(F_Custom1_Q),F_Custom1_V="(All)",F_Custom1_V="",ISBLANK(F_Custom1_V)),1,IFERROR(IF(ISNUMBER(SEARCH("|"&amp;INDEX($A6:$H6,1,MATCH(F_Custom1_Q,$A$1:$H$1,0))&amp;"|",F_Custom1_wrapped)),1,0),0))</f>
        <v>1</v>
      </c>
      <c r="L6">
        <f>IF(OR(F_Custom2_Q="(None)",F_Custom2_Q="",ISBLANK(F_Custom2_Q),F_Custom2_V="(All)",F_Custom2_V="",ISBLANK(F_Custom2_V)),1,IFERROR(IF(ISNUMBER(SEARCH("|"&amp;INDEX($A6:$H6,1,MATCH(F_Custom2_Q,$A$1:$H$1,0))&amp;"|",F_Custom2_wrapped)),1,0),0))</f>
        <v>1</v>
      </c>
      <c r="M6">
        <f>K6*L6*1</f>
        <v>1</v>
      </c>
      <c r="N6">
        <f>(((Demographics_F_Country_resolved="(All)")+(Demographics_F_Country_resolved="")+ISBLANK(Demographics_F_Country_resolved)+ISNUMBER(SEARCH("|"&amp;B6&amp;"|",Demographics_F_Country_wrapped)))&gt;0)*1</f>
        <v>1</v>
      </c>
      <c r="O6">
        <f>N6*1</f>
        <v>1</v>
      </c>
      <c r="P6">
        <f>IF(OR(Demographics_Q_SS_EXPORT_F_Q="(None)",Demographics_Q_SS_EXPORT_F_Q="",ISBLANK(Demographics_Q_SS_EXPORT_F_Q),Demographics_Q_SS_EXPORT_F_V="(All)",Demographics_Q_SS_EXPORT_F_V="",ISBLANK(Demographics_Q_SS_EXPORT_F_V)),1,IFERROR(IF(ISNUMBER(SEARCH("|"&amp;INDEX($A6:$H6,1,MATCH(Demographics_Q_SS_EXPORT_F_Q,$A$1:$H$1,0))&amp;"|",Demographics_Q_SS_EXPORT_F_wrapped)),1,0),0))</f>
        <v>1</v>
      </c>
      <c r="Q6">
        <f>(((All_Questions_F_Country_resolved="(All)")+(All_Questions_F_Country_resolved="")+ISBLANK(All_Questions_F_Country_resolved)+ISNUMBER(SEARCH("|"&amp;B6&amp;"|",All_Questions_F_Country_wrapped)))&gt;0)*1</f>
        <v>1</v>
      </c>
      <c r="R6">
        <f>Q6*1</f>
        <v>1</v>
      </c>
      <c r="S6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$A6:$H6,1,MATCH(All_Questions_Q_MS_EXPORT_F_Q,$A$1:$H$1,0))&amp;"|",All_Questions_Q_MS_EXPORT_F_wrapped)),1,0),0))</f>
        <v>1</v>
      </c>
      <c r="T6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$A6:$H6,1,MATCH(All_Questions_Q_NUM_EXPORT_F_Q,$A$1:$H$1,0))&amp;"|",All_Questions_Q_NUM_EXPORT_F_wrapped)),1,0),0))</f>
        <v>1</v>
      </c>
      <c r="U6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$A6:$H6,1,MATCH(All_Questions_Q_GRID_EXPORT_F_Q,$A$1:$H$1,0))&amp;"|",All_Questions_Q_GRID_EXPORT_F_wrapped)),1,0),0))</f>
        <v>1</v>
      </c>
      <c r="V6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$A6:$H6,1,MATCH(All_Questions_Q_VERY_LONG_SINGLE_SELECT_EXPORT_NAME_F_Q,$A$1:$H$1,0))&amp;"|",All_Questions_Q_VERY_LONG_SINGLE_SELECT_EXPORT_NAME_F_wrapped)),1,0),0))</f>
        <v>1</v>
      </c>
    </row>
    <row r="7">
      <c r="A7" t="n">
        <v>6</v>
      </c>
      <c r="B7" t="inlineStr">
        <is>
          <t>Yes</t>
        </is>
      </c>
      <c r="E7" t="n">
        <v>5.5</v>
      </c>
      <c r="F7" t="inlineStr">
        <is>
          <t>Selected</t>
        </is>
      </c>
      <c r="G7" t="inlineStr">
        <is>
          <t>Selected</t>
        </is>
      </c>
      <c r="H7" t="inlineStr">
        <is>
          <t>A</t>
        </is>
      </c>
      <c r="I7">
        <f>(((F_Country="(All)")+(F_Country="")+ISBLANK(F_Country)+ISNUMBER(SEARCH("|"&amp;B7&amp;"|",F_Country_wrapped)))&gt;0)*1</f>
        <v>1</v>
      </c>
      <c r="J7">
        <f>I7*1</f>
        <v>1</v>
      </c>
      <c r="K7">
        <f>IF(OR(F_Custom1_Q="(None)",F_Custom1_Q="",ISBLANK(F_Custom1_Q),F_Custom1_V="(All)",F_Custom1_V="",ISBLANK(F_Custom1_V)),1,IFERROR(IF(ISNUMBER(SEARCH("|"&amp;INDEX($A7:$H7,1,MATCH(F_Custom1_Q,$A$1:$H$1,0))&amp;"|",F_Custom1_wrapped)),1,0),0))</f>
        <v>1</v>
      </c>
      <c r="L7">
        <f>IF(OR(F_Custom2_Q="(None)",F_Custom2_Q="",ISBLANK(F_Custom2_Q),F_Custom2_V="(All)",F_Custom2_V="",ISBLANK(F_Custom2_V)),1,IFERROR(IF(ISNUMBER(SEARCH("|"&amp;INDEX($A7:$H7,1,MATCH(F_Custom2_Q,$A$1:$H$1,0))&amp;"|",F_Custom2_wrapped)),1,0),0))</f>
        <v>1</v>
      </c>
      <c r="M7">
        <f>K7*L7*1</f>
        <v>1</v>
      </c>
      <c r="N7">
        <f>(((Demographics_F_Country_resolved="(All)")+(Demographics_F_Country_resolved="")+ISBLANK(Demographics_F_Country_resolved)+ISNUMBER(SEARCH("|"&amp;B7&amp;"|",Demographics_F_Country_wrapped)))&gt;0)*1</f>
        <v>1</v>
      </c>
      <c r="O7">
        <f>N7*1</f>
        <v>1</v>
      </c>
      <c r="P7">
        <f>IF(OR(Demographics_Q_SS_EXPORT_F_Q="(None)",Demographics_Q_SS_EXPORT_F_Q="",ISBLANK(Demographics_Q_SS_EXPORT_F_Q),Demographics_Q_SS_EXPORT_F_V="(All)",Demographics_Q_SS_EXPORT_F_V="",ISBLANK(Demographics_Q_SS_EXPORT_F_V)),1,IFERROR(IF(ISNUMBER(SEARCH("|"&amp;INDEX($A7:$H7,1,MATCH(Demographics_Q_SS_EXPORT_F_Q,$A$1:$H$1,0))&amp;"|",Demographics_Q_SS_EXPORT_F_wrapped)),1,0),0))</f>
        <v>1</v>
      </c>
      <c r="Q7">
        <f>(((All_Questions_F_Country_resolved="(All)")+(All_Questions_F_Country_resolved="")+ISBLANK(All_Questions_F_Country_resolved)+ISNUMBER(SEARCH("|"&amp;B7&amp;"|",All_Questions_F_Country_wrapped)))&gt;0)*1</f>
        <v>1</v>
      </c>
      <c r="R7">
        <f>Q7*1</f>
        <v>1</v>
      </c>
      <c r="S7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$A7:$H7,1,MATCH(All_Questions_Q_MS_EXPORT_F_Q,$A$1:$H$1,0))&amp;"|",All_Questions_Q_MS_EXPORT_F_wrapped)),1,0),0))</f>
        <v>1</v>
      </c>
      <c r="T7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$A7:$H7,1,MATCH(All_Questions_Q_NUM_EXPORT_F_Q,$A$1:$H$1,0))&amp;"|",All_Questions_Q_NUM_EXPORT_F_wrapped)),1,0),0))</f>
        <v>1</v>
      </c>
      <c r="U7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$A7:$H7,1,MATCH(All_Questions_Q_GRID_EXPORT_F_Q,$A$1:$H$1,0))&amp;"|",All_Questions_Q_GRID_EXPORT_F_wrapped)),1,0),0))</f>
        <v>1</v>
      </c>
      <c r="V7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$A7:$H7,1,MATCH(All_Questions_Q_VERY_LONG_SINGLE_SELECT_EXPORT_NAME_F_Q,$A$1:$H$1,0))&amp;"|",All_Questions_Q_VERY_LONG_SINGLE_SELECT_EXPORT_NAME_F_wrapped)),1,0),0))</f>
        <v>1</v>
      </c>
    </row>
    <row r="8">
      <c r="A8" t="n">
        <v>7</v>
      </c>
      <c r="B8" t="inlineStr">
        <is>
          <t>No</t>
        </is>
      </c>
      <c r="E8" t="n">
        <v>5.5</v>
      </c>
      <c r="F8" t="inlineStr">
        <is>
          <t>Selected</t>
        </is>
      </c>
      <c r="G8" t="inlineStr">
        <is>
          <t>Selected</t>
        </is>
      </c>
      <c r="H8" t="inlineStr">
        <is>
          <t>A</t>
        </is>
      </c>
      <c r="I8">
        <f>(((F_Country="(All)")+(F_Country="")+ISBLANK(F_Country)+ISNUMBER(SEARCH("|"&amp;B8&amp;"|",F_Country_wrapped)))&gt;0)*1</f>
        <v>1</v>
      </c>
      <c r="J8">
        <f>I8*1</f>
        <v>1</v>
      </c>
      <c r="K8">
        <f>IF(OR(F_Custom1_Q="(None)",F_Custom1_Q="",ISBLANK(F_Custom1_Q),F_Custom1_V="(All)",F_Custom1_V="",ISBLANK(F_Custom1_V)),1,IFERROR(IF(ISNUMBER(SEARCH("|"&amp;INDEX($A8:$H8,1,MATCH(F_Custom1_Q,$A$1:$H$1,0))&amp;"|",F_Custom1_wrapped)),1,0),0))</f>
        <v>1</v>
      </c>
      <c r="L8">
        <f>IF(OR(F_Custom2_Q="(None)",F_Custom2_Q="",ISBLANK(F_Custom2_Q),F_Custom2_V="(All)",F_Custom2_V="",ISBLANK(F_Custom2_V)),1,IFERROR(IF(ISNUMBER(SEARCH("|"&amp;INDEX($A8:$H8,1,MATCH(F_Custom2_Q,$A$1:$H$1,0))&amp;"|",F_Custom2_wrapped)),1,0),0))</f>
        <v>1</v>
      </c>
      <c r="M8">
        <f>K8*L8*1</f>
        <v>1</v>
      </c>
      <c r="N8">
        <f>(((Demographics_F_Country_resolved="(All)")+(Demographics_F_Country_resolved="")+ISBLANK(Demographics_F_Country_resolved)+ISNUMBER(SEARCH("|"&amp;B8&amp;"|",Demographics_F_Country_wrapped)))&gt;0)*1</f>
        <v>1</v>
      </c>
      <c r="O8">
        <f>N8*1</f>
        <v>1</v>
      </c>
      <c r="P8">
        <f>IF(OR(Demographics_Q_SS_EXPORT_F_Q="(None)",Demographics_Q_SS_EXPORT_F_Q="",ISBLANK(Demographics_Q_SS_EXPORT_F_Q),Demographics_Q_SS_EXPORT_F_V="(All)",Demographics_Q_SS_EXPORT_F_V="",ISBLANK(Demographics_Q_SS_EXPORT_F_V)),1,IFERROR(IF(ISNUMBER(SEARCH("|"&amp;INDEX($A8:$H8,1,MATCH(Demographics_Q_SS_EXPORT_F_Q,$A$1:$H$1,0))&amp;"|",Demographics_Q_SS_EXPORT_F_wrapped)),1,0),0))</f>
        <v>1</v>
      </c>
      <c r="Q8">
        <f>(((All_Questions_F_Country_resolved="(All)")+(All_Questions_F_Country_resolved="")+ISBLANK(All_Questions_F_Country_resolved)+ISNUMBER(SEARCH("|"&amp;B8&amp;"|",All_Questions_F_Country_wrapped)))&gt;0)*1</f>
        <v>1</v>
      </c>
      <c r="R8">
        <f>Q8*1</f>
        <v>1</v>
      </c>
      <c r="S8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$A8:$H8,1,MATCH(All_Questions_Q_MS_EXPORT_F_Q,$A$1:$H$1,0))&amp;"|",All_Questions_Q_MS_EXPORT_F_wrapped)),1,0),0))</f>
        <v>1</v>
      </c>
      <c r="T8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$A8:$H8,1,MATCH(All_Questions_Q_NUM_EXPORT_F_Q,$A$1:$H$1,0))&amp;"|",All_Questions_Q_NUM_EXPORT_F_wrapped)),1,0),0))</f>
        <v>1</v>
      </c>
      <c r="U8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$A8:$H8,1,MATCH(All_Questions_Q_GRID_EXPORT_F_Q,$A$1:$H$1,0))&amp;"|",All_Questions_Q_GRID_EXPORT_F_wrapped)),1,0),0))</f>
        <v>1</v>
      </c>
      <c r="V8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$A8:$H8,1,MATCH(All_Questions_Q_VERY_LONG_SINGLE_SELECT_EXPORT_NAME_F_Q,$A$1:$H$1,0))&amp;"|",All_Questions_Q_VERY_LONG_SINGLE_SELECT_EXPORT_NAME_F_wrapped)),1,0),0))</f>
        <v>1</v>
      </c>
    </row>
    <row r="9">
      <c r="A9" t="n">
        <v>8</v>
      </c>
      <c r="B9" t="inlineStr">
        <is>
          <t>No</t>
        </is>
      </c>
      <c r="E9" t="n">
        <v>5.5</v>
      </c>
      <c r="F9" t="inlineStr">
        <is>
          <t>Selected</t>
        </is>
      </c>
      <c r="G9" t="inlineStr">
        <is>
          <t>Selected</t>
        </is>
      </c>
      <c r="H9" t="inlineStr">
        <is>
          <t>B</t>
        </is>
      </c>
      <c r="I9">
        <f>(((F_Country="(All)")+(F_Country="")+ISBLANK(F_Country)+ISNUMBER(SEARCH("|"&amp;B9&amp;"|",F_Country_wrapped)))&gt;0)*1</f>
        <v>1</v>
      </c>
      <c r="J9">
        <f>I9*1</f>
        <v>1</v>
      </c>
      <c r="K9">
        <f>IF(OR(F_Custom1_Q="(None)",F_Custom1_Q="",ISBLANK(F_Custom1_Q),F_Custom1_V="(All)",F_Custom1_V="",ISBLANK(F_Custom1_V)),1,IFERROR(IF(ISNUMBER(SEARCH("|"&amp;INDEX($A9:$H9,1,MATCH(F_Custom1_Q,$A$1:$H$1,0))&amp;"|",F_Custom1_wrapped)),1,0),0))</f>
        <v>1</v>
      </c>
      <c r="L9">
        <f>IF(OR(F_Custom2_Q="(None)",F_Custom2_Q="",ISBLANK(F_Custom2_Q),F_Custom2_V="(All)",F_Custom2_V="",ISBLANK(F_Custom2_V)),1,IFERROR(IF(ISNUMBER(SEARCH("|"&amp;INDEX($A9:$H9,1,MATCH(F_Custom2_Q,$A$1:$H$1,0))&amp;"|",F_Custom2_wrapped)),1,0),0))</f>
        <v>1</v>
      </c>
      <c r="M9">
        <f>K9*L9*1</f>
        <v>1</v>
      </c>
      <c r="N9">
        <f>(((Demographics_F_Country_resolved="(All)")+(Demographics_F_Country_resolved="")+ISBLANK(Demographics_F_Country_resolved)+ISNUMBER(SEARCH("|"&amp;B9&amp;"|",Demographics_F_Country_wrapped)))&gt;0)*1</f>
        <v>1</v>
      </c>
      <c r="O9">
        <f>N9*1</f>
        <v>1</v>
      </c>
      <c r="P9">
        <f>IF(OR(Demographics_Q_SS_EXPORT_F_Q="(None)",Demographics_Q_SS_EXPORT_F_Q="",ISBLANK(Demographics_Q_SS_EXPORT_F_Q),Demographics_Q_SS_EXPORT_F_V="(All)",Demographics_Q_SS_EXPORT_F_V="",ISBLANK(Demographics_Q_SS_EXPORT_F_V)),1,IFERROR(IF(ISNUMBER(SEARCH("|"&amp;INDEX($A9:$H9,1,MATCH(Demographics_Q_SS_EXPORT_F_Q,$A$1:$H$1,0))&amp;"|",Demographics_Q_SS_EXPORT_F_wrapped)),1,0),0))</f>
        <v>1</v>
      </c>
      <c r="Q9">
        <f>(((All_Questions_F_Country_resolved="(All)")+(All_Questions_F_Country_resolved="")+ISBLANK(All_Questions_F_Country_resolved)+ISNUMBER(SEARCH("|"&amp;B9&amp;"|",All_Questions_F_Country_wrapped)))&gt;0)*1</f>
        <v>1</v>
      </c>
      <c r="R9">
        <f>Q9*1</f>
        <v>1</v>
      </c>
      <c r="S9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$A9:$H9,1,MATCH(All_Questions_Q_MS_EXPORT_F_Q,$A$1:$H$1,0))&amp;"|",All_Questions_Q_MS_EXPORT_F_wrapped)),1,0),0))</f>
        <v>1</v>
      </c>
      <c r="T9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$A9:$H9,1,MATCH(All_Questions_Q_NUM_EXPORT_F_Q,$A$1:$H$1,0))&amp;"|",All_Questions_Q_NUM_EXPORT_F_wrapped)),1,0),0))</f>
        <v>1</v>
      </c>
      <c r="U9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$A9:$H9,1,MATCH(All_Questions_Q_GRID_EXPORT_F_Q,$A$1:$H$1,0))&amp;"|",All_Questions_Q_GRID_EXPORT_F_wrapped)),1,0),0))</f>
        <v>1</v>
      </c>
      <c r="V9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$A9:$H9,1,MATCH(All_Questions_Q_VERY_LONG_SINGLE_SELECT_EXPORT_NAME_F_Q,$A$1:$H$1,0))&amp;"|",All_Questions_Q_VERY_LONG_SINGLE_SELECT_EXPORT_NAME_F_wrapped)),1,0),0))</f>
        <v>1</v>
      </c>
    </row>
    <row r="10">
      <c r="A10" t="n">
        <v>9</v>
      </c>
      <c r="B10" t="inlineStr">
        <is>
          <t>No</t>
        </is>
      </c>
      <c r="E10" t="n">
        <v>5.5</v>
      </c>
      <c r="F10" t="inlineStr">
        <is>
          <t>Selected</t>
        </is>
      </c>
      <c r="G10" t="inlineStr">
        <is>
          <t>Selected</t>
        </is>
      </c>
      <c r="H10" t="inlineStr">
        <is>
          <t>B</t>
        </is>
      </c>
      <c r="I10">
        <f>(((F_Country="(All)")+(F_Country="")+ISBLANK(F_Country)+ISNUMBER(SEARCH("|"&amp;B10&amp;"|",F_Country_wrapped)))&gt;0)*1</f>
        <v>1</v>
      </c>
      <c r="J10">
        <f>I10*1</f>
        <v>1</v>
      </c>
      <c r="K10">
        <f>IF(OR(F_Custom1_Q="(None)",F_Custom1_Q="",ISBLANK(F_Custom1_Q),F_Custom1_V="(All)",F_Custom1_V="",ISBLANK(F_Custom1_V)),1,IFERROR(IF(ISNUMBER(SEARCH("|"&amp;INDEX($A10:$H10,1,MATCH(F_Custom1_Q,$A$1:$H$1,0))&amp;"|",F_Custom1_wrapped)),1,0),0))</f>
        <v>1</v>
      </c>
      <c r="L10">
        <f>IF(OR(F_Custom2_Q="(None)",F_Custom2_Q="",ISBLANK(F_Custom2_Q),F_Custom2_V="(All)",F_Custom2_V="",ISBLANK(F_Custom2_V)),1,IFERROR(IF(ISNUMBER(SEARCH("|"&amp;INDEX($A10:$H10,1,MATCH(F_Custom2_Q,$A$1:$H$1,0))&amp;"|",F_Custom2_wrapped)),1,0),0))</f>
        <v>1</v>
      </c>
      <c r="M10">
        <f>K10*L10*1</f>
        <v>1</v>
      </c>
      <c r="N10">
        <f>(((Demographics_F_Country_resolved="(All)")+(Demographics_F_Country_resolved="")+ISBLANK(Demographics_F_Country_resolved)+ISNUMBER(SEARCH("|"&amp;B10&amp;"|",Demographics_F_Country_wrapped)))&gt;0)*1</f>
        <v>1</v>
      </c>
      <c r="O10">
        <f>N10*1</f>
        <v>1</v>
      </c>
      <c r="P10">
        <f>IF(OR(Demographics_Q_SS_EXPORT_F_Q="(None)",Demographics_Q_SS_EXPORT_F_Q="",ISBLANK(Demographics_Q_SS_EXPORT_F_Q),Demographics_Q_SS_EXPORT_F_V="(All)",Demographics_Q_SS_EXPORT_F_V="",ISBLANK(Demographics_Q_SS_EXPORT_F_V)),1,IFERROR(IF(ISNUMBER(SEARCH("|"&amp;INDEX($A10:$H10,1,MATCH(Demographics_Q_SS_EXPORT_F_Q,$A$1:$H$1,0))&amp;"|",Demographics_Q_SS_EXPORT_F_wrapped)),1,0),0))</f>
        <v>1</v>
      </c>
      <c r="Q10">
        <f>(((All_Questions_F_Country_resolved="(All)")+(All_Questions_F_Country_resolved="")+ISBLANK(All_Questions_F_Country_resolved)+ISNUMBER(SEARCH("|"&amp;B10&amp;"|",All_Questions_F_Country_wrapped)))&gt;0)*1</f>
        <v>1</v>
      </c>
      <c r="R10">
        <f>Q10*1</f>
        <v>1</v>
      </c>
      <c r="S10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$A10:$H10,1,MATCH(All_Questions_Q_MS_EXPORT_F_Q,$A$1:$H$1,0))&amp;"|",All_Questions_Q_MS_EXPORT_F_wrapped)),1,0),0))</f>
        <v>1</v>
      </c>
      <c r="T10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$A10:$H10,1,MATCH(All_Questions_Q_NUM_EXPORT_F_Q,$A$1:$H$1,0))&amp;"|",All_Questions_Q_NUM_EXPORT_F_wrapped)),1,0),0))</f>
        <v>1</v>
      </c>
      <c r="U10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$A10:$H10,1,MATCH(All_Questions_Q_GRID_EXPORT_F_Q,$A$1:$H$1,0))&amp;"|",All_Questions_Q_GRID_EXPORT_F_wrapped)),1,0),0))</f>
        <v>1</v>
      </c>
      <c r="V10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$A10:$H10,1,MATCH(All_Questions_Q_VERY_LONG_SINGLE_SELECT_EXPORT_NAME_F_Q,$A$1:$H$1,0))&amp;"|",All_Questions_Q_VERY_LONG_SINGLE_SELECT_EXPORT_NAME_F_wrapped)),1,0),0))</f>
        <v>1</v>
      </c>
    </row>
    <row r="11">
      <c r="A11" t="n">
        <v>10</v>
      </c>
      <c r="B11" t="inlineStr">
        <is>
          <t>No</t>
        </is>
      </c>
      <c r="E11" t="n">
        <v>5.5</v>
      </c>
      <c r="F11" t="inlineStr">
        <is>
          <t>Selected</t>
        </is>
      </c>
      <c r="G11" t="inlineStr">
        <is>
          <t>Selected</t>
        </is>
      </c>
      <c r="H11" t="inlineStr">
        <is>
          <t>B</t>
        </is>
      </c>
      <c r="I11">
        <f>(((F_Country="(All)")+(F_Country="")+ISBLANK(F_Country)+ISNUMBER(SEARCH("|"&amp;B11&amp;"|",F_Country_wrapped)))&gt;0)*1</f>
        <v>1</v>
      </c>
      <c r="J11">
        <f>I11*1</f>
        <v>1</v>
      </c>
      <c r="K11">
        <f>IF(OR(F_Custom1_Q="(None)",F_Custom1_Q="",ISBLANK(F_Custom1_Q),F_Custom1_V="(All)",F_Custom1_V="",ISBLANK(F_Custom1_V)),1,IFERROR(IF(ISNUMBER(SEARCH("|"&amp;INDEX($A11:$H11,1,MATCH(F_Custom1_Q,$A$1:$H$1,0))&amp;"|",F_Custom1_wrapped)),1,0),0))</f>
        <v>1</v>
      </c>
      <c r="L11">
        <f>IF(OR(F_Custom2_Q="(None)",F_Custom2_Q="",ISBLANK(F_Custom2_Q),F_Custom2_V="(All)",F_Custom2_V="",ISBLANK(F_Custom2_V)),1,IFERROR(IF(ISNUMBER(SEARCH("|"&amp;INDEX($A11:$H11,1,MATCH(F_Custom2_Q,$A$1:$H$1,0))&amp;"|",F_Custom2_wrapped)),1,0),0))</f>
        <v>1</v>
      </c>
      <c r="M11">
        <f>K11*L11*1</f>
        <v>1</v>
      </c>
      <c r="N11">
        <f>(((Demographics_F_Country_resolved="(All)")+(Demographics_F_Country_resolved="")+ISBLANK(Demographics_F_Country_resolved)+ISNUMBER(SEARCH("|"&amp;B11&amp;"|",Demographics_F_Country_wrapped)))&gt;0)*1</f>
        <v>1</v>
      </c>
      <c r="O11">
        <f>N11*1</f>
        <v>1</v>
      </c>
      <c r="P11">
        <f>IF(OR(Demographics_Q_SS_EXPORT_F_Q="(None)",Demographics_Q_SS_EXPORT_F_Q="",ISBLANK(Demographics_Q_SS_EXPORT_F_Q),Demographics_Q_SS_EXPORT_F_V="(All)",Demographics_Q_SS_EXPORT_F_V="",ISBLANK(Demographics_Q_SS_EXPORT_F_V)),1,IFERROR(IF(ISNUMBER(SEARCH("|"&amp;INDEX($A11:$H11,1,MATCH(Demographics_Q_SS_EXPORT_F_Q,$A$1:$H$1,0))&amp;"|",Demographics_Q_SS_EXPORT_F_wrapped)),1,0),0))</f>
        <v>1</v>
      </c>
      <c r="Q11">
        <f>(((All_Questions_F_Country_resolved="(All)")+(All_Questions_F_Country_resolved="")+ISBLANK(All_Questions_F_Country_resolved)+ISNUMBER(SEARCH("|"&amp;B11&amp;"|",All_Questions_F_Country_wrapped)))&gt;0)*1</f>
        <v>1</v>
      </c>
      <c r="R11">
        <f>Q11*1</f>
        <v>1</v>
      </c>
      <c r="S11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$A11:$H11,1,MATCH(All_Questions_Q_MS_EXPORT_F_Q,$A$1:$H$1,0))&amp;"|",All_Questions_Q_MS_EXPORT_F_wrapped)),1,0),0))</f>
        <v>1</v>
      </c>
      <c r="T11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$A11:$H11,1,MATCH(All_Questions_Q_NUM_EXPORT_F_Q,$A$1:$H$1,0))&amp;"|",All_Questions_Q_NUM_EXPORT_F_wrapped)),1,0),0))</f>
        <v>1</v>
      </c>
      <c r="U11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$A11:$H11,1,MATCH(All_Questions_Q_GRID_EXPORT_F_Q,$A$1:$H$1,0))&amp;"|",All_Questions_Q_GRID_EXPORT_F_wrapped)),1,0),0))</f>
        <v>1</v>
      </c>
      <c r="V11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$A11:$H11,1,MATCH(All_Questions_Q_VERY_LONG_SINGLE_SELECT_EXPORT_NAME_F_Q,$A$1:$H$1,0))&amp;"|",All_Questions_Q_VERY_LONG_SINGLE_SELECT_EXPORT_NAME_F_wrapped)),1,0),0))</f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Q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All_Questions</t>
        </is>
      </c>
      <c r="B1" t="inlineStr">
        <is>
          <t>All_Questions_Local</t>
        </is>
      </c>
      <c r="C1" t="inlineStr">
        <is>
          <t>None_options</t>
        </is>
      </c>
      <c r="D1" t="inlineStr">
        <is>
          <t>Q_SS_EXPORT_options</t>
        </is>
      </c>
      <c r="E1" t="inlineStr">
        <is>
          <t>Q_MS_EXPORTr1_options</t>
        </is>
      </c>
      <c r="F1" t="inlineStr">
        <is>
          <t>Q_MS_EXPORTr2_options</t>
        </is>
      </c>
      <c r="G1" t="inlineStr">
        <is>
          <t>Q_NUM_EXPORT_options</t>
        </is>
      </c>
      <c r="H1" t="inlineStr">
        <is>
          <t>Q_GRID_EXPORTr1_options</t>
        </is>
      </c>
      <c r="I1" t="inlineStr">
        <is>
          <t>Q_GRID_EXPORTr2_options</t>
        </is>
      </c>
      <c r="J1" t="inlineStr">
        <is>
          <t>Q_VERY_LONG_SINGLE_SELECT_EXPOR_options</t>
        </is>
      </c>
      <c r="K1" t="inlineStr">
        <is>
          <t>Q_SS_EXPORT_local_options</t>
        </is>
      </c>
      <c r="L1" t="inlineStr">
        <is>
          <t>Q_MS_EXPORTr1_local_options</t>
        </is>
      </c>
      <c r="M1" t="inlineStr">
        <is>
          <t>Q_MS_EXPORTr2_local_options</t>
        </is>
      </c>
      <c r="N1" t="inlineStr">
        <is>
          <t>Q_NUM_EXPORT_local_options</t>
        </is>
      </c>
      <c r="O1" t="inlineStr">
        <is>
          <t>Q_GRID_EXPORTr1_local_options</t>
        </is>
      </c>
      <c r="P1" t="inlineStr">
        <is>
          <t>Q_GRID_EXPORTr2_local_options</t>
        </is>
      </c>
      <c r="Q1" t="inlineStr">
        <is>
          <t>Q_VERY_LONG_SINGLE_SELECT_EXPOR_local_options</t>
        </is>
      </c>
    </row>
    <row r="2">
      <c r="A2" t="inlineStr">
        <is>
          <t>(None)</t>
        </is>
      </c>
      <c r="B2" t="inlineStr">
        <is>
          <t>(Inherit)</t>
        </is>
      </c>
      <c r="C2" t="inlineStr">
        <is>
          <t>(All)</t>
        </is>
      </c>
      <c r="D2" t="inlineStr">
        <is>
          <t>(All)</t>
        </is>
      </c>
      <c r="E2" t="inlineStr">
        <is>
          <t>(All)</t>
        </is>
      </c>
      <c r="F2" t="inlineStr">
        <is>
          <t>(All)</t>
        </is>
      </c>
      <c r="G2" t="inlineStr">
        <is>
          <t>(All)</t>
        </is>
      </c>
      <c r="H2" t="inlineStr">
        <is>
          <t>(All)</t>
        </is>
      </c>
      <c r="I2" t="inlineStr">
        <is>
          <t>(All)</t>
        </is>
      </c>
      <c r="J2" t="inlineStr">
        <is>
          <t>(All)</t>
        </is>
      </c>
      <c r="K2" t="inlineStr">
        <is>
          <t>(Inherit)</t>
        </is>
      </c>
      <c r="L2" t="inlineStr">
        <is>
          <t>(Inherit)</t>
        </is>
      </c>
      <c r="M2" t="inlineStr">
        <is>
          <t>(Inherit)</t>
        </is>
      </c>
      <c r="N2" t="inlineStr">
        <is>
          <t>(Inherit)</t>
        </is>
      </c>
      <c r="O2" t="inlineStr">
        <is>
          <t>(Inherit)</t>
        </is>
      </c>
      <c r="P2" t="inlineStr">
        <is>
          <t>(Inherit)</t>
        </is>
      </c>
      <c r="Q2" t="inlineStr">
        <is>
          <t>(Inherit)</t>
        </is>
      </c>
    </row>
    <row r="3">
      <c r="A3" t="inlineStr">
        <is>
          <t>Q_SS_EXPORT</t>
        </is>
      </c>
      <c r="B3" t="inlineStr">
        <is>
          <t>(None)</t>
        </is>
      </c>
      <c r="D3" t="inlineStr">
        <is>
          <t>Yes</t>
        </is>
      </c>
      <c r="E3" t="inlineStr">
        <is>
          <t>Selected</t>
        </is>
      </c>
      <c r="F3" t="inlineStr">
        <is>
          <t>Selected</t>
        </is>
      </c>
      <c r="G3" t="inlineStr">
        <is>
          <t>5.5</t>
        </is>
      </c>
      <c r="H3" t="inlineStr">
        <is>
          <t>Selected</t>
        </is>
      </c>
      <c r="I3" t="inlineStr">
        <is>
          <t>Selected</t>
        </is>
      </c>
      <c r="J3" t="inlineStr">
        <is>
          <t>A</t>
        </is>
      </c>
      <c r="K3" t="inlineStr">
        <is>
          <t>(All)</t>
        </is>
      </c>
      <c r="L3" t="inlineStr">
        <is>
          <t>(All)</t>
        </is>
      </c>
      <c r="M3" t="inlineStr">
        <is>
          <t>(All)</t>
        </is>
      </c>
      <c r="N3" t="inlineStr">
        <is>
          <t>(All)</t>
        </is>
      </c>
      <c r="O3" t="inlineStr">
        <is>
          <t>(All)</t>
        </is>
      </c>
      <c r="P3" t="inlineStr">
        <is>
          <t>(All)</t>
        </is>
      </c>
      <c r="Q3" t="inlineStr">
        <is>
          <t>(All)</t>
        </is>
      </c>
    </row>
    <row r="4">
      <c r="A4" t="inlineStr">
        <is>
          <t>Q_MS_EXPORTr1</t>
        </is>
      </c>
      <c r="B4" t="inlineStr">
        <is>
          <t>Q_SS_EXPORT</t>
        </is>
      </c>
      <c r="D4" t="inlineStr">
        <is>
          <t>No</t>
        </is>
      </c>
      <c r="J4" t="inlineStr">
        <is>
          <t>B</t>
        </is>
      </c>
      <c r="K4" t="inlineStr">
        <is>
          <t>Yes</t>
        </is>
      </c>
      <c r="L4" t="inlineStr">
        <is>
          <t>Selected</t>
        </is>
      </c>
      <c r="M4" t="inlineStr">
        <is>
          <t>Selected</t>
        </is>
      </c>
      <c r="N4" t="inlineStr">
        <is>
          <t>5.5</t>
        </is>
      </c>
      <c r="O4" t="inlineStr">
        <is>
          <t>Selected</t>
        </is>
      </c>
      <c r="P4" t="inlineStr">
        <is>
          <t>Selected</t>
        </is>
      </c>
      <c r="Q4" t="inlineStr">
        <is>
          <t>A</t>
        </is>
      </c>
    </row>
    <row r="5">
      <c r="A5" t="inlineStr">
        <is>
          <t>Q_MS_EXPORTr2</t>
        </is>
      </c>
      <c r="B5" t="inlineStr">
        <is>
          <t>Q_MS_EXPORTr1</t>
        </is>
      </c>
      <c r="K5" t="inlineStr">
        <is>
          <t>No</t>
        </is>
      </c>
      <c r="Q5" t="inlineStr">
        <is>
          <t>B</t>
        </is>
      </c>
    </row>
    <row r="6">
      <c r="A6" t="inlineStr">
        <is>
          <t>Q_NUM_EXPORT</t>
        </is>
      </c>
      <c r="B6" t="inlineStr">
        <is>
          <t>Q_MS_EXPORTr2</t>
        </is>
      </c>
    </row>
    <row r="7">
      <c r="A7" t="inlineStr">
        <is>
          <t>Q_GRID_EXPORTr1</t>
        </is>
      </c>
      <c r="B7" t="inlineStr">
        <is>
          <t>Q_NUM_EXPORT</t>
        </is>
      </c>
    </row>
    <row r="8">
      <c r="A8" t="inlineStr">
        <is>
          <t>Q_GRID_EXPORTr2</t>
        </is>
      </c>
      <c r="B8" t="inlineStr">
        <is>
          <t>Q_GRID_EXPORTr1</t>
        </is>
      </c>
    </row>
    <row r="9">
      <c r="A9" t="inlineStr">
        <is>
          <t>Q_VERY_LONG_SINGLE_SELECT_EXPOR</t>
        </is>
      </c>
      <c r="B9" t="inlineStr">
        <is>
          <t>Q_GRID_EXPORTr2</t>
        </is>
      </c>
    </row>
    <row r="10">
      <c r="B10" t="inlineStr">
        <is>
          <t>Q_VERY_LONG_SINGLE_SELECT_EXPOR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>
  <sheetPr>
    <outlinePr summaryBelow="1" summaryRight="1"/>
    <pageSetUpPr/>
  </sheetPr>
  <dimension ref="A1:F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28" customWidth="1" min="2" max="2"/>
    <col width="28" customWidth="1" min="3" max="3"/>
    <col width="28" customWidth="1" min="4" max="4"/>
    <col width="34" customWidth="1" min="5" max="5"/>
    <col width="28" customWidth="1" min="6" max="6"/>
    <col width="28" customWidth="1" min="7" max="7"/>
  </cols>
  <sheetData>
    <row r="1">
      <c r="A1" s="1" t="inlineStr">
        <is>
          <t>DEMOGRAPHIC FILTERS</t>
        </is>
      </c>
      <c r="B1" s="2" t="n"/>
      <c r="C1" s="2" t="n"/>
      <c r="D1" s="2" t="n"/>
      <c r="E1" s="2" t="n"/>
      <c r="F1" s="2" t="n"/>
    </row>
    <row r="2">
      <c r="A2" s="3" t="inlineStr">
        <is>
          <t>To filter by multiple values, separate with ", " (comma + space). Example: India, USA, UK</t>
        </is>
      </c>
    </row>
    <row r="3">
      <c r="A3" s="4" t="inlineStr">
        <is>
          <t>Filter</t>
        </is>
      </c>
      <c r="B3" s="4" t="inlineStr">
        <is>
          <t>Value</t>
        </is>
      </c>
      <c r="C3" s="4" t="inlineStr">
        <is>
          <t>Wrapped</t>
        </is>
      </c>
      <c r="D3" s="4" t="inlineStr">
        <is>
          <t>Available values</t>
        </is>
      </c>
    </row>
    <row r="4">
      <c r="A4" t="inlineStr">
        <is>
          <t>Q_SS_EXPORT - Single select export question</t>
        </is>
      </c>
      <c r="B4" t="inlineStr">
        <is>
          <t>(All)</t>
        </is>
      </c>
      <c r="C4" t="str">
        <f>"|" &amp; SUBSTITUTE(F_Country, ", ", "|") &amp; "|"</f>
        <v>|(All)|</v>
      </c>
      <c r="D4" t="inlineStr">
        <is>
          <t>Yes, No</t>
        </is>
      </c>
    </row>
    <row r="6">
      <c r="A6" s="4" t="inlineStr">
        <is>
          <t>CUSTOM FILTERS</t>
        </is>
      </c>
      <c r="B6" s="2" t="n"/>
      <c r="C6" s="2" t="n"/>
      <c r="D6" s="2" t="n"/>
      <c r="E6" s="2" t="n"/>
      <c r="F6" s="2" t="n"/>
    </row>
    <row r="7">
      <c r="A7" t="inlineStr">
        <is>
          <t>Filter 1 question</t>
        </is>
      </c>
      <c r="B7" t="inlineStr">
        <is>
          <t>(None)</t>
        </is>
      </c>
      <c r="C7" t="inlineStr">
        <is>
          <t>Filter value</t>
        </is>
      </c>
      <c r="D7" t="inlineStr">
        <is>
          <t>(All)</t>
        </is>
      </c>
      <c r="E7" t="str">
        <f>IF(F_Custom1_Q="(None)","respondent_id_data",F_Custom1_Q &amp; "_data")</f>
        <v>respondent_id_data</v>
      </c>
      <c r="F7" t="str">
        <f>"|" &amp; SUBSTITUTE(F_Custom1_V, ", ", "|") &amp; "|"</f>
        <v>|(All)|</v>
      </c>
    </row>
    <row r="8">
      <c r="A8" t="inlineStr">
        <is>
          <t>Filter 2 question</t>
        </is>
      </c>
      <c r="B8" t="inlineStr">
        <is>
          <t>(None)</t>
        </is>
      </c>
      <c r="C8" t="inlineStr">
        <is>
          <t>Filter value</t>
        </is>
      </c>
      <c r="D8" t="inlineStr">
        <is>
          <t>(All)</t>
        </is>
      </c>
      <c r="E8" t="str">
        <f>IF(F_Custom2_Q="(None)","respondent_id_data",F_Custom2_Q &amp; "_data")</f>
        <v>respondent_id_data</v>
      </c>
      <c r="F8" t="str">
        <f>"|" &amp; SUBSTITUTE(F_Custom2_V, ", ", "|") &amp; "|"</f>
        <v>|(All)|</v>
      </c>
    </row>
  </sheetData>
  <dataValidations count="5">
    <dataValidation sqref="B4" showDropDown="0" showInputMessage="0" showErrorMessage="0" allowBlank="1" type="list">
      <formula1>=Q_SS_EXPORT_options</formula1>
    </dataValidation>
    <dataValidation sqref="B7" showDropDown="0" showInputMessage="0" showErrorMessage="0" allowBlank="1" type="list">
      <formula1>=All_Questions</formula1>
    </dataValidation>
    <dataValidation sqref="D7" showDropDown="0" showInputMessage="0" showErrorMessage="0" allowBlank="1" type="list">
      <formula1>=INDIRECT(IF(F_Custom1_Q="(None)","None_options",F_Custom1_Q &amp; "_options"))</formula1>
    </dataValidation>
    <dataValidation sqref="B8" showDropDown="0" showInputMessage="0" showErrorMessage="0" allowBlank="1" type="list">
      <formula1>=All_Questions</formula1>
    </dataValidation>
    <dataValidation sqref="D8" showDropDown="0" showInputMessage="0" showErrorMessage="0" allowBlank="1" type="list">
      <formula1>=INDIRECT(IF(F_Custom2_Q="(None)","None_options",F_Custom2_Q &amp; "_options"))</formula1>
    </dataValidation>
  </dataValidations>
  <pageMargins left="0.75" right="0.75" top="1" bottom="1" header="0.5" footer="0.5"/>
  <legacyDrawing r:id="anysvml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2" customWidth="1" min="1" max="1"/>
    <col width="27" customWidth="1" min="2" max="2"/>
  </cols>
  <sheetData>
    <row r="1">
      <c r="A1" s="5" t="inlineStr">
        <is>
          <t>Source datamap:</t>
        </is>
      </c>
      <c r="B1" t="inlineStr">
        <is>
          <t>datamap.xlsx</t>
        </is>
      </c>
    </row>
    <row r="2">
      <c r="A2" s="5" t="inlineStr">
        <is>
          <t>Source raw data:</t>
        </is>
      </c>
      <c r="B2" t="inlineStr">
        <is>
          <t>raw.csv</t>
        </is>
      </c>
    </row>
    <row r="3">
      <c r="A3" s="5" t="inlineStr">
        <is>
          <t>Run timestamp:</t>
        </is>
      </c>
      <c r="B3" t="inlineStr">
        <is>
          <t>2026-05-04T12:00:00+00:00</t>
        </is>
      </c>
    </row>
    <row r="4">
      <c r="A4" s="5" t="inlineStr">
        <is>
          <t>Total respondents:</t>
        </is>
      </c>
      <c r="B4" t="n">
        <v>10</v>
      </c>
    </row>
    <row r="5">
      <c r="A5" s="5" t="inlineStr">
        <is>
          <t>Total questions:</t>
        </is>
      </c>
      <c r="B5" t="n">
        <v>6</v>
      </c>
    </row>
    <row r="6">
      <c r="A6" s="5" t="inlineStr">
        <is>
          <t>Results produced:</t>
        </is>
      </c>
      <c r="B6" t="n">
        <v>5</v>
      </c>
    </row>
    <row r="7">
      <c r="A7" s="5" t="inlineStr">
        <is>
          <t>Questions skipped:</t>
        </is>
      </c>
      <c r="B7" t="n">
        <v>2</v>
      </c>
    </row>
    <row r="8">
      <c r="A8" s="5" t="inlineStr">
        <is>
          <t>Cross cuts produced:</t>
        </is>
      </c>
      <c r="B8" t="n">
        <v>0</v>
      </c>
    </row>
    <row r="9">
      <c r="A9" s="5" t="inlineStr">
        <is>
          <t>Cross cut skips:</t>
        </is>
      </c>
      <c r="B9" t="n">
        <v>0</v>
      </c>
    </row>
    <row r="10">
      <c r="A10" s="5" t="inlineStr">
        <is>
          <t>Audit log records:</t>
        </is>
      </c>
      <c r="B10" t="n">
        <v>7</v>
      </c>
    </row>
    <row r="11">
      <c r="A11" s="5" t="inlineStr">
        <is>
          <t>Quality warnings:</t>
        </is>
      </c>
      <c r="B11" t="n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1" customWidth="1" min="1" max="1"/>
    <col width="39" customWidth="1" min="2" max="2"/>
    <col width="33" customWidth="1" min="3" max="3"/>
    <col width="21" customWidth="1" min="4" max="4"/>
    <col width="39" customWidth="1" min="5" max="5"/>
    <col width="15" customWidth="1" min="6" max="6"/>
    <col width="19" customWidth="1" min="7" max="7"/>
    <col width="13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Question Text</t>
        </is>
      </c>
      <c r="D1" s="4" t="inlineStr">
        <is>
          <t>Type</t>
        </is>
      </c>
      <c r="E1" s="4" t="inlineStr">
        <is>
          <t>Raw Columns</t>
        </is>
      </c>
      <c r="F1" s="4" t="inlineStr">
        <is>
          <t>Options Count</t>
        </is>
      </c>
      <c r="G1" s="4" t="inlineStr">
        <is>
          <t>Analysis Eligible</t>
        </is>
      </c>
      <c r="H1" s="4" t="inlineStr">
        <is>
          <t>Demographic</t>
        </is>
      </c>
      <c r="I1" s="4" t="inlineStr">
        <is>
          <t>Parent Question</t>
        </is>
      </c>
    </row>
    <row r="2">
      <c r="A2" t="inlineStr">
        <is>
          <t>[Q_SS_EXPORT]</t>
        </is>
      </c>
      <c r="B2" t="inlineStr">
        <is>
          <t>Q_SS_EXPORT</t>
        </is>
      </c>
      <c r="C2" t="inlineStr">
        <is>
          <t>Single select export question</t>
        </is>
      </c>
      <c r="D2" t="inlineStr">
        <is>
          <t>SINGLE_SELECT</t>
        </is>
      </c>
      <c r="E2" t="inlineStr">
        <is>
          <t>Q_SS_EXPORT</t>
        </is>
      </c>
      <c r="F2" t="n">
        <v>2</v>
      </c>
      <c r="G2" t="inlineStr">
        <is>
          <t>Yes</t>
        </is>
      </c>
      <c r="H2" t="inlineStr">
        <is>
          <t>Yes</t>
        </is>
      </c>
      <c r="I2" t="inlineStr"/>
    </row>
    <row r="3">
      <c r="A3" t="inlineStr">
        <is>
          <t>[Q_MS_EXPORT]</t>
        </is>
      </c>
      <c r="B3" t="inlineStr">
        <is>
          <t>Q_MS_EXPORT</t>
        </is>
      </c>
      <c r="C3" t="inlineStr">
        <is>
          <t>Multi select export question</t>
        </is>
      </c>
      <c r="D3" t="inlineStr">
        <is>
          <t>MULTI_SELECT_BINARY</t>
        </is>
      </c>
      <c r="E3" t="inlineStr">
        <is>
          <t>Q_MS_EXPORTr1, Q_MS_EXPORTr2</t>
        </is>
      </c>
      <c r="F3" t="n">
        <v>2</v>
      </c>
      <c r="G3" t="inlineStr">
        <is>
          <t>Yes</t>
        </is>
      </c>
      <c r="H3" t="inlineStr">
        <is>
          <t>No</t>
        </is>
      </c>
      <c r="I3" t="inlineStr"/>
    </row>
    <row r="4">
      <c r="A4" t="inlineStr">
        <is>
          <t>[Q_NUM_EXPORT]</t>
        </is>
      </c>
      <c r="B4" t="inlineStr">
        <is>
          <t>Q_NUM_EXPORT</t>
        </is>
      </c>
      <c r="C4" t="inlineStr">
        <is>
          <t>Numeric export question</t>
        </is>
      </c>
      <c r="D4" t="inlineStr">
        <is>
          <t>DIRECT_NUMERIC</t>
        </is>
      </c>
      <c r="E4" t="inlineStr">
        <is>
          <t>Q_NUM_EXPORT</t>
        </is>
      </c>
      <c r="F4" t="n">
        <v>0</v>
      </c>
      <c r="G4" t="inlineStr">
        <is>
          <t>Yes</t>
        </is>
      </c>
      <c r="H4" t="inlineStr">
        <is>
          <t>No</t>
        </is>
      </c>
      <c r="I4" t="inlineStr"/>
    </row>
    <row r="5">
      <c r="A5" t="inlineStr">
        <is>
          <t>[Q_GRID_EXPORT]</t>
        </is>
      </c>
      <c r="B5" t="inlineStr">
        <is>
          <t>Q_GRID_EXPORT</t>
        </is>
      </c>
      <c r="C5" t="inlineStr">
        <is>
          <t>Grid export question</t>
        </is>
      </c>
      <c r="D5" t="inlineStr">
        <is>
          <t>GRID_SINGLE_SELECT</t>
        </is>
      </c>
      <c r="E5" t="inlineStr">
        <is>
          <t>Q_GRID_EXPORTr1, Q_GRID_EXPORTr2</t>
        </is>
      </c>
      <c r="F5" t="n">
        <v>2</v>
      </c>
      <c r="G5" t="inlineStr">
        <is>
          <t>Yes</t>
        </is>
      </c>
      <c r="H5" t="inlineStr">
        <is>
          <t>No</t>
        </is>
      </c>
      <c r="I5" t="inlineStr"/>
    </row>
    <row r="6">
      <c r="A6" t="inlineStr">
        <is>
          <t>[Q_VERY_LONG_SINGLE_SELECT_EXPORT_NAME]</t>
        </is>
      </c>
      <c r="B6" t="inlineStr">
        <is>
          <t>Q_VERY_LONG_SINGLE_SELECT_EXPORT_NAME</t>
        </is>
      </c>
      <c r="C6" t="inlineStr">
        <is>
          <t>Long sheet name export question</t>
        </is>
      </c>
      <c r="D6" t="inlineStr">
        <is>
          <t>SINGLE_SELECT</t>
        </is>
      </c>
      <c r="E6" t="inlineStr">
        <is>
          <t>Q_VERY_LONG_SINGLE_SELECT_EXPORT_NAME</t>
        </is>
      </c>
      <c r="F6" t="n">
        <v>2</v>
      </c>
      <c r="G6" t="inlineStr">
        <is>
          <t>Yes</t>
        </is>
      </c>
      <c r="H6" t="inlineStr">
        <is>
          <t>No</t>
        </is>
      </c>
      <c r="I6" t="inlineStr"/>
    </row>
    <row r="7">
      <c r="A7" t="inlineStr">
        <is>
          <t>[Q_TEXT_EXPORT]</t>
        </is>
      </c>
      <c r="B7" t="inlineStr">
        <is>
          <t>Q_TEXT_EXPORT</t>
        </is>
      </c>
      <c r="C7" t="inlineStr">
        <is>
          <t>Open text export question</t>
        </is>
      </c>
      <c r="D7" t="inlineStr">
        <is>
          <t>OPEN_TEXT</t>
        </is>
      </c>
      <c r="E7" t="inlineStr">
        <is>
          <t>Q_TEXT_EXPORT</t>
        </is>
      </c>
      <c r="F7" t="n">
        <v>0</v>
      </c>
      <c r="G7" t="inlineStr">
        <is>
          <t>Yes</t>
        </is>
      </c>
      <c r="H7" t="inlineStr">
        <is>
          <t>No</t>
        </is>
      </c>
      <c r="I7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 xmlns:r="http://schemas.openxmlformats.org/officeDocument/2006/relationships">
  <sheetPr>
    <outlinePr summaryBelow="1" summaryRight="1"/>
    <pageSetUpPr/>
  </sheetPr>
  <dimension ref="A1:I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9" customWidth="1" min="1" max="1"/>
    <col width="39" customWidth="1" min="2" max="2"/>
    <col width="21" customWidth="1" min="3" max="3"/>
    <col width="15" customWidth="1" min="4" max="4"/>
    <col width="15" customWidth="1" min="5" max="5"/>
    <col width="9" customWidth="1" min="6" max="6"/>
    <col width="11" customWidth="1" min="7" max="7"/>
    <col width="11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Type</t>
        </is>
      </c>
      <c r="D1" s="4" t="inlineStr">
        <is>
          <t>Theme</t>
        </is>
      </c>
      <c r="E1" s="4" t="inlineStr">
        <is>
          <t>Sheet Name</t>
        </is>
      </c>
      <c r="F1" s="4" t="inlineStr">
        <is>
          <t>Valid N</t>
        </is>
      </c>
      <c r="G1" s="4" t="inlineStr">
        <is>
          <t>Missing N</t>
        </is>
      </c>
      <c r="H1" s="4" t="inlineStr">
        <is>
          <t>Missing %</t>
        </is>
      </c>
      <c r="I1" s="4" t="inlineStr">
        <is>
          <t>Warnings</t>
        </is>
      </c>
    </row>
    <row r="2">
      <c r="A2" t="inlineStr">
        <is>
          <t>Q_SS_EXPORT</t>
        </is>
      </c>
      <c r="B2" t="inlineStr">
        <is>
          <t>Q_SS_EXPORT</t>
        </is>
      </c>
      <c r="C2" t="inlineStr">
        <is>
          <t>SINGLE_SELECT</t>
        </is>
      </c>
      <c r="D2" t="inlineStr">
        <is>
          <t>Demographics</t>
        </is>
      </c>
      <c r="E2" s="6" t="inlineStr">
        <is>
          <t>Demographics</t>
        </is>
      </c>
      <c r="F2" t="n">
        <v>10</v>
      </c>
      <c r="G2" t="n">
        <v>0</v>
      </c>
      <c r="H2" s="7" t="n">
        <v>0</v>
      </c>
      <c r="I2" t="inlineStr"/>
    </row>
    <row r="3">
      <c r="A3" t="inlineStr">
        <is>
          <t>Q_MS_EXPORT</t>
        </is>
      </c>
      <c r="B3" t="inlineStr">
        <is>
          <t>Q_MS_EXPORT</t>
        </is>
      </c>
      <c r="C3" t="inlineStr">
        <is>
          <t>MULTI_SELECT_BINARY</t>
        </is>
      </c>
      <c r="D3" t="inlineStr">
        <is>
          <t>All Questions</t>
        </is>
      </c>
      <c r="E3" s="6" t="inlineStr">
        <is>
          <t>All Questions</t>
        </is>
      </c>
      <c r="F3" t="n">
        <v>10</v>
      </c>
      <c r="G3" t="n">
        <v>0</v>
      </c>
      <c r="H3" s="7" t="n">
        <v>0</v>
      </c>
      <c r="I3" t="inlineStr"/>
    </row>
    <row r="4">
      <c r="A4" t="inlineStr">
        <is>
          <t>Q_NUM_EXPORT</t>
        </is>
      </c>
      <c r="B4" t="inlineStr">
        <is>
          <t>Q_NUM_EXPORT</t>
        </is>
      </c>
      <c r="C4" t="inlineStr">
        <is>
          <t>DIRECT_NUMERIC</t>
        </is>
      </c>
      <c r="D4" t="inlineStr">
        <is>
          <t>All Questions</t>
        </is>
      </c>
      <c r="E4" s="6" t="inlineStr">
        <is>
          <t>All Questions</t>
        </is>
      </c>
      <c r="F4" t="n">
        <v>10</v>
      </c>
      <c r="G4" t="n">
        <v>0</v>
      </c>
      <c r="H4" s="7" t="n">
        <v>0</v>
      </c>
      <c r="I4" t="inlineStr"/>
    </row>
    <row r="5">
      <c r="A5" t="inlineStr">
        <is>
          <t>Q_GRID_EXPORT</t>
        </is>
      </c>
      <c r="B5" t="inlineStr">
        <is>
          <t>Q_GRID_EXPORT</t>
        </is>
      </c>
      <c r="C5" t="inlineStr">
        <is>
          <t>GRID_SINGLE_SELECT</t>
        </is>
      </c>
      <c r="D5" t="inlineStr">
        <is>
          <t>All Questions</t>
        </is>
      </c>
      <c r="E5" s="6" t="inlineStr">
        <is>
          <t>All Questions</t>
        </is>
      </c>
      <c r="F5" t="n">
        <v>10</v>
      </c>
      <c r="G5" t="n">
        <v>0</v>
      </c>
      <c r="H5" s="7" t="n">
        <v>0</v>
      </c>
      <c r="I5" t="inlineStr"/>
    </row>
    <row r="6">
      <c r="A6" t="inlineStr">
        <is>
          <t>Q_VERY_LONG_SINGLE_SELECT_EXPORT_NAME</t>
        </is>
      </c>
      <c r="B6" t="inlineStr">
        <is>
          <t>Q_VERY_LONG_SINGLE_SELECT_EXPORT_NAME</t>
        </is>
      </c>
      <c r="C6" t="inlineStr">
        <is>
          <t>SINGLE_SELECT</t>
        </is>
      </c>
      <c r="D6" t="inlineStr">
        <is>
          <t>All Questions</t>
        </is>
      </c>
      <c r="E6" s="6" t="inlineStr">
        <is>
          <t>All Questions</t>
        </is>
      </c>
      <c r="F6" t="n">
        <v>10</v>
      </c>
      <c r="G6" t="n">
        <v>0</v>
      </c>
      <c r="H6" s="7" t="n">
        <v>0</v>
      </c>
      <c r="I6" t="inlineStr">
        <is>
          <t>long id warning</t>
        </is>
      </c>
    </row>
  </sheetData>
  <hyperlinks>
    <hyperlink ref="E2" r:id="rId1"/>
    <hyperlink ref="E3" r:id="rId2"/>
    <hyperlink ref="E4" r:id="rId3"/>
    <hyperlink ref="E5" r:id="rId4"/>
    <hyperlink ref="E6" r:id="rId5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 xmlns:r="http://schemas.openxmlformats.org/officeDocument/2006/relationships">
  <sheetPr>
    <outlinePr summaryBelow="1" summaryRight="1"/>
    <pageSetUpPr/>
  </sheetPr>
  <dimension ref="A1:O19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Demographics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Q_SS_EXPORT - Single select export question</t>
        </is>
      </c>
      <c r="B5" t="inlineStr">
        <is>
          <t>(Inherit)</t>
        </is>
      </c>
      <c r="C5" t="str">
        <f>IF(Demographics_F_Country="(Inherit)",F_Country,Demographics_F_Country)</f>
        <v>(All)</v>
      </c>
      <c r="D5" t="str">
        <f>"|" &amp; SUBSTITUTE(Demographics_F_Country_resolved, ", ", "|") &amp; "|"</f>
        <v>|(All)|</v>
      </c>
      <c r="E5" t="inlineStr">
        <is>
          <t>Yes, No</t>
        </is>
      </c>
    </row>
    <row r="6">
      <c r="A6" t="inlineStr">
        <is>
          <t>Custom 1 question</t>
        </is>
      </c>
      <c r="B6" t="inlineStr">
        <is>
          <t>(Inherit)</t>
        </is>
      </c>
      <c r="C6" t="str">
        <f>IF(Demographics_F_Custom1_Q="(Inherit)",F_Custom1_Q,Demographics_F_Custom1_Q)</f>
        <v>(None)</v>
      </c>
      <c r="E6" t="inlineStr">
        <is>
          <t>Workbook question or local override</t>
        </is>
      </c>
    </row>
    <row r="7">
      <c r="A7" t="inlineStr">
        <is>
          <t>Custom 1 value</t>
        </is>
      </c>
      <c r="B7" t="inlineStr">
        <is>
          <t>(Inherit)</t>
        </is>
      </c>
      <c r="C7" t="str">
        <f>IF(Demographics_F_Custom1_V="(Inherit)",F_Custom1_V,Demographics_F_Custom1_V)</f>
        <v>(All)</v>
      </c>
      <c r="D7" t="str">
        <f>"|" &amp; SUBSTITUTE(Demographics_F_Custom1_V_resolved, ", ", "|") &amp; "|"</f>
        <v>|(All)|</v>
      </c>
      <c r="E7" t="inlineStr">
        <is>
          <t>Choose one value or type comma-separated values</t>
        </is>
      </c>
      <c r="F7" t="str">
        <f>IF(Demographics_F_Custom1_Q_resolved="(None)","respondent_id_data",Demographics_F_Custom1_Q_resolved &amp; "_data")</f>
        <v>respondent_id_data</v>
      </c>
    </row>
    <row r="8">
      <c r="A8" t="inlineStr">
        <is>
          <t>Custom 2 question</t>
        </is>
      </c>
      <c r="B8" t="inlineStr">
        <is>
          <t>(Inherit)</t>
        </is>
      </c>
      <c r="C8" t="str">
        <f>IF(Demographics_F_Custom2_Q="(Inherit)",F_Custom2_Q,Demographics_F_Custom2_Q)</f>
        <v>(None)</v>
      </c>
      <c r="E8" t="inlineStr">
        <is>
          <t>Workbook question or local override</t>
        </is>
      </c>
    </row>
    <row r="9">
      <c r="A9" t="inlineStr">
        <is>
          <t>Custom 2 value</t>
        </is>
      </c>
      <c r="B9" t="inlineStr">
        <is>
          <t>(Inherit)</t>
        </is>
      </c>
      <c r="C9" t="str">
        <f>IF(Demographics_F_Custom2_V="(Inherit)",F_Custom2_V,Demographics_F_Custom2_V)</f>
        <v>(All)</v>
      </c>
      <c r="D9" t="str">
        <f>"|" &amp; SUBSTITUTE(Demographics_F_Custom2_V_resolved, ", ", "|") &amp; "|"</f>
        <v>|(All)|</v>
      </c>
      <c r="E9" t="inlineStr">
        <is>
          <t>Choose one value or type comma-separated values</t>
        </is>
      </c>
      <c r="F9" t="str">
        <f>IF(Demographics_F_Custom2_Q_resolved="(None)","respondent_id_data",Demographics_F_Custom2_Q_resolved &amp; "_data")</f>
        <v>respondent_id_data</v>
      </c>
    </row>
    <row r="12">
      <c r="A12" s="11" t="n"/>
      <c r="B12" s="11" t="n"/>
      <c r="C12" s="11" t="n"/>
      <c r="D12" s="11" t="n"/>
      <c r="E12" s="11" t="n"/>
      <c r="F12" s="11" t="n"/>
      <c r="G12" s="11" t="n"/>
      <c r="H12" s="11" t="n"/>
      <c r="I12" s="11" t="n"/>
      <c r="J12" s="11" t="n"/>
    </row>
    <row r="13">
      <c r="A13" s="12" t="inlineStr">
        <is>
          <t>Q_SS_EXPORT - Single select export question</t>
        </is>
      </c>
    </row>
    <row r="14">
      <c r="A14" s="13" t="inlineStr">
        <is>
          <t>Per-question filter</t>
        </is>
      </c>
      <c r="B14" t="inlineStr">
        <is>
          <t>Filter Q</t>
        </is>
      </c>
      <c r="C14" t="inlineStr">
        <is>
          <t>(None)</t>
        </is>
      </c>
      <c r="D14" t="inlineStr">
        <is>
          <t>Value</t>
        </is>
      </c>
      <c r="E14" t="inlineStr">
        <is>
          <t>(All)</t>
        </is>
      </c>
      <c r="F14" t="str">
        <f>IF(Demographics_Q_SS_EXPORT_F_Q="(None)","respondent_id_data",Demographics_Q_SS_EXPORT_F_Q &amp; "_data")</f>
        <v>respondent_id_data</v>
      </c>
      <c r="G14" t="str">
        <f>"|" &amp; SUBSTITUTE(Demographics_Q_SS_EXPORT_F_V, ", ", "|") &amp; "|"</f>
        <v>|(All)|</v>
      </c>
    </row>
    <row r="15">
      <c r="A15" s="13" t="inlineStr">
        <is>
          <t>Cross-tab by</t>
        </is>
      </c>
      <c r="C15" t="inlineStr">
        <is>
          <t>(None)</t>
        </is>
      </c>
    </row>
    <row r="17">
      <c r="A17" s="4" t="inlineStr">
        <is>
          <t>Option</t>
        </is>
      </c>
      <c r="B17" s="4" t="inlineStr">
        <is>
          <t>Count</t>
        </is>
      </c>
      <c r="C17" s="4" t="inlineStr">
        <is>
          <t>%</t>
        </is>
      </c>
      <c r="D17" s="4" t="inlineStr">
        <is>
          <t>Denominator</t>
        </is>
      </c>
      <c r="F17" s="5" t="inlineStr">
        <is>
          <t>Option \ Cross-tab</t>
        </is>
      </c>
      <c r="G17" t="str">
        <f>IFERROR(INDEX(INDIRECT(Demographics_Q_SS_EXPORT_CT &amp; "_options"),2),"")</f>
        <v/>
      </c>
      <c r="H17" t="str">
        <f>IFERROR(INDEX(INDIRECT(Demographics_Q_SS_EXPORT_CT &amp; "_options"),3),"")</f>
        <v/>
      </c>
      <c r="I17" t="str">
        <f>IFERROR(INDEX(INDIRECT(Demographics_Q_SS_EXPORT_CT &amp; "_options"),4),"")</f>
        <v/>
      </c>
      <c r="J17" t="str">
        <f>IFERROR(INDEX(INDIRECT(Demographics_Q_SS_EXPORT_CT &amp; "_options"),5),"")</f>
        <v/>
      </c>
      <c r="K17" t="str">
        <f>IFERROR(INDEX(INDIRECT(Demographics_Q_SS_EXPORT_CT &amp; "_options"),6),"")</f>
        <v/>
      </c>
      <c r="L17" t="str">
        <f>IFERROR(INDEX(INDIRECT(Demographics_Q_SS_EXPORT_CT &amp; "_options"),7),"")</f>
        <v/>
      </c>
      <c r="M17" t="str">
        <f>IFERROR(INDEX(INDIRECT(Demographics_Q_SS_EXPORT_CT &amp; "_options"),8),"")</f>
        <v/>
      </c>
      <c r="N17" t="str">
        <f>IFERROR(INDEX(INDIRECT(Demographics_Q_SS_EXPORT_CT &amp; "_options"),9),"")</f>
        <v/>
      </c>
      <c r="O17" s="5" t="inlineStr">
        <is>
          <t>TOTAL</t>
        </is>
      </c>
    </row>
    <row r="18">
      <c r="A18" t="inlineStr">
        <is>
          <t>Yes</t>
        </is>
      </c>
      <c r="B18">
        <f>COUNTIFS(Q_SS_EXPORT_data,"Yes",passes_workbook_filters_data,1,passes_workbook_custom_filters_data,1,Demographics_passes_local_filters_data,1,Demographics_Q_SS_EXPORT_F_passes_per_q_filter_data,1)</f>
        <v>6</v>
      </c>
      <c r="C18" s="7">
        <f>IFERROR(B18/SUBTOTAL(9,B18:B19),0)</f>
        <v>0.6</v>
      </c>
      <c r="D18" s="14">
        <f>SUBTOTAL(9,B18:B19)</f>
        <v>10</v>
      </c>
      <c r="F18" t="inlineStr">
        <is>
          <t>Yes</t>
        </is>
      </c>
      <c r="G18">
        <f>(Demographics_Q_SS_EXPORT_CT&lt;&gt;"(None)")*COUNTIFS(Q_SS_EXPORT_data,"Yes",passes_workbook_filters_data,1,passes_workbook_custom_filters_data,1,Demographics_passes_local_filters_data,1,Demographics_Q_SS_EXPORT_F_passes_per_q_filter_data,1,INDIRECT(Demographics_Q_SS_EXPORT_CT &amp; "_data"),G$17)</f>
        <v>0</v>
      </c>
      <c r="H18">
        <f>(Demographics_Q_SS_EXPORT_CT&lt;&gt;"(None)")*COUNTIFS(Q_SS_EXPORT_data,"Yes",passes_workbook_filters_data,1,passes_workbook_custom_filters_data,1,Demographics_passes_local_filters_data,1,Demographics_Q_SS_EXPORT_F_passes_per_q_filter_data,1,INDIRECT(Demographics_Q_SS_EXPORT_CT &amp; "_data"),H$17)</f>
        <v>0</v>
      </c>
      <c r="I18">
        <f>(Demographics_Q_SS_EXPORT_CT&lt;&gt;"(None)")*COUNTIFS(Q_SS_EXPORT_data,"Yes",passes_workbook_filters_data,1,passes_workbook_custom_filters_data,1,Demographics_passes_local_filters_data,1,Demographics_Q_SS_EXPORT_F_passes_per_q_filter_data,1,INDIRECT(Demographics_Q_SS_EXPORT_CT &amp; "_data"),I$17)</f>
        <v>0</v>
      </c>
      <c r="J18">
        <f>(Demographics_Q_SS_EXPORT_CT&lt;&gt;"(None)")*COUNTIFS(Q_SS_EXPORT_data,"Yes",passes_workbook_filters_data,1,passes_workbook_custom_filters_data,1,Demographics_passes_local_filters_data,1,Demographics_Q_SS_EXPORT_F_passes_per_q_filter_data,1,INDIRECT(Demographics_Q_SS_EXPORT_CT &amp; "_data"),J$17)</f>
        <v>0</v>
      </c>
      <c r="K18">
        <f>(Demographics_Q_SS_EXPORT_CT&lt;&gt;"(None)")*COUNTIFS(Q_SS_EXPORT_data,"Yes",passes_workbook_filters_data,1,passes_workbook_custom_filters_data,1,Demographics_passes_local_filters_data,1,Demographics_Q_SS_EXPORT_F_passes_per_q_filter_data,1,INDIRECT(Demographics_Q_SS_EXPORT_CT &amp; "_data"),K$17)</f>
        <v>0</v>
      </c>
      <c r="L18">
        <f>(Demographics_Q_SS_EXPORT_CT&lt;&gt;"(None)")*COUNTIFS(Q_SS_EXPORT_data,"Yes",passes_workbook_filters_data,1,passes_workbook_custom_filters_data,1,Demographics_passes_local_filters_data,1,Demographics_Q_SS_EXPORT_F_passes_per_q_filter_data,1,INDIRECT(Demographics_Q_SS_EXPORT_CT &amp; "_data"),L$17)</f>
        <v>0</v>
      </c>
      <c r="M18">
        <f>(Demographics_Q_SS_EXPORT_CT&lt;&gt;"(None)")*COUNTIFS(Q_SS_EXPORT_data,"Yes",passes_workbook_filters_data,1,passes_workbook_custom_filters_data,1,Demographics_passes_local_filters_data,1,Demographics_Q_SS_EXPORT_F_passes_per_q_filter_data,1,INDIRECT(Demographics_Q_SS_EXPORT_CT &amp; "_data"),M$17)</f>
        <v>0</v>
      </c>
      <c r="N18">
        <f>(Demographics_Q_SS_EXPORT_CT&lt;&gt;"(None)")*COUNTIFS(Q_SS_EXPORT_data,"Yes",passes_workbook_filters_data,1,passes_workbook_custom_filters_data,1,Demographics_passes_local_filters_data,1,Demographics_Q_SS_EXPORT_F_passes_per_q_filter_data,1,INDIRECT(Demographics_Q_SS_EXPORT_CT &amp; "_data"),N$17)</f>
        <v>0</v>
      </c>
      <c r="O18">
        <f>SUM(G18:N18)</f>
        <v>0</v>
      </c>
    </row>
    <row r="19">
      <c r="A19" t="inlineStr">
        <is>
          <t>No</t>
        </is>
      </c>
      <c r="B19">
        <f>COUNTIFS(Q_SS_EXPORT_data,"No",passes_workbook_filters_data,1,passes_workbook_custom_filters_data,1,Demographics_passes_local_filters_data,1,Demographics_Q_SS_EXPORT_F_passes_per_q_filter_data,1)</f>
        <v>4</v>
      </c>
      <c r="C19" s="7">
        <f>IFERROR(B19/SUBTOTAL(9,B18:B19),0)</f>
        <v>0.4</v>
      </c>
      <c r="D19" s="14">
        <f>SUBTOTAL(9,B18:B19)</f>
        <v>10</v>
      </c>
      <c r="F19" t="inlineStr">
        <is>
          <t>No</t>
        </is>
      </c>
      <c r="G19">
        <f>(Demographics_Q_SS_EXPORT_CT&lt;&gt;"(None)")*COUNTIFS(Q_SS_EXPORT_data,"No",passes_workbook_filters_data,1,passes_workbook_custom_filters_data,1,Demographics_passes_local_filters_data,1,Demographics_Q_SS_EXPORT_F_passes_per_q_filter_data,1,INDIRECT(Demographics_Q_SS_EXPORT_CT &amp; "_data"),G$17)</f>
        <v>0</v>
      </c>
      <c r="H19">
        <f>(Demographics_Q_SS_EXPORT_CT&lt;&gt;"(None)")*COUNTIFS(Q_SS_EXPORT_data,"No",passes_workbook_filters_data,1,passes_workbook_custom_filters_data,1,Demographics_passes_local_filters_data,1,Demographics_Q_SS_EXPORT_F_passes_per_q_filter_data,1,INDIRECT(Demographics_Q_SS_EXPORT_CT &amp; "_data"),H$17)</f>
        <v>0</v>
      </c>
      <c r="I19">
        <f>(Demographics_Q_SS_EXPORT_CT&lt;&gt;"(None)")*COUNTIFS(Q_SS_EXPORT_data,"No",passes_workbook_filters_data,1,passes_workbook_custom_filters_data,1,Demographics_passes_local_filters_data,1,Demographics_Q_SS_EXPORT_F_passes_per_q_filter_data,1,INDIRECT(Demographics_Q_SS_EXPORT_CT &amp; "_data"),I$17)</f>
        <v>0</v>
      </c>
      <c r="J19">
        <f>(Demographics_Q_SS_EXPORT_CT&lt;&gt;"(None)")*COUNTIFS(Q_SS_EXPORT_data,"No",passes_workbook_filters_data,1,passes_workbook_custom_filters_data,1,Demographics_passes_local_filters_data,1,Demographics_Q_SS_EXPORT_F_passes_per_q_filter_data,1,INDIRECT(Demographics_Q_SS_EXPORT_CT &amp; "_data"),J$17)</f>
        <v>0</v>
      </c>
      <c r="K19">
        <f>(Demographics_Q_SS_EXPORT_CT&lt;&gt;"(None)")*COUNTIFS(Q_SS_EXPORT_data,"No",passes_workbook_filters_data,1,passes_workbook_custom_filters_data,1,Demographics_passes_local_filters_data,1,Demographics_Q_SS_EXPORT_F_passes_per_q_filter_data,1,INDIRECT(Demographics_Q_SS_EXPORT_CT &amp; "_data"),K$17)</f>
        <v>0</v>
      </c>
      <c r="L19">
        <f>(Demographics_Q_SS_EXPORT_CT&lt;&gt;"(None)")*COUNTIFS(Q_SS_EXPORT_data,"No",passes_workbook_filters_data,1,passes_workbook_custom_filters_data,1,Demographics_passes_local_filters_data,1,Demographics_Q_SS_EXPORT_F_passes_per_q_filter_data,1,INDIRECT(Demographics_Q_SS_EXPORT_CT &amp; "_data"),L$17)</f>
        <v>0</v>
      </c>
      <c r="M19">
        <f>(Demographics_Q_SS_EXPORT_CT&lt;&gt;"(None)")*COUNTIFS(Q_SS_EXPORT_data,"No",passes_workbook_filters_data,1,passes_workbook_custom_filters_data,1,Demographics_passes_local_filters_data,1,Demographics_Q_SS_EXPORT_F_passes_per_q_filter_data,1,INDIRECT(Demographics_Q_SS_EXPORT_CT &amp; "_data"),M$17)</f>
        <v>0</v>
      </c>
      <c r="N19">
        <f>(Demographics_Q_SS_EXPORT_CT&lt;&gt;"(None)")*COUNTIFS(Q_SS_EXPORT_data,"No",passes_workbook_filters_data,1,passes_workbook_custom_filters_data,1,Demographics_passes_local_filters_data,1,Demographics_Q_SS_EXPORT_F_passes_per_q_filter_data,1,INDIRECT(Demographics_Q_SS_EXPORT_CT &amp; "_data"),N$17)</f>
        <v>0</v>
      </c>
      <c r="O19">
        <f>SUM(G19:N19)</f>
        <v>0</v>
      </c>
    </row>
  </sheetData>
  <mergeCells count="2">
    <mergeCell ref="A1:J1"/>
    <mergeCell ref="A13:J13"/>
  </mergeCells>
  <dataValidations count="8">
    <dataValidation sqref="B5" showDropDown="0" showInputMessage="0" showErrorMessage="0" allowBlank="1" type="list">
      <formula1>=Q_SS_EXPORT_local_options</formula1>
    </dataValidation>
    <dataValidation sqref="B6" showDropDown="0" showInputMessage="0" showErrorMessage="0" allowBlank="1" type="list">
      <formula1>=All_Questions_Local</formula1>
    </dataValidation>
    <dataValidation sqref="B7" showDropDown="0" showInputMessage="0" showErrorMessage="0" allowBlank="1" type="list">
      <formula1>=INDIRECT(IF(Demographics_F_Custom1_Q_resolved="(None)","None_options",Demographics_F_Custom1_Q_resolved &amp; "_local_options"))</formula1>
    </dataValidation>
    <dataValidation sqref="B8" showDropDown="0" showInputMessage="0" showErrorMessage="0" allowBlank="1" type="list">
      <formula1>=All_Questions_Local</formula1>
    </dataValidation>
    <dataValidation sqref="B9" showDropDown="0" showInputMessage="0" showErrorMessage="0" allowBlank="1" type="list">
      <formula1>=INDIRECT(IF(Demographics_F_Custom2_Q_resolved="(None)","None_options",Demographics_F_Custom2_Q_resolved &amp; "_local_options"))</formula1>
    </dataValidation>
    <dataValidation sqref="C14" showDropDown="0" showInputMessage="0" showErrorMessage="0" allowBlank="1" type="list">
      <formula1>=All_Questions</formula1>
    </dataValidation>
    <dataValidation sqref="E14" showDropDown="0" showInputMessage="0" showErrorMessage="0" allowBlank="1" type="list">
      <formula1>=INDIRECT(IF(Demographics_Q_SS_EXPORT_F_Q="(None)","None_options",Demographics_Q_SS_EXPORT_F_Q &amp; "_options"))</formula1>
    </dataValidation>
    <dataValidation sqref="C15" showDropDown="0" showInputMessage="0" showErrorMessage="0" allowBlank="1" type="list">
      <formula1>=All_Questions</formula1>
    </dataValidation>
  </dataValidations>
  <pageMargins left="0.75" right="0.75" top="1" bottom="1" header="0.5" footer="0.5"/>
  <legacyDrawing r:id="anysvml"/>
  <tableParts count="1">
    <tablePart r:id="rId1"/>
  </tableParts>
</worksheet>
</file>

<file path=xl/worksheets/sheet8.xml><?xml version="1.0" encoding="utf-8"?>
<worksheet xmlns="http://schemas.openxmlformats.org/spreadsheetml/2006/main" xmlns:r="http://schemas.openxmlformats.org/officeDocument/2006/relationships">
  <sheetPr>
    <outlinePr summaryBelow="1" summaryRight="1"/>
    <pageSetUpPr/>
  </sheetPr>
  <dimension ref="A1:O49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All Questions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Q_SS_EXPORT - Single select export question</t>
        </is>
      </c>
      <c r="B5" t="inlineStr">
        <is>
          <t>(Inherit)</t>
        </is>
      </c>
      <c r="C5" t="str">
        <f>IF(All_Questions_F_Country="(Inherit)",F_Country,All_Questions_F_Country)</f>
        <v>(All)</v>
      </c>
      <c r="D5" t="str">
        <f>"|" &amp; SUBSTITUTE(All_Questions_F_Country_resolved, ", ", "|") &amp; "|"</f>
        <v>|(All)|</v>
      </c>
      <c r="E5" t="inlineStr">
        <is>
          <t>Yes, No</t>
        </is>
      </c>
    </row>
    <row r="6">
      <c r="A6" t="inlineStr">
        <is>
          <t>Custom 1 question</t>
        </is>
      </c>
      <c r="B6" t="inlineStr">
        <is>
          <t>(Inherit)</t>
        </is>
      </c>
      <c r="C6" t="str">
        <f>IF(All_Questions_F_Custom1_Q="(Inherit)",F_Custom1_Q,All_Questions_F_Custom1_Q)</f>
        <v>(None)</v>
      </c>
      <c r="E6" t="inlineStr">
        <is>
          <t>Workbook question or local override</t>
        </is>
      </c>
    </row>
    <row r="7">
      <c r="A7" t="inlineStr">
        <is>
          <t>Custom 1 value</t>
        </is>
      </c>
      <c r="B7" t="inlineStr">
        <is>
          <t>(Inherit)</t>
        </is>
      </c>
      <c r="C7" t="str">
        <f>IF(All_Questions_F_Custom1_V="(Inherit)",F_Custom1_V,All_Questions_F_Custom1_V)</f>
        <v>(All)</v>
      </c>
      <c r="D7" t="str">
        <f>"|" &amp; SUBSTITUTE(All_Questions_F_Custom1_V_resolved, ", ", "|") &amp; "|"</f>
        <v>|(All)|</v>
      </c>
      <c r="E7" t="inlineStr">
        <is>
          <t>Choose one value or type comma-separated values</t>
        </is>
      </c>
      <c r="F7" t="str">
        <f>IF(All_Questions_F_Custom1_Q_resolved="(None)","respondent_id_data",All_Questions_F_Custom1_Q_resolved &amp; "_data")</f>
        <v>respondent_id_data</v>
      </c>
    </row>
    <row r="8">
      <c r="A8" t="inlineStr">
        <is>
          <t>Custom 2 question</t>
        </is>
      </c>
      <c r="B8" t="inlineStr">
        <is>
          <t>(Inherit)</t>
        </is>
      </c>
      <c r="C8" t="str">
        <f>IF(All_Questions_F_Custom2_Q="(Inherit)",F_Custom2_Q,All_Questions_F_Custom2_Q)</f>
        <v>(None)</v>
      </c>
      <c r="E8" t="inlineStr">
        <is>
          <t>Workbook question or local override</t>
        </is>
      </c>
    </row>
    <row r="9">
      <c r="A9" t="inlineStr">
        <is>
          <t>Custom 2 value</t>
        </is>
      </c>
      <c r="B9" t="inlineStr">
        <is>
          <t>(Inherit)</t>
        </is>
      </c>
      <c r="C9" t="str">
        <f>IF(All_Questions_F_Custom2_V="(Inherit)",F_Custom2_V,All_Questions_F_Custom2_V)</f>
        <v>(All)</v>
      </c>
      <c r="D9" t="str">
        <f>"|" &amp; SUBSTITUTE(All_Questions_F_Custom2_V_resolved, ", ", "|") &amp; "|"</f>
        <v>|(All)|</v>
      </c>
      <c r="E9" t="inlineStr">
        <is>
          <t>Choose one value or type comma-separated values</t>
        </is>
      </c>
      <c r="F9" t="str">
        <f>IF(All_Questions_F_Custom2_Q_resolved="(None)","respondent_id_data",All_Questions_F_Custom2_Q_resolved &amp; "_data")</f>
        <v>respondent_id_data</v>
      </c>
    </row>
    <row r="12">
      <c r="A12" s="11" t="n"/>
      <c r="B12" s="11" t="n"/>
      <c r="C12" s="11" t="n"/>
      <c r="D12" s="11" t="n"/>
      <c r="E12" s="11" t="n"/>
      <c r="F12" s="11" t="n"/>
      <c r="G12" s="11" t="n"/>
      <c r="H12" s="11" t="n"/>
      <c r="I12" s="11" t="n"/>
      <c r="J12" s="11" t="n"/>
    </row>
    <row r="13">
      <c r="A13" s="12" t="inlineStr">
        <is>
          <t>Q_MS_EXPORT - Multi select export question</t>
        </is>
      </c>
    </row>
    <row r="14">
      <c r="A14" s="13" t="inlineStr">
        <is>
          <t>Per-question filter</t>
        </is>
      </c>
      <c r="B14" t="inlineStr">
        <is>
          <t>Filter Q</t>
        </is>
      </c>
      <c r="C14" t="inlineStr">
        <is>
          <t>(None)</t>
        </is>
      </c>
      <c r="D14" t="inlineStr">
        <is>
          <t>Value</t>
        </is>
      </c>
      <c r="E14" t="inlineStr">
        <is>
          <t>(All)</t>
        </is>
      </c>
      <c r="F14" t="str">
        <f>IF(All_Questions_Q_MS_EXPORT_F_Q="(None)","respondent_id_data",All_Questions_Q_MS_EXPORT_F_Q &amp; "_data")</f>
        <v>respondent_id_data</v>
      </c>
      <c r="G14" t="str">
        <f>"|" &amp; SUBSTITUTE(All_Questions_Q_MS_EXPORT_F_V, ", ", "|") &amp; "|"</f>
        <v>|(All)|</v>
      </c>
    </row>
    <row r="15">
      <c r="A15" s="13" t="inlineStr">
        <is>
          <t>Cross-tab by</t>
        </is>
      </c>
      <c r="C15" t="inlineStr">
        <is>
          <t>(None)</t>
        </is>
      </c>
    </row>
    <row r="17">
      <c r="A17" s="4" t="inlineStr">
        <is>
          <t>Option</t>
        </is>
      </c>
      <c r="B17" s="4" t="inlineStr">
        <is>
          <t>Count</t>
        </is>
      </c>
      <c r="C17" s="4" t="inlineStr">
        <is>
          <t>%</t>
        </is>
      </c>
      <c r="D17" s="4" t="inlineStr">
        <is>
          <t>Denominator</t>
        </is>
      </c>
      <c r="F17" s="5" t="inlineStr">
        <is>
          <t>Option \ Cross-tab</t>
        </is>
      </c>
      <c r="G17" t="str">
        <f>IFERROR(INDEX(INDIRECT(All_Questions_Q_MS_EXPORT_CT &amp; "_options"),2),"")</f>
        <v/>
      </c>
      <c r="H17" t="str">
        <f>IFERROR(INDEX(INDIRECT(All_Questions_Q_MS_EXPORT_CT &amp; "_options"),3),"")</f>
        <v/>
      </c>
      <c r="I17" t="str">
        <f>IFERROR(INDEX(INDIRECT(All_Questions_Q_MS_EXPORT_CT &amp; "_options"),4),"")</f>
        <v/>
      </c>
      <c r="J17" t="str">
        <f>IFERROR(INDEX(INDIRECT(All_Questions_Q_MS_EXPORT_CT &amp; "_options"),5),"")</f>
        <v/>
      </c>
      <c r="K17" t="str">
        <f>IFERROR(INDEX(INDIRECT(All_Questions_Q_MS_EXPORT_CT &amp; "_options"),6),"")</f>
        <v/>
      </c>
      <c r="L17" t="str">
        <f>IFERROR(INDEX(INDIRECT(All_Questions_Q_MS_EXPORT_CT &amp; "_options"),7),"")</f>
        <v/>
      </c>
      <c r="M17" t="str">
        <f>IFERROR(INDEX(INDIRECT(All_Questions_Q_MS_EXPORT_CT &amp; "_options"),8),"")</f>
        <v/>
      </c>
      <c r="N17" t="str">
        <f>IFERROR(INDEX(INDIRECT(All_Questions_Q_MS_EXPORT_CT &amp; "_options"),9),"")</f>
        <v/>
      </c>
      <c r="O17" s="5" t="inlineStr">
        <is>
          <t>TOTAL</t>
        </is>
      </c>
    </row>
    <row r="18">
      <c r="A18" t="inlineStr">
        <is>
          <t>First</t>
        </is>
      </c>
      <c r="B18">
        <f>COUNTIFS(Q_MS_EXPORTr1_data,"Selected",passes_workbook_filters_data,1,passes_workbook_custom_filters_data,1,All_Questions_passes_local_filters_data,1,All_Questions_Q_MS_EXPORT_F_passes_per_q_filter_data,1)</f>
        <v>5</v>
      </c>
      <c r="C18" s="7">
        <f>IFERROR(B18/SUBTOTAL(9,B18:B19),0)</f>
        <v>0.7142857142857143</v>
      </c>
      <c r="D18" s="14">
        <f>SUBTOTAL(9,B18:B19)</f>
        <v>7</v>
      </c>
      <c r="F18" t="inlineStr">
        <is>
          <t>First</t>
        </is>
      </c>
      <c r="G18">
        <f>(All_Questions_Q_MS_EXPORT_CT&lt;&gt;"(None)")*COUNTIFS(Q_MS_EXPORTr1_data,"Selected",passes_workbook_filters_data,1,passes_workbook_custom_filters_data,1,All_Questions_passes_local_filters_data,1,All_Questions_Q_MS_EXPORT_F_passes_per_q_filter_data,1,INDIRECT(All_Questions_Q_MS_EXPORT_CT &amp; "_data"),G$17)</f>
        <v>0</v>
      </c>
      <c r="H18">
        <f>(All_Questions_Q_MS_EXPORT_CT&lt;&gt;"(None)")*COUNTIFS(Q_MS_EXPORTr1_data,"Selected",passes_workbook_filters_data,1,passes_workbook_custom_filters_data,1,All_Questions_passes_local_filters_data,1,All_Questions_Q_MS_EXPORT_F_passes_per_q_filter_data,1,INDIRECT(All_Questions_Q_MS_EXPORT_CT &amp; "_data"),H$17)</f>
        <v>0</v>
      </c>
      <c r="I18">
        <f>(All_Questions_Q_MS_EXPORT_CT&lt;&gt;"(None)")*COUNTIFS(Q_MS_EXPORTr1_data,"Selected",passes_workbook_filters_data,1,passes_workbook_custom_filters_data,1,All_Questions_passes_local_filters_data,1,All_Questions_Q_MS_EXPORT_F_passes_per_q_filter_data,1,INDIRECT(All_Questions_Q_MS_EXPORT_CT &amp; "_data"),I$17)</f>
        <v>0</v>
      </c>
      <c r="J18">
        <f>(All_Questions_Q_MS_EXPORT_CT&lt;&gt;"(None)")*COUNTIFS(Q_MS_EXPORTr1_data,"Selected",passes_workbook_filters_data,1,passes_workbook_custom_filters_data,1,All_Questions_passes_local_filters_data,1,All_Questions_Q_MS_EXPORT_F_passes_per_q_filter_data,1,INDIRECT(All_Questions_Q_MS_EXPORT_CT &amp; "_data"),J$17)</f>
        <v>0</v>
      </c>
      <c r="K18">
        <f>(All_Questions_Q_MS_EXPORT_CT&lt;&gt;"(None)")*COUNTIFS(Q_MS_EXPORTr1_data,"Selected",passes_workbook_filters_data,1,passes_workbook_custom_filters_data,1,All_Questions_passes_local_filters_data,1,All_Questions_Q_MS_EXPORT_F_passes_per_q_filter_data,1,INDIRECT(All_Questions_Q_MS_EXPORT_CT &amp; "_data"),K$17)</f>
        <v>0</v>
      </c>
      <c r="L18">
        <f>(All_Questions_Q_MS_EXPORT_CT&lt;&gt;"(None)")*COUNTIFS(Q_MS_EXPORTr1_data,"Selected",passes_workbook_filters_data,1,passes_workbook_custom_filters_data,1,All_Questions_passes_local_filters_data,1,All_Questions_Q_MS_EXPORT_F_passes_per_q_filter_data,1,INDIRECT(All_Questions_Q_MS_EXPORT_CT &amp; "_data"),L$17)</f>
        <v>0</v>
      </c>
      <c r="M18">
        <f>(All_Questions_Q_MS_EXPORT_CT&lt;&gt;"(None)")*COUNTIFS(Q_MS_EXPORTr1_data,"Selected",passes_workbook_filters_data,1,passes_workbook_custom_filters_data,1,All_Questions_passes_local_filters_data,1,All_Questions_Q_MS_EXPORT_F_passes_per_q_filter_data,1,INDIRECT(All_Questions_Q_MS_EXPORT_CT &amp; "_data"),M$17)</f>
        <v>0</v>
      </c>
      <c r="N18">
        <f>(All_Questions_Q_MS_EXPORT_CT&lt;&gt;"(None)")*COUNTIFS(Q_MS_EXPORTr1_data,"Selected",passes_workbook_filters_data,1,passes_workbook_custom_filters_data,1,All_Questions_passes_local_filters_data,1,All_Questions_Q_MS_EXPORT_F_passes_per_q_filter_data,1,INDIRECT(All_Questions_Q_MS_EXPORT_CT &amp; "_data"),N$17)</f>
        <v>0</v>
      </c>
      <c r="O18">
        <f>SUM(G18:N18)</f>
        <v>0</v>
      </c>
    </row>
    <row r="19">
      <c r="A19" t="inlineStr">
        <is>
          <t>Second</t>
        </is>
      </c>
      <c r="B19">
        <f>COUNTIFS(Q_MS_EXPORTr2_data,"Selected",passes_workbook_filters_data,1,passes_workbook_custom_filters_data,1,All_Questions_passes_local_filters_data,1,All_Questions_Q_MS_EXPORT_F_passes_per_q_filter_data,1)</f>
        <v>2</v>
      </c>
      <c r="C19" s="7">
        <f>IFERROR(B19/SUBTOTAL(9,B18:B19),0)</f>
        <v>0.2857142857142857</v>
      </c>
      <c r="D19" s="14">
        <f>SUBTOTAL(9,B18:B19)</f>
        <v>7</v>
      </c>
      <c r="F19" t="inlineStr">
        <is>
          <t>Second</t>
        </is>
      </c>
      <c r="G19">
        <f>(All_Questions_Q_MS_EXPORT_CT&lt;&gt;"(None)")*COUNTIFS(Q_MS_EXPORTr2_data,"Selected",passes_workbook_filters_data,1,passes_workbook_custom_filters_data,1,All_Questions_passes_local_filters_data,1,All_Questions_Q_MS_EXPORT_F_passes_per_q_filter_data,1,INDIRECT(All_Questions_Q_MS_EXPORT_CT &amp; "_data"),G$17)</f>
        <v>0</v>
      </c>
      <c r="H19">
        <f>(All_Questions_Q_MS_EXPORT_CT&lt;&gt;"(None)")*COUNTIFS(Q_MS_EXPORTr2_data,"Selected",passes_workbook_filters_data,1,passes_workbook_custom_filters_data,1,All_Questions_passes_local_filters_data,1,All_Questions_Q_MS_EXPORT_F_passes_per_q_filter_data,1,INDIRECT(All_Questions_Q_MS_EXPORT_CT &amp; "_data"),H$17)</f>
        <v>0</v>
      </c>
      <c r="I19">
        <f>(All_Questions_Q_MS_EXPORT_CT&lt;&gt;"(None)")*COUNTIFS(Q_MS_EXPORTr2_data,"Selected",passes_workbook_filters_data,1,passes_workbook_custom_filters_data,1,All_Questions_passes_local_filters_data,1,All_Questions_Q_MS_EXPORT_F_passes_per_q_filter_data,1,INDIRECT(All_Questions_Q_MS_EXPORT_CT &amp; "_data"),I$17)</f>
        <v>0</v>
      </c>
      <c r="J19">
        <f>(All_Questions_Q_MS_EXPORT_CT&lt;&gt;"(None)")*COUNTIFS(Q_MS_EXPORTr2_data,"Selected",passes_workbook_filters_data,1,passes_workbook_custom_filters_data,1,All_Questions_passes_local_filters_data,1,All_Questions_Q_MS_EXPORT_F_passes_per_q_filter_data,1,INDIRECT(All_Questions_Q_MS_EXPORT_CT &amp; "_data"),J$17)</f>
        <v>0</v>
      </c>
      <c r="K19">
        <f>(All_Questions_Q_MS_EXPORT_CT&lt;&gt;"(None)")*COUNTIFS(Q_MS_EXPORTr2_data,"Selected",passes_workbook_filters_data,1,passes_workbook_custom_filters_data,1,All_Questions_passes_local_filters_data,1,All_Questions_Q_MS_EXPORT_F_passes_per_q_filter_data,1,INDIRECT(All_Questions_Q_MS_EXPORT_CT &amp; "_data"),K$17)</f>
        <v>0</v>
      </c>
      <c r="L19">
        <f>(All_Questions_Q_MS_EXPORT_CT&lt;&gt;"(None)")*COUNTIFS(Q_MS_EXPORTr2_data,"Selected",passes_workbook_filters_data,1,passes_workbook_custom_filters_data,1,All_Questions_passes_local_filters_data,1,All_Questions_Q_MS_EXPORT_F_passes_per_q_filter_data,1,INDIRECT(All_Questions_Q_MS_EXPORT_CT &amp; "_data"),L$17)</f>
        <v>0</v>
      </c>
      <c r="M19">
        <f>(All_Questions_Q_MS_EXPORT_CT&lt;&gt;"(None)")*COUNTIFS(Q_MS_EXPORTr2_data,"Selected",passes_workbook_filters_data,1,passes_workbook_custom_filters_data,1,All_Questions_passes_local_filters_data,1,All_Questions_Q_MS_EXPORT_F_passes_per_q_filter_data,1,INDIRECT(All_Questions_Q_MS_EXPORT_CT &amp; "_data"),M$17)</f>
        <v>0</v>
      </c>
      <c r="N19">
        <f>(All_Questions_Q_MS_EXPORT_CT&lt;&gt;"(None)")*COUNTIFS(Q_MS_EXPORTr2_data,"Selected",passes_workbook_filters_data,1,passes_workbook_custom_filters_data,1,All_Questions_passes_local_filters_data,1,All_Questions_Q_MS_EXPORT_F_passes_per_q_filter_data,1,INDIRECT(All_Questions_Q_MS_EXPORT_CT &amp; "_data"),N$17)</f>
        <v>0</v>
      </c>
      <c r="O19">
        <f>SUM(G19:N19)</f>
        <v>0</v>
      </c>
    </row>
    <row r="21">
      <c r="A21" s="11" t="n"/>
      <c r="B21" s="11" t="n"/>
      <c r="C21" s="11" t="n"/>
      <c r="D21" s="11" t="n"/>
      <c r="E21" s="11" t="n"/>
      <c r="F21" s="11" t="n"/>
      <c r="G21" s="11" t="n"/>
      <c r="H21" s="11" t="n"/>
      <c r="I21" s="11" t="n"/>
      <c r="J21" s="11" t="n"/>
    </row>
    <row r="22">
      <c r="A22" s="12" t="inlineStr">
        <is>
          <t>Q_NUM_EXPORT - Numeric export question</t>
        </is>
      </c>
    </row>
    <row r="23">
      <c r="A23" s="13" t="inlineStr">
        <is>
          <t>Per-question filter</t>
        </is>
      </c>
      <c r="B23" t="inlineStr">
        <is>
          <t>Filter Q</t>
        </is>
      </c>
      <c r="C23" t="inlineStr">
        <is>
          <t>(None)</t>
        </is>
      </c>
      <c r="D23" t="inlineStr">
        <is>
          <t>Value</t>
        </is>
      </c>
      <c r="E23" t="inlineStr">
        <is>
          <t>(All)</t>
        </is>
      </c>
      <c r="F23" t="str">
        <f>IF(All_Questions_Q_NUM_EXPORT_F_Q="(None)","respondent_id_data",All_Questions_Q_NUM_EXPORT_F_Q &amp; "_data")</f>
        <v>respondent_id_data</v>
      </c>
      <c r="G23" t="str">
        <f>"|" &amp; SUBSTITUTE(All_Questions_Q_NUM_EXPORT_F_V, ", ", "|") &amp; "|"</f>
        <v>|(All)|</v>
      </c>
    </row>
    <row r="24">
      <c r="A24" s="13" t="inlineStr">
        <is>
          <t>Cross-tab by</t>
        </is>
      </c>
      <c r="C24" t="inlineStr">
        <is>
          <t>(None)</t>
        </is>
      </c>
    </row>
    <row r="26">
      <c r="A26" s="4" t="inlineStr">
        <is>
          <t>Metric</t>
        </is>
      </c>
      <c r="B26" s="4" t="inlineStr">
        <is>
          <t>Value</t>
        </is>
      </c>
      <c r="C26" s="4" t="inlineStr">
        <is>
          <t>Note</t>
        </is>
      </c>
      <c r="D26" s="4" t="inlineStr">
        <is>
          <t>Denominator</t>
        </is>
      </c>
    </row>
    <row r="27">
      <c r="A27" t="inlineStr">
        <is>
          <t>Mean</t>
        </is>
      </c>
      <c r="B27">
        <f>IFERROR(AVERAGEIFS(Q_NUM_EXPORT_data,passes_workbook_filters_data,1,passes_workbook_custom_filters_data,1,All_Questions_passes_local_filters_data,1,All_Questions_Q_NUM_EXPORT_F_passes_per_q_filter_data,1),0)</f>
        <v>5.5</v>
      </c>
      <c r="D27">
        <f>COUNTIFS(Q_NUM_EXPORT_data,"&lt;&gt;",passes_workbook_filters_data,1,passes_workbook_custom_filters_data,1,All_Questions_passes_local_filters_data,1,All_Questions_Q_NUM_EXPORT_F_passes_per_q_filter_data,1)</f>
        <v>10</v>
      </c>
    </row>
    <row r="28">
      <c r="A28" t="inlineStr">
        <is>
          <t>Min</t>
        </is>
      </c>
      <c r="B28">
        <f>IFERROR(MINIFS(Q_NUM_EXPORT_data,passes_workbook_filters_data,1,passes_workbook_custom_filters_data,1,All_Questions_passes_local_filters_data,1,All_Questions_Q_NUM_EXPORT_F_passes_per_q_filter_data,1),0)</f>
        <v>1.0</v>
      </c>
      <c r="D28">
        <f>COUNTIFS(Q_NUM_EXPORT_data,"&lt;&gt;",passes_workbook_filters_data,1,passes_workbook_custom_filters_data,1,All_Questions_passes_local_filters_data,1,All_Questions_Q_NUM_EXPORT_F_passes_per_q_filter_data,1)</f>
        <v>10</v>
      </c>
    </row>
    <row r="29">
      <c r="A29" t="inlineStr">
        <is>
          <t>Max</t>
        </is>
      </c>
      <c r="B29">
        <f>IFERROR(MAXIFS(Q_NUM_EXPORT_data,passes_workbook_filters_data,1,passes_workbook_custom_filters_data,1,All_Questions_passes_local_filters_data,1,All_Questions_Q_NUM_EXPORT_F_passes_per_q_filter_data,1),0)</f>
        <v>10.0</v>
      </c>
      <c r="D29">
        <f>COUNTIFS(Q_NUM_EXPORT_data,"&lt;&gt;",passes_workbook_filters_data,1,passes_workbook_custom_filters_data,1,All_Questions_passes_local_filters_data,1,All_Questions_Q_NUM_EXPORT_F_passes_per_q_filter_data,1)</f>
        <v>10</v>
      </c>
    </row>
    <row r="30">
      <c r="A30" t="inlineStr">
        <is>
          <t>Std</t>
        </is>
      </c>
      <c r="B30" t="n">
        <v>2.9</v>
      </c>
      <c r="C30" t="inlineStr">
        <is>
          <t>static baseline</t>
        </is>
      </c>
      <c r="D30">
        <f>COUNTIFS(Q_NUM_EXPORT_data,"&lt;&gt;",passes_workbook_filters_data,1,passes_workbook_custom_filters_data,1,All_Questions_passes_local_filters_data,1,All_Questions_Q_NUM_EXPORT_F_passes_per_q_filter_data,1)</f>
        <v>10</v>
      </c>
    </row>
    <row r="31">
      <c r="A31" s="10" t="inlineStr">
        <is>
          <t>Median not available in filtered view - see static baseline in audit log.</t>
        </is>
      </c>
    </row>
    <row r="33">
      <c r="A33" s="11" t="n"/>
      <c r="B33" s="11" t="n"/>
      <c r="C33" s="11" t="n"/>
      <c r="D33" s="11" t="n"/>
      <c r="E33" s="11" t="n"/>
      <c r="F33" s="11" t="n"/>
      <c r="G33" s="11" t="n"/>
      <c r="H33" s="11" t="n"/>
      <c r="I33" s="11" t="n"/>
      <c r="J33" s="11" t="n"/>
    </row>
    <row r="34">
      <c r="A34" s="12" t="inlineStr">
        <is>
          <t>Q_GRID_EXPORT - Grid export question</t>
        </is>
      </c>
    </row>
    <row r="35">
      <c r="A35" s="13" t="inlineStr">
        <is>
          <t>Per-question filter</t>
        </is>
      </c>
      <c r="B35" t="inlineStr">
        <is>
          <t>Filter Q</t>
        </is>
      </c>
      <c r="C35" t="inlineStr">
        <is>
          <t>(None)</t>
        </is>
      </c>
      <c r="D35" t="inlineStr">
        <is>
          <t>Value</t>
        </is>
      </c>
      <c r="E35" t="inlineStr">
        <is>
          <t>(All)</t>
        </is>
      </c>
      <c r="F35" t="str">
        <f>IF(All_Questions_Q_GRID_EXPORT_F_Q="(None)","respondent_id_data",All_Questions_Q_GRID_EXPORT_F_Q &amp; "_data")</f>
        <v>respondent_id_data</v>
      </c>
      <c r="G35" t="str">
        <f>"|" &amp; SUBSTITUTE(All_Questions_Q_GRID_EXPORT_F_V, ", ", "|") &amp; "|"</f>
        <v>|(All)|</v>
      </c>
    </row>
    <row r="36">
      <c r="A36" s="13" t="inlineStr">
        <is>
          <t>Cross-tab by</t>
        </is>
      </c>
      <c r="C36" t="inlineStr">
        <is>
          <t>(None)</t>
        </is>
      </c>
    </row>
    <row r="38">
      <c r="A38" s="4" t="inlineStr">
        <is>
          <t>Option</t>
        </is>
      </c>
      <c r="B38" s="4" t="inlineStr">
        <is>
          <t>Count</t>
        </is>
      </c>
      <c r="C38" s="4" t="inlineStr">
        <is>
          <t>%</t>
        </is>
      </c>
      <c r="D38" s="4" t="inlineStr">
        <is>
          <t>Denominator</t>
        </is>
      </c>
      <c r="F38" s="5" t="inlineStr">
        <is>
          <t>Option \ Cross-tab</t>
        </is>
      </c>
      <c r="G38" t="str">
        <f>IFERROR(INDEX(INDIRECT(All_Questions_Q_GRID_EXPORT_CT &amp; "_options"),2),"")</f>
        <v/>
      </c>
      <c r="H38" t="str">
        <f>IFERROR(INDEX(INDIRECT(All_Questions_Q_GRID_EXPORT_CT &amp; "_options"),3),"")</f>
        <v/>
      </c>
      <c r="I38" t="str">
        <f>IFERROR(INDEX(INDIRECT(All_Questions_Q_GRID_EXPORT_CT &amp; "_options"),4),"")</f>
        <v/>
      </c>
      <c r="J38" t="str">
        <f>IFERROR(INDEX(INDIRECT(All_Questions_Q_GRID_EXPORT_CT &amp; "_options"),5),"")</f>
        <v/>
      </c>
      <c r="K38" t="str">
        <f>IFERROR(INDEX(INDIRECT(All_Questions_Q_GRID_EXPORT_CT &amp; "_options"),6),"")</f>
        <v/>
      </c>
      <c r="L38" t="str">
        <f>IFERROR(INDEX(INDIRECT(All_Questions_Q_GRID_EXPORT_CT &amp; "_options"),7),"")</f>
        <v/>
      </c>
      <c r="M38" t="str">
        <f>IFERROR(INDEX(INDIRECT(All_Questions_Q_GRID_EXPORT_CT &amp; "_options"),8),"")</f>
        <v/>
      </c>
      <c r="N38" t="str">
        <f>IFERROR(INDEX(INDIRECT(All_Questions_Q_GRID_EXPORT_CT &amp; "_options"),9),"")</f>
        <v/>
      </c>
      <c r="O38" s="5" t="inlineStr">
        <is>
          <t>TOTAL</t>
        </is>
      </c>
    </row>
    <row r="39">
      <c r="A39" t="inlineStr">
        <is>
          <t>Grid first row</t>
        </is>
      </c>
      <c r="B39">
        <f>COUNTIFS(Q_GRID_EXPORTr1_data,"Selected",passes_workbook_filters_data,1,passes_workbook_custom_filters_data,1,All_Questions_passes_local_filters_data,1,All_Questions_Q_GRID_EXPORT_F_passes_per_q_filter_data,1)</f>
        <v>10</v>
      </c>
      <c r="C39" s="7">
        <f>IFERROR(B39/SUBTOTAL(9,B39:B40),0)</f>
        <v>0.5</v>
      </c>
      <c r="D39" s="14">
        <f>SUBTOTAL(9,B39:B40)</f>
        <v>20</v>
      </c>
      <c r="F39" t="inlineStr">
        <is>
          <t>Grid first row</t>
        </is>
      </c>
      <c r="G39">
        <f>(All_Questions_Q_GRID_EXPORT_CT&lt;&gt;"(None)")*COUNTIFS(Q_GRID_EXPORTr1_data,"Selected",passes_workbook_filters_data,1,passes_workbook_custom_filters_data,1,All_Questions_passes_local_filters_data,1,All_Questions_Q_GRID_EXPORT_F_passes_per_q_filter_data,1,INDIRECT(All_Questions_Q_GRID_EXPORT_CT &amp; "_data"),G$38)</f>
        <v>0</v>
      </c>
      <c r="H39">
        <f>(All_Questions_Q_GRID_EXPORT_CT&lt;&gt;"(None)")*COUNTIFS(Q_GRID_EXPORTr1_data,"Selected",passes_workbook_filters_data,1,passes_workbook_custom_filters_data,1,All_Questions_passes_local_filters_data,1,All_Questions_Q_GRID_EXPORT_F_passes_per_q_filter_data,1,INDIRECT(All_Questions_Q_GRID_EXPORT_CT &amp; "_data"),H$38)</f>
        <v>0</v>
      </c>
      <c r="I39">
        <f>(All_Questions_Q_GRID_EXPORT_CT&lt;&gt;"(None)")*COUNTIFS(Q_GRID_EXPORTr1_data,"Selected",passes_workbook_filters_data,1,passes_workbook_custom_filters_data,1,All_Questions_passes_local_filters_data,1,All_Questions_Q_GRID_EXPORT_F_passes_per_q_filter_data,1,INDIRECT(All_Questions_Q_GRID_EXPORT_CT &amp; "_data"),I$38)</f>
        <v>0</v>
      </c>
      <c r="J39">
        <f>(All_Questions_Q_GRID_EXPORT_CT&lt;&gt;"(None)")*COUNTIFS(Q_GRID_EXPORTr1_data,"Selected",passes_workbook_filters_data,1,passes_workbook_custom_filters_data,1,All_Questions_passes_local_filters_data,1,All_Questions_Q_GRID_EXPORT_F_passes_per_q_filter_data,1,INDIRECT(All_Questions_Q_GRID_EXPORT_CT &amp; "_data"),J$38)</f>
        <v>0</v>
      </c>
      <c r="K39">
        <f>(All_Questions_Q_GRID_EXPORT_CT&lt;&gt;"(None)")*COUNTIFS(Q_GRID_EXPORTr1_data,"Selected",passes_workbook_filters_data,1,passes_workbook_custom_filters_data,1,All_Questions_passes_local_filters_data,1,All_Questions_Q_GRID_EXPORT_F_passes_per_q_filter_data,1,INDIRECT(All_Questions_Q_GRID_EXPORT_CT &amp; "_data"),K$38)</f>
        <v>0</v>
      </c>
      <c r="L39">
        <f>(All_Questions_Q_GRID_EXPORT_CT&lt;&gt;"(None)")*COUNTIFS(Q_GRID_EXPORTr1_data,"Selected",passes_workbook_filters_data,1,passes_workbook_custom_filters_data,1,All_Questions_passes_local_filters_data,1,All_Questions_Q_GRID_EXPORT_F_passes_per_q_filter_data,1,INDIRECT(All_Questions_Q_GRID_EXPORT_CT &amp; "_data"),L$38)</f>
        <v>0</v>
      </c>
      <c r="M39">
        <f>(All_Questions_Q_GRID_EXPORT_CT&lt;&gt;"(None)")*COUNTIFS(Q_GRID_EXPORTr1_data,"Selected",passes_workbook_filters_data,1,passes_workbook_custom_filters_data,1,All_Questions_passes_local_filters_data,1,All_Questions_Q_GRID_EXPORT_F_passes_per_q_filter_data,1,INDIRECT(All_Questions_Q_GRID_EXPORT_CT &amp; "_data"),M$38)</f>
        <v>0</v>
      </c>
      <c r="N39">
        <f>(All_Questions_Q_GRID_EXPORT_CT&lt;&gt;"(None)")*COUNTIFS(Q_GRID_EXPORTr1_data,"Selected",passes_workbook_filters_data,1,passes_workbook_custom_filters_data,1,All_Questions_passes_local_filters_data,1,All_Questions_Q_GRID_EXPORT_F_passes_per_q_filter_data,1,INDIRECT(All_Questions_Q_GRID_EXPORT_CT &amp; "_data"),N$38)</f>
        <v>0</v>
      </c>
      <c r="O39">
        <f>SUM(G39:N39)</f>
        <v>0</v>
      </c>
    </row>
    <row r="40">
      <c r="A40" t="inlineStr">
        <is>
          <t>Grid second row</t>
        </is>
      </c>
      <c r="B40">
        <f>COUNTIFS(Q_GRID_EXPORTr2_data,"Selected",passes_workbook_filters_data,1,passes_workbook_custom_filters_data,1,All_Questions_passes_local_filters_data,1,All_Questions_Q_GRID_EXPORT_F_passes_per_q_filter_data,1)</f>
        <v>10</v>
      </c>
      <c r="C40" s="7">
        <f>IFERROR(B40/SUBTOTAL(9,B39:B40),0)</f>
        <v>0.5</v>
      </c>
      <c r="D40" s="14">
        <f>SUBTOTAL(9,B39:B40)</f>
        <v>20</v>
      </c>
      <c r="F40" t="inlineStr">
        <is>
          <t>Grid second row</t>
        </is>
      </c>
      <c r="G40">
        <f>(All_Questions_Q_GRID_EXPORT_CT&lt;&gt;"(None)")*COUNTIFS(Q_GRID_EXPORTr2_data,"Selected",passes_workbook_filters_data,1,passes_workbook_custom_filters_data,1,All_Questions_passes_local_filters_data,1,All_Questions_Q_GRID_EXPORT_F_passes_per_q_filter_data,1,INDIRECT(All_Questions_Q_GRID_EXPORT_CT &amp; "_data"),G$38)</f>
        <v>0</v>
      </c>
      <c r="H40">
        <f>(All_Questions_Q_GRID_EXPORT_CT&lt;&gt;"(None)")*COUNTIFS(Q_GRID_EXPORTr2_data,"Selected",passes_workbook_filters_data,1,passes_workbook_custom_filters_data,1,All_Questions_passes_local_filters_data,1,All_Questions_Q_GRID_EXPORT_F_passes_per_q_filter_data,1,INDIRECT(All_Questions_Q_GRID_EXPORT_CT &amp; "_data"),H$38)</f>
        <v>0</v>
      </c>
      <c r="I40">
        <f>(All_Questions_Q_GRID_EXPORT_CT&lt;&gt;"(None)")*COUNTIFS(Q_GRID_EXPORTr2_data,"Selected",passes_workbook_filters_data,1,passes_workbook_custom_filters_data,1,All_Questions_passes_local_filters_data,1,All_Questions_Q_GRID_EXPORT_F_passes_per_q_filter_data,1,INDIRECT(All_Questions_Q_GRID_EXPORT_CT &amp; "_data"),I$38)</f>
        <v>0</v>
      </c>
      <c r="J40">
        <f>(All_Questions_Q_GRID_EXPORT_CT&lt;&gt;"(None)")*COUNTIFS(Q_GRID_EXPORTr2_data,"Selected",passes_workbook_filters_data,1,passes_workbook_custom_filters_data,1,All_Questions_passes_local_filters_data,1,All_Questions_Q_GRID_EXPORT_F_passes_per_q_filter_data,1,INDIRECT(All_Questions_Q_GRID_EXPORT_CT &amp; "_data"),J$38)</f>
        <v>0</v>
      </c>
      <c r="K40">
        <f>(All_Questions_Q_GRID_EXPORT_CT&lt;&gt;"(None)")*COUNTIFS(Q_GRID_EXPORTr2_data,"Selected",passes_workbook_filters_data,1,passes_workbook_custom_filters_data,1,All_Questions_passes_local_filters_data,1,All_Questions_Q_GRID_EXPORT_F_passes_per_q_filter_data,1,INDIRECT(All_Questions_Q_GRID_EXPORT_CT &amp; "_data"),K$38)</f>
        <v>0</v>
      </c>
      <c r="L40">
        <f>(All_Questions_Q_GRID_EXPORT_CT&lt;&gt;"(None)")*COUNTIFS(Q_GRID_EXPORTr2_data,"Selected",passes_workbook_filters_data,1,passes_workbook_custom_filters_data,1,All_Questions_passes_local_filters_data,1,All_Questions_Q_GRID_EXPORT_F_passes_per_q_filter_data,1,INDIRECT(All_Questions_Q_GRID_EXPORT_CT &amp; "_data"),L$38)</f>
        <v>0</v>
      </c>
      <c r="M40">
        <f>(All_Questions_Q_GRID_EXPORT_CT&lt;&gt;"(None)")*COUNTIFS(Q_GRID_EXPORTr2_data,"Selected",passes_workbook_filters_data,1,passes_workbook_custom_filters_data,1,All_Questions_passes_local_filters_data,1,All_Questions_Q_GRID_EXPORT_F_passes_per_q_filter_data,1,INDIRECT(All_Questions_Q_GRID_EXPORT_CT &amp; "_data"),M$38)</f>
        <v>0</v>
      </c>
      <c r="N40">
        <f>(All_Questions_Q_GRID_EXPORT_CT&lt;&gt;"(None)")*COUNTIFS(Q_GRID_EXPORTr2_data,"Selected",passes_workbook_filters_data,1,passes_workbook_custom_filters_data,1,All_Questions_passes_local_filters_data,1,All_Questions_Q_GRID_EXPORT_F_passes_per_q_filter_data,1,INDIRECT(All_Questions_Q_GRID_EXPORT_CT &amp; "_data"),N$38)</f>
        <v>0</v>
      </c>
      <c r="O40">
        <f>SUM(G40:N40)</f>
        <v>0</v>
      </c>
    </row>
    <row r="42">
      <c r="A42" s="11" t="n"/>
      <c r="B42" s="11" t="n"/>
      <c r="C42" s="11" t="n"/>
      <c r="D42" s="11" t="n"/>
      <c r="E42" s="11" t="n"/>
      <c r="F42" s="11" t="n"/>
      <c r="G42" s="11" t="n"/>
      <c r="H42" s="11" t="n"/>
      <c r="I42" s="11" t="n"/>
      <c r="J42" s="11" t="n"/>
    </row>
    <row r="43">
      <c r="A43" s="12" t="inlineStr">
        <is>
          <t>Q_VERY_LONG_SINGLE_SELECT_EXPORT_NAME - Long sheet name export question</t>
        </is>
      </c>
    </row>
    <row r="44">
      <c r="A44" s="13" t="inlineStr">
        <is>
          <t>Per-question filter</t>
        </is>
      </c>
      <c r="B44" t="inlineStr">
        <is>
          <t>Filter Q</t>
        </is>
      </c>
      <c r="C44" t="inlineStr">
        <is>
          <t>(None)</t>
        </is>
      </c>
      <c r="D44" t="inlineStr">
        <is>
          <t>Value</t>
        </is>
      </c>
      <c r="E44" t="inlineStr">
        <is>
          <t>(All)</t>
        </is>
      </c>
      <c r="F44" t="str">
        <f>IF(All_Questions_Q_VERY_LONG_SINGLE_SELECT_EXPORT_NAME_F_Q="(None)","respondent_id_data",All_Questions_Q_VERY_LONG_SINGLE_SELECT_EXPORT_NAME_F_Q &amp; "_data")</f>
        <v>respondent_id_data</v>
      </c>
      <c r="G44" t="str">
        <f>"|" &amp; SUBSTITUTE(All_Questions_Q_VERY_LONG_SINGLE_SELECT_EXPORT_NAME_F_V, ", ", "|") &amp; "|"</f>
        <v>|(All)|</v>
      </c>
    </row>
    <row r="45">
      <c r="A45" s="13" t="inlineStr">
        <is>
          <t>Cross-tab by</t>
        </is>
      </c>
      <c r="C45" t="inlineStr">
        <is>
          <t>(None)</t>
        </is>
      </c>
    </row>
    <row r="47">
      <c r="A47" s="4" t="inlineStr">
        <is>
          <t>Option</t>
        </is>
      </c>
      <c r="B47" s="4" t="inlineStr">
        <is>
          <t>Count</t>
        </is>
      </c>
      <c r="C47" s="4" t="inlineStr">
        <is>
          <t>%</t>
        </is>
      </c>
      <c r="D47" s="4" t="inlineStr">
        <is>
          <t>Denominator</t>
        </is>
      </c>
      <c r="F47" s="5" t="inlineStr">
        <is>
          <t>Option \ Cross-tab</t>
        </is>
      </c>
      <c r="G47" t="str">
        <f>IFERROR(INDEX(INDIRECT(All_Questions_Q_VERY_LONG_SINGLE_SELECT_EXPORT_NAME_CT &amp; "_options"),2),"")</f>
        <v/>
      </c>
      <c r="H47" t="str">
        <f>IFERROR(INDEX(INDIRECT(All_Questions_Q_VERY_LONG_SINGLE_SELECT_EXPORT_NAME_CT &amp; "_options"),3),"")</f>
        <v/>
      </c>
      <c r="I47" t="str">
        <f>IFERROR(INDEX(INDIRECT(All_Questions_Q_VERY_LONG_SINGLE_SELECT_EXPORT_NAME_CT &amp; "_options"),4),"")</f>
        <v/>
      </c>
      <c r="J47" t="str">
        <f>IFERROR(INDEX(INDIRECT(All_Questions_Q_VERY_LONG_SINGLE_SELECT_EXPORT_NAME_CT &amp; "_options"),5),"")</f>
        <v/>
      </c>
      <c r="K47" t="str">
        <f>IFERROR(INDEX(INDIRECT(All_Questions_Q_VERY_LONG_SINGLE_SELECT_EXPORT_NAME_CT &amp; "_options"),6),"")</f>
        <v/>
      </c>
      <c r="L47" t="str">
        <f>IFERROR(INDEX(INDIRECT(All_Questions_Q_VERY_LONG_SINGLE_SELECT_EXPORT_NAME_CT &amp; "_options"),7),"")</f>
        <v/>
      </c>
      <c r="M47" t="str">
        <f>IFERROR(INDEX(INDIRECT(All_Questions_Q_VERY_LONG_SINGLE_SELECT_EXPORT_NAME_CT &amp; "_options"),8),"")</f>
        <v/>
      </c>
      <c r="N47" t="str">
        <f>IFERROR(INDEX(INDIRECT(All_Questions_Q_VERY_LONG_SINGLE_SELECT_EXPORT_NAME_CT &amp; "_options"),9),"")</f>
        <v/>
      </c>
      <c r="O47" s="5" t="inlineStr">
        <is>
          <t>TOTAL</t>
        </is>
      </c>
    </row>
    <row r="48">
      <c r="A48" t="inlineStr">
        <is>
          <t>A</t>
        </is>
      </c>
      <c r="B48">
        <f>COUNTIFS(Q_VERY_LONG_SINGLE_SELECT_EXPOR_data,"A",passes_workbook_filters_data,1,passes_workbook_custom_filters_data,1,All_Questions_passes_local_filters_data,1,All_Questions_Q_VERY_LONG_SINGLE_SELECT_EXPORT_NAME_F_passes_per_q_filter_data,1)</f>
        <v>7</v>
      </c>
      <c r="C48" s="7">
        <f>IFERROR(B48/SUBTOTAL(9,B48:B49),0)</f>
        <v>0.7</v>
      </c>
      <c r="D48" s="14">
        <f>SUBTOTAL(9,B48:B49)</f>
        <v>10</v>
      </c>
      <c r="F48" t="inlineStr">
        <is>
          <t>A</t>
        </is>
      </c>
      <c r="G48">
        <f>(All_Questions_Q_VERY_LONG_SINGLE_SELECT_EXPORT_NAME_CT&lt;&gt;"(None)")*COUNTIFS(Q_VERY_LONG_SINGLE_SELECT_EXPOR_data,"A",passes_workbook_filters_data,1,passes_workbook_custom_filters_data,1,All_Questions_passes_local_filters_data,1,All_Questions_Q_VERY_LONG_SINGLE_SELECT_EXPORT_NAME_F_passes_per_q_filter_data,1,INDIRECT(All_Questions_Q_VERY_LONG_SINGLE_SELECT_EXPORT_NAME_CT &amp; "_data"),G$47)</f>
        <v>0</v>
      </c>
      <c r="H48">
        <f>(All_Questions_Q_VERY_LONG_SINGLE_SELECT_EXPORT_NAME_CT&lt;&gt;"(None)")*COUNTIFS(Q_VERY_LONG_SINGLE_SELECT_EXPOR_data,"A",passes_workbook_filters_data,1,passes_workbook_custom_filters_data,1,All_Questions_passes_local_filters_data,1,All_Questions_Q_VERY_LONG_SINGLE_SELECT_EXPORT_NAME_F_passes_per_q_filter_data,1,INDIRECT(All_Questions_Q_VERY_LONG_SINGLE_SELECT_EXPORT_NAME_CT &amp; "_data"),H$47)</f>
        <v>0</v>
      </c>
      <c r="I48">
        <f>(All_Questions_Q_VERY_LONG_SINGLE_SELECT_EXPORT_NAME_CT&lt;&gt;"(None)")*COUNTIFS(Q_VERY_LONG_SINGLE_SELECT_EXPOR_data,"A",passes_workbook_filters_data,1,passes_workbook_custom_filters_data,1,All_Questions_passes_local_filters_data,1,All_Questions_Q_VERY_LONG_SINGLE_SELECT_EXPORT_NAME_F_passes_per_q_filter_data,1,INDIRECT(All_Questions_Q_VERY_LONG_SINGLE_SELECT_EXPORT_NAME_CT &amp; "_data"),I$47)</f>
        <v>0</v>
      </c>
      <c r="J48">
        <f>(All_Questions_Q_VERY_LONG_SINGLE_SELECT_EXPORT_NAME_CT&lt;&gt;"(None)")*COUNTIFS(Q_VERY_LONG_SINGLE_SELECT_EXPOR_data,"A",passes_workbook_filters_data,1,passes_workbook_custom_filters_data,1,All_Questions_passes_local_filters_data,1,All_Questions_Q_VERY_LONG_SINGLE_SELECT_EXPORT_NAME_F_passes_per_q_filter_data,1,INDIRECT(All_Questions_Q_VERY_LONG_SINGLE_SELECT_EXPORT_NAME_CT &amp; "_data"),J$47)</f>
        <v>0</v>
      </c>
      <c r="K48">
        <f>(All_Questions_Q_VERY_LONG_SINGLE_SELECT_EXPORT_NAME_CT&lt;&gt;"(None)")*COUNTIFS(Q_VERY_LONG_SINGLE_SELECT_EXPOR_data,"A",passes_workbook_filters_data,1,passes_workbook_custom_filters_data,1,All_Questions_passes_local_filters_data,1,All_Questions_Q_VERY_LONG_SINGLE_SELECT_EXPORT_NAME_F_passes_per_q_filter_data,1,INDIRECT(All_Questions_Q_VERY_LONG_SINGLE_SELECT_EXPORT_NAME_CT &amp; "_data"),K$47)</f>
        <v>0</v>
      </c>
      <c r="L48">
        <f>(All_Questions_Q_VERY_LONG_SINGLE_SELECT_EXPORT_NAME_CT&lt;&gt;"(None)")*COUNTIFS(Q_VERY_LONG_SINGLE_SELECT_EXPOR_data,"A",passes_workbook_filters_data,1,passes_workbook_custom_filters_data,1,All_Questions_passes_local_filters_data,1,All_Questions_Q_VERY_LONG_SINGLE_SELECT_EXPORT_NAME_F_passes_per_q_filter_data,1,INDIRECT(All_Questions_Q_VERY_LONG_SINGLE_SELECT_EXPORT_NAME_CT &amp; "_data"),L$47)</f>
        <v>0</v>
      </c>
      <c r="M48">
        <f>(All_Questions_Q_VERY_LONG_SINGLE_SELECT_EXPORT_NAME_CT&lt;&gt;"(None)")*COUNTIFS(Q_VERY_LONG_SINGLE_SELECT_EXPOR_data,"A",passes_workbook_filters_data,1,passes_workbook_custom_filters_data,1,All_Questions_passes_local_filters_data,1,All_Questions_Q_VERY_LONG_SINGLE_SELECT_EXPORT_NAME_F_passes_per_q_filter_data,1,INDIRECT(All_Questions_Q_VERY_LONG_SINGLE_SELECT_EXPORT_NAME_CT &amp; "_data"),M$47)</f>
        <v>0</v>
      </c>
      <c r="N48">
        <f>(All_Questions_Q_VERY_LONG_SINGLE_SELECT_EXPORT_NAME_CT&lt;&gt;"(None)")*COUNTIFS(Q_VERY_LONG_SINGLE_SELECT_EXPOR_data,"A",passes_workbook_filters_data,1,passes_workbook_custom_filters_data,1,All_Questions_passes_local_filters_data,1,All_Questions_Q_VERY_LONG_SINGLE_SELECT_EXPORT_NAME_F_passes_per_q_filter_data,1,INDIRECT(All_Questions_Q_VERY_LONG_SINGLE_SELECT_EXPORT_NAME_CT &amp; "_data"),N$47)</f>
        <v>0</v>
      </c>
      <c r="O48">
        <f>SUM(G48:N48)</f>
        <v>0</v>
      </c>
    </row>
    <row r="49">
      <c r="A49" t="inlineStr">
        <is>
          <t>B</t>
        </is>
      </c>
      <c r="B49">
        <f>COUNTIFS(Q_VERY_LONG_SINGLE_SELECT_EXPOR_data,"B",passes_workbook_filters_data,1,passes_workbook_custom_filters_data,1,All_Questions_passes_local_filters_data,1,All_Questions_Q_VERY_LONG_SINGLE_SELECT_EXPORT_NAME_F_passes_per_q_filter_data,1)</f>
        <v>3</v>
      </c>
      <c r="C49" s="7">
        <f>IFERROR(B49/SUBTOTAL(9,B48:B49),0)</f>
        <v>0.3</v>
      </c>
      <c r="D49" s="14">
        <f>SUBTOTAL(9,B48:B49)</f>
        <v>10</v>
      </c>
      <c r="F49" t="inlineStr">
        <is>
          <t>B</t>
        </is>
      </c>
      <c r="G49">
        <f>(All_Questions_Q_VERY_LONG_SINGLE_SELECT_EXPORT_NAME_CT&lt;&gt;"(None)")*COUNTIFS(Q_VERY_LONG_SINGLE_SELECT_EXPOR_data,"B",passes_workbook_filters_data,1,passes_workbook_custom_filters_data,1,All_Questions_passes_local_filters_data,1,All_Questions_Q_VERY_LONG_SINGLE_SELECT_EXPORT_NAME_F_passes_per_q_filter_data,1,INDIRECT(All_Questions_Q_VERY_LONG_SINGLE_SELECT_EXPORT_NAME_CT &amp; "_data"),G$47)</f>
        <v>0</v>
      </c>
      <c r="H49">
        <f>(All_Questions_Q_VERY_LONG_SINGLE_SELECT_EXPORT_NAME_CT&lt;&gt;"(None)")*COUNTIFS(Q_VERY_LONG_SINGLE_SELECT_EXPOR_data,"B",passes_workbook_filters_data,1,passes_workbook_custom_filters_data,1,All_Questions_passes_local_filters_data,1,All_Questions_Q_VERY_LONG_SINGLE_SELECT_EXPORT_NAME_F_passes_per_q_filter_data,1,INDIRECT(All_Questions_Q_VERY_LONG_SINGLE_SELECT_EXPORT_NAME_CT &amp; "_data"),H$47)</f>
        <v>0</v>
      </c>
      <c r="I49">
        <f>(All_Questions_Q_VERY_LONG_SINGLE_SELECT_EXPORT_NAME_CT&lt;&gt;"(None)")*COUNTIFS(Q_VERY_LONG_SINGLE_SELECT_EXPOR_data,"B",passes_workbook_filters_data,1,passes_workbook_custom_filters_data,1,All_Questions_passes_local_filters_data,1,All_Questions_Q_VERY_LONG_SINGLE_SELECT_EXPORT_NAME_F_passes_per_q_filter_data,1,INDIRECT(All_Questions_Q_VERY_LONG_SINGLE_SELECT_EXPORT_NAME_CT &amp; "_data"),I$47)</f>
        <v>0</v>
      </c>
      <c r="J49">
        <f>(All_Questions_Q_VERY_LONG_SINGLE_SELECT_EXPORT_NAME_CT&lt;&gt;"(None)")*COUNTIFS(Q_VERY_LONG_SINGLE_SELECT_EXPOR_data,"B",passes_workbook_filters_data,1,passes_workbook_custom_filters_data,1,All_Questions_passes_local_filters_data,1,All_Questions_Q_VERY_LONG_SINGLE_SELECT_EXPORT_NAME_F_passes_per_q_filter_data,1,INDIRECT(All_Questions_Q_VERY_LONG_SINGLE_SELECT_EXPORT_NAME_CT &amp; "_data"),J$47)</f>
        <v>0</v>
      </c>
      <c r="K49">
        <f>(All_Questions_Q_VERY_LONG_SINGLE_SELECT_EXPORT_NAME_CT&lt;&gt;"(None)")*COUNTIFS(Q_VERY_LONG_SINGLE_SELECT_EXPOR_data,"B",passes_workbook_filters_data,1,passes_workbook_custom_filters_data,1,All_Questions_passes_local_filters_data,1,All_Questions_Q_VERY_LONG_SINGLE_SELECT_EXPORT_NAME_F_passes_per_q_filter_data,1,INDIRECT(All_Questions_Q_VERY_LONG_SINGLE_SELECT_EXPORT_NAME_CT &amp; "_data"),K$47)</f>
        <v>0</v>
      </c>
      <c r="L49">
        <f>(All_Questions_Q_VERY_LONG_SINGLE_SELECT_EXPORT_NAME_CT&lt;&gt;"(None)")*COUNTIFS(Q_VERY_LONG_SINGLE_SELECT_EXPOR_data,"B",passes_workbook_filters_data,1,passes_workbook_custom_filters_data,1,All_Questions_passes_local_filters_data,1,All_Questions_Q_VERY_LONG_SINGLE_SELECT_EXPORT_NAME_F_passes_per_q_filter_data,1,INDIRECT(All_Questions_Q_VERY_LONG_SINGLE_SELECT_EXPORT_NAME_CT &amp; "_data"),L$47)</f>
        <v>0</v>
      </c>
      <c r="M49">
        <f>(All_Questions_Q_VERY_LONG_SINGLE_SELECT_EXPORT_NAME_CT&lt;&gt;"(None)")*COUNTIFS(Q_VERY_LONG_SINGLE_SELECT_EXPOR_data,"B",passes_workbook_filters_data,1,passes_workbook_custom_filters_data,1,All_Questions_passes_local_filters_data,1,All_Questions_Q_VERY_LONG_SINGLE_SELECT_EXPORT_NAME_F_passes_per_q_filter_data,1,INDIRECT(All_Questions_Q_VERY_LONG_SINGLE_SELECT_EXPORT_NAME_CT &amp; "_data"),M$47)</f>
        <v>0</v>
      </c>
      <c r="N49">
        <f>(All_Questions_Q_VERY_LONG_SINGLE_SELECT_EXPORT_NAME_CT&lt;&gt;"(None)")*COUNTIFS(Q_VERY_LONG_SINGLE_SELECT_EXPOR_data,"B",passes_workbook_filters_data,1,passes_workbook_custom_filters_data,1,All_Questions_passes_local_filters_data,1,All_Questions_Q_VERY_LONG_SINGLE_SELECT_EXPORT_NAME_F_passes_per_q_filter_data,1,INDIRECT(All_Questions_Q_VERY_LONG_SINGLE_SELECT_EXPORT_NAME_CT &amp; "_data"),N$47)</f>
        <v>0</v>
      </c>
      <c r="O49">
        <f>SUM(G49:N49)</f>
        <v>0</v>
      </c>
    </row>
  </sheetData>
  <mergeCells count="5">
    <mergeCell ref="A1:J1"/>
    <mergeCell ref="A22:J22"/>
    <mergeCell ref="A34:J34"/>
    <mergeCell ref="A43:J43"/>
    <mergeCell ref="A13:J13"/>
  </mergeCells>
  <dataValidations count="17">
    <dataValidation sqref="B5" showDropDown="0" showInputMessage="0" showErrorMessage="0" allowBlank="1" type="list">
      <formula1>=Q_SS_EXPORT_local_options</formula1>
    </dataValidation>
    <dataValidation sqref="B6" showDropDown="0" showInputMessage="0" showErrorMessage="0" allowBlank="1" type="list">
      <formula1>=All_Questions_Local</formula1>
    </dataValidation>
    <dataValidation sqref="B7" showDropDown="0" showInputMessage="0" showErrorMessage="0" allowBlank="1" type="list">
      <formula1>=INDIRECT(IF(All_Questions_F_Custom1_Q_resolved="(None)","None_options",All_Questions_F_Custom1_Q_resolved &amp; "_local_options"))</formula1>
    </dataValidation>
    <dataValidation sqref="B8" showDropDown="0" showInputMessage="0" showErrorMessage="0" allowBlank="1" type="list">
      <formula1>=All_Questions_Local</formula1>
    </dataValidation>
    <dataValidation sqref="B9" showDropDown="0" showInputMessage="0" showErrorMessage="0" allowBlank="1" type="list">
      <formula1>=INDIRECT(IF(All_Questions_F_Custom2_Q_resolved="(None)","None_options",All_Questions_F_Custom2_Q_resolved &amp; "_local_options"))</formula1>
    </dataValidation>
    <dataValidation sqref="C14" showDropDown="0" showInputMessage="0" showErrorMessage="0" allowBlank="1" type="list">
      <formula1>=All_Questions</formula1>
    </dataValidation>
    <dataValidation sqref="E14" showDropDown="0" showInputMessage="0" showErrorMessage="0" allowBlank="1" type="list">
      <formula1>=INDIRECT(IF(All_Questions_Q_MS_EXPORT_F_Q="(None)","None_options",All_Questions_Q_MS_EXPORT_F_Q &amp; "_options"))</formula1>
    </dataValidation>
    <dataValidation sqref="C15" showDropDown="0" showInputMessage="0" showErrorMessage="0" allowBlank="1" type="list">
      <formula1>=All_Questions</formula1>
    </dataValidation>
    <dataValidation sqref="C23" showDropDown="0" showInputMessage="0" showErrorMessage="0" allowBlank="1" type="list">
      <formula1>=All_Questions</formula1>
    </dataValidation>
    <dataValidation sqref="E23" showDropDown="0" showInputMessage="0" showErrorMessage="0" allowBlank="1" type="list">
      <formula1>=INDIRECT(IF(All_Questions_Q_NUM_EXPORT_F_Q="(None)","None_options",All_Questions_Q_NUM_EXPORT_F_Q &amp; "_options"))</formula1>
    </dataValidation>
    <dataValidation sqref="C24" showDropDown="0" showInputMessage="0" showErrorMessage="0" allowBlank="1" type="list">
      <formula1>=All_Questions</formula1>
    </dataValidation>
    <dataValidation sqref="C35" showDropDown="0" showInputMessage="0" showErrorMessage="0" allowBlank="1" type="list">
      <formula1>=All_Questions</formula1>
    </dataValidation>
    <dataValidation sqref="E35" showDropDown="0" showInputMessage="0" showErrorMessage="0" allowBlank="1" type="list">
      <formula1>=INDIRECT(IF(All_Questions_Q_GRID_EXPORT_F_Q="(None)","None_options",All_Questions_Q_GRID_EXPORT_F_Q &amp; "_options"))</formula1>
    </dataValidation>
    <dataValidation sqref="C36" showDropDown="0" showInputMessage="0" showErrorMessage="0" allowBlank="1" type="list">
      <formula1>=All_Questions</formula1>
    </dataValidation>
    <dataValidation sqref="C44" showDropDown="0" showInputMessage="0" showErrorMessage="0" allowBlank="1" type="list">
      <formula1>=All_Questions</formula1>
    </dataValidation>
    <dataValidation sqref="E44" showDropDown="0" showInputMessage="0" showErrorMessage="0" allowBlank="1" type="list">
      <formula1>=INDIRECT(IF(All_Questions_Q_VERY_LONG_SINGLE_SELECT_EXPORT_NAME_F_Q="(None)","None_options",All_Questions_Q_VERY_LONG_SINGLE_SELECT_EXPORT_NAME_F_Q &amp; "_options"))</formula1>
    </dataValidation>
    <dataValidation sqref="C45" showDropDown="0" showInputMessage="0" showErrorMessage="0" allowBlank="1" type="list">
      <formula1>=All_Questions</formula1>
    </dataValidation>
  </dataValidations>
  <pageMargins left="0.75" right="0.75" top="1" bottom="1" header="0.5" footer="0.5"/>
  <legacyDrawing r:id="anysvml"/>
  <tableParts count="4">
    <tablePart r:id="rId1"/>
    <tablePart r:id="rId2"/>
    <tablePart r:id="rId3"/>
    <tablePart r:id="rId4"/>
  </tableParts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L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17" customWidth="1" min="2" max="2"/>
    <col width="39" customWidth="1" min="3" max="3"/>
    <col width="39" customWidth="1" min="4" max="4"/>
    <col width="8" customWidth="1" min="5" max="5"/>
    <col width="11" customWidth="1" min="6" max="6"/>
    <col width="13" customWidth="1" min="7" max="7"/>
    <col width="25" customWidth="1" min="8" max="8"/>
    <col width="11" customWidth="1" min="9" max="9"/>
    <col width="9" customWidth="1" min="10" max="10"/>
    <col width="11" customWidth="1" min="11" max="11"/>
    <col width="27" customWidth="1" min="12" max="12"/>
  </cols>
  <sheetData>
    <row r="1">
      <c r="A1" s="4" t="inlineStr">
        <is>
          <t>Output Sheet</t>
        </is>
      </c>
      <c r="B1" s="4" t="inlineStr">
        <is>
          <t>Metric Name</t>
        </is>
      </c>
      <c r="C1" s="4" t="inlineStr">
        <is>
          <t>Source Question</t>
        </is>
      </c>
      <c r="D1" s="4" t="inlineStr">
        <is>
          <t>Source Columns</t>
        </is>
      </c>
      <c r="E1" s="4" t="inlineStr">
        <is>
          <t>Filter</t>
        </is>
      </c>
      <c r="F1" s="4" t="inlineStr">
        <is>
          <t>Numerator</t>
        </is>
      </c>
      <c r="G1" s="4" t="inlineStr">
        <is>
          <t>Denominator</t>
        </is>
      </c>
      <c r="H1" s="4" t="inlineStr">
        <is>
          <t>Formula</t>
        </is>
      </c>
      <c r="I1" s="4" t="inlineStr">
        <is>
          <t>Value Raw</t>
        </is>
      </c>
      <c r="J1" s="4" t="inlineStr">
        <is>
          <t>Valid N</t>
        </is>
      </c>
      <c r="K1" s="4" t="inlineStr">
        <is>
          <t>Missing N</t>
        </is>
      </c>
      <c r="L1" s="4" t="inlineStr">
        <is>
          <t>Timestamp</t>
        </is>
      </c>
    </row>
    <row r="2">
      <c r="A2" t="inlineStr">
        <is>
          <t>SC_Q_SS_EXPORT</t>
        </is>
      </c>
      <c r="B2" t="inlineStr">
        <is>
          <t>rate_per_value</t>
        </is>
      </c>
      <c r="C2" t="inlineStr">
        <is>
          <t>Q_SS_EXPORT</t>
        </is>
      </c>
      <c r="D2" t="inlineStr">
        <is>
          <t>Q_SS_EXPORT</t>
        </is>
      </c>
      <c r="E2" t="inlineStr"/>
      <c r="G2" t="n">
        <v>10</v>
      </c>
      <c r="H2" t="inlineStr">
        <is>
          <t>rate_per_value formula</t>
        </is>
      </c>
      <c r="I2" t="n">
        <v>10</v>
      </c>
      <c r="J2" t="n">
        <v>10</v>
      </c>
      <c r="K2" t="n">
        <v>0</v>
      </c>
      <c r="L2" t="inlineStr">
        <is>
          <t>2026-05-04T12:00:00+00:00</t>
        </is>
      </c>
    </row>
    <row r="3">
      <c r="A3" t="inlineStr">
        <is>
          <t>SC_Q_MS_EXPORT</t>
        </is>
      </c>
      <c r="B3" t="inlineStr">
        <is>
          <t>selection_rate</t>
        </is>
      </c>
      <c r="C3" t="inlineStr">
        <is>
          <t>Q_MS_EXPORT</t>
        </is>
      </c>
      <c r="D3" t="inlineStr">
        <is>
          <t>Q_MS_EXPORTr1, Q_MS_EXPORTr2</t>
        </is>
      </c>
      <c r="E3" t="inlineStr"/>
      <c r="G3" t="n">
        <v>10</v>
      </c>
      <c r="H3" t="inlineStr">
        <is>
          <t>selection_rate formula</t>
        </is>
      </c>
      <c r="I3" t="n">
        <v>10</v>
      </c>
      <c r="J3" t="n">
        <v>10</v>
      </c>
      <c r="K3" t="n">
        <v>0</v>
      </c>
      <c r="L3" t="inlineStr">
        <is>
          <t>2026-05-04T12:00:00+00:00</t>
        </is>
      </c>
    </row>
    <row r="4">
      <c r="A4" t="inlineStr">
        <is>
          <t>SC_Q_NUM_EXPORT</t>
        </is>
      </c>
      <c r="B4" t="inlineStr">
        <is>
          <t>numeric_summary</t>
        </is>
      </c>
      <c r="C4" t="inlineStr">
        <is>
          <t>Q_NUM_EXPORT</t>
        </is>
      </c>
      <c r="D4" t="inlineStr">
        <is>
          <t>Q_NUM_EXPORT</t>
        </is>
      </c>
      <c r="E4" t="inlineStr"/>
      <c r="G4" t="n">
        <v>10</v>
      </c>
      <c r="H4" t="inlineStr">
        <is>
          <t>numeric_summary formula</t>
        </is>
      </c>
      <c r="I4" t="n">
        <v>5.5</v>
      </c>
      <c r="J4" t="n">
        <v>10</v>
      </c>
      <c r="K4" t="n">
        <v>0</v>
      </c>
      <c r="L4" t="inlineStr">
        <is>
          <t>2026-05-04T12:00:00+00:00</t>
        </is>
      </c>
    </row>
    <row r="5">
      <c r="A5" t="inlineStr">
        <is>
          <t>SC_Q_GRID_EXPORTr1</t>
        </is>
      </c>
      <c r="B5" t="inlineStr">
        <is>
          <t>rate_per_value</t>
        </is>
      </c>
      <c r="C5" t="inlineStr">
        <is>
          <t>Q_GRID_EXPORTr1</t>
        </is>
      </c>
      <c r="D5" t="inlineStr">
        <is>
          <t>Q_GRID_EXPORTr1</t>
        </is>
      </c>
      <c r="E5" t="inlineStr"/>
      <c r="G5" t="n">
        <v>10</v>
      </c>
      <c r="H5" t="inlineStr">
        <is>
          <t>rate_per_value formula</t>
        </is>
      </c>
      <c r="I5" t="n">
        <v>10</v>
      </c>
      <c r="J5" t="n">
        <v>10</v>
      </c>
      <c r="K5" t="n">
        <v>0</v>
      </c>
      <c r="L5" t="inlineStr">
        <is>
          <t>2026-05-04T12:00:00+00:00</t>
        </is>
      </c>
    </row>
    <row r="6">
      <c r="A6" t="inlineStr">
        <is>
          <t>SC_Q_GRID_EXPORTr2</t>
        </is>
      </c>
      <c r="B6" t="inlineStr">
        <is>
          <t>rate_per_value</t>
        </is>
      </c>
      <c r="C6" t="inlineStr">
        <is>
          <t>Q_GRID_EXPORTr2</t>
        </is>
      </c>
      <c r="D6" t="inlineStr">
        <is>
          <t>Q_GRID_EXPORTr2</t>
        </is>
      </c>
      <c r="E6" t="inlineStr"/>
      <c r="G6" t="n">
        <v>10</v>
      </c>
      <c r="H6" t="inlineStr">
        <is>
          <t>rate_per_value formula</t>
        </is>
      </c>
      <c r="I6" t="n">
        <v>10</v>
      </c>
      <c r="J6" t="n">
        <v>10</v>
      </c>
      <c r="K6" t="n">
        <v>0</v>
      </c>
      <c r="L6" t="inlineStr">
        <is>
          <t>2026-05-04T12:00:00+00:00</t>
        </is>
      </c>
    </row>
    <row r="7">
      <c r="A7" t="inlineStr">
        <is>
          <t>SC_Q_GRID_EXPORT</t>
        </is>
      </c>
      <c r="B7" t="inlineStr">
        <is>
          <t>grid_overall</t>
        </is>
      </c>
      <c r="C7" t="inlineStr">
        <is>
          <t>Q_GRID_EXPORT</t>
        </is>
      </c>
      <c r="D7" t="inlineStr">
        <is>
          <t>Q_GRID_EXPORTr1, Q_GRID_EXPORTr2</t>
        </is>
      </c>
      <c r="E7" t="inlineStr"/>
      <c r="G7" t="n">
        <v>10</v>
      </c>
      <c r="H7" t="inlineStr">
        <is>
          <t>grid_overall formula</t>
        </is>
      </c>
      <c r="I7" t="n">
        <v>10</v>
      </c>
      <c r="J7" t="n">
        <v>10</v>
      </c>
      <c r="K7" t="n">
        <v>0</v>
      </c>
      <c r="L7" t="inlineStr">
        <is>
          <t>2026-05-04T12:00:00+00:00</t>
        </is>
      </c>
    </row>
    <row r="8">
      <c r="A8" t="inlineStr">
        <is>
          <t>SC_Q_VERY_LONG_SINGLE_SELECT_EXPORT_NAME</t>
        </is>
      </c>
      <c r="B8" t="inlineStr">
        <is>
          <t>rate_per_value</t>
        </is>
      </c>
      <c r="C8" t="inlineStr">
        <is>
          <t>Q_VERY_LONG_SINGLE_SELECT_EXPORT_NAME</t>
        </is>
      </c>
      <c r="D8" t="inlineStr">
        <is>
          <t>Q_VERY_LONG_SINGLE_SELECT_EXPORT_NAME</t>
        </is>
      </c>
      <c r="E8" t="inlineStr"/>
      <c r="G8" t="n">
        <v>10</v>
      </c>
      <c r="H8" t="inlineStr">
        <is>
          <t>rate_per_value formula</t>
        </is>
      </c>
      <c r="I8" t="n">
        <v>10</v>
      </c>
      <c r="J8" t="n">
        <v>10</v>
      </c>
      <c r="K8" t="n">
        <v>0</v>
      </c>
      <c r="L8" t="inlineStr">
        <is>
          <t>2026-05-04T12:00:00+00:00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7" customWidth="1" min="2" max="2"/>
    <col width="19" customWidth="1" min="3" max="3"/>
    <col width="13" customWidth="1" min="4" max="4"/>
  </cols>
  <sheetData>
    <row r="1">
      <c r="A1" s="4" t="inlineStr">
        <is>
          <t>Cross Cut ID</t>
        </is>
      </c>
      <c r="B1" s="4" t="inlineStr">
        <is>
          <t>Title</t>
        </is>
      </c>
      <c r="C1" s="4" t="inlineStr">
        <is>
          <t>Filter Expression</t>
        </is>
      </c>
      <c r="D1" s="4" t="inlineStr">
        <is>
          <t>Description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46" customWidth="1" min="1" max="1"/>
    <col width="43" customWidth="1" min="2" max="2"/>
  </cols>
  <sheetData>
    <row r="1">
      <c r="A1" s="4" t="inlineStr">
        <is>
          <t>Source</t>
        </is>
      </c>
      <c r="B1" s="4" t="inlineStr">
        <is>
          <t>Warning</t>
        </is>
      </c>
    </row>
    <row r="2">
      <c r="A2" t="inlineStr">
        <is>
          <t>quality</t>
        </is>
      </c>
      <c r="B2" t="inlineStr">
        <is>
          <t>column extra_col has 50.0% missing values</t>
        </is>
      </c>
    </row>
    <row r="3">
      <c r="A3" t="inlineStr">
        <is>
          <t>result:Q_VERY_LONG_SINGLE_SELECT_EXPORT_NAME</t>
        </is>
      </c>
      <c r="B3" t="inlineStr">
        <is>
          <t>long id warning</t>
        </is>
      </c>
    </row>
    <row r="4">
      <c r="A4" t="inlineStr">
        <is>
          <t>skip:[Q_FAIL_EXPORT]</t>
        </is>
      </c>
      <c r="B4" t="inlineStr">
        <is>
          <t>ValueError: raw column not found in data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2026-05-15T06:09:10Z</dcterms:created>
  <dcterms:modified xmlns:dcterms="http://purl.org/dc/terms/" xmlns:xsi="http://www.w3.org/2001/XMLSchema-instance" xsi:type="dcterms:W3CDTF">2026-05-15T06:09:10Z</dcterms:modified>
</cp:coreProperties>
</file>