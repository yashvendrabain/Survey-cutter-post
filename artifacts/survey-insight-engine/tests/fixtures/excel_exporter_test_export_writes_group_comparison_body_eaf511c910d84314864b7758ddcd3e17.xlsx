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'_Options'!$A$2:$A$14</definedName>
    <definedName name="All_Questions_Local">'_Options'!$B$2:$B$15</definedName>
    <definedName name="None_options">'_Options'!$C$2:$C$2</definedName>
    <definedName name="Q_SS_EXPORT_options">'_Options'!$D$2:$D$4</definedName>
    <definedName name="Q_SS_EXPORT_local_options">'_Options'!$P$2:$P$5</definedName>
    <definedName name="Q_MS_EXPORTr1_options">'_Options'!$E$2:$E$3</definedName>
    <definedName name="Q_MS_EXPORTr1_local_options">'_Options'!$Q$2:$Q$4</definedName>
    <definedName name="Q_MS_EXPORTr2_options">'_Options'!$F$2:$F$3</definedName>
    <definedName name="Q_MS_EXPORTr2_local_options">'_Options'!$R$2:$R$4</definedName>
    <definedName name="Q_NUM_EXPORT_options">'_Options'!$G$2:$G$3</definedName>
    <definedName name="Q_NUM_EXPORT_local_options">'_Options'!$S$2:$S$4</definedName>
    <definedName name="Q_GRID_EXPORTr1_options">'_Options'!$H$2:$H$3</definedName>
    <definedName name="Q_GRID_EXPORTr1_local_options">'_Options'!$T$2:$T$4</definedName>
    <definedName name="Q_GRID_EXPORTr2_options">'_Options'!$I$2:$I$3</definedName>
    <definedName name="Q_GRID_EXPORTr2_local_options">'_Options'!$U$2:$U$4</definedName>
    <definedName name="Q_VERY_LONG_SINGLE_SELECT_EXPOR_options">'_Options'!$J$2:$J$4</definedName>
    <definedName name="Q_VERY_LONG_SINGLE_SELECT_EXPOR_local_options">'_Options'!$V$2:$V$5</definedName>
    <definedName name="Q_SEG_1_options">'_Options'!$K$2:$K$5</definedName>
    <definedName name="Q_SEG_1_local_options">'_Options'!$W$2:$W$6</definedName>
    <definedName name="Q_TGT_1_options">'_Options'!$L$2:$L$6</definedName>
    <definedName name="Q_TGT_1_local_options">'_Options'!$X$2:$X$7</definedName>
    <definedName name="Q_NUM_3_options">'_Options'!$M$2:$M$2</definedName>
    <definedName name="Q_NUM_3_local_options">'_Options'!$Y$2:$Y$3</definedName>
    <definedName name="Q_EXP_1_options">'_Options'!$N$2:$N$2</definedName>
    <definedName name="Q_EXP_1_local_options">'_Options'!$Z$2:$Z$3</definedName>
    <definedName name="Q_REAL_1_options">'_Options'!$O$2:$O$2</definedName>
    <definedName name="Q_REAL_1_local_options">'_Options'!$AA$2:$AA$3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CT">'All Questions'!$C$14</definedName>
    <definedName name="All_Questions_Q_MS_EXPORT_F_Q">'All Questions'!$C$22</definedName>
    <definedName name="All_Questions_Q_MS_EXPORT_F_V">'All Questions'!$E$22</definedName>
    <definedName name="All_Questions_Q_MS_EXPORT_F_resolved_column">'All Questions'!$F$22</definedName>
    <definedName name="All_Questions_Q_MS_EXPORT_F_wrapped">'All Questions'!$G$22</definedName>
    <definedName name="All_Questions_Q_MS_EXPORT_CT">'All Questions'!$C$23</definedName>
    <definedName name="All_Questions_Q_NUM_EXPORT_F_Q">'All Questions'!$C$31</definedName>
    <definedName name="All_Questions_Q_NUM_EXPORT_F_V">'All Questions'!$E$31</definedName>
    <definedName name="All_Questions_Q_NUM_EXPORT_F_resolved_column">'All Questions'!$F$31</definedName>
    <definedName name="All_Questions_Q_NUM_EXPORT_F_wrapped">'All Questions'!$G$31</definedName>
    <definedName name="All_Questions_Q_NUM_EXPORT_CT">'All Questions'!$C$32</definedName>
    <definedName name="All_Questions_Q_GRID_EXPORT_F_Q">'All Questions'!$C$43</definedName>
    <definedName name="All_Questions_Q_GRID_EXPORT_F_V">'All Questions'!$E$43</definedName>
    <definedName name="All_Questions_Q_GRID_EXPORT_F_resolved_column">'All Questions'!$F$43</definedName>
    <definedName name="All_Questions_Q_GRID_EXPORT_F_wrapped">'All Questions'!$G$43</definedName>
    <definedName name="All_Questions_Q_GRID_EXPORT_CT">'All Questions'!$C$44</definedName>
    <definedName name="All_Questions_Q_VERY_LONG_SINGLE_SELECT_EXPORT_NAME_F_Q">'All Questions'!$C$52</definedName>
    <definedName name="All_Questions_Q_VERY_LONG_SINGLE_SELECT_EXPORT_NAME_F_V">'All Questions'!$E$52</definedName>
    <definedName name="All_Questions_Q_VERY_LONG_SINGLE_SELECT_EXPORT_NAME_F_resolved_column">'All Questions'!$F$52</definedName>
    <definedName name="All_Questions_Q_VERY_LONG_SINGLE_SELECT_EXPORT_NAME_F_wrapped">'All Questions'!$G$52</definedName>
    <definedName name="All_Questions_Q_VERY_LONG_SINGLE_SELECT_EXPORT_NAME_CT">'All Questions'!$C$53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2">
    <xf numFmtId="0" fontId="0" fillId="0" borderId="0"/>
    <xf numFmtId="0" fontId="4" fillId="0" borderId="0"/>
  </cellStyleXfs>
  <cellXfs count="15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1" authorId="0" shapeId="0">
      <text>
        <t>Multi select export question</t>
      </text>
    </comment>
    <comment ref="A30" authorId="0" shapeId="0">
      <text>
        <t>Numeric export question</t>
      </text>
    </comment>
    <comment ref="A42" authorId="0" shapeId="0">
      <text>
        <t>Grid export question</t>
      </text>
    </comment>
    <comment ref="A51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8" headerRowCount="1">
  <autoFilter ref="A16:D1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5_1" displayName="T_All_Questions_25_1" ref="A25:D27" headerRowCount="1">
  <autoFilter ref="A25:D2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4_1" displayName="T_All_Questions_34_1" ref="A34:D38" headerRowCount="1">
  <autoFilter ref="A34:D38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6_1" displayName="T_All_Questions_46_1" ref="A46:D48" headerRowCount="1">
  <autoFilter ref="A46:D48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5_1" displayName="T_All_Questions_55_1" ref="A55:D57" headerRowCount="1">
  <autoFilter ref="A55:D5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None_options</t>
        </is>
      </c>
      <c r="D1" t="inlineStr">
        <is>
          <t>Q_SS_EXPORT_options</t>
        </is>
      </c>
      <c r="E1" t="inlineStr">
        <is>
          <t>Q_MS_EXPORTr1_options</t>
        </is>
      </c>
      <c r="F1" t="inlineStr">
        <is>
          <t>Q_MS_EXPORTr2_options</t>
        </is>
      </c>
      <c r="G1" t="inlineStr">
        <is>
          <t>Q_NUM_EXPORT_options</t>
        </is>
      </c>
      <c r="H1" t="inlineStr">
        <is>
          <t>Q_GRID_EXPORTr1_options</t>
        </is>
      </c>
      <c r="I1" t="inlineStr">
        <is>
          <t>Q_GRID_EXPORTr2_options</t>
        </is>
      </c>
      <c r="J1" t="inlineStr">
        <is>
          <t>Q_VERY_LONG_SINGLE_SELECT_EXPOR_options</t>
        </is>
      </c>
      <c r="K1" t="inlineStr">
        <is>
          <t>Q_SEG_1_options</t>
        </is>
      </c>
      <c r="L1" t="inlineStr">
        <is>
          <t>Q_TGT_1_options</t>
        </is>
      </c>
      <c r="M1" t="inlineStr">
        <is>
          <t>Q_NUM_3_options</t>
        </is>
      </c>
      <c r="N1" t="inlineStr">
        <is>
          <t>Q_EXP_1_options</t>
        </is>
      </c>
      <c r="O1" t="inlineStr">
        <is>
          <t>Q_REAL_1_options</t>
        </is>
      </c>
      <c r="P1" t="inlineStr">
        <is>
          <t>Q_SS_EXPORT_local_options</t>
        </is>
      </c>
      <c r="Q1" t="inlineStr">
        <is>
          <t>Q_MS_EXPORTr1_local_options</t>
        </is>
      </c>
      <c r="R1" t="inlineStr">
        <is>
          <t>Q_MS_EXPORTr2_local_options</t>
        </is>
      </c>
      <c r="S1" t="inlineStr">
        <is>
          <t>Q_NUM_EXPORT_local_options</t>
        </is>
      </c>
      <c r="T1" t="inlineStr">
        <is>
          <t>Q_GRID_EXPORTr1_local_options</t>
        </is>
      </c>
      <c r="U1" t="inlineStr">
        <is>
          <t>Q_GRID_EXPORTr2_local_options</t>
        </is>
      </c>
      <c r="V1" t="inlineStr">
        <is>
          <t>Q_VERY_LONG_SINGLE_SELECT_EXPOR_local_options</t>
        </is>
      </c>
      <c r="W1" t="inlineStr">
        <is>
          <t>Q_SEG_1_local_options</t>
        </is>
      </c>
      <c r="X1" t="inlineStr">
        <is>
          <t>Q_TGT_1_local_options</t>
        </is>
      </c>
      <c r="Y1" t="inlineStr">
        <is>
          <t>Q_NUM_3_local_options</t>
        </is>
      </c>
      <c r="Z1" t="inlineStr">
        <is>
          <t>Q_EXP_1_local_options</t>
        </is>
      </c>
      <c r="AA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(All)</t>
        </is>
      </c>
      <c r="D2" t="inlineStr">
        <is>
          <t>(All)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</row>
    <row r="3">
      <c r="A3" t="inlineStr">
        <is>
          <t>Q_SS_EXPORT</t>
        </is>
      </c>
      <c r="B3" t="inlineStr">
        <is>
          <t>(None)</t>
        </is>
      </c>
      <c r="D3" t="inlineStr">
        <is>
          <t>Yes</t>
        </is>
      </c>
      <c r="E3" t="inlineStr">
        <is>
          <t>Selected</t>
        </is>
      </c>
      <c r="F3" t="inlineStr">
        <is>
          <t>Selected</t>
        </is>
      </c>
      <c r="G3" t="inlineStr">
        <is>
          <t>5.5</t>
        </is>
      </c>
      <c r="H3" t="inlineStr">
        <is>
          <t>Selected</t>
        </is>
      </c>
      <c r="I3" t="inlineStr">
        <is>
          <t>Selected</t>
        </is>
      </c>
      <c r="J3" t="inlineStr">
        <is>
          <t>A</t>
        </is>
      </c>
      <c r="K3" t="inlineStr">
        <is>
          <t>Segment 1</t>
        </is>
      </c>
      <c r="L3" t="inlineStr">
        <is>
          <t>A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</row>
    <row r="4">
      <c r="A4" t="inlineStr">
        <is>
          <t>Q_MS_EXPORTr1</t>
        </is>
      </c>
      <c r="B4" t="inlineStr">
        <is>
          <t>Q_SS_EXPORT</t>
        </is>
      </c>
      <c r="D4" t="inlineStr">
        <is>
          <t>No</t>
        </is>
      </c>
      <c r="J4" t="inlineStr">
        <is>
          <t>B</t>
        </is>
      </c>
      <c r="K4" t="inlineStr">
        <is>
          <t>Segment 2</t>
        </is>
      </c>
      <c r="L4" t="inlineStr">
        <is>
          <t>B</t>
        </is>
      </c>
      <c r="P4" t="inlineStr">
        <is>
          <t>Yes</t>
        </is>
      </c>
      <c r="Q4" t="inlineStr">
        <is>
          <t>Selected</t>
        </is>
      </c>
      <c r="R4" t="inlineStr">
        <is>
          <t>Selected</t>
        </is>
      </c>
      <c r="S4" t="inlineStr">
        <is>
          <t>5.5</t>
        </is>
      </c>
      <c r="T4" t="inlineStr">
        <is>
          <t>Selected</t>
        </is>
      </c>
      <c r="U4" t="inlineStr">
        <is>
          <t>Selected</t>
        </is>
      </c>
      <c r="V4" t="inlineStr">
        <is>
          <t>A</t>
        </is>
      </c>
      <c r="W4" t="inlineStr">
        <is>
          <t>Segment 1</t>
        </is>
      </c>
      <c r="X4" t="inlineStr">
        <is>
          <t>A</t>
        </is>
      </c>
    </row>
    <row r="5">
      <c r="A5" t="inlineStr">
        <is>
          <t>Q_MS_EXPORTr2</t>
        </is>
      </c>
      <c r="B5" t="inlineStr">
        <is>
          <t>Q_MS_EXPORTr1</t>
        </is>
      </c>
      <c r="K5" t="inlineStr">
        <is>
          <t>Segment 3</t>
        </is>
      </c>
      <c r="L5" t="inlineStr">
        <is>
          <t>C</t>
        </is>
      </c>
      <c r="P5" t="inlineStr">
        <is>
          <t>No</t>
        </is>
      </c>
      <c r="V5" t="inlineStr">
        <is>
          <t>B</t>
        </is>
      </c>
      <c r="W5" t="inlineStr">
        <is>
          <t>Segment 2</t>
        </is>
      </c>
      <c r="X5" t="inlineStr">
        <is>
          <t>B</t>
        </is>
      </c>
    </row>
    <row r="6">
      <c r="A6" t="inlineStr">
        <is>
          <t>Q_NUM_EXPORT</t>
        </is>
      </c>
      <c r="B6" t="inlineStr">
        <is>
          <t>Q_MS_EXPORTr2</t>
        </is>
      </c>
      <c r="L6" t="inlineStr">
        <is>
          <t>D</t>
        </is>
      </c>
      <c r="W6" t="inlineStr">
        <is>
          <t>Segment 3</t>
        </is>
      </c>
      <c r="X6" t="inlineStr">
        <is>
          <t>C</t>
        </is>
      </c>
    </row>
    <row r="7">
      <c r="A7" t="inlineStr">
        <is>
          <t>Q_GRID_EXPORTr1</t>
        </is>
      </c>
      <c r="B7" t="inlineStr">
        <is>
          <t>Q_NUM_EXPORT</t>
        </is>
      </c>
      <c r="X7" t="inlineStr">
        <is>
          <t>D</t>
        </is>
      </c>
    </row>
    <row r="8">
      <c r="A8" t="inlineStr">
        <is>
          <t>Q_GRID_EXPORTr2</t>
        </is>
      </c>
      <c r="B8" t="inlineStr">
        <is>
          <t>Q_GRID_EXPORTr1</t>
        </is>
      </c>
    </row>
    <row r="9">
      <c r="A9" t="inlineStr">
        <is>
          <t>Q_VERY_LONG_SINGLE_SELECT_EXPOR</t>
        </is>
      </c>
      <c r="B9" t="inlineStr">
        <is>
          <t>Q_GRID_EXPORTr2</t>
        </is>
      </c>
    </row>
    <row r="10">
      <c r="A10" t="inlineStr">
        <is>
          <t>Q_SEG_1</t>
        </is>
      </c>
      <c r="B10" t="inlineStr">
        <is>
          <t>Q_VERY_LONG_SINGLE_SELECT_EXPOR</t>
        </is>
      </c>
    </row>
    <row r="11">
      <c r="A11" t="inlineStr">
        <is>
          <t>Q_TGT_1</t>
        </is>
      </c>
      <c r="B11" t="inlineStr">
        <is>
          <t>Q_SEG_1</t>
        </is>
      </c>
    </row>
    <row r="12">
      <c r="A12" t="inlineStr">
        <is>
          <t>Q_NUM_3</t>
        </is>
      </c>
      <c r="B12" t="inlineStr">
        <is>
          <t>Q_TGT_1</t>
        </is>
      </c>
    </row>
    <row r="13">
      <c r="A13" t="inlineStr">
        <is>
          <t>Q_EXP_1</t>
        </is>
      </c>
      <c r="B13" t="inlineStr">
        <is>
          <t>Q_NUM_3</t>
        </is>
      </c>
    </row>
    <row r="14">
      <c r="A14" t="inlineStr">
        <is>
          <t>Q_REAL_1</t>
        </is>
      </c>
      <c r="B14" t="inlineStr">
        <is>
          <t>Q_EXP_1</t>
        </is>
      </c>
    </row>
    <row r="15">
      <c r="B15" t="inlineStr">
        <is>
          <t>Q_REAL_1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>
        <f>IF(F_Custom1_Q="(None)","respondent_id_data",F_Custom1_Q &amp; "_data")</f>
        <v/>
      </c>
      <c r="F6">
        <f>IF(OR(F_Custom1_V="",ISBLANK(F_Custom1_V)),"|(All)|","|" &amp; SUBSTITUTE(F_Custom1_V, ", ", "|") &amp; "|")</f>
        <v/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>
        <f>IF(F_Custom2_Q="(None)","respondent_id_data",F_Custom2_Q &amp; "_data")</f>
        <v/>
      </c>
      <c r="F7">
        <f>IF(OR(F_Custom2_V="",ISBLANK(F_Custom2_V)),"|(All)|","|" &amp; SUBSTITUTE(F_Custom2_V, ", ", "|") &amp; "|")</f>
        <v/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=INDIRECT(IF(F_Custom1_Q="(None)","None_options",F_Custom1_Q &amp; "_options"))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=INDIRECT(IF(F_Custom2_Q="(None)","None_options",F_Custom2_Q &amp; "_options"))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5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>
        <f>IF(All_Questions_F_Custom1_Q="(Inherit)",F_Custom1_Q,All_Questions_F_Custom1_Q)</f>
        <v/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>
        <f>IF(All_Questions_F_Custom1_V="(Inherit)",F_Custom1_V,All_Questions_F_Custom1_V)</f>
        <v/>
      </c>
      <c r="D6">
        <f>IF(OR(All_Questions_F_Custom1_V_resolved="",ISBLANK(All_Questions_F_Custom1_V_resolved)),"|(All)|","|" &amp; SUBSTITUTE(All_Questions_F_Custom1_V_resolved, ", ", "|") &amp; "|")</f>
        <v/>
      </c>
      <c r="E6" t="inlineStr">
        <is>
          <t>Choose one value or type comma-separated values</t>
        </is>
      </c>
      <c r="F6">
        <f>IF(All_Questions_F_Custom1_Q_resolved="(None)","respondent_id_data",All_Questions_F_Custom1_Q_resolved &amp; "_data")</f>
        <v/>
      </c>
    </row>
    <row r="7">
      <c r="A7" t="inlineStr">
        <is>
          <t>Custom 2 question</t>
        </is>
      </c>
      <c r="B7" t="inlineStr">
        <is>
          <t>(Inherit)</t>
        </is>
      </c>
      <c r="C7">
        <f>IF(All_Questions_F_Custom2_Q="(Inherit)",F_Custom2_Q,All_Questions_F_Custom2_Q)</f>
        <v/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>
        <f>IF(All_Questions_F_Custom2_V="(Inherit)",F_Custom2_V,All_Questions_F_Custom2_V)</f>
        <v/>
      </c>
      <c r="D8">
        <f>IF(OR(All_Questions_F_Custom2_V_resolved="",ISBLANK(All_Questions_F_Custom2_V_resolved)),"|(All)|","|" &amp; SUBSTITUTE(All_Questions_F_Custom2_V_resolved, ", ", "|") &amp; "|")</f>
        <v/>
      </c>
      <c r="E8" t="inlineStr">
        <is>
          <t>Choose one value or type comma-separated values</t>
        </is>
      </c>
      <c r="F8">
        <f>IF(All_Questions_F_Custom2_Q_resolved="(None)","respondent_id_data",All_Questions_F_Custom2_Q_resolved &amp; "_data")</f>
        <v/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>
        <f>IF(All_Questions_Q_SS_EXPORT_F_Q="(None)","respondent_id_data",All_Questions_Q_SS_EXPORT_F_Q &amp; "_data")</f>
        <v/>
      </c>
      <c r="G13">
        <f>IF(OR(All_Questions_Q_SS_EXPORT_F_V="",ISBLANK(All_Questions_Q_SS_EXPORT_F_V)),"|(All)|","|" &amp; SUBSTITUTE(All_Questions_Q_SS_EXPORT_F_V, ", ", "|") &amp; "|")</f>
        <v/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>
        <f>IFERROR(INDEX(INDIRECT(All_Questions_Q_SS_EXPORT_CT &amp; "_options"),2),"")</f>
        <v/>
      </c>
      <c r="H16">
        <f>IFERROR(INDEX(INDIRECT(All_Questions_Q_SS_EXPORT_CT &amp; "_options"),3),"")</f>
        <v/>
      </c>
      <c r="I16">
        <f>IFERROR(INDEX(INDIRECT(All_Questions_Q_SS_EXPORT_CT &amp; "_options"),4),"")</f>
        <v/>
      </c>
      <c r="J16">
        <f>IFERROR(INDEX(INDIRECT(All_Questions_Q_SS_EXPORT_CT &amp; "_options"),5),"")</f>
        <v/>
      </c>
      <c r="K16">
        <f>IFERROR(INDEX(INDIRECT(All_Questions_Q_SS_EXPORT_CT &amp; "_options"),6),"")</f>
        <v/>
      </c>
      <c r="L16">
        <f>IFERROR(INDEX(INDIRECT(All_Questions_Q_SS_EXPORT_CT &amp; "_options"),7),"")</f>
        <v/>
      </c>
      <c r="M16">
        <f>IFERROR(INDEX(INDIRECT(All_Questions_Q_SS_EXPORT_CT &amp; "_options"),8),"")</f>
        <v/>
      </c>
      <c r="N16">
        <f>IFERROR(INDEX(INDIRECT(All_Questions_Q_SS_EXPORT_CT &amp; "_options"),9),"")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)</f>
        <v/>
      </c>
      <c r="C17" s="7">
        <f>IFERROR(B17/SUBTOTAL(9,B17:B18),0)</f>
        <v/>
      </c>
      <c r="D17" s="14">
        <f>SUBTOTAL(9,B17:B18)</f>
        <v/>
      </c>
      <c r="F17" t="inlineStr">
        <is>
          <t>Yes</t>
        </is>
      </c>
      <c r="G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"_data")=G$16)))</f>
        <v/>
      </c>
      <c r="H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"_data")=H$16)))</f>
        <v/>
      </c>
      <c r="I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"_data")=I$16)))</f>
        <v/>
      </c>
      <c r="J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"_data")=J$16)))</f>
        <v/>
      </c>
      <c r="K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"_data")=K$16)))</f>
        <v/>
      </c>
      <c r="L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"_data")=L$16)))</f>
        <v/>
      </c>
      <c r="M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"_data")=M$16)))</f>
        <v/>
      </c>
      <c r="N17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Yes")*--(INDIRECT(All_Questions_Q_SS_EXPORT_CT &amp; "_data")=N$16)))</f>
        <v/>
      </c>
      <c r="O17">
        <f>SUM(G17:N17)</f>
        <v/>
      </c>
    </row>
    <row r="18">
      <c r="A18" t="inlineStr">
        <is>
          <t>No</t>
        </is>
      </c>
      <c r="B1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)</f>
        <v/>
      </c>
      <c r="C18" s="7">
        <f>IFERROR(B18/SUBTOTAL(9,B17:B18),0)</f>
        <v/>
      </c>
      <c r="D18" s="14">
        <f>SUBTOTAL(9,B17:B18)</f>
        <v/>
      </c>
      <c r="F18" t="inlineStr">
        <is>
          <t>No</t>
        </is>
      </c>
      <c r="G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"_data")=G$16)))</f>
        <v/>
      </c>
      <c r="H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"_data")=H$16)))</f>
        <v/>
      </c>
      <c r="I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"_data")=I$16)))</f>
        <v/>
      </c>
      <c r="J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"_data")=J$16)))</f>
        <v/>
      </c>
      <c r="K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"_data")=K$16)))</f>
        <v/>
      </c>
      <c r="L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"_data")=L$16)))</f>
        <v/>
      </c>
      <c r="M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"_data")=M$16)))</f>
        <v/>
      </c>
      <c r="N18">
        <f>IF(All_Questions_Q_S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SS_EXPORT_F_Q="(None)",1,IF(All_Questions_Q_SS_EXPORT_F_wrapped="|(All)|",1,--ISNUMBER(SEARCH("|"&amp;INDIRECT(All_Questions_Q_SS_EXPORT_F_resolved_column)&amp;"|",All_Questions_Q_SS_EXPORT_F_wrapped))))*--(Q_SS_EXPORT_data="No")*--(INDIRECT(All_Questions_Q_SS_EXPORT_CT &amp; "_data")=N$16)))</f>
        <v/>
      </c>
      <c r="O18">
        <f>SUM(G18:N18)</f>
        <v/>
      </c>
    </row>
    <row r="20">
      <c r="A20" s="11" t="n"/>
      <c r="B20" s="11" t="n"/>
      <c r="C20" s="11" t="n"/>
      <c r="D20" s="11" t="n"/>
      <c r="E20" s="11" t="n"/>
      <c r="F20" s="11" t="n"/>
      <c r="G20" s="11" t="n"/>
      <c r="H20" s="11" t="n"/>
      <c r="I20" s="11" t="n"/>
      <c r="J20" s="11" t="n"/>
    </row>
    <row r="21">
      <c r="A21" s="12" t="inlineStr">
        <is>
          <t>Q_MS_EXPORT - Multi select export question</t>
        </is>
      </c>
    </row>
    <row r="22">
      <c r="A22" s="13" t="inlineStr">
        <is>
          <t>Per-question filter</t>
        </is>
      </c>
      <c r="B22" t="inlineStr">
        <is>
          <t>Filter Q</t>
        </is>
      </c>
      <c r="C22" t="inlineStr">
        <is>
          <t>(None)</t>
        </is>
      </c>
      <c r="D22" t="inlineStr">
        <is>
          <t>Value</t>
        </is>
      </c>
      <c r="E22" t="inlineStr">
        <is>
          <t>(All)</t>
        </is>
      </c>
      <c r="F22">
        <f>IF(All_Questions_Q_MS_EXPORT_F_Q="(None)","respondent_id_data",All_Questions_Q_MS_EXPORT_F_Q &amp; "_data")</f>
        <v/>
      </c>
      <c r="G22">
        <f>IF(OR(All_Questions_Q_MS_EXPORT_F_V="",ISBLANK(All_Questions_Q_MS_EXPORT_F_V)),"|(All)|","|" &amp; SUBSTITUTE(All_Questions_Q_MS_EXPORT_F_V, ", ", "|") &amp; "|")</f>
        <v/>
      </c>
    </row>
    <row r="23">
      <c r="A23" s="13" t="inlineStr">
        <is>
          <t>Cross-tab by</t>
        </is>
      </c>
      <c r="C23" t="inlineStr">
        <is>
          <t>(None)</t>
        </is>
      </c>
    </row>
    <row r="25">
      <c r="A25" s="4" t="inlineStr">
        <is>
          <t>Option</t>
        </is>
      </c>
      <c r="B25" s="4" t="inlineStr">
        <is>
          <t>Count</t>
        </is>
      </c>
      <c r="C25" s="4" t="inlineStr">
        <is>
          <t>%</t>
        </is>
      </c>
      <c r="D25" s="4" t="inlineStr">
        <is>
          <t>Denominator</t>
        </is>
      </c>
      <c r="F25" s="5" t="inlineStr">
        <is>
          <t>Option \ Cross-tab</t>
        </is>
      </c>
      <c r="G25">
        <f>IFERROR(INDEX(INDIRECT(All_Questions_Q_MS_EXPORT_CT &amp; "_options"),2),"")</f>
        <v/>
      </c>
      <c r="H25">
        <f>IFERROR(INDEX(INDIRECT(All_Questions_Q_MS_EXPORT_CT &amp; "_options"),3),"")</f>
        <v/>
      </c>
      <c r="I25">
        <f>IFERROR(INDEX(INDIRECT(All_Questions_Q_MS_EXPORT_CT &amp; "_options"),4),"")</f>
        <v/>
      </c>
      <c r="J25">
        <f>IFERROR(INDEX(INDIRECT(All_Questions_Q_MS_EXPORT_CT &amp; "_options"),5),"")</f>
        <v/>
      </c>
      <c r="K25">
        <f>IFERROR(INDEX(INDIRECT(All_Questions_Q_MS_EXPORT_CT &amp; "_options"),6),"")</f>
        <v/>
      </c>
      <c r="L25">
        <f>IFERROR(INDEX(INDIRECT(All_Questions_Q_MS_EXPORT_CT &amp; "_options"),7),"")</f>
        <v/>
      </c>
      <c r="M25">
        <f>IFERROR(INDEX(INDIRECT(All_Questions_Q_MS_EXPORT_CT &amp; "_options"),8),"")</f>
        <v/>
      </c>
      <c r="N25">
        <f>IFERROR(INDEX(INDIRECT(All_Questions_Q_MS_EXPORT_CT &amp; "_options"),9),"")</f>
        <v/>
      </c>
      <c r="O25" s="5" t="inlineStr">
        <is>
          <t>TOTAL</t>
        </is>
      </c>
    </row>
    <row r="26">
      <c r="A26" t="inlineStr">
        <is>
          <t>First</t>
        </is>
      </c>
      <c r="B2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)</f>
        <v/>
      </c>
      <c r="C26" s="7">
        <f>IFERROR(B26/SUBTOTAL(9,B26:B27),0)</f>
        <v/>
      </c>
      <c r="D26" s="14">
        <f>SUBTOTAL(9,B26:B27)</f>
        <v/>
      </c>
      <c r="F26" t="inlineStr">
        <is>
          <t>First</t>
        </is>
      </c>
      <c r="G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"_data")=G$25)))</f>
        <v/>
      </c>
      <c r="H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"_data")=H$25)))</f>
        <v/>
      </c>
      <c r="I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"_data")=I$25)))</f>
        <v/>
      </c>
      <c r="J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"_data")=J$25)))</f>
        <v/>
      </c>
      <c r="K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"_data")=K$25)))</f>
        <v/>
      </c>
      <c r="L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"_data")=L$25)))</f>
        <v/>
      </c>
      <c r="M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"_data")=M$25)))</f>
        <v/>
      </c>
      <c r="N26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1_data="Selected")*--(INDIRECT(All_Questions_Q_MS_EXPORT_CT &amp; "_data")=N$25)))</f>
        <v/>
      </c>
      <c r="O26">
        <f>SUM(G26:N26)</f>
        <v/>
      </c>
    </row>
    <row r="27">
      <c r="A27" t="inlineStr">
        <is>
          <t>Second</t>
        </is>
      </c>
      <c r="B2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)</f>
        <v/>
      </c>
      <c r="C27" s="7">
        <f>IFERROR(B27/SUBTOTAL(9,B26:B27),0)</f>
        <v/>
      </c>
      <c r="D27" s="14">
        <f>SUBTOTAL(9,B26:B27)</f>
        <v/>
      </c>
      <c r="F27" t="inlineStr">
        <is>
          <t>Second</t>
        </is>
      </c>
      <c r="G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"_data")=G$25)))</f>
        <v/>
      </c>
      <c r="H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"_data")=H$25)))</f>
        <v/>
      </c>
      <c r="I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"_data")=I$25)))</f>
        <v/>
      </c>
      <c r="J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"_data")=J$25)))</f>
        <v/>
      </c>
      <c r="K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"_data")=K$25)))</f>
        <v/>
      </c>
      <c r="L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"_data")=L$25)))</f>
        <v/>
      </c>
      <c r="M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"_data")=M$25)))</f>
        <v/>
      </c>
      <c r="N27">
        <f>IF(All_Questions_Q_MS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MS_EXPORT_F_Q="(None)",1,IF(All_Questions_Q_MS_EXPORT_F_wrapped="|(All)|",1,--ISNUMBER(SEARCH("|"&amp;INDIRECT(All_Questions_Q_MS_EXPORT_F_resolved_column)&amp;"|",All_Questions_Q_MS_EXPORT_F_wrapped))))*--(Q_MS_EXPORTr2_data="Selected")*--(INDIRECT(All_Questions_Q_MS_EXPORT_CT &amp; "_data")=N$25)))</f>
        <v/>
      </c>
      <c r="O27">
        <f>SUM(G27:N27)</f>
        <v/>
      </c>
    </row>
    <row r="29">
      <c r="A29" s="11" t="n"/>
      <c r="B29" s="11" t="n"/>
      <c r="C29" s="11" t="n"/>
      <c r="D29" s="11" t="n"/>
      <c r="E29" s="11" t="n"/>
      <c r="F29" s="11" t="n"/>
      <c r="G29" s="11" t="n"/>
      <c r="H29" s="11" t="n"/>
      <c r="I29" s="11" t="n"/>
      <c r="J29" s="11" t="n"/>
    </row>
    <row r="30">
      <c r="A30" s="12" t="inlineStr">
        <is>
          <t>Q_NUM_EXPORT - Numeric export question</t>
        </is>
      </c>
    </row>
    <row r="31">
      <c r="A31" s="13" t="inlineStr">
        <is>
          <t>Per-question filter</t>
        </is>
      </c>
      <c r="B31" t="inlineStr">
        <is>
          <t>Filter Q</t>
        </is>
      </c>
      <c r="C31" t="inlineStr">
        <is>
          <t>(None)</t>
        </is>
      </c>
      <c r="D31" t="inlineStr">
        <is>
          <t>Value</t>
        </is>
      </c>
      <c r="E31" t="inlineStr">
        <is>
          <t>(All)</t>
        </is>
      </c>
      <c r="F31">
        <f>IF(All_Questions_Q_NUM_EXPORT_F_Q="(None)","respondent_id_data",All_Questions_Q_NUM_EXPORT_F_Q &amp; "_data")</f>
        <v/>
      </c>
      <c r="G31">
        <f>IF(OR(All_Questions_Q_NUM_EXPORT_F_V="",ISBLANK(All_Questions_Q_NUM_EXPORT_F_V)),"|(All)|","|" &amp; SUBSTITUTE(All_Questions_Q_NUM_EXPORT_F_V, ", ", "|") &amp; "|")</f>
        <v/>
      </c>
    </row>
    <row r="32">
      <c r="A32" s="13" t="inlineStr">
        <is>
          <t>Cross-tab by</t>
        </is>
      </c>
      <c r="C32" t="inlineStr">
        <is>
          <t>(None)</t>
        </is>
      </c>
    </row>
    <row r="34">
      <c r="A34" s="4" t="inlineStr">
        <is>
          <t>Metric</t>
        </is>
      </c>
      <c r="B34" s="4" t="inlineStr">
        <is>
          <t>Value</t>
        </is>
      </c>
      <c r="C34" s="4" t="inlineStr">
        <is>
          <t>Note</t>
        </is>
      </c>
      <c r="D34" s="4" t="inlineStr">
        <is>
          <t>Denominator</t>
        </is>
      </c>
    </row>
    <row r="35">
      <c r="A35" t="inlineStr">
        <is>
          <t>Mean</t>
        </is>
      </c>
      <c r="B35">
        <f>IFERROR(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*Q_NUM_EXPORT_data)/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0)</f>
        <v/>
      </c>
      <c r="D35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6">
      <c r="A36" t="inlineStr">
        <is>
          <t>Min</t>
        </is>
      </c>
      <c r="B36">
        <f>IFERROR(AGGREGATE(15,6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7">
      <c r="A37" t="inlineStr">
        <is>
          <t>Max</t>
        </is>
      </c>
      <c r="B37">
        <f>IFERROR(AGGREGATE(14,6,Q_NUM_EXPORT_data/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,1),0)</f>
        <v/>
      </c>
      <c r="D3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8">
      <c r="A38" t="inlineStr">
        <is>
          <t>Std</t>
        </is>
      </c>
      <c r="B38" t="n">
        <v>2.9</v>
      </c>
      <c r="C38" t="inlineStr">
        <is>
          <t>static baseline</t>
        </is>
      </c>
      <c r="D3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NUM_EXPORT_F_Q="(None)",1,IF(All_Questions_Q_NUM_EXPORT_F_wrapped="|(All)|",1,--ISNUMBER(SEARCH("|"&amp;INDIRECT(All_Questions_Q_NUM_EXPORT_F_resolved_column)&amp;"|",All_Questions_Q_NUM_EXPORT_F_wrapped))))*--ISNUMBER(Q_NUM_EXPORT_data))</f>
        <v/>
      </c>
    </row>
    <row r="39">
      <c r="A39" s="10" t="inlineStr">
        <is>
          <t>Median not available in filtered view - see static baseline in audit log.</t>
        </is>
      </c>
    </row>
    <row r="41">
      <c r="A41" s="11" t="n"/>
      <c r="B41" s="11" t="n"/>
      <c r="C41" s="11" t="n"/>
      <c r="D41" s="11" t="n"/>
      <c r="E41" s="11" t="n"/>
      <c r="F41" s="11" t="n"/>
      <c r="G41" s="11" t="n"/>
      <c r="H41" s="11" t="n"/>
      <c r="I41" s="11" t="n"/>
      <c r="J41" s="11" t="n"/>
    </row>
    <row r="42">
      <c r="A42" s="12" t="inlineStr">
        <is>
          <t>Q_GRID_EXPORT - Grid export question</t>
        </is>
      </c>
    </row>
    <row r="43">
      <c r="A43" s="13" t="inlineStr">
        <is>
          <t>Per-question filter</t>
        </is>
      </c>
      <c r="B43" t="inlineStr">
        <is>
          <t>Filter Q</t>
        </is>
      </c>
      <c r="C43" t="inlineStr">
        <is>
          <t>(None)</t>
        </is>
      </c>
      <c r="D43" t="inlineStr">
        <is>
          <t>Value</t>
        </is>
      </c>
      <c r="E43" t="inlineStr">
        <is>
          <t>(All)</t>
        </is>
      </c>
      <c r="F43">
        <f>IF(All_Questions_Q_GRID_EXPORT_F_Q="(None)","respondent_id_data",All_Questions_Q_GRID_EXPORT_F_Q &amp; "_data")</f>
        <v/>
      </c>
      <c r="G43">
        <f>IF(OR(All_Questions_Q_GRID_EXPORT_F_V="",ISBLANK(All_Questions_Q_GRID_EXPORT_F_V)),"|(All)|","|" &amp; SUBSTITUTE(All_Questions_Q_GRID_EXPORT_F_V, ", ", "|") &amp; "|")</f>
        <v/>
      </c>
    </row>
    <row r="44">
      <c r="A44" s="13" t="inlineStr">
        <is>
          <t>Cross-tab by</t>
        </is>
      </c>
      <c r="C44" t="inlineStr">
        <is>
          <t>(None)</t>
        </is>
      </c>
    </row>
    <row r="46">
      <c r="A46" s="4" t="inlineStr">
        <is>
          <t>Option</t>
        </is>
      </c>
      <c r="B46" s="4" t="inlineStr">
        <is>
          <t>Count</t>
        </is>
      </c>
      <c r="C46" s="4" t="inlineStr">
        <is>
          <t>%</t>
        </is>
      </c>
      <c r="D46" s="4" t="inlineStr">
        <is>
          <t>Denominator</t>
        </is>
      </c>
      <c r="F46" s="5" t="inlineStr">
        <is>
          <t>Option \ Cross-tab</t>
        </is>
      </c>
      <c r="G46">
        <f>IFERROR(INDEX(INDIRECT(All_Questions_Q_GRID_EXPORT_CT &amp; "_options"),2),"")</f>
        <v/>
      </c>
      <c r="H46">
        <f>IFERROR(INDEX(INDIRECT(All_Questions_Q_GRID_EXPORT_CT &amp; "_options"),3),"")</f>
        <v/>
      </c>
      <c r="I46">
        <f>IFERROR(INDEX(INDIRECT(All_Questions_Q_GRID_EXPORT_CT &amp; "_options"),4),"")</f>
        <v/>
      </c>
      <c r="J46">
        <f>IFERROR(INDEX(INDIRECT(All_Questions_Q_GRID_EXPORT_CT &amp; "_options"),5),"")</f>
        <v/>
      </c>
      <c r="K46">
        <f>IFERROR(INDEX(INDIRECT(All_Questions_Q_GRID_EXPORT_CT &amp; "_options"),6),"")</f>
        <v/>
      </c>
      <c r="L46">
        <f>IFERROR(INDEX(INDIRECT(All_Questions_Q_GRID_EXPORT_CT &amp; "_options"),7),"")</f>
        <v/>
      </c>
      <c r="M46">
        <f>IFERROR(INDEX(INDIRECT(All_Questions_Q_GRID_EXPORT_CT &amp; "_options"),8),"")</f>
        <v/>
      </c>
      <c r="N46">
        <f>IFERROR(INDEX(INDIRECT(All_Questions_Q_GRID_EXPORT_CT &amp; "_options"),9),"")</f>
        <v/>
      </c>
      <c r="O46" s="5" t="inlineStr">
        <is>
          <t>TOTAL</t>
        </is>
      </c>
    </row>
    <row r="47">
      <c r="A47" t="inlineStr">
        <is>
          <t>Grid first row</t>
        </is>
      </c>
      <c r="B4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)</f>
        <v/>
      </c>
      <c r="C47" s="7">
        <f>IFERROR(B47/SUBTOTAL(9,B47:B48),0)</f>
        <v/>
      </c>
      <c r="D47" s="14">
        <f>SUBTOTAL(9,B47:B48)</f>
        <v/>
      </c>
      <c r="F47" t="inlineStr">
        <is>
          <t>Grid first row</t>
        </is>
      </c>
      <c r="G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"_data")=G$46)))</f>
        <v/>
      </c>
      <c r="H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"_data")=H$46)))</f>
        <v/>
      </c>
      <c r="I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"_data")=I$46)))</f>
        <v/>
      </c>
      <c r="J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"_data")=J$46)))</f>
        <v/>
      </c>
      <c r="K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"_data")=K$46)))</f>
        <v/>
      </c>
      <c r="L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"_data")=L$46)))</f>
        <v/>
      </c>
      <c r="M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"_data")=M$46)))</f>
        <v/>
      </c>
      <c r="N47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1_data="Selected")*--(INDIRECT(All_Questions_Q_GRID_EXPORT_CT &amp; "_data")=N$46)))</f>
        <v/>
      </c>
      <c r="O47">
        <f>SUM(G47:N47)</f>
        <v/>
      </c>
    </row>
    <row r="48">
      <c r="A48" t="inlineStr">
        <is>
          <t>Grid second row</t>
        </is>
      </c>
      <c r="B48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)</f>
        <v/>
      </c>
      <c r="C48" s="7">
        <f>IFERROR(B48/SUBTOTAL(9,B47:B48),0)</f>
        <v/>
      </c>
      <c r="D48" s="14">
        <f>SUBTOTAL(9,B47:B48)</f>
        <v/>
      </c>
      <c r="F48" t="inlineStr">
        <is>
          <t>Grid second row</t>
        </is>
      </c>
      <c r="G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"_data")=G$46)))</f>
        <v/>
      </c>
      <c r="H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"_data")=H$46)))</f>
        <v/>
      </c>
      <c r="I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"_data")=I$46)))</f>
        <v/>
      </c>
      <c r="J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"_data")=J$46)))</f>
        <v/>
      </c>
      <c r="K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"_data")=K$46)))</f>
        <v/>
      </c>
      <c r="L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"_data")=L$46)))</f>
        <v/>
      </c>
      <c r="M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"_data")=M$46)))</f>
        <v/>
      </c>
      <c r="N48">
        <f>IF(All_Questions_Q_GRID_EXPORT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GRID_EXPORT_F_Q="(None)",1,IF(All_Questions_Q_GRID_EXPORT_F_wrapped="|(All)|",1,--ISNUMBER(SEARCH("|"&amp;INDIRECT(All_Questions_Q_GRID_EXPORT_F_resolved_column)&amp;"|",All_Questions_Q_GRID_EXPORT_F_wrapped))))*--(Q_GRID_EXPORTr2_data="Selected")*--(INDIRECT(All_Questions_Q_GRID_EXPORT_CT &amp; "_data")=N$46)))</f>
        <v/>
      </c>
      <c r="O48">
        <f>SUM(G48:N48)</f>
        <v/>
      </c>
    </row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Q_VERY_LONG_SINGLE_SELECT_EXPORT_NAME - Long sheet name export question</t>
        </is>
      </c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>
        <f>IF(All_Questions_Q_VERY_LONG_SINGLE_SELECT_EXPORT_NAME_F_Q="(None)","respondent_id_data",All_Questions_Q_VERY_LONG_SINGLE_SELECT_EXPORT_NAME_F_Q &amp; "_data")</f>
        <v/>
      </c>
      <c r="G52">
        <f>IF(OR(All_Questions_Q_VERY_LONG_SINGLE_SELECT_EXPORT_NAME_F_V="",ISBLANK(All_Questions_Q_VERY_LONG_SINGLE_SELECT_EXPORT_NAME_F_V)),"|(All)|","|" &amp; SUBSTITUTE(All_Questions_Q_VERY_LONG_SINGLE_SELECT_EXPORT_NAME_F_V, ", ", "|") &amp; "|")</f>
        <v/>
      </c>
    </row>
    <row r="53">
      <c r="A53" s="13" t="inlineStr">
        <is>
          <t>Cross-tab by</t>
        </is>
      </c>
      <c r="C53" t="inlineStr">
        <is>
          <t>(None)</t>
        </is>
      </c>
    </row>
    <row r="55">
      <c r="A55" s="4" t="inlineStr">
        <is>
          <t>Option</t>
        </is>
      </c>
      <c r="B55" s="4" t="inlineStr">
        <is>
          <t>Count</t>
        </is>
      </c>
      <c r="C55" s="4" t="inlineStr">
        <is>
          <t>%</t>
        </is>
      </c>
      <c r="D55" s="4" t="inlineStr">
        <is>
          <t>Denominator</t>
        </is>
      </c>
      <c r="F55" s="5" t="inlineStr">
        <is>
          <t>Option \ Cross-tab</t>
        </is>
      </c>
      <c r="G55">
        <f>IFERROR(INDEX(INDIRECT(All_Questions_Q_VERY_LONG_SINGLE_SELECT_EXPORT_NAME_CT &amp; "_options"),2),"")</f>
        <v/>
      </c>
      <c r="H55">
        <f>IFERROR(INDEX(INDIRECT(All_Questions_Q_VERY_LONG_SINGLE_SELECT_EXPORT_NAME_CT &amp; "_options"),3),"")</f>
        <v/>
      </c>
      <c r="I55">
        <f>IFERROR(INDEX(INDIRECT(All_Questions_Q_VERY_LONG_SINGLE_SELECT_EXPORT_NAME_CT &amp; "_options"),4),"")</f>
        <v/>
      </c>
      <c r="J55">
        <f>IFERROR(INDEX(INDIRECT(All_Questions_Q_VERY_LONG_SINGLE_SELECT_EXPORT_NAME_CT &amp; "_options"),5),"")</f>
        <v/>
      </c>
      <c r="K55">
        <f>IFERROR(INDEX(INDIRECT(All_Questions_Q_VERY_LONG_SINGLE_SELECT_EXPORT_NAME_CT &amp; "_options"),6),"")</f>
        <v/>
      </c>
      <c r="L55">
        <f>IFERROR(INDEX(INDIRECT(All_Questions_Q_VERY_LONG_SINGLE_SELECT_EXPORT_NAME_CT &amp; "_options"),7),"")</f>
        <v/>
      </c>
      <c r="M55">
        <f>IFERROR(INDEX(INDIRECT(All_Questions_Q_VERY_LONG_SINGLE_SELECT_EXPORT_NAME_CT &amp; "_options"),8),"")</f>
        <v/>
      </c>
      <c r="N55">
        <f>IFERROR(INDEX(INDIRECT(All_Questions_Q_VERY_LONG_SINGLE_SELECT_EXPORT_NAME_CT &amp; "_options"),9),"")</f>
        <v/>
      </c>
      <c r="O55" s="5" t="inlineStr">
        <is>
          <t>TOTAL</t>
        </is>
      </c>
    </row>
    <row r="56">
      <c r="A56" t="inlineStr">
        <is>
          <t>A</t>
        </is>
      </c>
      <c r="B56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)</f>
        <v/>
      </c>
      <c r="C56" s="7">
        <f>IFERROR(B56/SUBTOTAL(9,B56:B57),0)</f>
        <v/>
      </c>
      <c r="D56" s="14">
        <f>SUBTOTAL(9,B56:B57)</f>
        <v/>
      </c>
      <c r="F56" t="inlineStr">
        <is>
          <t>A</t>
        </is>
      </c>
      <c r="G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"_data")=G$55)))</f>
        <v/>
      </c>
      <c r="H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"_data")=H$55)))</f>
        <v/>
      </c>
      <c r="I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"_data")=I$55)))</f>
        <v/>
      </c>
      <c r="J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"_data")=J$55)))</f>
        <v/>
      </c>
      <c r="K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"_data")=K$55)))</f>
        <v/>
      </c>
      <c r="L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"_data")=L$55)))</f>
        <v/>
      </c>
      <c r="M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"_data")=M$55)))</f>
        <v/>
      </c>
      <c r="N56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A")*--(INDIRECT(All_Questions_Q_VERY_LONG_SINGLE_SELECT_EXPORT_NAME_CT &amp; "_data")=N$55)))</f>
        <v/>
      </c>
      <c r="O56">
        <f>SUM(G56:N56)</f>
        <v/>
      </c>
    </row>
    <row r="57">
      <c r="A57" t="inlineStr">
        <is>
          <t>B</t>
        </is>
      </c>
      <c r="B57">
        <f>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)</f>
        <v/>
      </c>
      <c r="C57" s="7">
        <f>IFERROR(B57/SUBTOTAL(9,B56:B57),0)</f>
        <v/>
      </c>
      <c r="D57" s="14">
        <f>SUBTOTAL(9,B56:B57)</f>
        <v/>
      </c>
      <c r="F57" t="inlineStr">
        <is>
          <t>B</t>
        </is>
      </c>
      <c r="G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"_data")=G$55)))</f>
        <v/>
      </c>
      <c r="H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"_data")=H$55)))</f>
        <v/>
      </c>
      <c r="I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"_data")=I$55)))</f>
        <v/>
      </c>
      <c r="J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"_data")=J$55)))</f>
        <v/>
      </c>
      <c r="K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"_data")=K$55)))</f>
        <v/>
      </c>
      <c r="L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"_data")=L$55)))</f>
        <v/>
      </c>
      <c r="M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"_data")=M$55)))</f>
        <v/>
      </c>
      <c r="N57">
        <f>IF(All_Questions_Q_VERY_LONG_SINGLE_SELECT_EXPORT_NAME_CT="(None)","",SUMPRODUCT(IF(All_Questions_F_Custom1_Q_resolved="(None)",1,IF(All_Questions_F_Custom1_wrapped="|(All)|",1,--ISNUMBER(SEARCH("|"&amp;INDIRECT(All_Questions_F_Custom1_resolved_column)&amp;"|",All_Questions_F_Custom1_wrapped))))*IF(All_Questions_F_Custom2_Q_resolved="(None)",1,IF(All_Questions_F_Custom2_wrapped="|(All)|",1,--ISNUMBER(SEARCH("|"&amp;INDIRECT(All_Questions_F_Custom2_resolved_column)&amp;"|",All_Questions_F_Custom2_wrapped))))*IF(All_Questions_Q_VERY_LONG_SINGLE_SELECT_EXPORT_NAME_F_Q="(None)",1,IF(All_Questions_Q_VERY_LONG_SINGLE_SELECT_EXPORT_NAME_F_wrapped="|(All)|",1,--ISNUMBER(SEARCH("|"&amp;INDIRECT(All_Questions_Q_VERY_LONG_SINGLE_SELECT_EXPORT_NAME_F_resolved_column)&amp;"|",All_Questions_Q_VERY_LONG_SINGLE_SELECT_EXPORT_NAME_F_wrapped))))*--(Q_VERY_LONG_SINGLE_SELECT_EXPOR_data="B")*--(INDIRECT(All_Questions_Q_VERY_LONG_SINGLE_SELECT_EXPORT_NAME_CT &amp; "_data")=N$55)))</f>
        <v/>
      </c>
      <c r="O57">
        <f>SUM(G57:N57)</f>
        <v/>
      </c>
    </row>
  </sheetData>
  <mergeCells count="6">
    <mergeCell ref="A1:J1"/>
    <mergeCell ref="A30:J30"/>
    <mergeCell ref="A21:J21"/>
    <mergeCell ref="A12:J12"/>
    <mergeCell ref="A42:J42"/>
    <mergeCell ref="A51:J51"/>
  </mergeCells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=INDIRECT(IF(All_Questions_F_Custom1_Q_resolved="(None)","None_options",All_Questions_F_Custom1_Q_resolved &amp; "_local_options"))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=INDIRECT(IF(All_Questions_F_Custom2_Q_resolved="(None)","None_options",All_Questions_F_Custom2_Q_resolved &amp; "_local_options"))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=INDIRECT(IF(All_Questions_Q_SS_EXPORT_F_Q="(None)","None_options",All_Questions_Q_SS_EXPORT_F_Q &amp; "_options"))</formula1>
    </dataValidation>
    <dataValidation sqref="C14" showDropDown="0" showInputMessage="0" showErrorMessage="0" allowBlank="1" type="list">
      <formula1>=All_Questions</formula1>
    </dataValidation>
    <dataValidation sqref="C22" showDropDown="0" showInputMessage="0" showErrorMessage="0" allowBlank="1" type="list">
      <formula1>=All_Questions</formula1>
    </dataValidation>
    <dataValidation sqref="E22" showDropDown="0" showInputMessage="0" showErrorMessage="0" allowBlank="1" type="list">
      <formula1>=INDIRECT(IF(All_Questions_Q_MS_EXPORT_F_Q="(None)","None_options",All_Questions_Q_MS_EXPORT_F_Q &amp; "_options"))</formula1>
    </dataValidation>
    <dataValidation sqref="C23" showDropDown="0" showInputMessage="0" showErrorMessage="0" allowBlank="1" type="list">
      <formula1>=All_Questions</formula1>
    </dataValidation>
    <dataValidation sqref="C31" showDropDown="0" showInputMessage="0" showErrorMessage="0" allowBlank="1" type="list">
      <formula1>=All_Questions</formula1>
    </dataValidation>
    <dataValidation sqref="E31" showDropDown="0" showInputMessage="0" showErrorMessage="0" allowBlank="1" type="list">
      <formula1>=INDIRECT(IF(All_Questions_Q_NUM_EXPORT_F_Q="(None)","None_options",All_Questions_Q_NUM_EXPORT_F_Q &amp; "_options"))</formula1>
    </dataValidation>
    <dataValidation sqref="C32" showDropDown="0" showInputMessage="0" showErrorMessage="0" allowBlank="1" type="list">
      <formula1>=All_Questions</formula1>
    </dataValidation>
    <dataValidation sqref="C43" showDropDown="0" showInputMessage="0" showErrorMessage="0" allowBlank="1" type="list">
      <formula1>=All_Questions</formula1>
    </dataValidation>
    <dataValidation sqref="E43" showDropDown="0" showInputMessage="0" showErrorMessage="0" allowBlank="1" type="list">
      <formula1>=INDIRECT(IF(All_Questions_Q_GRID_EXPORT_F_Q="(None)","None_options",All_Questions_Q_GRID_EXPORT_F_Q &amp; "_options"))</formula1>
    </dataValidation>
    <dataValidation sqref="C44" showDropDown="0" showInputMessage="0" showErrorMessage="0" allowBlank="1" type="list">
      <formula1>=All_Questions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=INDIRECT(IF(All_Questions_Q_VERY_LONG_SINGLE_SELECT_EXPORT_NAME_F_Q="(None)","None_options",All_Questions_Q_VERY_LONG_SINGLE_SELECT_EXPORT_NAME_F_Q &amp; "_options"))</formula1>
    </dataValidation>
    <dataValidation sqref="C53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2026-05-14T09:09:58.668734+00:00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2026-05-14T09:09:58.669572+00:00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2026-05-14T09:09:58.669629+00:00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2026-05-14T09:09:58.671630+00:00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2026-05-14T09:09:58.672810+00:00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2026-05-14T09:09:58.674300+00:00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2026-05-14T09:09:58.675098+00:00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2026-05-14T09:09:58.675120+00:00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2026-05-14T09:09:58.676062+00:00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2026-05-14T09:09:58.676822+00:00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2026-05-14T09:09:58.677534+00:00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2026-05-14T09:09:58.677632+00:00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2026-05-14T09:09:58Z</dcterms:created>
  <dcterms:modified xmlns:dcterms="http://purl.org/dc/terms/" xmlns:xsi="http://www.w3.org/2001/XMLSchema-instance" xsi:type="dcterms:W3CDTF">2026-05-14T09:09:58Z</dcterms:modified>
</cp:coreProperties>
</file>