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/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/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/>
      </c>
      <c r="K2">
        <f>I2*J2*1</f>
        <v/>
      </c>
      <c r="L2">
        <f>1</f>
        <v/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/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/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/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/>
      </c>
      <c r="K3">
        <f>I3*J3*1</f>
        <v/>
      </c>
      <c r="L3">
        <f>1</f>
        <v/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/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/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/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/>
      </c>
      <c r="K4">
        <f>I4*J4*1</f>
        <v/>
      </c>
      <c r="L4">
        <f>1</f>
        <v/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/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/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/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/>
      </c>
      <c r="K5">
        <f>I5*J5*1</f>
        <v/>
      </c>
      <c r="L5">
        <f>1</f>
        <v/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IFERROR(INDEX(All_Questions_Data_Names,MATCH(F_Custom1_Q,All_Questions,0)),"'_RawData'!$A:$A")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IFERROR(INDEX(All_Questions_Data_Names,MATCH(F_Custom2_Q,All_Questions,0)),"'_RawData'!$A:$A")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2026-05-25T09:47:04.072439+00:00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IFERROR(INDEX(All_Questions_Data_Names,MATCH(All_Questions_F_Custom1_Q_resolved,All_Questions,0)),"'_RawData'!$A:$A")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IFERROR(INDEX(All_Questions_Data_Names,MATCH(All_Questions_F_Custom2_Q_resolved,All_Questions,0)),"'_RawData'!$A:$A")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IFERROR(INDEX(All_Questions_Data_Names,MATCH(All_Questions_Q1_F_Q,All_Questions,0)),"'_RawData'!$A:$A")</f>
        <v/>
      </c>
      <c r="G13">
        <f>"|" &amp; SUBSTITUTE(All_Questions_Q1_F_V,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/>
      </c>
      <c r="D18" s="7">
        <f>IFERROR(C18/COUNTIFS(respondent_id_data,"&lt;&gt;",passes_workbook_filters_data,1,passes_workbook_custom_filters_data,1,All_Questions_passes_local_filters_data,1,All_Questions_Q1_F_passes_per_q_filter_data,1),0)</f>
        <v/>
      </c>
      <c r="F18" s="15">
        <f>IFERROR(AVERAGEIFS(Q1r1c1_data,passes_workbook_filters_data,1,passes_workbook_custom_filters_data,1,All_Questions_passes_local_filters_data,1,All_Questions_Q1_F_passes_per_q_filter_data,1),0)</f>
        <v/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/>
      </c>
      <c r="I18" s="15" t="n">
        <v>6.5</v>
      </c>
      <c r="J18" s="15">
        <f>ROUND(F18-H18,1)</f>
        <v/>
      </c>
      <c r="K18" s="15">
        <f>ROUND(G18-I18,1)</f>
        <v/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/>
      </c>
      <c r="D19" s="7">
        <f>IFERROR(C19/COUNTIFS(respondent_id_data,"&lt;&gt;",passes_workbook_filters_data,1,passes_workbook_custom_filters_data,1,All_Questions_passes_local_filters_data,1,All_Questions_Q1_F_passes_per_q_filter_data,1),0)</f>
        <v/>
      </c>
      <c r="F19" s="15">
        <f>IFERROR(AVERAGEIFS(Q1r2c1_data,passes_workbook_filters_data,1,passes_workbook_custom_filters_data,1,All_Questions_passes_local_filters_data,1,All_Questions_Q1_F_passes_per_q_filter_data,1),0)</f>
        <v/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/>
      </c>
      <c r="I19" s="15" t="n">
        <v>7</v>
      </c>
      <c r="J19" s="15">
        <f>ROUND(F19-H19,1)</f>
        <v/>
      </c>
      <c r="K19" s="15">
        <f>ROUND(G19-I19,1)</f>
        <v/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/>
      </c>
      <c r="D20" s="7">
        <f>IFERROR(C20/COUNTIFS(respondent_id_data,"&lt;&gt;",passes_workbook_filters_data,1,passes_workbook_custom_filters_data,1,All_Questions_passes_local_filters_data,1,All_Questions_Q1_F_passes_per_q_filter_data,1),0)</f>
        <v/>
      </c>
      <c r="F20" s="15">
        <f>IFERROR(AVERAGEIFS(Q1r3c1_data,passes_workbook_filters_data,1,passes_workbook_custom_filters_data,1,All_Questions_passes_local_filters_data,1,All_Questions_Q1_F_passes_per_q_filter_data,1),0)</f>
        <v/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/>
      </c>
      <c r="I20" s="15" t="n">
        <v>6</v>
      </c>
      <c r="J20" s="15">
        <f>ROUND(F20-H20,1)</f>
        <v/>
      </c>
      <c r="K20" s="15">
        <f>ROUND(G20-I20,1)</f>
        <v/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2026-05-25T09:47:04Z</dcterms:created>
  <dcterms:modified xmlns:dcterms="http://purl.org/dc/terms/" xmlns:xsi="http://www.w3.org/2001/XMLSchema-instance" xsi:type="dcterms:W3CDTF">2026-05-25T09:47:04Z</dcterms:modified>
</cp:coreProperties>
</file>