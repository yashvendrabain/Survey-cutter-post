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resolved_criteria">'Theme One'!$H$24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resolved_criteria">'All Questions'!$H$31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H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4" t="str">
        <f>"|" &amp; SUBSTITUTE(Theme_One_Q_MS_EXPORT_F_V, ", ", "|") &amp; "|"</f>
        <v>|(All)|</v>
      </c>
      <c r="H24" t="str">
        <f>IFERROR(INDEX(All_Questions_Value_Criteria,MATCH(Theme_One_Q_MS_EXPORT_F_Q&amp;"|"&amp;Theme_One_Q_MS_EXPORT_F_V,All_Questions_Value_Keys,0)),Theme_One_Q_MS_EXPORT_F_V)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IF(Theme_One_Q_MS_EXPORT_CT="(None)","",IFERROR(INDEX(INDIRECT(IFERROR(INDEX(Cross_Tab_Questions_Options_Names,MATCH(Theme_One_Q_MS_EXPORT_CT,Cross_Tab_Questions,0)),"'_Options'!$E$2:$E$2")),2),""))</f>
        <v/>
      </c>
      <c r="H27" s="2" t="str">
        <f>IF(Theme_One_Q_MS_EXPORT_CT="(None)","",IFERROR(INDEX(INDIRECT(IFERROR(INDEX(Cross_Tab_Questions_Options_Names,MATCH(Theme_One_Q_MS_EXPORT_CT,Cross_Tab_Questions,0)),"'_Options'!$E$2:$E$2")),3),""))</f>
        <v/>
      </c>
      <c r="I27" s="2" t="str">
        <f>IF(Theme_One_Q_MS_EXPORT_CT="(None)","",IFERROR(INDEX(INDIRECT(IFERROR(INDEX(Cross_Tab_Questions_Options_Names,MATCH(Theme_One_Q_MS_EXPORT_CT,Cross_Tab_Questions,0)),"'_Options'!$E$2:$E$2")),4),""))</f>
        <v/>
      </c>
      <c r="J27" s="2" t="str">
        <f>IF(Theme_One_Q_MS_EXPORT_CT="(None)","",IFERROR(INDEX(INDIRECT(IFERROR(INDEX(Cross_Tab_Questions_Options_Names,MATCH(Theme_One_Q_MS_EXPORT_CT,Cross_Tab_Questions,0)),"'_Options'!$E$2:$E$2")),5),""))</f>
        <v/>
      </c>
      <c r="K27" s="2" t="str">
        <f>IF(Theme_One_Q_MS_EXPORT_CT="(None)","",IFERROR(INDEX(INDIRECT(IFERROR(INDEX(Cross_Tab_Questions_Options_Names,MATCH(Theme_One_Q_MS_EXPORT_CT,Cross_Tab_Questions,0)),"'_Options'!$E$2:$E$2")),6),""))</f>
        <v/>
      </c>
      <c r="L27" s="2" t="str">
        <f>IF(Theme_One_Q_MS_EXPORT_CT="(None)","",IFERROR(INDEX(INDIRECT(IFERROR(INDEX(Cross_Tab_Questions_Options_Names,MATCH(Theme_One_Q_MS_EXPORT_CT,Cross_Tab_Questions,0)),"'_Options'!$E$2:$E$2")),7),""))</f>
        <v/>
      </c>
      <c r="M27" s="2" t="str">
        <f>IF(Theme_One_Q_MS_EXPORT_CT="(None)","",IFERROR(INDEX(INDIRECT(IFERROR(INDEX(Cross_Tab_Questions_Options_Names,MATCH(Theme_One_Q_MS_EXPORT_CT,Cross_Tab_Questions,0)),"'_Options'!$E$2:$E$2")),8),""))</f>
        <v/>
      </c>
      <c r="N27" s="2" t="str">
        <f>IF(Theme_One_Q_MS_EXPORT_CT="(None)","",IFERROR(INDEX(INDIRECT(IFERROR(INDEX(Cross_Tab_Questions_Options_Names,MATCH(Theme_One_Q_MS_EXPORT_CT,Cross_Tab_Questions,0)),"'_Options'!$E$2:$E$2")),9),""))</f>
        <v/>
      </c>
      <c r="O27" s="2" t="str">
        <f>IF(Theme_One_Q_MS_EXPORT_CT="(None)","",IFERROR(INDEX(INDIRECT(IFERROR(INDEX(Cross_Tab_Questions_Options_Names,MATCH(Theme_One_Q_MS_EXPORT_CT,Cross_Tab_Questions,0)),"'_Options'!$E$2:$E$2")),10),""))</f>
        <v/>
      </c>
      <c r="P27" s="2" t="str">
        <f>IF(Theme_One_Q_MS_EXPORT_CT="(None)","",IFERROR(INDEX(INDIRECT(IFERROR(INDEX(Cross_Tab_Questions_Options_Names,MATCH(Theme_One_Q_MS_EXPORT_CT,Cross_Tab_Questions,0)),"'_Options'!$E$2:$E$2")),11),""))</f>
        <v/>
      </c>
      <c r="Q27" s="2" t="str">
        <f>IF(Theme_One_Q_MS_EXPORT_CT="(None)","",IFERROR(INDEX(INDIRECT(IFERROR(INDEX(Cross_Tab_Questions_Options_Names,MATCH(Theme_One_Q_MS_EXPORT_CT,Cross_Tab_Questions,0)),"'_Options'!$E$2:$E$2")),12),""))</f>
        <v/>
      </c>
      <c r="R27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2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2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2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2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2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2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2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2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2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2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2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31" t="str">
        <f>"|" &amp; SUBSTITUTE(All_Questions_Q_VERY_LONG_SINGLE_SELECT_EXPORT_NAME_F_V, ", ", "|") &amp; "|"</f>
        <v>|(All)|</v>
      </c>
      <c r="H3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3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3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2026-06-09T06:51:08.061847+00:00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2026-06-09T06:51:08.061971+00:00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2026-06-09T06:51:08.062029+00:00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2026-06-09T06:51:08.062074+00:00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2026-06-09T06:51:08.062115+00:00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2026-06-09T06:51:08.062158+00:00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2026-06-09T06:51:08.062200+00:00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2026-06-09T06:51:08.062241+00:00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2026-06-09T06:51:08.062279+00:00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2026-06-09T06:51:08.062318+00:00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2026-06-09T06:51:08.062354+00:00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2026-06-09T06:51:08.062405+00:00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2026-06-09T06:51:08.062479+00:00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2026-06-09T06:51:08.062518+00:00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2026-06-09T06:51:08.062554+00:00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2026-06-09T06:51:08.062593+00:00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2026-06-09T06:51:08.062632+00:00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2026-06-09T06:51:08.062669+00:00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2026-06-09T06:51:08.062750+00:00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2026-06-09T06:51:08.062791+00:00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2026-06-09T06:51:08.062829+00:00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2026-06-09T06:51:08.062864+00:00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2026-06-09T06:51:08.062922+00:00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2026-06-09T06:51:08.063007+00:00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2026-06-09T06:51:08.070684+00:00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2026-06-09T06:51:08.070744+00:00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2026-06-09T06:51:08.070776+00:00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2026-06-09T06:51:08.070806+00:00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2026-06-09T06:51:08.070835+00:00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2026-06-09T06:51:08.070864+00:00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2026-06-09T06:51:08.070891+00:00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2026-06-09T06:51:08.070985+00:00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2026-06-09T06:51:08.071025+00:00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2026-06-09T06:51:08.071054+00:00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2026-06-09T06:51:08.071085+00:00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2026-06-09T06:51:08.071122+00:00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2026-06-09T06:51:03Z</dcterms:created>
  <dcterms:modified xmlns:dcterms="http://purl.org/dc/terms/" xmlns:xsi="http://www.w3.org/2001/XMLSchema-instance" xsi:type="dcterms:W3CDTF">2026-06-09T06:51:08Z</dcterms:modified>
</cp:coreProperties>
</file>