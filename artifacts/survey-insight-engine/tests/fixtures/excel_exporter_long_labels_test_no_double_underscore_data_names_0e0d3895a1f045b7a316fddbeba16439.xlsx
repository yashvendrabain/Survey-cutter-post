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Questions'!$C$24</definedName>
    <definedName name="All_Questions_Q56_Expected_2025_Gross_margin_growth_outlook_F_V">'All Questions'!$E$24</definedName>
    <definedName name="All_Questions_Q56_Expected_2025_Gross_margin_growth_outlook_F_resolved_column">'All Questions'!$F$24</definedName>
    <definedName name="All_Questions_Q56_Expected_2025_Gross_margin_growth_outlook_F_wrapped">'All Questions'!$G$24</definedName>
    <definedName name="All_Questions_Q56_Expected_2025_Gross_margin_growth_outlook_F_passes_per_q_filter_data">'_RawData'!$K$2:$K$7</definedName>
    <definedName name="All_Questions_Q56_Expected_2025_Gross_margin_growth_outlook_CT">'All Questions'!$C$25</definedName>
    <definedName name="All_Questions_Q102_Expected_2025_EBITDA_margin_growth_outlook_F_Q">'All Questions'!$C$35</definedName>
    <definedName name="All_Questions_Q102_Expected_2025_EBITDA_margin_growth_outlook_F_V">'All Questions'!$E$35</definedName>
    <definedName name="All_Questions_Q102_Expected_2025_EBITDA_margin_growth_outlook_F_resolved_column">'All Questions'!$F$35</definedName>
    <definedName name="All_Questions_Q102_Expected_2025_EBITDA_margin_growth_outlook_F_wrapped">'All Questions'!$G$35</definedName>
    <definedName name="All_Questions_Q102_Expected_2025_EBITDA_margin_growth_outlook_F_passes_per_q_filter_data">'_RawData'!$L$2:$L$7</definedName>
    <definedName name="All_Questions_Q102_Expected_2025_EBITDA_margin_growth_outlook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G38" i="7"/>
  <c r="H38" i="7"/>
  <c r="I38" i="7"/>
  <c r="J38" i="7"/>
  <c r="K38" i="7"/>
  <c r="L38" i="7"/>
  <c r="M38" i="7"/>
  <c r="N38" i="7"/>
  <c r="O38" i="7"/>
  <c r="P38" i="7"/>
  <c r="Q38" i="7"/>
  <c r="R38" i="7"/>
  <c r="B39" i="7"/>
  <c r="C39" i="7"/>
  <c r="D39" i="7"/>
  <c r="B40" i="7"/>
  <c r="C40" i="7"/>
  <c r="D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S4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 s="14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 s="14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 s="14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 s="14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 s="14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 s="14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 s="14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 s="14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 s="14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 s="14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 s="14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 s="14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 s="14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 s="14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 s="14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 s="14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 s="14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 s="14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 s="14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 s="14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 s="14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 s="14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 s="14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 s="14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 s="14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 s="14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Q56 Expected 2025 Gross margin growth outlook question text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IFERROR(INDEX(All_Questions_Data_Names,MATCH(All_Questions_Q56_Expected_2025_Gross_margin_growth_outlook_F_Q,All_Questions,0)),"'_RawData'!$A:$A")</f>
        <v>respondent_id_data</v>
      </c>
      <c r="G24" t="str">
        <f>"|" &amp; SUBSTITUTE(All_Questions_Q56_Expected_2025_Gross_margin_growth_outlook_F_V,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7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7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7" s="4" t="inlineStr">
        <is>
          <t>Total</t>
        </is>
      </c>
    </row>
    <row r="28">
      <c r="A28" t="inlineStr">
        <is>
          <t>Higher</t>
        </is>
      </c>
      <c r="B28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IFERROR(B28/SUBTOTAL(9,B28:B29),0)</f>
        <v>0.5</v>
      </c>
      <c r="D28" s="14">
        <f>SUBTOTAL(9,B28:B29)</f>
        <v>6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Lower</t>
        </is>
      </c>
      <c r="B29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9" s="7">
        <f>IFERROR(B29/SUBTOTAL(9,B28:B29),0)</f>
        <v>0.5</v>
      </c>
      <c r="D29" s="14">
        <f>SUBTOTAL(9,B28:B29)</f>
        <v>6</v>
      </c>
      <c r="F29" t="inlineStr">
        <is>
          <t>Higher</t>
        </is>
      </c>
      <c r="G29" s="14">
        <f>IF(OR(All_Questions_Q56_Expected_2025_Gross_margin_growth_outlook_CT="(None)",G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29" s="14">
        <f>IF(OR(All_Questions_Q56_Expected_2025_Gross_margin_growth_outlook_CT="(None)",H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29" s="14">
        <f>IF(OR(All_Questions_Q56_Expected_2025_Gross_margin_growth_outlook_CT="(None)",I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29" s="14">
        <f>IF(OR(All_Questions_Q56_Expected_2025_Gross_margin_growth_outlook_CT="(None)",J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29" s="14">
        <f>IF(OR(All_Questions_Q56_Expected_2025_Gross_margin_growth_outlook_CT="(None)",K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29" s="14">
        <f>IF(OR(All_Questions_Q56_Expected_2025_Gross_margin_growth_outlook_CT="(None)",L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29" s="14">
        <f>IF(OR(All_Questions_Q56_Expected_2025_Gross_margin_growth_outlook_CT="(None)",M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29" s="14">
        <f>IF(OR(All_Questions_Q56_Expected_2025_Gross_margin_growth_outlook_CT="(None)",N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29" s="14">
        <f>IF(OR(All_Questions_Q56_Expected_2025_Gross_margin_growth_outlook_CT="(None)",O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29" s="14">
        <f>IF(OR(All_Questions_Q56_Expected_2025_Gross_margin_growth_outlook_CT="(None)",P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29" s="14">
        <f>IF(OR(All_Questions_Q56_Expected_2025_Gross_margin_growth_outlook_CT="(None)",Q$27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29" s="14">
        <f>IF(OR(All_Questions_Q56_Expected_2025_Gross_margin_growth_outlook_CT="(None)",R$27=""),"",IF(R$27="Other",COUNTIFS(Q56_Expected_2025_Gross_margin_data,"High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29" s="14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30">
      <c r="A30" s="15" t="inlineStr">
        <is>
          <t>Total respondents</t>
        </is>
      </c>
      <c r="B30" s="15" t="n">
        <v>6</v>
      </c>
      <c r="C30" s="15" t="n"/>
      <c r="D30" s="15" t="n"/>
      <c r="F30" t="inlineStr">
        <is>
          <t>Lower</t>
        </is>
      </c>
      <c r="G30" s="14">
        <f>IF(OR(All_Questions_Q56_Expected_2025_Gross_margin_growth_outlook_CT="(None)",G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$27))</f>
        <v>0</v>
      </c>
      <c r="H30" s="14">
        <f>IF(OR(All_Questions_Q56_Expected_2025_Gross_margin_growth_outlook_CT="(None)",H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$27))</f>
        <v>0</v>
      </c>
      <c r="I30" s="14">
        <f>IF(OR(All_Questions_Q56_Expected_2025_Gross_margin_growth_outlook_CT="(None)",I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$27))</f>
        <v>0</v>
      </c>
      <c r="J30" s="14">
        <f>IF(OR(All_Questions_Q56_Expected_2025_Gross_margin_growth_outlook_CT="(None)",J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$27))</f>
        <v>0</v>
      </c>
      <c r="K30" s="14">
        <f>IF(OR(All_Questions_Q56_Expected_2025_Gross_margin_growth_outlook_CT="(None)",K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$27))</f>
        <v>0</v>
      </c>
      <c r="L30" s="14">
        <f>IF(OR(All_Questions_Q56_Expected_2025_Gross_margin_growth_outlook_CT="(None)",L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$27))</f>
        <v>0</v>
      </c>
      <c r="M30" s="14">
        <f>IF(OR(All_Questions_Q56_Expected_2025_Gross_margin_growth_outlook_CT="(None)",M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$27))</f>
        <v>0</v>
      </c>
      <c r="N30" s="14">
        <f>IF(OR(All_Questions_Q56_Expected_2025_Gross_margin_growth_outlook_CT="(None)",N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$27))</f>
        <v>0</v>
      </c>
      <c r="O30" s="14">
        <f>IF(OR(All_Questions_Q56_Expected_2025_Gross_margin_growth_outlook_CT="(None)",O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$27))</f>
        <v>0</v>
      </c>
      <c r="P30" s="14">
        <f>IF(OR(All_Questions_Q56_Expected_2025_Gross_margin_growth_outlook_CT="(None)",P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$27))</f>
        <v>0</v>
      </c>
      <c r="Q30" s="14">
        <f>IF(OR(All_Questions_Q56_Expected_2025_Gross_margin_growth_outlook_CT="(None)",Q$27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$27))</f>
        <v>0</v>
      </c>
      <c r="R30" s="14">
        <f>IF(OR(All_Questions_Q56_Expected_2025_Gross_margin_growth_outlook_CT="(None)",R$27=""),"",IF(R$27="Other",COUNTIFS(Q56_Expected_2025_Gross_margin_data,"Lower",passes_workbook_filters_data,1,passes_workbook_custom_filters_data,1,All_Questions_passes_local_filters_data,1,All_Questions_Q56_Expected_2025_Gross_margin_growth_outlook_F_passes_per_q_filter_data,1)-SUM(G30,H30,I30,J30,K30,L30,M30,N30,O30,P30,Q30)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$27)))</f>
        <v>0</v>
      </c>
      <c r="S30" s="14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Q102 Expected 2025 EBITDA margin growth outlook question text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IFERROR(INDEX(All_Questions_Data_Names,MATCH(All_Questions_Q102_Expected_2025_EBITDA_margin_growth_outlook_F_Q,All_Questions,0)),"'_RawData'!$A:$A")</f>
        <v>respondent_id_data</v>
      </c>
      <c r="G35" t="str">
        <f>"|" &amp; SUBSTITUTE(All_Questions_Q102_Expected_2025_EBITDA_margin_growth_outlook_F_V,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8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8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8" s="4" t="inlineStr">
        <is>
          <t>Total</t>
        </is>
      </c>
    </row>
    <row r="39">
      <c r="A39" t="inlineStr">
        <is>
          <t>Higher</t>
        </is>
      </c>
      <c r="B39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9" s="7">
        <f>IFERROR(B39/SUBTOTAL(9,B39:B40),0)</f>
        <v>0.5</v>
      </c>
      <c r="D39" s="14">
        <f>SUBTOTAL(9,B39:B40)</f>
        <v>6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Lower</t>
        </is>
      </c>
      <c r="B40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40" s="7">
        <f>IFERROR(B40/SUBTOTAL(9,B39:B40),0)</f>
        <v>0.5</v>
      </c>
      <c r="D40" s="14">
        <f>SUBTOTAL(9,B39:B40)</f>
        <v>6</v>
      </c>
      <c r="F40" t="inlineStr">
        <is>
          <t>Higher</t>
        </is>
      </c>
      <c r="G40" s="14">
        <f>IF(OR(All_Questions_Q102_Expected_2025_EBITDA_margin_growth_outlook_CT="(None)",G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0" s="14">
        <f>IF(OR(All_Questions_Q102_Expected_2025_EBITDA_margin_growth_outlook_CT="(None)",H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0" s="14">
        <f>IF(OR(All_Questions_Q102_Expected_2025_EBITDA_margin_growth_outlook_CT="(None)",I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0" s="14">
        <f>IF(OR(All_Questions_Q102_Expected_2025_EBITDA_margin_growth_outlook_CT="(None)",J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0" s="14">
        <f>IF(OR(All_Questions_Q102_Expected_2025_EBITDA_margin_growth_outlook_CT="(None)",K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0" s="14">
        <f>IF(OR(All_Questions_Q102_Expected_2025_EBITDA_margin_growth_outlook_CT="(None)",L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0" s="14">
        <f>IF(OR(All_Questions_Q102_Expected_2025_EBITDA_margin_growth_outlook_CT="(None)",M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0" s="14">
        <f>IF(OR(All_Questions_Q102_Expected_2025_EBITDA_margin_growth_outlook_CT="(None)",N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0" s="14">
        <f>IF(OR(All_Questions_Q102_Expected_2025_EBITDA_margin_growth_outlook_CT="(None)",O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0" s="14">
        <f>IF(OR(All_Questions_Q102_Expected_2025_EBITDA_margin_growth_outlook_CT="(None)",P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0" s="14">
        <f>IF(OR(All_Questions_Q102_Expected_2025_EBITDA_margin_growth_outlook_CT="(None)",Q$38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0" s="14">
        <f>IF(OR(All_Questions_Q102_Expected_2025_EBITDA_margin_growth_outlook_CT="(None)",R$38=""),"",IF(R$38="Other",COUNTIFS(Q102_Expected_2025_EBITDA_margi_data,"Higher",passes_workbook_filters_data,1,passes_workbook_custom_filters_data,1,All_Questions_passes_local_filters_data,1,All_Questions_Q102_Expected_2025_EBITDA_margin_growth_outlook_F_passes_per_q_filter_data,1)-SUM(G40,H40,I40,J40,K40,L40,M40,N40,O40,P40,Q40)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0" s="14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41">
      <c r="A41" s="15" t="inlineStr">
        <is>
          <t>Total respondents</t>
        </is>
      </c>
      <c r="B41" s="15" t="n">
        <v>6</v>
      </c>
      <c r="C41" s="15" t="n"/>
      <c r="D41" s="15" t="n"/>
      <c r="F41" t="inlineStr">
        <is>
          <t>Lower</t>
        </is>
      </c>
      <c r="G41" s="14">
        <f>IF(OR(All_Questions_Q102_Expected_2025_EBITDA_margin_growth_outlook_CT="(None)",G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$38))</f>
        <v>0</v>
      </c>
      <c r="H41" s="14">
        <f>IF(OR(All_Questions_Q102_Expected_2025_EBITDA_margin_growth_outlook_CT="(None)",H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$38))</f>
        <v>0</v>
      </c>
      <c r="I41" s="14">
        <f>IF(OR(All_Questions_Q102_Expected_2025_EBITDA_margin_growth_outlook_CT="(None)",I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$38))</f>
        <v>0</v>
      </c>
      <c r="J41" s="14">
        <f>IF(OR(All_Questions_Q102_Expected_2025_EBITDA_margin_growth_outlook_CT="(None)",J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$38))</f>
        <v>0</v>
      </c>
      <c r="K41" s="14">
        <f>IF(OR(All_Questions_Q102_Expected_2025_EBITDA_margin_growth_outlook_CT="(None)",K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$38))</f>
        <v>0</v>
      </c>
      <c r="L41" s="14">
        <f>IF(OR(All_Questions_Q102_Expected_2025_EBITDA_margin_growth_outlook_CT="(None)",L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$38))</f>
        <v>0</v>
      </c>
      <c r="M41" s="14">
        <f>IF(OR(All_Questions_Q102_Expected_2025_EBITDA_margin_growth_outlook_CT="(None)",M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$38))</f>
        <v>0</v>
      </c>
      <c r="N41" s="14">
        <f>IF(OR(All_Questions_Q102_Expected_2025_EBITDA_margin_growth_outlook_CT="(None)",N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$38))</f>
        <v>0</v>
      </c>
      <c r="O41" s="14">
        <f>IF(OR(All_Questions_Q102_Expected_2025_EBITDA_margin_growth_outlook_CT="(None)",O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$38))</f>
        <v>0</v>
      </c>
      <c r="P41" s="14">
        <f>IF(OR(All_Questions_Q102_Expected_2025_EBITDA_margin_growth_outlook_CT="(None)",P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$38))</f>
        <v>0</v>
      </c>
      <c r="Q41" s="14">
        <f>IF(OR(All_Questions_Q102_Expected_2025_EBITDA_margin_growth_outlook_CT="(None)",Q$38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$38))</f>
        <v>0</v>
      </c>
      <c r="R41" s="14">
        <f>IF(OR(All_Questions_Q102_Expected_2025_EBITDA_margin_growth_outlook_CT="(None)",R$38=""),"",IF(R$38="Other",COUNTIFS(Q102_Expected_2025_EBITDA_margi_data,"Lower",passes_workbook_filters_data,1,passes_workbook_custom_filters_data,1,All_Questions_passes_local_filters_data,1,All_Questions_Q102_Expected_2025_EBITDA_margin_growth_outlook_F_passes_per_q_filter_data,1)-SUM(G41,H41,I41,J41,K41,L41,M41,N41,O41,P41,Q41)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$38)))</f>
        <v>0</v>
      </c>
      <c r="S41" s="14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2026-06-08T08:49:40Z</dcterms:created>
  <dcterms:modified xmlns:dcterms="http://purl.org/dc/terms/" xmlns:xsi="http://www.w3.org/2001/XMLSchema-instance" xsi:type="dcterms:W3CDTF">2026-06-08T08:49:40Z</dcterms:modified>
</cp:coreProperties>
</file>