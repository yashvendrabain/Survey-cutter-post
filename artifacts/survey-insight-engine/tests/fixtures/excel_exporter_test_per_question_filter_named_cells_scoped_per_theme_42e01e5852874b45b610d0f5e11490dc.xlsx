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Questions'!$C$42</definedName>
    <definedName name="All_Questions_Q_VERY_LONG_SINGLE_SELECT_EXPORT_NAME_F_V">'All Questions'!$E$42</definedName>
    <definedName name="All_Questions_Q_VERY_LONG_SINGLE_SELECT_EXPORT_NAME_F_resolved_column">'All Questions'!$F$42</definedName>
    <definedName name="All_Questions_Q_VERY_LONG_SINGLE_SELECT_EXPORT_NAME_F_wrapped">'All Questions'!$G$42</definedName>
    <definedName name="All_Questions_Q_VERY_LONG_SINGLE_SELECT_EXPORT_NAME_F_passes_per_q_filter_data">'_RawData'!$T$2:$T$11</definedName>
    <definedName name="All_Questions_Q_VERY_LONG_SINGLE_SELECT_EXPORT_NAME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G23" i="8"/>
  <c r="H23" i="8"/>
  <c r="I23" i="8"/>
  <c r="J23" i="8"/>
  <c r="K23" i="8"/>
  <c r="L23" i="8"/>
  <c r="M23" i="8"/>
  <c r="N23" i="8"/>
  <c r="O23" i="8"/>
  <c r="P23" i="8"/>
  <c r="Q23" i="8"/>
  <c r="R23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S26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G34" i="9"/>
  <c r="H34" i="9"/>
  <c r="I34" i="9"/>
  <c r="J34" i="9"/>
  <c r="K34" i="9"/>
  <c r="L34" i="9"/>
  <c r="M34" i="9"/>
  <c r="N34" i="9"/>
  <c r="O34" i="9"/>
  <c r="P34" i="9"/>
  <c r="Q34" i="9"/>
  <c r="R34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S38" i="9"/>
  <c r="F42" i="9"/>
  <c r="G42" i="9"/>
  <c r="G45" i="9"/>
  <c r="H45" i="9"/>
  <c r="I45" i="9"/>
  <c r="J45" i="9"/>
  <c r="K45" i="9"/>
  <c r="L45" i="9"/>
  <c r="M45" i="9"/>
  <c r="N45" i="9"/>
  <c r="O45" i="9"/>
  <c r="P45" i="9"/>
  <c r="Q45" i="9"/>
  <c r="R45" i="9"/>
  <c r="B46" i="9"/>
  <c r="C46" i="9"/>
  <c r="D46" i="9"/>
  <c r="B47" i="9"/>
  <c r="C47" i="9"/>
  <c r="D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S49" i="9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5_1" displayName="T_All_Questions_45_1" ref="A45:D48" headerRowCount="1">
  <autoFilter ref="A45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 s="14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 s="14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 s="14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 s="14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 s="14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 s="14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 s="14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 s="14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 s="14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 s="14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 s="14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 s="14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 s="14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 s="14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 s="14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 s="14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 s="14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 s="14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 s="14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 s="14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 s="14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 s="14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 s="14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 s="14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  <row r="22"/>
    <row r="23">
      <c r="F23" s="4" t="inlineStr">
        <is>
          <t>Option</t>
        </is>
      </c>
      <c r="G23" s="2" t="str">
        <f>IF(Theme_Two_Q_NUM_EXPORT_CT="(None)","",IFERROR(INDEX(INDIRECT(IFERROR(INDEX(All_Questions_Options_Names,MATCH(Theme_Two_Q_NUM_EXPORT_CT,All_Questions,0)),"'_Options'!$E$2:$E$2")),2),""))</f>
        <v/>
      </c>
      <c r="H23" s="2" t="str">
        <f>IF(Theme_Two_Q_NUM_EXPORT_CT="(None)","",IFERROR(INDEX(INDIRECT(IFERROR(INDEX(All_Questions_Options_Names,MATCH(Theme_Two_Q_NUM_EXPORT_CT,All_Questions,0)),"'_Options'!$E$2:$E$2")),3),""))</f>
        <v/>
      </c>
      <c r="I23" s="2" t="str">
        <f>IF(Theme_Two_Q_NUM_EXPORT_CT="(None)","",IFERROR(INDEX(INDIRECT(IFERROR(INDEX(All_Questions_Options_Names,MATCH(Theme_Two_Q_NUM_EXPORT_CT,All_Questions,0)),"'_Options'!$E$2:$E$2")),4),""))</f>
        <v/>
      </c>
      <c r="J23" s="2" t="str">
        <f>IF(Theme_Two_Q_NUM_EXPORT_CT="(None)","",IFERROR(INDEX(INDIRECT(IFERROR(INDEX(All_Questions_Options_Names,MATCH(Theme_Two_Q_NUM_EXPORT_CT,All_Questions,0)),"'_Options'!$E$2:$E$2")),5),""))</f>
        <v/>
      </c>
      <c r="K23" s="2" t="str">
        <f>IF(Theme_Two_Q_NUM_EXPORT_CT="(None)","",IFERROR(INDEX(INDIRECT(IFERROR(INDEX(All_Questions_Options_Names,MATCH(Theme_Two_Q_NUM_EXPORT_CT,All_Questions,0)),"'_Options'!$E$2:$E$2")),6),""))</f>
        <v/>
      </c>
      <c r="L23" s="2" t="str">
        <f>IF(Theme_Two_Q_NUM_EXPORT_CT="(None)","",IFERROR(INDEX(INDIRECT(IFERROR(INDEX(All_Questions_Options_Names,MATCH(Theme_Two_Q_NUM_EXPORT_CT,All_Questions,0)),"'_Options'!$E$2:$E$2")),7),""))</f>
        <v/>
      </c>
      <c r="M23" s="2" t="str">
        <f>IF(Theme_Two_Q_NUM_EXPORT_CT="(None)","",IFERROR(INDEX(INDIRECT(IFERROR(INDEX(All_Questions_Options_Names,MATCH(Theme_Two_Q_NUM_EXPORT_CT,All_Questions,0)),"'_Options'!$E$2:$E$2")),8),""))</f>
        <v/>
      </c>
      <c r="N23" s="2" t="str">
        <f>IF(Theme_Two_Q_NUM_EXPORT_CT="(None)","",IFERROR(INDEX(INDIRECT(IFERROR(INDEX(All_Questions_Options_Names,MATCH(Theme_Two_Q_NUM_EXPORT_CT,All_Questions,0)),"'_Options'!$E$2:$E$2")),9),""))</f>
        <v/>
      </c>
      <c r="O23" s="2" t="str">
        <f>IF(Theme_Two_Q_NUM_EXPORT_CT="(None)","",IFERROR(INDEX(INDIRECT(IFERROR(INDEX(All_Questions_Options_Names,MATCH(Theme_Two_Q_NUM_EXPORT_CT,All_Questions,0)),"'_Options'!$E$2:$E$2")),10),""))</f>
        <v/>
      </c>
      <c r="P23" s="2" t="str">
        <f>IF(Theme_Two_Q_NUM_EXPORT_CT="(None)","",IFERROR(INDEX(INDIRECT(IFERROR(INDEX(All_Questions_Options_Names,MATCH(Theme_Two_Q_NUM_EXPORT_CT,All_Questions,0)),"'_Options'!$E$2:$E$2")),11),""))</f>
        <v/>
      </c>
      <c r="Q23" s="2" t="str">
        <f>IF(Theme_Two_Q_NUM_EXPORT_CT="(None)","",IFERROR(INDEX(INDIRECT(IFERROR(INDEX(All_Questions_Options_Names,MATCH(Theme_Two_Q_NUM_EXPORT_CT,All_Questions,0)),"'_Options'!$E$2:$E$2")),12),""))</f>
        <v/>
      </c>
      <c r="R23" s="2" t="str">
        <f>IF(Theme_Two_Q_NUM_EXPORT_CT="(None)","",IF(COUNTA(INDIRECT(IFERROR(INDEX(All_Questions_Options_Names,MATCH(Theme_Two_Q_NUM_EXPORT_CT,All_Questions,0)),"'_Options'!$E$2:$E$2")))-1&gt;11,"Other",IFERROR(INDEX(INDIRECT(IFERROR(INDEX(All_Questions_Options_Names,MATCH(Theme_Two_Q_NUM_EXPORT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Numeric export question</t>
        </is>
      </c>
      <c r="G25" s="16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5.5</v>
      </c>
      <c r="H25" s="16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5.5</v>
      </c>
      <c r="I25" s="16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5.5</v>
      </c>
      <c r="J25" s="16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5.5</v>
      </c>
      <c r="K25" s="16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5.5</v>
      </c>
      <c r="L25" s="16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5.5</v>
      </c>
      <c r="M25" s="16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5.5</v>
      </c>
      <c r="N25" s="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5.5</v>
      </c>
      <c r="O25" s="16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5.5</v>
      </c>
      <c r="P25" s="16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5.5</v>
      </c>
      <c r="Q25" s="16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5.5</v>
      </c>
      <c r="R25" s="16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5.5</v>
      </c>
      <c r="S25" s="16">
        <f>IF(Theme_Two_Q_NUM_EXPORT_CT="(None)","",IFERROR(AVERAGEIFS(Q_NUM_EXPORT_data,Q_NUM_EXPORT_data,"&lt;&gt;",passes_workbook_filters_data,1,passes_workbook_custom_filters_data,1,Theme_Two_passes_local_filters_data,1,Theme_Two_Q_NUM_EXPORT_F_passes_per_q_filter_data,1),""))</f>
        <v>5.5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IF(Theme_Two_Q_NUM_EXPORT_CT="(None)","",COUNTIFS(respondent_id_data,"&lt;&gt;",passes_workbook_filters_data,1,passes_workbook_custom_filters_data,1,Theme_Two_passes_local_filters_data,1,Theme_Two_Q_NUM_EXPORT_F_passes_per_q_filter_data,1))</f>
        <v>0</v>
      </c>
    </row>
  </sheetData>
  <mergeCells count="1">
    <mergeCell ref="A1:J1"/>
  </mergeCells>
  <conditionalFormatting sqref="G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% selected</t>
        </is>
      </c>
      <c r="H17" s="4" t="inlineStr">
        <is>
          <t>% selected</t>
        </is>
      </c>
      <c r="I17" s="4" t="inlineStr">
        <is>
          <t>% selected</t>
        </is>
      </c>
      <c r="J17" s="4" t="inlineStr">
        <is>
          <t>% selected</t>
        </is>
      </c>
      <c r="K17" s="4" t="inlineStr">
        <is>
          <t>% selected</t>
        </is>
      </c>
      <c r="L17" s="4" t="inlineStr">
        <is>
          <t>% selected</t>
        </is>
      </c>
      <c r="M17" s="4" t="inlineStr">
        <is>
          <t>% selected</t>
        </is>
      </c>
      <c r="N17" s="4" t="inlineStr">
        <is>
          <t>% selected</t>
        </is>
      </c>
      <c r="O17" s="4" t="inlineStr">
        <is>
          <t>% selected</t>
        </is>
      </c>
      <c r="P17" s="4" t="inlineStr">
        <is>
          <t>% selected</t>
        </is>
      </c>
      <c r="Q17" s="4" t="inlineStr">
        <is>
          <t>% selected</t>
        </is>
      </c>
      <c r="R17" s="4" t="inlineStr">
        <is>
          <t>% selected</t>
        </is>
      </c>
      <c r="S17" s="4" t="inlineStr">
        <is>
          <t>% selected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 s="7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0.5</v>
      </c>
      <c r="H18" s="7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0.5</v>
      </c>
      <c r="I18" s="7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0.5</v>
      </c>
      <c r="J18" s="7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0.5</v>
      </c>
      <c r="K18" s="7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0.5</v>
      </c>
      <c r="L18" s="7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0.5</v>
      </c>
      <c r="M18" s="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0.5</v>
      </c>
      <c r="N18" s="7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0.5</v>
      </c>
      <c r="O18" s="7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0.5</v>
      </c>
      <c r="P18" s="7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0.5</v>
      </c>
      <c r="Q18" s="7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0.5</v>
      </c>
      <c r="R18" s="7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0.5</v>
      </c>
      <c r="S18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 s="7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0.2</v>
      </c>
      <c r="H19" s="7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0.2</v>
      </c>
      <c r="I19" s="7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0.2</v>
      </c>
      <c r="J19" s="7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0.2</v>
      </c>
      <c r="K19" s="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0.2</v>
      </c>
      <c r="L19" s="7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0.2</v>
      </c>
      <c r="M19" s="7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0.2</v>
      </c>
      <c r="N19" s="7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0.2</v>
      </c>
      <c r="O19" s="7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0.2</v>
      </c>
      <c r="P19" s="7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0.2</v>
      </c>
      <c r="Q19" s="7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0.2</v>
      </c>
      <c r="R19" s="7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0.2</v>
      </c>
      <c r="S19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F34" s="4" t="inlineStr">
        <is>
          <t>Option</t>
        </is>
      </c>
      <c r="G34" s="2" t="str">
        <f>IF(All_Questions_Q_GRID_EXPORT_CT="(None)","",IFERROR(INDEX(INDIRECT(IFERROR(INDEX(All_Questions_Options_Names,MATCH(All_Questions_Q_GRID_EXPORT_CT,All_Questions,0)),"'_Options'!$E$2:$E$2")),2),""))</f>
        <v/>
      </c>
      <c r="H34" s="2" t="str">
        <f>IF(All_Questions_Q_GRID_EXPORT_CT="(None)","",IFERROR(INDEX(INDIRECT(IFERROR(INDEX(All_Questions_Options_Names,MATCH(All_Questions_Q_GRID_EXPORT_CT,All_Questions,0)),"'_Options'!$E$2:$E$2")),3),""))</f>
        <v/>
      </c>
      <c r="I34" s="2" t="str">
        <f>IF(All_Questions_Q_GRID_EXPORT_CT="(None)","",IFERROR(INDEX(INDIRECT(IFERROR(INDEX(All_Questions_Options_Names,MATCH(All_Questions_Q_GRID_EXPORT_CT,All_Questions,0)),"'_Options'!$E$2:$E$2")),4),""))</f>
        <v/>
      </c>
      <c r="J34" s="2" t="str">
        <f>IF(All_Questions_Q_GRID_EXPORT_CT="(None)","",IFERROR(INDEX(INDIRECT(IFERROR(INDEX(All_Questions_Options_Names,MATCH(All_Questions_Q_GRID_EXPORT_CT,All_Questions,0)),"'_Options'!$E$2:$E$2")),5),""))</f>
        <v/>
      </c>
      <c r="K34" s="2" t="str">
        <f>IF(All_Questions_Q_GRID_EXPORT_CT="(None)","",IFERROR(INDEX(INDIRECT(IFERROR(INDEX(All_Questions_Options_Names,MATCH(All_Questions_Q_GRID_EXPORT_CT,All_Questions,0)),"'_Options'!$E$2:$E$2")),6),""))</f>
        <v/>
      </c>
      <c r="L34" s="2" t="str">
        <f>IF(All_Questions_Q_GRID_EXPORT_CT="(None)","",IFERROR(INDEX(INDIRECT(IFERROR(INDEX(All_Questions_Options_Names,MATCH(All_Questions_Q_GRID_EXPORT_CT,All_Questions,0)),"'_Options'!$E$2:$E$2")),7),""))</f>
        <v/>
      </c>
      <c r="M34" s="2" t="str">
        <f>IF(All_Questions_Q_GRID_EXPORT_CT="(None)","",IFERROR(INDEX(INDIRECT(IFERROR(INDEX(All_Questions_Options_Names,MATCH(All_Questions_Q_GRID_EXPORT_CT,All_Questions,0)),"'_Options'!$E$2:$E$2")),8),""))</f>
        <v/>
      </c>
      <c r="N34" s="2" t="str">
        <f>IF(All_Questions_Q_GRID_EXPORT_CT="(None)","",IFERROR(INDEX(INDIRECT(IFERROR(INDEX(All_Questions_Options_Names,MATCH(All_Questions_Q_GRID_EXPORT_CT,All_Questions,0)),"'_Options'!$E$2:$E$2")),9),""))</f>
        <v/>
      </c>
      <c r="O34" s="2" t="str">
        <f>IF(All_Questions_Q_GRID_EXPORT_CT="(None)","",IFERROR(INDEX(INDIRECT(IFERROR(INDEX(All_Questions_Options_Names,MATCH(All_Questions_Q_GRID_EXPORT_CT,All_Questions,0)),"'_Options'!$E$2:$E$2")),10),""))</f>
        <v/>
      </c>
      <c r="P34" s="2" t="str">
        <f>IF(All_Questions_Q_GRID_EXPORT_CT="(None)","",IFERROR(INDEX(INDIRECT(IFERROR(INDEX(All_Questions_Options_Names,MATCH(All_Questions_Q_GRID_EXPORT_CT,All_Questions,0)),"'_Options'!$E$2:$E$2")),11),""))</f>
        <v/>
      </c>
      <c r="Q34" s="2" t="str">
        <f>IF(All_Questions_Q_GRID_EXPORT_CT="(None)","",IFERROR(INDEX(INDIRECT(IFERROR(INDEX(All_Questions_Options_Names,MATCH(All_Questions_Q_GRID_EXPORT_CT,All_Questions,0)),"'_Options'!$E$2:$E$2")),12),""))</f>
        <v/>
      </c>
      <c r="R34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# of resp</t>
        </is>
      </c>
      <c r="H35" s="4" t="inlineStr">
        <is>
          <t># of resp</t>
        </is>
      </c>
      <c r="I35" s="4" t="inlineStr">
        <is>
          <t># of resp</t>
        </is>
      </c>
      <c r="J35" s="4" t="inlineStr">
        <is>
          <t># of resp</t>
        </is>
      </c>
      <c r="K35" s="4" t="inlineStr">
        <is>
          <t># of resp</t>
        </is>
      </c>
      <c r="L35" s="4" t="inlineStr">
        <is>
          <t># of resp</t>
        </is>
      </c>
      <c r="M35" s="4" t="inlineStr">
        <is>
          <t># of resp</t>
        </is>
      </c>
      <c r="N35" s="4" t="inlineStr">
        <is>
          <t># of resp</t>
        </is>
      </c>
      <c r="O35" s="4" t="inlineStr">
        <is>
          <t># of resp</t>
        </is>
      </c>
      <c r="P35" s="4" t="inlineStr">
        <is>
          <t># of resp</t>
        </is>
      </c>
      <c r="Q35" s="4" t="inlineStr">
        <is>
          <t># of resp</t>
        </is>
      </c>
      <c r="R35" s="4" t="inlineStr">
        <is>
          <t># of resp</t>
        </is>
      </c>
      <c r="S35" s="4" t="inlineStr">
        <is>
          <t># of resp</t>
        </is>
      </c>
    </row>
    <row r="36">
      <c r="F36" t="inlineStr">
        <is>
          <t>Grid first row</t>
        </is>
      </c>
      <c r="G36" s="14">
        <f>IF(OR(All_Questions_Q_GRID_EXPORT_CT="(None)",G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$34))</f>
        <v>0</v>
      </c>
      <c r="H36" s="14">
        <f>IF(OR(All_Questions_Q_GRID_EXPORT_CT="(None)",H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$34))</f>
        <v>0</v>
      </c>
      <c r="I36" s="14">
        <f>IF(OR(All_Questions_Q_GRID_EXPORT_CT="(None)",I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$34))</f>
        <v>0</v>
      </c>
      <c r="J36" s="14">
        <f>IF(OR(All_Questions_Q_GRID_EXPORT_CT="(None)",J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$34))</f>
        <v>0</v>
      </c>
      <c r="K36" s="14">
        <f>IF(OR(All_Questions_Q_GRID_EXPORT_CT="(None)",K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$34))</f>
        <v>0</v>
      </c>
      <c r="L36" s="14">
        <f>IF(OR(All_Questions_Q_GRID_EXPORT_CT="(None)",L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$34))</f>
        <v>0</v>
      </c>
      <c r="M36" s="14">
        <f>IF(OR(All_Questions_Q_GRID_EXPORT_CT="(None)",M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$34))</f>
        <v>0</v>
      </c>
      <c r="N36" s="14">
        <f>IF(OR(All_Questions_Q_GRID_EXPORT_CT="(None)",N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$34))</f>
        <v>0</v>
      </c>
      <c r="O36" s="14">
        <f>IF(OR(All_Questions_Q_GRID_EXPORT_CT="(None)",O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$34))</f>
        <v>0</v>
      </c>
      <c r="P36" s="14">
        <f>IF(OR(All_Questions_Q_GRID_EXPORT_CT="(None)",P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$34))</f>
        <v>0</v>
      </c>
      <c r="Q36" s="14">
        <f>IF(OR(All_Questions_Q_GRID_EXPORT_CT="(None)",Q$34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$34))</f>
        <v>0</v>
      </c>
      <c r="R36" s="14">
        <f>IF(OR(All_Questions_Q_GRID_EXPORT_CT="(None)",R$34=""),"",IF(R$34="Other",COUNTIFS(Q_GRID_EXPORTr1_data,"Selected",passes_workbook_filters_data,1,passes_workbook_custom_filters_data,1,All_Questions_passes_local_filters_data,1,All_Questions_Q_GRID_EXPORT_F_passes_per_q_filter_data,1)-SUM(G36,H36,I36,J36,K36,L36,M36,N36,O36,P36,Q36)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$34)))</f>
        <v>0</v>
      </c>
      <c r="S36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7">
      <c r="F37" t="inlineStr">
        <is>
          <t>Grid second row</t>
        </is>
      </c>
      <c r="G37" s="14">
        <f>IF(OR(All_Questions_Q_GRID_EXPORT_CT="(None)",G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$34))</f>
        <v>0</v>
      </c>
      <c r="H37" s="14">
        <f>IF(OR(All_Questions_Q_GRID_EXPORT_CT="(None)",H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$34))</f>
        <v>0</v>
      </c>
      <c r="I37" s="14">
        <f>IF(OR(All_Questions_Q_GRID_EXPORT_CT="(None)",I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$34))</f>
        <v>0</v>
      </c>
      <c r="J37" s="14">
        <f>IF(OR(All_Questions_Q_GRID_EXPORT_CT="(None)",J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$34))</f>
        <v>0</v>
      </c>
      <c r="K37" s="14">
        <f>IF(OR(All_Questions_Q_GRID_EXPORT_CT="(None)",K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$34))</f>
        <v>0</v>
      </c>
      <c r="L37" s="14">
        <f>IF(OR(All_Questions_Q_GRID_EXPORT_CT="(None)",L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$34))</f>
        <v>0</v>
      </c>
      <c r="M37" s="14">
        <f>IF(OR(All_Questions_Q_GRID_EXPORT_CT="(None)",M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$34))</f>
        <v>0</v>
      </c>
      <c r="N37" s="14">
        <f>IF(OR(All_Questions_Q_GRID_EXPORT_CT="(None)",N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$34))</f>
        <v>0</v>
      </c>
      <c r="O37" s="14">
        <f>IF(OR(All_Questions_Q_GRID_EXPORT_CT="(None)",O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$34))</f>
        <v>0</v>
      </c>
      <c r="P37" s="14">
        <f>IF(OR(All_Questions_Q_GRID_EXPORT_CT="(None)",P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$34))</f>
        <v>0</v>
      </c>
      <c r="Q37" s="14">
        <f>IF(OR(All_Questions_Q_GRID_EXPORT_CT="(None)",Q$34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$34))</f>
        <v>0</v>
      </c>
      <c r="R37" s="14">
        <f>IF(OR(All_Questions_Q_GRID_EXPORT_CT="(None)",R$34=""),"",IF(R$34="Other",COUNTIFS(Q_GRID_EXPORTr2_data,"Selected",passes_workbook_filters_data,1,passes_workbook_custom_filters_data,1,All_Questions_passes_local_filters_data,1,All_Questions_Q_GRID_EXPORT_F_passes_per_q_filter_data,1)-SUM(G37,H37,I37,J37,K37,L37,M37,N37,O37,P37,Q37)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$34)))</f>
        <v>0</v>
      </c>
      <c r="S37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Q_VERY_LONG_SINGLE_SELECT_EXPORT_NAME - Long sheet name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IFERROR(INDEX(All_Questions_Data_Names,MATCH(All_Questions_Q_VERY_LONG_SINGLE_SELECT_EXPORT_NAME_F_Q,All_Questions,0)),"'_RawData'!$A:$A")</f>
        <v>respondent_id_data</v>
      </c>
      <c r="G42" t="str">
        <f>"|" &amp; SUBSTITUTE(All_Questions_Q_VERY_LONG_SINGLE_SELECT_EXPORT_NAME_F_V,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  <c r="F45" s="4" t="inlineStr">
        <is>
          <t>Option</t>
        </is>
      </c>
      <c r="G45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5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5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5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5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5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5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5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5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5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5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5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5" s="4" t="inlineStr">
        <is>
          <t>Total</t>
        </is>
      </c>
    </row>
    <row r="46">
      <c r="A46" t="inlineStr">
        <is>
          <t>A</t>
        </is>
      </c>
      <c r="B4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6" s="7">
        <f>IFERROR(B46/SUBTOTAL(9,B46:B47),0)</f>
        <v>0.7</v>
      </c>
      <c r="D46" s="14">
        <f>SUBTOTAL(9,B46:B47)</f>
        <v>10</v>
      </c>
      <c r="F46" s="4" t="inlineStr"/>
      <c r="G46" s="4" t="inlineStr">
        <is>
          <t># of resp</t>
        </is>
      </c>
      <c r="H46" s="4" t="inlineStr">
        <is>
          <t># of resp</t>
        </is>
      </c>
      <c r="I46" s="4" t="inlineStr">
        <is>
          <t># of resp</t>
        </is>
      </c>
      <c r="J46" s="4" t="inlineStr">
        <is>
          <t># of resp</t>
        </is>
      </c>
      <c r="K46" s="4" t="inlineStr">
        <is>
          <t># of resp</t>
        </is>
      </c>
      <c r="L46" s="4" t="inlineStr">
        <is>
          <t># of resp</t>
        </is>
      </c>
      <c r="M46" s="4" t="inlineStr">
        <is>
          <t># of resp</t>
        </is>
      </c>
      <c r="N46" s="4" t="inlineStr">
        <is>
          <t># of resp</t>
        </is>
      </c>
      <c r="O46" s="4" t="inlineStr">
        <is>
          <t># of resp</t>
        </is>
      </c>
      <c r="P46" s="4" t="inlineStr">
        <is>
          <t># of resp</t>
        </is>
      </c>
      <c r="Q46" s="4" t="inlineStr">
        <is>
          <t># of resp</t>
        </is>
      </c>
      <c r="R46" s="4" t="inlineStr">
        <is>
          <t># of resp</t>
        </is>
      </c>
      <c r="S46" s="4" t="inlineStr">
        <is>
          <t># of resp</t>
        </is>
      </c>
    </row>
    <row r="47">
      <c r="A47" t="inlineStr">
        <is>
          <t>B</t>
        </is>
      </c>
      <c r="B4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7" s="7">
        <f>IFERROR(B47/SUBTOTAL(9,B46:B47),0)</f>
        <v>0.3</v>
      </c>
      <c r="D47" s="14">
        <f>SUBTOTAL(9,B46:B47)</f>
        <v>10</v>
      </c>
      <c r="F47" t="inlineStr">
        <is>
          <t>A</t>
        </is>
      </c>
      <c r="G47" s="14">
        <f>IF(OR(All_Questions_Q_VERY_LONG_SINGLE_SELECT_EXPORT_NAME_CT="(None)",G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$45))</f>
        <v>0</v>
      </c>
      <c r="H47" s="14">
        <f>IF(OR(All_Questions_Q_VERY_LONG_SINGLE_SELECT_EXPORT_NAME_CT="(None)",H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$45))</f>
        <v>0</v>
      </c>
      <c r="I47" s="14">
        <f>IF(OR(All_Questions_Q_VERY_LONG_SINGLE_SELECT_EXPORT_NAME_CT="(None)",I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$45))</f>
        <v>0</v>
      </c>
      <c r="J47" s="14">
        <f>IF(OR(All_Questions_Q_VERY_LONG_SINGLE_SELECT_EXPORT_NAME_CT="(None)",J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$45))</f>
        <v>0</v>
      </c>
      <c r="K47" s="14">
        <f>IF(OR(All_Questions_Q_VERY_LONG_SINGLE_SELECT_EXPORT_NAME_CT="(None)",K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$45))</f>
        <v>0</v>
      </c>
      <c r="L47" s="14">
        <f>IF(OR(All_Questions_Q_VERY_LONG_SINGLE_SELECT_EXPORT_NAME_CT="(None)",L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$45))</f>
        <v>0</v>
      </c>
      <c r="M47" s="14">
        <f>IF(OR(All_Questions_Q_VERY_LONG_SINGLE_SELECT_EXPORT_NAME_CT="(None)",M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$45))</f>
        <v>0</v>
      </c>
      <c r="N47" s="14">
        <f>IF(OR(All_Questions_Q_VERY_LONG_SINGLE_SELECT_EXPORT_NAME_CT="(None)",N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$45))</f>
        <v>0</v>
      </c>
      <c r="O47" s="14">
        <f>IF(OR(All_Questions_Q_VERY_LONG_SINGLE_SELECT_EXPORT_NAME_CT="(None)",O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$45))</f>
        <v>0</v>
      </c>
      <c r="P47" s="14">
        <f>IF(OR(All_Questions_Q_VERY_LONG_SINGLE_SELECT_EXPORT_NAME_CT="(None)",P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$45))</f>
        <v>0</v>
      </c>
      <c r="Q47" s="14">
        <f>IF(OR(All_Questions_Q_VERY_LONG_SINGLE_SELECT_EXPORT_NAME_CT="(None)",Q$45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$45))</f>
        <v>0</v>
      </c>
      <c r="R47" s="14">
        <f>IF(OR(All_Questions_Q_VERY_LONG_SINGLE_SELECT_EXPORT_NAME_CT="(None)",R$45=""),"",IF(R$45="Other",COUNTIFS(Q_VERY_LONG_SINGLE_SELECT_EXPOR_data,"A",passes_workbook_filters_data,1,passes_workbook_custom_filters_data,1,All_Questions_passes_local_filters_data,1,All_Questions_Q_VERY_LONG_SINGLE_SELECT_EXPORT_NAME_F_passes_per_q_filter_data,1)-SUM(G47,H47,I47,J47,K47,L47,M47,N47,O47,P47,Q47)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$45)))</f>
        <v>0</v>
      </c>
      <c r="S47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8">
      <c r="A48" s="15" t="inlineStr">
        <is>
          <t>Total respondents</t>
        </is>
      </c>
      <c r="B48" s="15" t="n">
        <v>10</v>
      </c>
      <c r="C48" s="15" t="n"/>
      <c r="D48" s="15" t="n"/>
      <c r="F48" t="inlineStr">
        <is>
          <t>B</t>
        </is>
      </c>
      <c r="G48" s="14">
        <f>IF(OR(All_Questions_Q_VERY_LONG_SINGLE_SELECT_EXPORT_NAME_CT="(None)",G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$45))</f>
        <v>0</v>
      </c>
      <c r="H48" s="14">
        <f>IF(OR(All_Questions_Q_VERY_LONG_SINGLE_SELECT_EXPORT_NAME_CT="(None)",H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$45))</f>
        <v>0</v>
      </c>
      <c r="I48" s="14">
        <f>IF(OR(All_Questions_Q_VERY_LONG_SINGLE_SELECT_EXPORT_NAME_CT="(None)",I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$45))</f>
        <v>0</v>
      </c>
      <c r="J48" s="14">
        <f>IF(OR(All_Questions_Q_VERY_LONG_SINGLE_SELECT_EXPORT_NAME_CT="(None)",J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$45))</f>
        <v>0</v>
      </c>
      <c r="K48" s="14">
        <f>IF(OR(All_Questions_Q_VERY_LONG_SINGLE_SELECT_EXPORT_NAME_CT="(None)",K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$45))</f>
        <v>0</v>
      </c>
      <c r="L48" s="14">
        <f>IF(OR(All_Questions_Q_VERY_LONG_SINGLE_SELECT_EXPORT_NAME_CT="(None)",L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$45))</f>
        <v>0</v>
      </c>
      <c r="M48" s="14">
        <f>IF(OR(All_Questions_Q_VERY_LONG_SINGLE_SELECT_EXPORT_NAME_CT="(None)",M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$45))</f>
        <v>0</v>
      </c>
      <c r="N48" s="14">
        <f>IF(OR(All_Questions_Q_VERY_LONG_SINGLE_SELECT_EXPORT_NAME_CT="(None)",N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$45))</f>
        <v>0</v>
      </c>
      <c r="O48" s="14">
        <f>IF(OR(All_Questions_Q_VERY_LONG_SINGLE_SELECT_EXPORT_NAME_CT="(None)",O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$45))</f>
        <v>0</v>
      </c>
      <c r="P48" s="14">
        <f>IF(OR(All_Questions_Q_VERY_LONG_SINGLE_SELECT_EXPORT_NAME_CT="(None)",P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$45))</f>
        <v>0</v>
      </c>
      <c r="Q48" s="14">
        <f>IF(OR(All_Questions_Q_VERY_LONG_SINGLE_SELECT_EXPORT_NAME_CT="(None)",Q$45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$45))</f>
        <v>0</v>
      </c>
      <c r="R48" s="14">
        <f>IF(OR(All_Questions_Q_VERY_LONG_SINGLE_SELECT_EXPORT_NAME_CT="(None)",R$45=""),"",IF(R$45="Other",COUNTIFS(Q_VERY_LONG_SINGLE_SELECT_EXPOR_data,"B",passes_workbook_filters_data,1,passes_workbook_custom_filters_data,1,All_Questions_passes_local_filters_data,1,All_Questions_Q_VERY_LONG_SINGLE_SELECT_EXPORT_NAME_F_passes_per_q_filter_data,1)-SUM(G48,H48,I48,J48,K48,L48,M48,N48,O48,P48,Q48)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$45)))</f>
        <v>0</v>
      </c>
      <c r="S48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:G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:H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:I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:J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:K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:L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:M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:N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:O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:P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:Q3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:R3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:G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:H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:I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:J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:K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:L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:M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:N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:O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:P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:Q4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:R4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7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Theme Two</t>
        </is>
      </c>
      <c r="B9" t="inlineStr">
        <is>
          <t>cross_tab_by_mean</t>
        </is>
      </c>
      <c r="C9" t="inlineStr">
        <is>
          <t>Q_NUM_EXPORT</t>
        </is>
      </c>
      <c r="D9" t="inlineStr">
        <is>
          <t>Q_NUM_EXPORT</t>
        </is>
      </c>
      <c r="E9" t="inlineStr">
        <is>
          <t>Theme_Two_Q_NUM_EXPORT_CT = G$23</t>
        </is>
      </c>
      <c r="H9">
        <f>IF(OR(Theme_Two_Q_NUM_EXPORT_CT="(None)",G$23=""),"",IF(G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G$23),"")))</f>
        <v>0</v>
      </c>
      <c r="I9" t="n">
        <v>5.5</v>
      </c>
      <c r="J9" t="n">
        <v>0</v>
      </c>
      <c r="K9" t="n">
        <v>0</v>
      </c>
      <c r="L9" t="inlineStr">
        <is>
          <t>2026-06-08T09:16:13.712038+00:00</t>
        </is>
      </c>
    </row>
    <row r="10">
      <c r="A10" t="inlineStr">
        <is>
          <t>Theme Two</t>
        </is>
      </c>
      <c r="B10" t="inlineStr">
        <is>
          <t>cross_tab_by_mean</t>
        </is>
      </c>
      <c r="C10" t="inlineStr">
        <is>
          <t>Q_NUM_EXPORT</t>
        </is>
      </c>
      <c r="D10" t="inlineStr">
        <is>
          <t>Q_NUM_EXPORT</t>
        </is>
      </c>
      <c r="E10" t="inlineStr">
        <is>
          <t>Theme_Two_Q_NUM_EXPORT_CT = H$23</t>
        </is>
      </c>
      <c r="H10">
        <f>IF(OR(Theme_Two_Q_NUM_EXPORT_CT="(None)",H$23=""),"",IF(H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H$23),"")))</f>
        <v>0</v>
      </c>
      <c r="I10" t="n">
        <v>5.5</v>
      </c>
      <c r="J10" t="n">
        <v>0</v>
      </c>
      <c r="K10" t="n">
        <v>0</v>
      </c>
      <c r="L10" t="inlineStr">
        <is>
          <t>2026-06-08T09:16:13.712250+00:00</t>
        </is>
      </c>
    </row>
    <row r="11">
      <c r="A11" t="inlineStr">
        <is>
          <t>Theme Two</t>
        </is>
      </c>
      <c r="B11" t="inlineStr">
        <is>
          <t>cross_tab_by_mean</t>
        </is>
      </c>
      <c r="C11" t="inlineStr">
        <is>
          <t>Q_NUM_EXPORT</t>
        </is>
      </c>
      <c r="D11" t="inlineStr">
        <is>
          <t>Q_NUM_EXPORT</t>
        </is>
      </c>
      <c r="E11" t="inlineStr">
        <is>
          <t>Theme_Two_Q_NUM_EXPORT_CT = I$23</t>
        </is>
      </c>
      <c r="H11">
        <f>IF(OR(Theme_Two_Q_NUM_EXPORT_CT="(None)",I$23=""),"",IF(I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I$23),"")))</f>
        <v>0</v>
      </c>
      <c r="I11" t="n">
        <v>5.5</v>
      </c>
      <c r="J11" t="n">
        <v>0</v>
      </c>
      <c r="K11" t="n">
        <v>0</v>
      </c>
      <c r="L11" t="inlineStr">
        <is>
          <t>2026-06-08T09:16:13.712395+00:00</t>
        </is>
      </c>
    </row>
    <row r="12">
      <c r="A12" t="inlineStr">
        <is>
          <t>Theme Two</t>
        </is>
      </c>
      <c r="B12" t="inlineStr">
        <is>
          <t>cross_tab_by_mean</t>
        </is>
      </c>
      <c r="C12" t="inlineStr">
        <is>
          <t>Q_NUM_EXPORT</t>
        </is>
      </c>
      <c r="D12" t="inlineStr">
        <is>
          <t>Q_NUM_EXPORT</t>
        </is>
      </c>
      <c r="E12" t="inlineStr">
        <is>
          <t>Theme_Two_Q_NUM_EXPORT_CT = J$23</t>
        </is>
      </c>
      <c r="H12">
        <f>IF(OR(Theme_Two_Q_NUM_EXPORT_CT="(None)",J$23=""),"",IF(J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J$23),"")))</f>
        <v>0</v>
      </c>
      <c r="I12" t="n">
        <v>5.5</v>
      </c>
      <c r="J12" t="n">
        <v>0</v>
      </c>
      <c r="K12" t="n">
        <v>0</v>
      </c>
      <c r="L12" t="inlineStr">
        <is>
          <t>2026-06-08T09:16:13.712533+00:00</t>
        </is>
      </c>
    </row>
    <row r="13">
      <c r="A13" t="inlineStr">
        <is>
          <t>Theme Two</t>
        </is>
      </c>
      <c r="B13" t="inlineStr">
        <is>
          <t>cross_tab_by_mean</t>
        </is>
      </c>
      <c r="C13" t="inlineStr">
        <is>
          <t>Q_NUM_EXPORT</t>
        </is>
      </c>
      <c r="D13" t="inlineStr">
        <is>
          <t>Q_NUM_EXPORT</t>
        </is>
      </c>
      <c r="E13" t="inlineStr">
        <is>
          <t>Theme_Two_Q_NUM_EXPORT_CT = K$23</t>
        </is>
      </c>
      <c r="H13">
        <f>IF(OR(Theme_Two_Q_NUM_EXPORT_CT="(None)",K$23=""),"",IF(K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K$23),"")))</f>
        <v>0</v>
      </c>
      <c r="I13" t="n">
        <v>5.5</v>
      </c>
      <c r="J13" t="n">
        <v>0</v>
      </c>
      <c r="K13" t="n">
        <v>0</v>
      </c>
      <c r="L13" t="inlineStr">
        <is>
          <t>2026-06-08T09:16:13.712668+00:00</t>
        </is>
      </c>
    </row>
    <row r="14">
      <c r="A14" t="inlineStr">
        <is>
          <t>Theme Two</t>
        </is>
      </c>
      <c r="B14" t="inlineStr">
        <is>
          <t>cross_tab_by_mean</t>
        </is>
      </c>
      <c r="C14" t="inlineStr">
        <is>
          <t>Q_NUM_EXPORT</t>
        </is>
      </c>
      <c r="D14" t="inlineStr">
        <is>
          <t>Q_NUM_EXPORT</t>
        </is>
      </c>
      <c r="E14" t="inlineStr">
        <is>
          <t>Theme_Two_Q_NUM_EXPORT_CT = L$23</t>
        </is>
      </c>
      <c r="H14">
        <f>IF(OR(Theme_Two_Q_NUM_EXPORT_CT="(None)",L$23=""),"",IF(L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L$23),"")))</f>
        <v>0</v>
      </c>
      <c r="I14" t="n">
        <v>5.5</v>
      </c>
      <c r="J14" t="n">
        <v>0</v>
      </c>
      <c r="K14" t="n">
        <v>0</v>
      </c>
      <c r="L14" t="inlineStr">
        <is>
          <t>2026-06-08T09:16:13.712802+00:00</t>
        </is>
      </c>
    </row>
    <row r="15">
      <c r="A15" t="inlineStr">
        <is>
          <t>Theme Two</t>
        </is>
      </c>
      <c r="B15" t="inlineStr">
        <is>
          <t>cross_tab_by_mean</t>
        </is>
      </c>
      <c r="C15" t="inlineStr">
        <is>
          <t>Q_NUM_EXPORT</t>
        </is>
      </c>
      <c r="D15" t="inlineStr">
        <is>
          <t>Q_NUM_EXPORT</t>
        </is>
      </c>
      <c r="E15" t="inlineStr">
        <is>
          <t>Theme_Two_Q_NUM_EXPORT_CT = M$23</t>
        </is>
      </c>
      <c r="H15">
        <f>IF(OR(Theme_Two_Q_NUM_EXPORT_CT="(None)",M$23=""),"",IF(M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M$23),"")))</f>
        <v>0</v>
      </c>
      <c r="I15" t="n">
        <v>5.5</v>
      </c>
      <c r="J15" t="n">
        <v>0</v>
      </c>
      <c r="K15" t="n">
        <v>0</v>
      </c>
      <c r="L15" t="inlineStr">
        <is>
          <t>2026-06-08T09:16:13.712933+00:00</t>
        </is>
      </c>
    </row>
    <row r="16">
      <c r="A16" t="inlineStr">
        <is>
          <t>Theme Two</t>
        </is>
      </c>
      <c r="B16" t="inlineStr">
        <is>
          <t>cross_tab_by_mean</t>
        </is>
      </c>
      <c r="C16" t="inlineStr">
        <is>
          <t>Q_NUM_EXPORT</t>
        </is>
      </c>
      <c r="D16" t="inlineStr">
        <is>
          <t>Q_NUM_EXPORT</t>
        </is>
      </c>
      <c r="E16" t="inlineStr">
        <is>
          <t>Theme_Two_Q_NUM_EXPORT_CT = N$23</t>
        </is>
      </c>
      <c r="H16">
        <f>IF(OR(Theme_Two_Q_NUM_EXPORT_CT="(None)",N$23=""),"",IF(N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N$23),"")))</f>
        <v>0</v>
      </c>
      <c r="I16" t="n">
        <v>5.5</v>
      </c>
      <c r="J16" t="n">
        <v>0</v>
      </c>
      <c r="K16" t="n">
        <v>0</v>
      </c>
      <c r="L16" t="inlineStr">
        <is>
          <t>2026-06-08T09:16:13.713065+00:00</t>
        </is>
      </c>
    </row>
    <row r="17">
      <c r="A17" t="inlineStr">
        <is>
          <t>Theme Two</t>
        </is>
      </c>
      <c r="B17" t="inlineStr">
        <is>
          <t>cross_tab_by_mean</t>
        </is>
      </c>
      <c r="C17" t="inlineStr">
        <is>
          <t>Q_NUM_EXPORT</t>
        </is>
      </c>
      <c r="D17" t="inlineStr">
        <is>
          <t>Q_NUM_EXPORT</t>
        </is>
      </c>
      <c r="E17" t="inlineStr">
        <is>
          <t>Theme_Two_Q_NUM_EXPORT_CT = O$23</t>
        </is>
      </c>
      <c r="H17">
        <f>IF(OR(Theme_Two_Q_NUM_EXPORT_CT="(None)",O$23=""),"",IF(O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O$23),"")))</f>
        <v>0</v>
      </c>
      <c r="I17" t="n">
        <v>5.5</v>
      </c>
      <c r="J17" t="n">
        <v>0</v>
      </c>
      <c r="K17" t="n">
        <v>0</v>
      </c>
      <c r="L17" t="inlineStr">
        <is>
          <t>2026-06-08T09:16:13.713245+00:00</t>
        </is>
      </c>
    </row>
    <row r="18">
      <c r="A18" t="inlineStr">
        <is>
          <t>Theme Two</t>
        </is>
      </c>
      <c r="B18" t="inlineStr">
        <is>
          <t>cross_tab_by_mean</t>
        </is>
      </c>
      <c r="C18" t="inlineStr">
        <is>
          <t>Q_NUM_EXPORT</t>
        </is>
      </c>
      <c r="D18" t="inlineStr">
        <is>
          <t>Q_NUM_EXPORT</t>
        </is>
      </c>
      <c r="E18" t="inlineStr">
        <is>
          <t>Theme_Two_Q_NUM_EXPORT_CT = P$23</t>
        </is>
      </c>
      <c r="H18">
        <f>IF(OR(Theme_Two_Q_NUM_EXPORT_CT="(None)",P$23=""),"",IF(P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P$23),"")))</f>
        <v>0</v>
      </c>
      <c r="I18" t="n">
        <v>5.5</v>
      </c>
      <c r="J18" t="n">
        <v>0</v>
      </c>
      <c r="K18" t="n">
        <v>0</v>
      </c>
      <c r="L18" t="inlineStr">
        <is>
          <t>2026-06-08T09:16:13.713382+00:00</t>
        </is>
      </c>
    </row>
    <row r="19">
      <c r="A19" t="inlineStr">
        <is>
          <t>Theme Two</t>
        </is>
      </c>
      <c r="B19" t="inlineStr">
        <is>
          <t>cross_tab_by_mean</t>
        </is>
      </c>
      <c r="C19" t="inlineStr">
        <is>
          <t>Q_NUM_EXPORT</t>
        </is>
      </c>
      <c r="D19" t="inlineStr">
        <is>
          <t>Q_NUM_EXPORT</t>
        </is>
      </c>
      <c r="E19" t="inlineStr">
        <is>
          <t>Theme_Two_Q_NUM_EXPORT_CT = Q$23</t>
        </is>
      </c>
      <c r="H19">
        <f>IF(OR(Theme_Two_Q_NUM_EXPORT_CT="(None)",Q$23=""),"",IF(Q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Q$23),"")))</f>
        <v>0</v>
      </c>
      <c r="I19" t="n">
        <v>5.5</v>
      </c>
      <c r="J19" t="n">
        <v>0</v>
      </c>
      <c r="K19" t="n">
        <v>0</v>
      </c>
      <c r="L19" t="inlineStr">
        <is>
          <t>2026-06-08T09:16:13.713517+00:00</t>
        </is>
      </c>
    </row>
    <row r="20">
      <c r="A20" t="inlineStr">
        <is>
          <t>Theme Two</t>
        </is>
      </c>
      <c r="B20" t="inlineStr">
        <is>
          <t>cross_tab_by_mean</t>
        </is>
      </c>
      <c r="C20" t="inlineStr">
        <is>
          <t>Q_NUM_EXPORT</t>
        </is>
      </c>
      <c r="D20" t="inlineStr">
        <is>
          <t>Q_NUM_EXPORT</t>
        </is>
      </c>
      <c r="E20" t="inlineStr">
        <is>
          <t>Theme_Two_Q_NUM_EXPORT_CT = R$23</t>
        </is>
      </c>
      <c r="H20">
        <f>IF(OR(Theme_Two_Q_NUM_EXPORT_CT="(None)",R$23=""),"",IF(R$23="Other","",IFERROR(AVERAGEIFS(Q_NUM_EXPORT_data,Q_NUM_EXPORT_data,"&lt;&gt;",passes_workbook_filters_data,1,passes_workbook_custom_filters_data,1,Theme_Two_passes_local_filters_data,1,Theme_Two_Q_NUM_EXPORT_F_passes_per_q_filter_data,1,INDIRECT(IFERROR(INDEX(All_Questions_Data_Names,MATCH(Theme_Two_Q_NUM_EXPORT_CT,All_Questions,0)),"'_RawData'!$A:$A")),R$23),"")))</f>
        <v>0</v>
      </c>
      <c r="I20" t="n">
        <v>5.5</v>
      </c>
      <c r="J20" t="n">
        <v>0</v>
      </c>
      <c r="K20" t="n">
        <v>0</v>
      </c>
      <c r="L20" t="inlineStr">
        <is>
          <t>2026-06-08T09:16:13.713708+00:00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G$16</t>
        </is>
      </c>
      <c r="H21">
        <f>IF(OR(All_Questions_Q_MS_EXPORT_CT="(None)",G$16=""),"",IF(G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</v>
      </c>
      <c r="I21" t="n">
        <v>0.5</v>
      </c>
      <c r="J21" t="n">
        <v>0</v>
      </c>
      <c r="K21" t="n">
        <v>0</v>
      </c>
      <c r="L21" t="inlineStr">
        <is>
          <t>2026-06-08T09:16:13.744364+00:00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H$16</t>
        </is>
      </c>
      <c r="H22">
        <f>IF(OR(All_Questions_Q_MS_EXPORT_CT="(None)",H$16=""),"",IF(H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</v>
      </c>
      <c r="I22" t="n">
        <v>0.5</v>
      </c>
      <c r="J22" t="n">
        <v>0</v>
      </c>
      <c r="K22" t="n">
        <v>0</v>
      </c>
      <c r="L22" t="inlineStr">
        <is>
          <t>2026-06-08T09:16:13.744591+00:00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I$16</t>
        </is>
      </c>
      <c r="H23">
        <f>IF(OR(All_Questions_Q_MS_EXPORT_CT="(None)",I$16=""),"",IF(I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</v>
      </c>
      <c r="I23" t="n">
        <v>0.5</v>
      </c>
      <c r="J23" t="n">
        <v>0</v>
      </c>
      <c r="K23" t="n">
        <v>0</v>
      </c>
      <c r="L23" t="inlineStr">
        <is>
          <t>2026-06-08T09:16:13.744791+00:00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J$16</t>
        </is>
      </c>
      <c r="H24">
        <f>IF(OR(All_Questions_Q_MS_EXPORT_CT="(None)",J$16=""),"",IF(J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</v>
      </c>
      <c r="I24" t="n">
        <v>0.5</v>
      </c>
      <c r="J24" t="n">
        <v>0</v>
      </c>
      <c r="K24" t="n">
        <v>0</v>
      </c>
      <c r="L24" t="inlineStr">
        <is>
          <t>2026-06-08T09:16:13.744992+00:00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K$16</t>
        </is>
      </c>
      <c r="H25">
        <f>IF(OR(All_Questions_Q_MS_EXPORT_CT="(None)",K$16=""),"",IF(K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</v>
      </c>
      <c r="I25" t="n">
        <v>0.5</v>
      </c>
      <c r="J25" t="n">
        <v>0</v>
      </c>
      <c r="K25" t="n">
        <v>0</v>
      </c>
      <c r="L25" t="inlineStr">
        <is>
          <t>2026-06-08T09:16:13.745243+00:00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L$16</t>
        </is>
      </c>
      <c r="H26">
        <f>IF(OR(All_Questions_Q_MS_EXPORT_CT="(None)",L$16=""),"",IF(L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</v>
      </c>
      <c r="I26" t="n">
        <v>0.5</v>
      </c>
      <c r="J26" t="n">
        <v>0</v>
      </c>
      <c r="K26" t="n">
        <v>0</v>
      </c>
      <c r="L26" t="inlineStr">
        <is>
          <t>2026-06-08T09:16:13.745449+00:00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M$16</t>
        </is>
      </c>
      <c r="H27">
        <f>IF(OR(All_Questions_Q_MS_EXPORT_CT="(None)",M$16=""),"",IF(M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</v>
      </c>
      <c r="I27" t="n">
        <v>0.5</v>
      </c>
      <c r="J27" t="n">
        <v>0</v>
      </c>
      <c r="K27" t="n">
        <v>0</v>
      </c>
      <c r="L27" t="inlineStr">
        <is>
          <t>2026-06-08T09:16:13.745648+00:00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N$16</t>
        </is>
      </c>
      <c r="H28">
        <f>IF(OR(All_Questions_Q_MS_EXPORT_CT="(None)",N$16=""),"",IF(N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</v>
      </c>
      <c r="I28" t="n">
        <v>0.5</v>
      </c>
      <c r="J28" t="n">
        <v>0</v>
      </c>
      <c r="K28" t="n">
        <v>0</v>
      </c>
      <c r="L28" t="inlineStr">
        <is>
          <t>2026-06-08T09:16:13.745844+00:00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O$16</t>
        </is>
      </c>
      <c r="H29">
        <f>IF(OR(All_Questions_Q_MS_EXPORT_CT="(None)",O$16=""),"",IF(O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</v>
      </c>
      <c r="I29" t="n">
        <v>0.5</v>
      </c>
      <c r="J29" t="n">
        <v>0</v>
      </c>
      <c r="K29" t="n">
        <v>0</v>
      </c>
      <c r="L29" t="inlineStr">
        <is>
          <t>2026-06-08T09:16:13.746043+00:00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P$16</t>
        </is>
      </c>
      <c r="H30">
        <f>IF(OR(All_Questions_Q_MS_EXPORT_CT="(None)",P$16=""),"",IF(P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</v>
      </c>
      <c r="I30" t="n">
        <v>0.5</v>
      </c>
      <c r="J30" t="n">
        <v>0</v>
      </c>
      <c r="K30" t="n">
        <v>0</v>
      </c>
      <c r="L30" t="inlineStr">
        <is>
          <t>2026-06-08T09:16:13.746287+00:00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Q$16</t>
        </is>
      </c>
      <c r="H31">
        <f>IF(OR(All_Questions_Q_MS_EXPORT_CT="(None)",Q$16=""),"",IF(Q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</v>
      </c>
      <c r="I31" t="n">
        <v>0.5</v>
      </c>
      <c r="J31" t="n">
        <v>0</v>
      </c>
      <c r="K31" t="n">
        <v>0</v>
      </c>
      <c r="L31" t="inlineStr">
        <is>
          <t>2026-06-08T09:16:13.746490+00:00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R$16</t>
        </is>
      </c>
      <c r="H32">
        <f>IF(OR(All_Questions_Q_MS_EXPORT_CT="(None)",R$16=""),"",IF(R$16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</v>
      </c>
      <c r="I32" t="n">
        <v>0.5</v>
      </c>
      <c r="J32" t="n">
        <v>0</v>
      </c>
      <c r="K32" t="n">
        <v>0</v>
      </c>
      <c r="L32" t="inlineStr">
        <is>
          <t>2026-06-08T09:16:13.746745+00:00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G$16</t>
        </is>
      </c>
      <c r="H33">
        <f>IF(OR(All_Questions_Q_MS_EXPORT_CT="(None)",G$16=""),"",IF(G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$16)),"")))</f>
        <v>0</v>
      </c>
      <c r="I33" t="n">
        <v>0.2</v>
      </c>
      <c r="J33" t="n">
        <v>0</v>
      </c>
      <c r="K33" t="n">
        <v>0</v>
      </c>
      <c r="L33" t="inlineStr">
        <is>
          <t>2026-06-08T09:16:13.747134+00:00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H$16</t>
        </is>
      </c>
      <c r="H34">
        <f>IF(OR(All_Questions_Q_MS_EXPORT_CT="(None)",H$16=""),"",IF(H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$16)),"")))</f>
        <v>0</v>
      </c>
      <c r="I34" t="n">
        <v>0.2</v>
      </c>
      <c r="J34" t="n">
        <v>0</v>
      </c>
      <c r="K34" t="n">
        <v>0</v>
      </c>
      <c r="L34" t="inlineStr">
        <is>
          <t>2026-06-08T09:16:13.747346+00:00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I$16</t>
        </is>
      </c>
      <c r="H35">
        <f>IF(OR(All_Questions_Q_MS_EXPORT_CT="(None)",I$16=""),"",IF(I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$16)),"")))</f>
        <v>0</v>
      </c>
      <c r="I35" t="n">
        <v>0.2</v>
      </c>
      <c r="J35" t="n">
        <v>0</v>
      </c>
      <c r="K35" t="n">
        <v>0</v>
      </c>
      <c r="L35" t="inlineStr">
        <is>
          <t>2026-06-08T09:16:13.747547+00:00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J$16</t>
        </is>
      </c>
      <c r="H36">
        <f>IF(OR(All_Questions_Q_MS_EXPORT_CT="(None)",J$16=""),"",IF(J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$16)),"")))</f>
        <v>0</v>
      </c>
      <c r="I36" t="n">
        <v>0.2</v>
      </c>
      <c r="J36" t="n">
        <v>0</v>
      </c>
      <c r="K36" t="n">
        <v>0</v>
      </c>
      <c r="L36" t="inlineStr">
        <is>
          <t>2026-06-08T09:16:13.747742+00:00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K$16</t>
        </is>
      </c>
      <c r="H37">
        <f>IF(OR(All_Questions_Q_MS_EXPORT_CT="(None)",K$16=""),"",IF(K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$16)),"")))</f>
        <v>0</v>
      </c>
      <c r="I37" t="n">
        <v>0.2</v>
      </c>
      <c r="J37" t="n">
        <v>0</v>
      </c>
      <c r="K37" t="n">
        <v>0</v>
      </c>
      <c r="L37" t="inlineStr">
        <is>
          <t>2026-06-08T09:16:13.747936+00:00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L$16</t>
        </is>
      </c>
      <c r="H38">
        <f>IF(OR(All_Questions_Q_MS_EXPORT_CT="(None)",L$16=""),"",IF(L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$16)),"")))</f>
        <v>0</v>
      </c>
      <c r="I38" t="n">
        <v>0.2</v>
      </c>
      <c r="J38" t="n">
        <v>0</v>
      </c>
      <c r="K38" t="n">
        <v>0</v>
      </c>
      <c r="L38" t="inlineStr">
        <is>
          <t>2026-06-08T09:16:13.748183+00:00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M$16</t>
        </is>
      </c>
      <c r="H39">
        <f>IF(OR(All_Questions_Q_MS_EXPORT_CT="(None)",M$16=""),"",IF(M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$16)),"")))</f>
        <v>0</v>
      </c>
      <c r="I39" t="n">
        <v>0.2</v>
      </c>
      <c r="J39" t="n">
        <v>0</v>
      </c>
      <c r="K39" t="n">
        <v>0</v>
      </c>
      <c r="L39" t="inlineStr">
        <is>
          <t>2026-06-08T09:16:13.748433+00:00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N$16</t>
        </is>
      </c>
      <c r="H40">
        <f>IF(OR(All_Questions_Q_MS_EXPORT_CT="(None)",N$16=""),"",IF(N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$16)),"")))</f>
        <v>0</v>
      </c>
      <c r="I40" t="n">
        <v>0.2</v>
      </c>
      <c r="J40" t="n">
        <v>0</v>
      </c>
      <c r="K40" t="n">
        <v>0</v>
      </c>
      <c r="L40" t="inlineStr">
        <is>
          <t>2026-06-08T09:16:13.748631+00:00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O$16</t>
        </is>
      </c>
      <c r="H41">
        <f>IF(OR(All_Questions_Q_MS_EXPORT_CT="(None)",O$16=""),"",IF(O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$16)),"")))</f>
        <v>0</v>
      </c>
      <c r="I41" t="n">
        <v>0.2</v>
      </c>
      <c r="J41" t="n">
        <v>0</v>
      </c>
      <c r="K41" t="n">
        <v>0</v>
      </c>
      <c r="L41" t="inlineStr">
        <is>
          <t>2026-06-08T09:16:13.748824+00:00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P$16</t>
        </is>
      </c>
      <c r="H42">
        <f>IF(OR(All_Questions_Q_MS_EXPORT_CT="(None)",P$16=""),"",IF(P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$16)),"")))</f>
        <v>0</v>
      </c>
      <c r="I42" t="n">
        <v>0.2</v>
      </c>
      <c r="J42" t="n">
        <v>0</v>
      </c>
      <c r="K42" t="n">
        <v>0</v>
      </c>
      <c r="L42" t="inlineStr">
        <is>
          <t>2026-06-08T09:16:13.749018+00:00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Q$16</t>
        </is>
      </c>
      <c r="H43">
        <f>IF(OR(All_Questions_Q_MS_EXPORT_CT="(None)",Q$16=""),"",IF(Q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$16)),"")))</f>
        <v>0</v>
      </c>
      <c r="I43" t="n">
        <v>0.2</v>
      </c>
      <c r="J43" t="n">
        <v>0</v>
      </c>
      <c r="K43" t="n">
        <v>0</v>
      </c>
      <c r="L43" t="inlineStr">
        <is>
          <t>2026-06-08T09:16:13.749263+00:00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R$16</t>
        </is>
      </c>
      <c r="H44">
        <f>IF(OR(All_Questions_Q_MS_EXPORT_CT="(None)",R$16=""),"",IF(R$16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$16)),"")))</f>
        <v>0</v>
      </c>
      <c r="I44" t="n">
        <v>0.2</v>
      </c>
      <c r="J44" t="n">
        <v>0</v>
      </c>
      <c r="K44" t="n">
        <v>0</v>
      </c>
      <c r="L44" t="inlineStr">
        <is>
          <t>2026-06-08T09:16:13.749523+00:00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2026-06-08T09:16:13Z</dcterms:created>
  <dcterms:modified xmlns:dcterms="http://purl.org/dc/terms/" xmlns:xsi="http://www.w3.org/2001/XMLSchema-instance" xsi:type="dcterms:W3CDTF">2026-06-08T09:16:13Z</dcterms:modified>
</cp:coreProperties>
</file>