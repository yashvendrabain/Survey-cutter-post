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'Demographics'!$C$26</definedName>
    <definedName name="Demographics_Q14_F_V">'Demographics'!$E$26</definedName>
    <definedName name="Demographics_Q14_F_resolved_column">'Demographics'!$F$26</definedName>
    <definedName name="Demographics_Q14_F_wrapped">'Demographics'!$G$26</definedName>
    <definedName name="Demographics_Q14_F_passes_per_q_filter_data">'_RawData'!$N$2:$N$3</definedName>
    <definedName name="Demographics_Q14_CT">'Demographics'!$C$27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6" i="7"/>
  <c r="G26" i="7"/>
  <c r="G29" i="7"/>
  <c r="H29" i="7"/>
  <c r="I29" i="7"/>
  <c r="J29" i="7"/>
  <c r="K29" i="7"/>
  <c r="L29" i="7"/>
  <c r="M29" i="7"/>
  <c r="N29" i="7"/>
  <c r="O29" i="7"/>
  <c r="P29" i="7"/>
  <c r="Q29" i="7"/>
  <c r="R29" i="7"/>
  <c r="B30" i="7"/>
  <c r="C30" i="7"/>
  <c r="D30" i="7"/>
  <c r="B31" i="7"/>
  <c r="C31" i="7"/>
  <c r="D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S33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9_1" displayName="T_Demographics_29_1" ref="A29:D32" headerRowCount="1">
  <autoFilter ref="A29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 s="14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 s="14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 s="14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 s="14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 s="14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 s="14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 s="14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 s="14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 s="14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 s="14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 s="14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 s="14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 s="14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 s="14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 s="14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 s="14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 s="14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 s="14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 s="14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 s="14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 s="14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 s="14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 s="14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 s="14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 s="14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 s="14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/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2" t="inlineStr">
        <is>
          <t>Q14 - Approximately how old is the organization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13" t="inlineStr">
        <is>
          <t>Per-question filter</t>
        </is>
      </c>
      <c r="B26" t="inlineStr">
        <is>
          <t>Filter Q</t>
        </is>
      </c>
      <c r="C26" t="inlineStr">
        <is>
          <t>(None)</t>
        </is>
      </c>
      <c r="D26" t="inlineStr">
        <is>
          <t>Value</t>
        </is>
      </c>
      <c r="E26" t="inlineStr">
        <is>
          <t>(All)</t>
        </is>
      </c>
      <c r="F26" t="str">
        <f>IFERROR(INDEX(All_Questions_Data_Names,MATCH(Demographics_Q14_F_Q,All_Questions,0)),"'_RawData'!$A:$A")</f>
        <v>respondent_id_data</v>
      </c>
      <c r="G26" t="str">
        <f>"|" &amp; SUBSTITUTE(Demographics_Q14_F_V, ", ", "|") &amp; "|"</f>
        <v>|(All)|</v>
      </c>
    </row>
    <row r="27">
      <c r="A27" s="13" t="inlineStr">
        <is>
          <t>Cross-tab by</t>
        </is>
      </c>
      <c r="C27" t="inlineStr">
        <is>
          <t>(None)</t>
        </is>
      </c>
    </row>
    <row r="28"/>
    <row r="29">
      <c r="A29" s="4" t="inlineStr">
        <is>
          <t>Option</t>
        </is>
      </c>
      <c r="B29" s="4" t="inlineStr">
        <is>
          <t>Count</t>
        </is>
      </c>
      <c r="C29" s="4" t="inlineStr">
        <is>
          <t>%</t>
        </is>
      </c>
      <c r="D29" s="4" t="inlineStr">
        <is>
          <t>Denominator</t>
        </is>
      </c>
      <c r="F29" s="4" t="inlineStr">
        <is>
          <t>Option</t>
        </is>
      </c>
      <c r="G29" s="2" t="str">
        <f>IF(Demographics_Q14_CT="(None)","",IFERROR(INDEX(INDIRECT(IFERROR(INDEX(All_Questions_Options_Names,MATCH(Demographics_Q14_CT,All_Questions,0)),"'_Options'!$E$2:$E$2")),2),""))</f>
        <v/>
      </c>
      <c r="H29" s="2" t="str">
        <f>IF(Demographics_Q14_CT="(None)","",IFERROR(INDEX(INDIRECT(IFERROR(INDEX(All_Questions_Options_Names,MATCH(Demographics_Q14_CT,All_Questions,0)),"'_Options'!$E$2:$E$2")),3),""))</f>
        <v/>
      </c>
      <c r="I29" s="2" t="str">
        <f>IF(Demographics_Q14_CT="(None)","",IFERROR(INDEX(INDIRECT(IFERROR(INDEX(All_Questions_Options_Names,MATCH(Demographics_Q14_CT,All_Questions,0)),"'_Options'!$E$2:$E$2")),4),""))</f>
        <v/>
      </c>
      <c r="J29" s="2" t="str">
        <f>IF(Demographics_Q14_CT="(None)","",IFERROR(INDEX(INDIRECT(IFERROR(INDEX(All_Questions_Options_Names,MATCH(Demographics_Q14_CT,All_Questions,0)),"'_Options'!$E$2:$E$2")),5),""))</f>
        <v/>
      </c>
      <c r="K29" s="2" t="str">
        <f>IF(Demographics_Q14_CT="(None)","",IFERROR(INDEX(INDIRECT(IFERROR(INDEX(All_Questions_Options_Names,MATCH(Demographics_Q14_CT,All_Questions,0)),"'_Options'!$E$2:$E$2")),6),""))</f>
        <v/>
      </c>
      <c r="L29" s="2" t="str">
        <f>IF(Demographics_Q14_CT="(None)","",IFERROR(INDEX(INDIRECT(IFERROR(INDEX(All_Questions_Options_Names,MATCH(Demographics_Q14_CT,All_Questions,0)),"'_Options'!$E$2:$E$2")),7),""))</f>
        <v/>
      </c>
      <c r="M29" s="2" t="str">
        <f>IF(Demographics_Q14_CT="(None)","",IFERROR(INDEX(INDIRECT(IFERROR(INDEX(All_Questions_Options_Names,MATCH(Demographics_Q14_CT,All_Questions,0)),"'_Options'!$E$2:$E$2")),8),""))</f>
        <v/>
      </c>
      <c r="N29" s="2" t="str">
        <f>IF(Demographics_Q14_CT="(None)","",IFERROR(INDEX(INDIRECT(IFERROR(INDEX(All_Questions_Options_Names,MATCH(Demographics_Q14_CT,All_Questions,0)),"'_Options'!$E$2:$E$2")),9),""))</f>
        <v/>
      </c>
      <c r="O29" s="2" t="str">
        <f>IF(Demographics_Q14_CT="(None)","",IFERROR(INDEX(INDIRECT(IFERROR(INDEX(All_Questions_Options_Names,MATCH(Demographics_Q14_CT,All_Questions,0)),"'_Options'!$E$2:$E$2")),10),""))</f>
        <v/>
      </c>
      <c r="P29" s="2" t="str">
        <f>IF(Demographics_Q14_CT="(None)","",IFERROR(INDEX(INDIRECT(IFERROR(INDEX(All_Questions_Options_Names,MATCH(Demographics_Q14_CT,All_Questions,0)),"'_Options'!$E$2:$E$2")),11),""))</f>
        <v/>
      </c>
      <c r="Q29" s="2" t="str">
        <f>IF(Demographics_Q14_CT="(None)","",IFERROR(INDEX(INDIRECT(IFERROR(INDEX(All_Questions_Options_Names,MATCH(Demographics_Q14_CT,All_Questions,0)),"'_Options'!$E$2:$E$2")),12),""))</f>
        <v/>
      </c>
      <c r="R29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9" s="4" t="inlineStr">
        <is>
          <t>Total</t>
        </is>
      </c>
    </row>
    <row r="30">
      <c r="A30" t="inlineStr">
        <is>
          <t>New</t>
        </is>
      </c>
      <c r="B30">
        <f>COUNTIFS(Q14_data,"New",passes_workbook_filters_data,1,passes_workbook_custom_filters_data,1,Demographics_passes_local_filters_data,1,Demographics_Q14_F_passes_per_q_filter_data,1)</f>
        <v>1</v>
      </c>
      <c r="C30" s="7">
        <f>IFERROR(B30/SUBTOTAL(9,B30:B31),0)</f>
        <v>0.5</v>
      </c>
      <c r="D30" s="14">
        <f>SUBTOTAL(9,B30:B31)</f>
        <v>2</v>
      </c>
      <c r="F30" s="4" t="inlineStr"/>
      <c r="G30" s="4" t="inlineStr">
        <is>
          <t># of resp</t>
        </is>
      </c>
      <c r="H30" s="4" t="inlineStr">
        <is>
          <t># of resp</t>
        </is>
      </c>
      <c r="I30" s="4" t="inlineStr">
        <is>
          <t># of resp</t>
        </is>
      </c>
      <c r="J30" s="4" t="inlineStr">
        <is>
          <t># of resp</t>
        </is>
      </c>
      <c r="K30" s="4" t="inlineStr">
        <is>
          <t># of resp</t>
        </is>
      </c>
      <c r="L30" s="4" t="inlineStr">
        <is>
          <t># of resp</t>
        </is>
      </c>
      <c r="M30" s="4" t="inlineStr">
        <is>
          <t># of resp</t>
        </is>
      </c>
      <c r="N30" s="4" t="inlineStr">
        <is>
          <t># of resp</t>
        </is>
      </c>
      <c r="O30" s="4" t="inlineStr">
        <is>
          <t># of resp</t>
        </is>
      </c>
      <c r="P30" s="4" t="inlineStr">
        <is>
          <t># of resp</t>
        </is>
      </c>
      <c r="Q30" s="4" t="inlineStr">
        <is>
          <t># of resp</t>
        </is>
      </c>
      <c r="R30" s="4" t="inlineStr">
        <is>
          <t># of resp</t>
        </is>
      </c>
      <c r="S30" s="4" t="inlineStr">
        <is>
          <t># of resp</t>
        </is>
      </c>
    </row>
    <row r="31">
      <c r="A31" t="inlineStr">
        <is>
          <t>Established</t>
        </is>
      </c>
      <c r="B31">
        <f>COUNTIFS(Q14_data,"Established",passes_workbook_filters_data,1,passes_workbook_custom_filters_data,1,Demographics_passes_local_filters_data,1,Demographics_Q14_F_passes_per_q_filter_data,1)</f>
        <v>1</v>
      </c>
      <c r="C31" s="7">
        <f>IFERROR(B31/SUBTOTAL(9,B30:B31),0)</f>
        <v>0.5</v>
      </c>
      <c r="D31" s="14">
        <f>SUBTOTAL(9,B30:B31)</f>
        <v>2</v>
      </c>
      <c r="F31" t="inlineStr">
        <is>
          <t>New</t>
        </is>
      </c>
      <c r="G31" s="14">
        <f>IF(OR(Demographics_Q14_CT="(None)",G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$29))</f>
        <v>0</v>
      </c>
      <c r="H31" s="14">
        <f>IF(OR(Demographics_Q14_CT="(None)",H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$29))</f>
        <v>0</v>
      </c>
      <c r="I31" s="14">
        <f>IF(OR(Demographics_Q14_CT="(None)",I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$29))</f>
        <v>0</v>
      </c>
      <c r="J31" s="14">
        <f>IF(OR(Demographics_Q14_CT="(None)",J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$29))</f>
        <v>0</v>
      </c>
      <c r="K31" s="14">
        <f>IF(OR(Demographics_Q14_CT="(None)",K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$29))</f>
        <v>0</v>
      </c>
      <c r="L31" s="14">
        <f>IF(OR(Demographics_Q14_CT="(None)",L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$29))</f>
        <v>0</v>
      </c>
      <c r="M31" s="14">
        <f>IF(OR(Demographics_Q14_CT="(None)",M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$29))</f>
        <v>0</v>
      </c>
      <c r="N31" s="14">
        <f>IF(OR(Demographics_Q14_CT="(None)",N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$29))</f>
        <v>0</v>
      </c>
      <c r="O31" s="14">
        <f>IF(OR(Demographics_Q14_CT="(None)",O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$29))</f>
        <v>0</v>
      </c>
      <c r="P31" s="14">
        <f>IF(OR(Demographics_Q14_CT="(None)",P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$29))</f>
        <v>0</v>
      </c>
      <c r="Q31" s="14">
        <f>IF(OR(Demographics_Q14_CT="(None)",Q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$29))</f>
        <v>0</v>
      </c>
      <c r="R31" s="14">
        <f>IF(OR(Demographics_Q14_CT="(None)",R$29=""),"",IF(R$29="Other",COUNTIFS(Q14_data,"New",passes_workbook_filters_data,1,passes_workbook_custom_filters_data,1,Demographics_passes_local_filters_data,1,Demographics_Q14_F_passes_per_q_filter_data,1)-SUM(G31,H31,I31,J31,K31,L31,M31,N31,O31,P31,Q31)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$29)))</f>
        <v>0</v>
      </c>
      <c r="S31" s="14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2">
      <c r="A32" s="15" t="inlineStr">
        <is>
          <t>Total respondents</t>
        </is>
      </c>
      <c r="B32" s="15" t="n">
        <v>2</v>
      </c>
      <c r="C32" s="15" t="n"/>
      <c r="D32" s="15" t="n"/>
      <c r="F32" t="inlineStr">
        <is>
          <t>Established</t>
        </is>
      </c>
      <c r="G32" s="14">
        <f>IF(OR(Demographics_Q14_CT="(None)",G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$29))</f>
        <v>0</v>
      </c>
      <c r="H32" s="14">
        <f>IF(OR(Demographics_Q14_CT="(None)",H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$29))</f>
        <v>0</v>
      </c>
      <c r="I32" s="14">
        <f>IF(OR(Demographics_Q14_CT="(None)",I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$29))</f>
        <v>0</v>
      </c>
      <c r="J32" s="14">
        <f>IF(OR(Demographics_Q14_CT="(None)",J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$29))</f>
        <v>0</v>
      </c>
      <c r="K32" s="14">
        <f>IF(OR(Demographics_Q14_CT="(None)",K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$29))</f>
        <v>0</v>
      </c>
      <c r="L32" s="14">
        <f>IF(OR(Demographics_Q14_CT="(None)",L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$29))</f>
        <v>0</v>
      </c>
      <c r="M32" s="14">
        <f>IF(OR(Demographics_Q14_CT="(None)",M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$29))</f>
        <v>0</v>
      </c>
      <c r="N32" s="14">
        <f>IF(OR(Demographics_Q14_CT="(None)",N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$29))</f>
        <v>0</v>
      </c>
      <c r="O32" s="14">
        <f>IF(OR(Demographics_Q14_CT="(None)",O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$29))</f>
        <v>0</v>
      </c>
      <c r="P32" s="14">
        <f>IF(OR(Demographics_Q14_CT="(None)",P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$29))</f>
        <v>0</v>
      </c>
      <c r="Q32" s="14">
        <f>IF(OR(Demographics_Q14_CT="(None)",Q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$29))</f>
        <v>0</v>
      </c>
      <c r="R32" s="14">
        <f>IF(OR(Demographics_Q14_CT="(None)",R$29=""),"",IF(R$29="Other",COUNTIFS(Q14_data,"Established",passes_workbook_filters_data,1,passes_workbook_custom_filters_data,1,Demographics_passes_local_filters_data,1,Demographics_Q14_F_passes_per_q_filter_data,1)-SUM(G32,H32,I32,J32,K32,L32,M32,N32,O32,P32,Q32)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$29)))</f>
        <v>0</v>
      </c>
      <c r="S32" s="14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3">
      <c r="F33" s="4" t="inlineStr">
        <is>
          <t>Total respondents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0:B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0:C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G3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1:H3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1:I3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1:J3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1:K3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1:L3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1:M3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1:N3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1:P3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1:Q3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1:R3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6" showDropDown="0" showInputMessage="0" showErrorMessage="0" allowBlank="1" type="list">
      <formula1>=All_Questions</formula1>
    </dataValidation>
    <dataValidation sqref="E26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2026-06-08T09:15:47Z</dcterms:created>
  <dcterms:modified xmlns:dcterms="http://purl.org/dc/terms/" xmlns:xsi="http://www.w3.org/2001/XMLSchema-instance" xsi:type="dcterms:W3CDTF">2026-06-08T09:15:47Z</dcterms:modified>
</cp:coreProperties>
</file>