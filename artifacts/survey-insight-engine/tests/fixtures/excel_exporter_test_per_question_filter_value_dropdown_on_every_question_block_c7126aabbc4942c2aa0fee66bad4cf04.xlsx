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All_Questions_Data_Names">'_Options'!$C$2:$C$7</definedName>
    <definedName name="All_Questions_Options_Names">'_Options'!$D$2:$D$7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'_RawData'!$S$2:$S$11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'_RawData'!$T$2:$T$11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'_RawData'!$U$2:$U$11</definedName>
    <definedName name="All_Questions_Q_VERY_LONG_SINGLE_SELECT_EXPORT_NAME_CT">'All Questions'!$C$56</definedName>
    <definedName name="All_Questions_Q_EXTRA_1_F_Q">'All Questions'!$C$65</definedName>
    <definedName name="All_Questions_Q_EXTRA_1_F_V">'All Questions'!$E$65</definedName>
    <definedName name="All_Questions_Q_EXTRA_1_F_resolved_column">'All Questions'!$F$65</definedName>
    <definedName name="All_Questions_Q_EXTRA_1_F_wrapped">'All Questions'!$G$65</definedName>
    <definedName name="All_Questions_Q_EXTRA_1_F_passes_per_q_filter_data">'_RawData'!$V$2:$V$11</definedName>
    <definedName name="All_Questions_Q_EXTRA_1_CT">'All Questions'!$C$66</definedName>
    <definedName name="All_Questions_Q_EXTRA_2_F_Q">'All Questions'!$C$75</definedName>
    <definedName name="All_Questions_Q_EXTRA_2_F_V">'All Questions'!$E$75</definedName>
    <definedName name="All_Questions_Q_EXTRA_2_F_resolved_column">'All Questions'!$F$75</definedName>
    <definedName name="All_Questions_Q_EXTRA_2_F_wrapped">'All Questions'!$G$75</definedName>
    <definedName name="All_Questions_Q_EXTRA_2_F_passes_per_q_filter_data">'_RawData'!$W$2:$W$11</definedName>
    <definedName name="All_Questions_Q_EXTRA_2_CT">'All Questions'!$C$76</definedName>
    <definedName name="All_Questions_Q_EXTRA_3_F_Q">'All Questions'!$C$85</definedName>
    <definedName name="All_Questions_Q_EXTRA_3_F_V">'All Questions'!$E$85</definedName>
    <definedName name="All_Questions_Q_EXTRA_3_F_resolved_column">'All Questions'!$F$85</definedName>
    <definedName name="All_Questions_Q_EXTRA_3_F_wrapped">'All Questions'!$G$85</definedName>
    <definedName name="All_Questions_Q_EXTRA_3_F_passes_per_q_filter_data">'_RawData'!$X$2:$X$11</definedName>
    <definedName name="All_Questions_Q_EXTRA_3_CT">'All Questions'!$C$86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  <c r="F65" i="7"/>
  <c r="G65" i="7"/>
  <c r="G68" i="7"/>
  <c r="I68" i="7"/>
  <c r="K68" i="7"/>
  <c r="M68" i="7"/>
  <c r="O68" i="7"/>
  <c r="Q68" i="7"/>
  <c r="S68" i="7"/>
  <c r="U68" i="7"/>
  <c r="W68" i="7"/>
  <c r="Y68" i="7"/>
  <c r="AA68" i="7"/>
  <c r="AC68" i="7"/>
  <c r="B69" i="7"/>
  <c r="C69" i="7"/>
  <c r="D69" i="7"/>
  <c r="B70" i="7"/>
  <c r="C70" i="7"/>
  <c r="D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E72" i="7"/>
  <c r="F75" i="7"/>
  <c r="G75" i="7"/>
  <c r="G78" i="7"/>
  <c r="I78" i="7"/>
  <c r="K78" i="7"/>
  <c r="M78" i="7"/>
  <c r="O78" i="7"/>
  <c r="Q78" i="7"/>
  <c r="S78" i="7"/>
  <c r="U78" i="7"/>
  <c r="W78" i="7"/>
  <c r="Y78" i="7"/>
  <c r="AA78" i="7"/>
  <c r="AC78" i="7"/>
  <c r="B79" i="7"/>
  <c r="C79" i="7"/>
  <c r="D79" i="7"/>
  <c r="B80" i="7"/>
  <c r="C80" i="7"/>
  <c r="D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E82" i="7"/>
  <c r="F85" i="7"/>
  <c r="G85" i="7"/>
  <c r="G88" i="7"/>
  <c r="I88" i="7"/>
  <c r="K88" i="7"/>
  <c r="M88" i="7"/>
  <c r="O88" i="7"/>
  <c r="Q88" i="7"/>
  <c r="S88" i="7"/>
  <c r="U88" i="7"/>
  <c r="W88" i="7"/>
  <c r="Y88" i="7"/>
  <c r="AA88" i="7"/>
  <c r="AC88" i="7"/>
  <c r="B89" i="7"/>
  <c r="C89" i="7"/>
  <c r="D89" i="7"/>
  <c r="B90" i="7"/>
  <c r="C90" i="7"/>
  <c r="D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E9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68_1" displayName="T_All_Questions_68_1" ref="A68:D71" headerRowCount="1">
  <autoFilter ref="A68:D7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78_1" displayName="T_All_Questions_78_1" ref="A78:D81" headerRowCount="1">
  <autoFilter ref="A78:D8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88_1" displayName="T_All_Questions_88_1" ref="A88:D91" headerRowCount="1">
  <autoFilter ref="A88:D9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Q_EXTRA_1_data</t>
        </is>
      </c>
      <c r="D5" t="inlineStr">
        <is>
          <t>Q_EXTRA_1_options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Q_EXTRA_2_data</t>
        </is>
      </c>
      <c r="D6" t="inlineStr">
        <is>
          <t>Q_EXTRA_2_options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Q_EXTRA_3_data</t>
        </is>
      </c>
      <c r="D7" t="inlineStr">
        <is>
          <t>Q_EXTRA_3_options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>
      <c r="A64" s="12" t="inlineStr">
        <is>
          <t>Q_EXTRA_1 - Extra mixed block question 1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>
      <c r="A65" s="13" t="inlineStr">
        <is>
          <t>Per-question filter</t>
        </is>
      </c>
      <c r="B65" t="inlineStr">
        <is>
          <t>Filter Q</t>
        </is>
      </c>
      <c r="C65" t="inlineStr">
        <is>
          <t>(None)</t>
        </is>
      </c>
      <c r="D65" t="inlineStr">
        <is>
          <t>Value</t>
        </is>
      </c>
      <c r="E65" t="inlineStr">
        <is>
          <t>(All)</t>
        </is>
      </c>
      <c r="F65" t="str">
        <f>XLOOKUP(All_Questions_Q_EXTRA_1_F_Q,All_Questions,All_Questions_Data_Names,"respondent_id_data")</f>
        <v>respondent_id_data</v>
      </c>
      <c r="G65" t="str">
        <f>"|" &amp; SUBSTITUTE(All_Questions_Q_EXTRA_1_F_V, ", ", "|") &amp; "|"</f>
        <v>|(All)|</v>
      </c>
    </row>
    <row r="66">
      <c r="A66" s="13" t="inlineStr">
        <is>
          <t>Cross-tab by</t>
        </is>
      </c>
      <c r="C66" t="inlineStr">
        <is>
          <t>(None)</t>
        </is>
      </c>
    </row>
    <row r="68">
      <c r="A68" s="4" t="inlineStr">
        <is>
          <t>Option</t>
        </is>
      </c>
      <c r="B68" s="4" t="inlineStr">
        <is>
          <t>Count</t>
        </is>
      </c>
      <c r="C68" s="4" t="inlineStr">
        <is>
          <t>%</t>
        </is>
      </c>
      <c r="D68" s="4" t="inlineStr">
        <is>
          <t>Denominator</t>
        </is>
      </c>
      <c r="F68" s="4" t="inlineStr">
        <is>
          <t>Option</t>
        </is>
      </c>
      <c r="G68" s="2" t="str">
        <f>IF(All_Questions_Q_EXTRA_1_CT="(None)","",IFERROR(INDEX(INDIRECT(XLOOKUP(All_Questions_Q_EXTRA_1_CT,All_Questions,All_Questions_Options_Names,"None_options")),2),""))</f>
        <v/>
      </c>
      <c r="H68" s="2" t="n"/>
      <c r="I68" s="2" t="str">
        <f>IF(All_Questions_Q_EXTRA_1_CT="(None)","",IFERROR(INDEX(INDIRECT(XLOOKUP(All_Questions_Q_EXTRA_1_CT,All_Questions,All_Questions_Options_Names,"None_options")),3),""))</f>
        <v/>
      </c>
      <c r="J68" s="2" t="n"/>
      <c r="K68" s="2" t="str">
        <f>IF(All_Questions_Q_EXTRA_1_CT="(None)","",IFERROR(INDEX(INDIRECT(XLOOKUP(All_Questions_Q_EXTRA_1_CT,All_Questions,All_Questions_Options_Names,"None_options")),4),""))</f>
        <v/>
      </c>
      <c r="L68" s="2" t="n"/>
      <c r="M68" s="2" t="str">
        <f>IF(All_Questions_Q_EXTRA_1_CT="(None)","",IFERROR(INDEX(INDIRECT(XLOOKUP(All_Questions_Q_EXTRA_1_CT,All_Questions,All_Questions_Options_Names,"None_options")),5),""))</f>
        <v/>
      </c>
      <c r="N68" s="2" t="n"/>
      <c r="O68" s="2" t="str">
        <f>IF(All_Questions_Q_EXTRA_1_CT="(None)","",IFERROR(INDEX(INDIRECT(XLOOKUP(All_Questions_Q_EXTRA_1_CT,All_Questions,All_Questions_Options_Names,"None_options")),6),""))</f>
        <v/>
      </c>
      <c r="P68" s="2" t="n"/>
      <c r="Q68" s="2" t="str">
        <f>IF(All_Questions_Q_EXTRA_1_CT="(None)","",IFERROR(INDEX(INDIRECT(XLOOKUP(All_Questions_Q_EXTRA_1_CT,All_Questions,All_Questions_Options_Names,"None_options")),7),""))</f>
        <v/>
      </c>
      <c r="R68" s="2" t="n"/>
      <c r="S68" s="2" t="str">
        <f>IF(All_Questions_Q_EXTRA_1_CT="(None)","",IFERROR(INDEX(INDIRECT(XLOOKUP(All_Questions_Q_EXTRA_1_CT,All_Questions,All_Questions_Options_Names,"None_options")),8),""))</f>
        <v/>
      </c>
      <c r="T68" s="2" t="n"/>
      <c r="U68" s="2" t="str">
        <f>IF(All_Questions_Q_EXTRA_1_CT="(None)","",IFERROR(INDEX(INDIRECT(XLOOKUP(All_Questions_Q_EXTRA_1_CT,All_Questions,All_Questions_Options_Names,"None_options")),9),""))</f>
        <v/>
      </c>
      <c r="V68" s="2" t="n"/>
      <c r="W68" s="2" t="str">
        <f>IF(All_Questions_Q_EXTRA_1_CT="(None)","",IFERROR(INDEX(INDIRECT(XLOOKUP(All_Questions_Q_EXTRA_1_CT,All_Questions,All_Questions_Options_Names,"None_options")),10),""))</f>
        <v/>
      </c>
      <c r="X68" s="2" t="n"/>
      <c r="Y68" s="2" t="str">
        <f>IF(All_Questions_Q_EXTRA_1_CT="(None)","",IFERROR(INDEX(INDIRECT(XLOOKUP(All_Questions_Q_EXTRA_1_CT,All_Questions,All_Questions_Options_Names,"None_options")),11),""))</f>
        <v/>
      </c>
      <c r="Z68" s="2" t="n"/>
      <c r="AA68" s="2" t="str">
        <f>IF(All_Questions_Q_EXTRA_1_CT="(None)","",IFERROR(INDEX(INDIRECT(XLOOKUP(All_Questions_Q_EXTRA_1_CT,All_Questions,All_Questions_Options_Names,"None_options")),12),""))</f>
        <v/>
      </c>
      <c r="AB68" s="2" t="n"/>
      <c r="AC68" s="2" t="str">
        <f>IF(All_Questions_Q_EXTRA_1_CT="(None)","",IF(COUNTA(INDIRECT(XLOOKUP(All_Questions_Q_EXTRA_1_CT,All_Questions,All_Questions_Options_Names,"None_options")))-1&gt;11,"Other",IFERROR(INDEX(INDIRECT(XLOOKUP(All_Questions_Q_EXTRA_1_CT,All_Questions,All_Questions_Options_Names,"None_options")),13),"")))</f>
        <v/>
      </c>
      <c r="AD68" s="2" t="n"/>
      <c r="AE68" s="4" t="inlineStr">
        <is>
          <t>Total</t>
        </is>
      </c>
    </row>
    <row r="69">
      <c r="A69" t="inlineStr">
        <is>
          <t>Extra 1 A</t>
        </is>
      </c>
      <c r="B69">
        <f>COUNTIFS(Q_EXTRA_1_data,"Extra 1 A",passes_workbook_filters_data,1,passes_workbook_custom_filters_data,1,All_Questions_passes_local_filters_data,1,All_Questions_Q_EXTRA_1_F_passes_per_q_filter_data,1)</f>
        <v>6</v>
      </c>
      <c r="C69" s="7">
        <f>IFERROR(B69/SUBTOTAL(9,B69:B70),0)</f>
        <v>0.6</v>
      </c>
      <c r="D69" s="14">
        <f>SUBTOTAL(9,B69:B70)</f>
        <v>10</v>
      </c>
      <c r="F69" s="4" t="inlineStr"/>
      <c r="G69" s="4" t="inlineStr">
        <is>
          <t># of resp</t>
        </is>
      </c>
      <c r="H69" s="4" t="inlineStr">
        <is>
          <t>% of resp</t>
        </is>
      </c>
      <c r="I69" s="4" t="inlineStr">
        <is>
          <t># of resp</t>
        </is>
      </c>
      <c r="J69" s="4" t="inlineStr">
        <is>
          <t>% of resp</t>
        </is>
      </c>
      <c r="K69" s="4" t="inlineStr">
        <is>
          <t># of resp</t>
        </is>
      </c>
      <c r="L69" s="4" t="inlineStr">
        <is>
          <t>% of resp</t>
        </is>
      </c>
      <c r="M69" s="4" t="inlineStr">
        <is>
          <t># of resp</t>
        </is>
      </c>
      <c r="N69" s="4" t="inlineStr">
        <is>
          <t>% of resp</t>
        </is>
      </c>
      <c r="O69" s="4" t="inlineStr">
        <is>
          <t># of resp</t>
        </is>
      </c>
      <c r="P69" s="4" t="inlineStr">
        <is>
          <t>% of resp</t>
        </is>
      </c>
      <c r="Q69" s="4" t="inlineStr">
        <is>
          <t># of resp</t>
        </is>
      </c>
      <c r="R69" s="4" t="inlineStr">
        <is>
          <t>% of resp</t>
        </is>
      </c>
      <c r="S69" s="4" t="inlineStr">
        <is>
          <t># of resp</t>
        </is>
      </c>
      <c r="T69" s="4" t="inlineStr">
        <is>
          <t>% of resp</t>
        </is>
      </c>
      <c r="U69" s="4" t="inlineStr">
        <is>
          <t># of resp</t>
        </is>
      </c>
      <c r="V69" s="4" t="inlineStr">
        <is>
          <t>% of resp</t>
        </is>
      </c>
      <c r="W69" s="4" t="inlineStr">
        <is>
          <t># of resp</t>
        </is>
      </c>
      <c r="X69" s="4" t="inlineStr">
        <is>
          <t>% of resp</t>
        </is>
      </c>
      <c r="Y69" s="4" t="inlineStr">
        <is>
          <t># of resp</t>
        </is>
      </c>
      <c r="Z69" s="4" t="inlineStr">
        <is>
          <t>% of resp</t>
        </is>
      </c>
      <c r="AA69" s="4" t="inlineStr">
        <is>
          <t># of resp</t>
        </is>
      </c>
      <c r="AB69" s="4" t="inlineStr">
        <is>
          <t>% of resp</t>
        </is>
      </c>
      <c r="AC69" s="4" t="inlineStr">
        <is>
          <t># of resp</t>
        </is>
      </c>
      <c r="AD69" s="4" t="inlineStr">
        <is>
          <t>% of resp</t>
        </is>
      </c>
      <c r="AE69" s="4" t="inlineStr">
        <is>
          <t># of resp</t>
        </is>
      </c>
    </row>
    <row r="70">
      <c r="A70" t="inlineStr">
        <is>
          <t>Extra 1 B</t>
        </is>
      </c>
      <c r="B70">
        <f>COUNTIFS(Q_EXTRA_1_data,"Extra 1 B",passes_workbook_filters_data,1,passes_workbook_custom_filters_data,1,All_Questions_passes_local_filters_data,1,All_Questions_Q_EXTRA_1_F_passes_per_q_filter_data,1)</f>
        <v>4</v>
      </c>
      <c r="C70" s="7">
        <f>IFERROR(B70/SUBTOTAL(9,B69:B70),0)</f>
        <v>0.4</v>
      </c>
      <c r="D70" s="14">
        <f>SUBTOTAL(9,B69:B70)</f>
        <v>10</v>
      </c>
      <c r="F70" t="inlineStr">
        <is>
          <t>Extra 1 A</t>
        </is>
      </c>
      <c r="G70">
        <f>IF(OR(All_Questions_Q_EXTRA_1_CT="(None)",G$68=""),"",COUNTIFS(Q_EXTRA_1_data,"Extra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A",passes_workbook_filters_data,1,passes_workbook_custom_filters_data,1,All_Questions_passes_local_filters_data,1,All_Questions_Q_EXTRA_1_F_passes_per_q_filter_data,1,INDIRECT(XLOOKUP(All_Questions_Q_EXTRA_1_CT,All_Questions,All_Questions_Data_Names,"respondent_id_data")),G$68))</f>
        <v>0</v>
      </c>
      <c r="H70" s="7">
        <f>IFERROR(G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),0)</f>
        <v>0</v>
      </c>
      <c r="I70">
        <f>IF(OR(All_Questions_Q_EXTRA_1_CT="(None)",I$68=""),"",COUNTIFS(Q_EXTRA_1_data,"Extra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A",passes_workbook_filters_data,1,passes_workbook_custom_filters_data,1,All_Questions_passes_local_filters_data,1,All_Questions_Q_EXTRA_1_F_passes_per_q_filter_data,1,INDIRECT(XLOOKUP(All_Questions_Q_EXTRA_1_CT,All_Questions,All_Questions_Data_Names,"respondent_id_data")),I$68))</f>
        <v>0</v>
      </c>
      <c r="J70" s="7">
        <f>IFERROR(I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),0)</f>
        <v>0</v>
      </c>
      <c r="K70">
        <f>IF(OR(All_Questions_Q_EXTRA_1_CT="(None)",K$68=""),"",COUNTIFS(Q_EXTRA_1_data,"Extra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A",passes_workbook_filters_data,1,passes_workbook_custom_filters_data,1,All_Questions_passes_local_filters_data,1,All_Questions_Q_EXTRA_1_F_passes_per_q_filter_data,1,INDIRECT(XLOOKUP(All_Questions_Q_EXTRA_1_CT,All_Questions,All_Questions_Data_Names,"respondent_id_data")),K$68))</f>
        <v>0</v>
      </c>
      <c r="L70" s="7">
        <f>IFERROR(K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),0)</f>
        <v>0</v>
      </c>
      <c r="M70">
        <f>IF(OR(All_Questions_Q_EXTRA_1_CT="(None)",M$68=""),"",COUNTIFS(Q_EXTRA_1_data,"Extra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A",passes_workbook_filters_data,1,passes_workbook_custom_filters_data,1,All_Questions_passes_local_filters_data,1,All_Questions_Q_EXTRA_1_F_passes_per_q_filter_data,1,INDIRECT(XLOOKUP(All_Questions_Q_EXTRA_1_CT,All_Questions,All_Questions_Data_Names,"respondent_id_data")),M$68))</f>
        <v>0</v>
      </c>
      <c r="N70" s="7">
        <f>IFERROR(M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),0)</f>
        <v>0</v>
      </c>
      <c r="O70">
        <f>IF(OR(All_Questions_Q_EXTRA_1_CT="(None)",O$68=""),"",COUNTIFS(Q_EXTRA_1_data,"Extra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A",passes_workbook_filters_data,1,passes_workbook_custom_filters_data,1,All_Questions_passes_local_filters_data,1,All_Questions_Q_EXTRA_1_F_passes_per_q_filter_data,1,INDIRECT(XLOOKUP(All_Questions_Q_EXTRA_1_CT,All_Questions,All_Questions_Data_Names,"respondent_id_data")),O$68))</f>
        <v>0</v>
      </c>
      <c r="P70" s="7">
        <f>IFERROR(O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),0)</f>
        <v>0</v>
      </c>
      <c r="Q70">
        <f>IF(OR(All_Questions_Q_EXTRA_1_CT="(None)",Q$68=""),"",COUNTIFS(Q_EXTRA_1_data,"Extra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A",passes_workbook_filters_data,1,passes_workbook_custom_filters_data,1,All_Questions_passes_local_filters_data,1,All_Questions_Q_EXTRA_1_F_passes_per_q_filter_data,1,INDIRECT(XLOOKUP(All_Questions_Q_EXTRA_1_CT,All_Questions,All_Questions_Data_Names,"respondent_id_data")),Q$68))</f>
        <v>0</v>
      </c>
      <c r="R70" s="7">
        <f>IFERROR(Q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),0)</f>
        <v>0</v>
      </c>
      <c r="S70">
        <f>IF(OR(All_Questions_Q_EXTRA_1_CT="(None)",S$68=""),"",COUNTIFS(Q_EXTRA_1_data,"Extra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A",passes_workbook_filters_data,1,passes_workbook_custom_filters_data,1,All_Questions_passes_local_filters_data,1,All_Questions_Q_EXTRA_1_F_passes_per_q_filter_data,1,INDIRECT(XLOOKUP(All_Questions_Q_EXTRA_1_CT,All_Questions,All_Questions_Data_Names,"respondent_id_data")),S$68))</f>
        <v>0</v>
      </c>
      <c r="T70" s="7">
        <f>IFERROR(S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),0)</f>
        <v>0</v>
      </c>
      <c r="U70">
        <f>IF(OR(All_Questions_Q_EXTRA_1_CT="(None)",U$68=""),"",COUNTIFS(Q_EXTRA_1_data,"Extra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A",passes_workbook_filters_data,1,passes_workbook_custom_filters_data,1,All_Questions_passes_local_filters_data,1,All_Questions_Q_EXTRA_1_F_passes_per_q_filter_data,1,INDIRECT(XLOOKUP(All_Questions_Q_EXTRA_1_CT,All_Questions,All_Questions_Data_Names,"respondent_id_data")),U$68))</f>
        <v>0</v>
      </c>
      <c r="V70" s="7">
        <f>IFERROR(U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),0)</f>
        <v>0</v>
      </c>
      <c r="W70">
        <f>IF(OR(All_Questions_Q_EXTRA_1_CT="(None)",W$68=""),"",COUNTIFS(Q_EXTRA_1_data,"Extra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A",passes_workbook_filters_data,1,passes_workbook_custom_filters_data,1,All_Questions_passes_local_filters_data,1,All_Questions_Q_EXTRA_1_F_passes_per_q_filter_data,1,INDIRECT(XLOOKUP(All_Questions_Q_EXTRA_1_CT,All_Questions,All_Questions_Data_Names,"respondent_id_data")),W$68))</f>
        <v>0</v>
      </c>
      <c r="X70" s="7">
        <f>IFERROR(W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),0)</f>
        <v>0</v>
      </c>
      <c r="Y70">
        <f>IF(OR(All_Questions_Q_EXTRA_1_CT="(None)",Y$68=""),"",COUNTIFS(Q_EXTRA_1_data,"Extra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A",passes_workbook_filters_data,1,passes_workbook_custom_filters_data,1,All_Questions_passes_local_filters_data,1,All_Questions_Q_EXTRA_1_F_passes_per_q_filter_data,1,INDIRECT(XLOOKUP(All_Questions_Q_EXTRA_1_CT,All_Questions,All_Questions_Data_Names,"respondent_id_data")),Y$68))</f>
        <v>0</v>
      </c>
      <c r="Z70" s="7">
        <f>IFERROR(Y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),0)</f>
        <v>0</v>
      </c>
      <c r="AA70">
        <f>IF(OR(All_Questions_Q_EXTRA_1_CT="(None)",AA$68=""),"",COUNTIFS(Q_EXTRA_1_data,"Extra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AA$68))</f>
        <v>0</v>
      </c>
      <c r="AB70" s="7">
        <f>IFERROR(AA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0)</f>
        <v>0</v>
      </c>
      <c r="AC70">
        <f>IF(OR(All_Questions_Q_EXTRA_1_CT="(None)",AC$68=""),"",IF(AC$68="Other",COUNTIFS(Q_EXTRA_1_data,"Extra 1 A",passes_workbook_filters_data,1,passes_workbook_custom_filters_data,1,All_Questions_passes_local_filters_data,1,All_Questions_Q_EXTRA_1_F_passes_per_q_filter_data,1)-SUM(G70,I70,K70,M70,O70,Q70,S70,U70,W70,Y70,AA70),COUNTIFS(Q_EXTRA_1_data,"Extra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</f>
        <v>0</v>
      </c>
      <c r="AD70" s="7">
        <f>IFERROR(AC70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,0)</f>
        <v>0</v>
      </c>
      <c r="AE70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1">
      <c r="A71" s="15" t="inlineStr">
        <is>
          <t>Total respondents</t>
        </is>
      </c>
      <c r="B71" s="15" t="n">
        <v>10</v>
      </c>
      <c r="C71" s="15" t="n"/>
      <c r="D71" s="15" t="n"/>
      <c r="F71" t="inlineStr">
        <is>
          <t>Extra 1 B</t>
        </is>
      </c>
      <c r="G71">
        <f>IF(OR(All_Questions_Q_EXTRA_1_CT="(None)",G$68=""),"",COUNTIFS(Q_EXTRA_1_data,"Extra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B",passes_workbook_filters_data,1,passes_workbook_custom_filters_data,1,All_Questions_passes_local_filters_data,1,All_Questions_Q_EXTRA_1_F_passes_per_q_filter_data,1,INDIRECT(XLOOKUP(All_Questions_Q_EXTRA_1_CT,All_Questions,All_Questions_Data_Names,"respondent_id_data")),G$68))</f>
        <v>0</v>
      </c>
      <c r="H71" s="7">
        <f>IFERROR(G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),0)</f>
        <v>0</v>
      </c>
      <c r="I71">
        <f>IF(OR(All_Questions_Q_EXTRA_1_CT="(None)",I$68=""),"",COUNTIFS(Q_EXTRA_1_data,"Extra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B",passes_workbook_filters_data,1,passes_workbook_custom_filters_data,1,All_Questions_passes_local_filters_data,1,All_Questions_Q_EXTRA_1_F_passes_per_q_filter_data,1,INDIRECT(XLOOKUP(All_Questions_Q_EXTRA_1_CT,All_Questions,All_Questions_Data_Names,"respondent_id_data")),I$68))</f>
        <v>0</v>
      </c>
      <c r="J71" s="7">
        <f>IFERROR(I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),0)</f>
        <v>0</v>
      </c>
      <c r="K71">
        <f>IF(OR(All_Questions_Q_EXTRA_1_CT="(None)",K$68=""),"",COUNTIFS(Q_EXTRA_1_data,"Extra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B",passes_workbook_filters_data,1,passes_workbook_custom_filters_data,1,All_Questions_passes_local_filters_data,1,All_Questions_Q_EXTRA_1_F_passes_per_q_filter_data,1,INDIRECT(XLOOKUP(All_Questions_Q_EXTRA_1_CT,All_Questions,All_Questions_Data_Names,"respondent_id_data")),K$68))</f>
        <v>0</v>
      </c>
      <c r="L71" s="7">
        <f>IFERROR(K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),0)</f>
        <v>0</v>
      </c>
      <c r="M71">
        <f>IF(OR(All_Questions_Q_EXTRA_1_CT="(None)",M$68=""),"",COUNTIFS(Q_EXTRA_1_data,"Extra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B",passes_workbook_filters_data,1,passes_workbook_custom_filters_data,1,All_Questions_passes_local_filters_data,1,All_Questions_Q_EXTRA_1_F_passes_per_q_filter_data,1,INDIRECT(XLOOKUP(All_Questions_Q_EXTRA_1_CT,All_Questions,All_Questions_Data_Names,"respondent_id_data")),M$68))</f>
        <v>0</v>
      </c>
      <c r="N71" s="7">
        <f>IFERROR(M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),0)</f>
        <v>0</v>
      </c>
      <c r="O71">
        <f>IF(OR(All_Questions_Q_EXTRA_1_CT="(None)",O$68=""),"",COUNTIFS(Q_EXTRA_1_data,"Extra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B",passes_workbook_filters_data,1,passes_workbook_custom_filters_data,1,All_Questions_passes_local_filters_data,1,All_Questions_Q_EXTRA_1_F_passes_per_q_filter_data,1,INDIRECT(XLOOKUP(All_Questions_Q_EXTRA_1_CT,All_Questions,All_Questions_Data_Names,"respondent_id_data")),O$68))</f>
        <v>0</v>
      </c>
      <c r="P71" s="7">
        <f>IFERROR(O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),0)</f>
        <v>0</v>
      </c>
      <c r="Q71">
        <f>IF(OR(All_Questions_Q_EXTRA_1_CT="(None)",Q$68=""),"",COUNTIFS(Q_EXTRA_1_data,"Extra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B",passes_workbook_filters_data,1,passes_workbook_custom_filters_data,1,All_Questions_passes_local_filters_data,1,All_Questions_Q_EXTRA_1_F_passes_per_q_filter_data,1,INDIRECT(XLOOKUP(All_Questions_Q_EXTRA_1_CT,All_Questions,All_Questions_Data_Names,"respondent_id_data")),Q$68))</f>
        <v>0</v>
      </c>
      <c r="R71" s="7">
        <f>IFERROR(Q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),0)</f>
        <v>0</v>
      </c>
      <c r="S71">
        <f>IF(OR(All_Questions_Q_EXTRA_1_CT="(None)",S$68=""),"",COUNTIFS(Q_EXTRA_1_data,"Extra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B",passes_workbook_filters_data,1,passes_workbook_custom_filters_data,1,All_Questions_passes_local_filters_data,1,All_Questions_Q_EXTRA_1_F_passes_per_q_filter_data,1,INDIRECT(XLOOKUP(All_Questions_Q_EXTRA_1_CT,All_Questions,All_Questions_Data_Names,"respondent_id_data")),S$68))</f>
        <v>0</v>
      </c>
      <c r="T71" s="7">
        <f>IFERROR(S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),0)</f>
        <v>0</v>
      </c>
      <c r="U71">
        <f>IF(OR(All_Questions_Q_EXTRA_1_CT="(None)",U$68=""),"",COUNTIFS(Q_EXTRA_1_data,"Extra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B",passes_workbook_filters_data,1,passes_workbook_custom_filters_data,1,All_Questions_passes_local_filters_data,1,All_Questions_Q_EXTRA_1_F_passes_per_q_filter_data,1,INDIRECT(XLOOKUP(All_Questions_Q_EXTRA_1_CT,All_Questions,All_Questions_Data_Names,"respondent_id_data")),U$68))</f>
        <v>0</v>
      </c>
      <c r="V71" s="7">
        <f>IFERROR(U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),0)</f>
        <v>0</v>
      </c>
      <c r="W71">
        <f>IF(OR(All_Questions_Q_EXTRA_1_CT="(None)",W$68=""),"",COUNTIFS(Q_EXTRA_1_data,"Extra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B",passes_workbook_filters_data,1,passes_workbook_custom_filters_data,1,All_Questions_passes_local_filters_data,1,All_Questions_Q_EXTRA_1_F_passes_per_q_filter_data,1,INDIRECT(XLOOKUP(All_Questions_Q_EXTRA_1_CT,All_Questions,All_Questions_Data_Names,"respondent_id_data")),W$68))</f>
        <v>0</v>
      </c>
      <c r="X71" s="7">
        <f>IFERROR(W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),0)</f>
        <v>0</v>
      </c>
      <c r="Y71">
        <f>IF(OR(All_Questions_Q_EXTRA_1_CT="(None)",Y$68=""),"",COUNTIFS(Q_EXTRA_1_data,"Extra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B",passes_workbook_filters_data,1,passes_workbook_custom_filters_data,1,All_Questions_passes_local_filters_data,1,All_Questions_Q_EXTRA_1_F_passes_per_q_filter_data,1,INDIRECT(XLOOKUP(All_Questions_Q_EXTRA_1_CT,All_Questions,All_Questions_Data_Names,"respondent_id_data")),Y$68))</f>
        <v>0</v>
      </c>
      <c r="Z71" s="7">
        <f>IFERROR(Y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),0)</f>
        <v>0</v>
      </c>
      <c r="AA71">
        <f>IF(OR(All_Questions_Q_EXTRA_1_CT="(None)",AA$68=""),"",COUNTIFS(Q_EXTRA_1_data,"Extra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AA$68))</f>
        <v>0</v>
      </c>
      <c r="AB71" s="7">
        <f>IFERROR(AA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0)</f>
        <v>0</v>
      </c>
      <c r="AC71">
        <f>IF(OR(All_Questions_Q_EXTRA_1_CT="(None)",AC$68=""),"",IF(AC$68="Other",COUNTIFS(Q_EXTRA_1_data,"Extra 1 B",passes_workbook_filters_data,1,passes_workbook_custom_filters_data,1,All_Questions_passes_local_filters_data,1,All_Questions_Q_EXTRA_1_F_passes_per_q_filter_data,1)-SUM(G71,I71,K71,M71,O71,Q71,S71,U71,W71,Y71,AA71),COUNTIFS(Q_EXTRA_1_data,"Extra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</f>
        <v>0</v>
      </c>
      <c r="AD71" s="7">
        <f>IFERROR(AC71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,0)</f>
        <v>0</v>
      </c>
      <c r="AE71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2">
      <c r="F72" s="4" t="inlineStr">
        <is>
          <t>Total respondents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2" t="inlineStr">
        <is>
          <t>Q_EXTRA_2 - Extra mixed block question 2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3" t="inlineStr">
        <is>
          <t>Per-question filter</t>
        </is>
      </c>
      <c r="B75" t="inlineStr">
        <is>
          <t>Filter Q</t>
        </is>
      </c>
      <c r="C75" t="inlineStr">
        <is>
          <t>(None)</t>
        </is>
      </c>
      <c r="D75" t="inlineStr">
        <is>
          <t>Value</t>
        </is>
      </c>
      <c r="E75" t="inlineStr">
        <is>
          <t>(All)</t>
        </is>
      </c>
      <c r="F75" t="str">
        <f>XLOOKUP(All_Questions_Q_EXTRA_2_F_Q,All_Questions,All_Questions_Data_Names,"respondent_id_data")</f>
        <v>respondent_id_data</v>
      </c>
      <c r="G75" t="str">
        <f>"|" &amp; SUBSTITUTE(All_Questions_Q_EXTRA_2_F_V, ", ", "|") &amp; "|"</f>
        <v>|(All)|</v>
      </c>
    </row>
    <row r="76">
      <c r="A76" s="13" t="inlineStr">
        <is>
          <t>Cross-tab by</t>
        </is>
      </c>
      <c r="C76" t="inlineStr">
        <is>
          <t>(None)</t>
        </is>
      </c>
    </row>
    <row r="78">
      <c r="A78" s="4" t="inlineStr">
        <is>
          <t>Option</t>
        </is>
      </c>
      <c r="B78" s="4" t="inlineStr">
        <is>
          <t>Count</t>
        </is>
      </c>
      <c r="C78" s="4" t="inlineStr">
        <is>
          <t>%</t>
        </is>
      </c>
      <c r="D78" s="4" t="inlineStr">
        <is>
          <t>Denominator</t>
        </is>
      </c>
      <c r="F78" s="4" t="inlineStr">
        <is>
          <t>Option</t>
        </is>
      </c>
      <c r="G78" s="2" t="str">
        <f>IF(All_Questions_Q_EXTRA_2_CT="(None)","",IFERROR(INDEX(INDIRECT(XLOOKUP(All_Questions_Q_EXTRA_2_CT,All_Questions,All_Questions_Options_Names,"None_options")),2),""))</f>
        <v/>
      </c>
      <c r="H78" s="2" t="n"/>
      <c r="I78" s="2" t="str">
        <f>IF(All_Questions_Q_EXTRA_2_CT="(None)","",IFERROR(INDEX(INDIRECT(XLOOKUP(All_Questions_Q_EXTRA_2_CT,All_Questions,All_Questions_Options_Names,"None_options")),3),""))</f>
        <v/>
      </c>
      <c r="J78" s="2" t="n"/>
      <c r="K78" s="2" t="str">
        <f>IF(All_Questions_Q_EXTRA_2_CT="(None)","",IFERROR(INDEX(INDIRECT(XLOOKUP(All_Questions_Q_EXTRA_2_CT,All_Questions,All_Questions_Options_Names,"None_options")),4),""))</f>
        <v/>
      </c>
      <c r="L78" s="2" t="n"/>
      <c r="M78" s="2" t="str">
        <f>IF(All_Questions_Q_EXTRA_2_CT="(None)","",IFERROR(INDEX(INDIRECT(XLOOKUP(All_Questions_Q_EXTRA_2_CT,All_Questions,All_Questions_Options_Names,"None_options")),5),""))</f>
        <v/>
      </c>
      <c r="N78" s="2" t="n"/>
      <c r="O78" s="2" t="str">
        <f>IF(All_Questions_Q_EXTRA_2_CT="(None)","",IFERROR(INDEX(INDIRECT(XLOOKUP(All_Questions_Q_EXTRA_2_CT,All_Questions,All_Questions_Options_Names,"None_options")),6),""))</f>
        <v/>
      </c>
      <c r="P78" s="2" t="n"/>
      <c r="Q78" s="2" t="str">
        <f>IF(All_Questions_Q_EXTRA_2_CT="(None)","",IFERROR(INDEX(INDIRECT(XLOOKUP(All_Questions_Q_EXTRA_2_CT,All_Questions,All_Questions_Options_Names,"None_options")),7),""))</f>
        <v/>
      </c>
      <c r="R78" s="2" t="n"/>
      <c r="S78" s="2" t="str">
        <f>IF(All_Questions_Q_EXTRA_2_CT="(None)","",IFERROR(INDEX(INDIRECT(XLOOKUP(All_Questions_Q_EXTRA_2_CT,All_Questions,All_Questions_Options_Names,"None_options")),8),""))</f>
        <v/>
      </c>
      <c r="T78" s="2" t="n"/>
      <c r="U78" s="2" t="str">
        <f>IF(All_Questions_Q_EXTRA_2_CT="(None)","",IFERROR(INDEX(INDIRECT(XLOOKUP(All_Questions_Q_EXTRA_2_CT,All_Questions,All_Questions_Options_Names,"None_options")),9),""))</f>
        <v/>
      </c>
      <c r="V78" s="2" t="n"/>
      <c r="W78" s="2" t="str">
        <f>IF(All_Questions_Q_EXTRA_2_CT="(None)","",IFERROR(INDEX(INDIRECT(XLOOKUP(All_Questions_Q_EXTRA_2_CT,All_Questions,All_Questions_Options_Names,"None_options")),10),""))</f>
        <v/>
      </c>
      <c r="X78" s="2" t="n"/>
      <c r="Y78" s="2" t="str">
        <f>IF(All_Questions_Q_EXTRA_2_CT="(None)","",IFERROR(INDEX(INDIRECT(XLOOKUP(All_Questions_Q_EXTRA_2_CT,All_Questions,All_Questions_Options_Names,"None_options")),11),""))</f>
        <v/>
      </c>
      <c r="Z78" s="2" t="n"/>
      <c r="AA78" s="2" t="str">
        <f>IF(All_Questions_Q_EXTRA_2_CT="(None)","",IFERROR(INDEX(INDIRECT(XLOOKUP(All_Questions_Q_EXTRA_2_CT,All_Questions,All_Questions_Options_Names,"None_options")),12),""))</f>
        <v/>
      </c>
      <c r="AB78" s="2" t="n"/>
      <c r="AC78" s="2" t="str">
        <f>IF(All_Questions_Q_EXTRA_2_CT="(None)","",IF(COUNTA(INDIRECT(XLOOKUP(All_Questions_Q_EXTRA_2_CT,All_Questions,All_Questions_Options_Names,"None_options")))-1&gt;11,"Other",IFERROR(INDEX(INDIRECT(XLOOKUP(All_Questions_Q_EXTRA_2_CT,All_Questions,All_Questions_Options_Names,"None_options")),13),"")))</f>
        <v/>
      </c>
      <c r="AD78" s="2" t="n"/>
      <c r="AE78" s="4" t="inlineStr">
        <is>
          <t>Total</t>
        </is>
      </c>
    </row>
    <row r="79">
      <c r="A79" t="inlineStr">
        <is>
          <t>Extra 2 A</t>
        </is>
      </c>
      <c r="B79">
        <f>COUNTIFS(Q_EXTRA_2_data,"Extra 2 A",passes_workbook_filters_data,1,passes_workbook_custom_filters_data,1,All_Questions_passes_local_filters_data,1,All_Questions_Q_EXTRA_2_F_passes_per_q_filter_data,1)</f>
        <v>6</v>
      </c>
      <c r="C79" s="7">
        <f>IFERROR(B79/SUBTOTAL(9,B79:B80),0)</f>
        <v>0.6</v>
      </c>
      <c r="D79" s="14">
        <f>SUBTOTAL(9,B79:B80)</f>
        <v>10</v>
      </c>
      <c r="F79" s="4" t="inlineStr"/>
      <c r="G79" s="4" t="inlineStr">
        <is>
          <t># of resp</t>
        </is>
      </c>
      <c r="H79" s="4" t="inlineStr">
        <is>
          <t>% of resp</t>
        </is>
      </c>
      <c r="I79" s="4" t="inlineStr">
        <is>
          <t># of resp</t>
        </is>
      </c>
      <c r="J79" s="4" t="inlineStr">
        <is>
          <t>% of resp</t>
        </is>
      </c>
      <c r="K79" s="4" t="inlineStr">
        <is>
          <t># of resp</t>
        </is>
      </c>
      <c r="L79" s="4" t="inlineStr">
        <is>
          <t>% of resp</t>
        </is>
      </c>
      <c r="M79" s="4" t="inlineStr">
        <is>
          <t># of resp</t>
        </is>
      </c>
      <c r="N79" s="4" t="inlineStr">
        <is>
          <t>% of resp</t>
        </is>
      </c>
      <c r="O79" s="4" t="inlineStr">
        <is>
          <t># of resp</t>
        </is>
      </c>
      <c r="P79" s="4" t="inlineStr">
        <is>
          <t>% of resp</t>
        </is>
      </c>
      <c r="Q79" s="4" t="inlineStr">
        <is>
          <t># of resp</t>
        </is>
      </c>
      <c r="R79" s="4" t="inlineStr">
        <is>
          <t>% of resp</t>
        </is>
      </c>
      <c r="S79" s="4" t="inlineStr">
        <is>
          <t># of resp</t>
        </is>
      </c>
      <c r="T79" s="4" t="inlineStr">
        <is>
          <t>% of resp</t>
        </is>
      </c>
      <c r="U79" s="4" t="inlineStr">
        <is>
          <t># of resp</t>
        </is>
      </c>
      <c r="V79" s="4" t="inlineStr">
        <is>
          <t>% of resp</t>
        </is>
      </c>
      <c r="W79" s="4" t="inlineStr">
        <is>
          <t># of resp</t>
        </is>
      </c>
      <c r="X79" s="4" t="inlineStr">
        <is>
          <t>% of resp</t>
        </is>
      </c>
      <c r="Y79" s="4" t="inlineStr">
        <is>
          <t># of resp</t>
        </is>
      </c>
      <c r="Z79" s="4" t="inlineStr">
        <is>
          <t>% of resp</t>
        </is>
      </c>
      <c r="AA79" s="4" t="inlineStr">
        <is>
          <t># of resp</t>
        </is>
      </c>
      <c r="AB79" s="4" t="inlineStr">
        <is>
          <t>% of resp</t>
        </is>
      </c>
      <c r="AC79" s="4" t="inlineStr">
        <is>
          <t># of resp</t>
        </is>
      </c>
      <c r="AD79" s="4" t="inlineStr">
        <is>
          <t>% of resp</t>
        </is>
      </c>
      <c r="AE79" s="4" t="inlineStr">
        <is>
          <t># of resp</t>
        </is>
      </c>
    </row>
    <row r="80">
      <c r="A80" t="inlineStr">
        <is>
          <t>Extra 2 B</t>
        </is>
      </c>
      <c r="B80">
        <f>COUNTIFS(Q_EXTRA_2_data,"Extra 2 B",passes_workbook_filters_data,1,passes_workbook_custom_filters_data,1,All_Questions_passes_local_filters_data,1,All_Questions_Q_EXTRA_2_F_passes_per_q_filter_data,1)</f>
        <v>4</v>
      </c>
      <c r="C80" s="7">
        <f>IFERROR(B80/SUBTOTAL(9,B79:B80),0)</f>
        <v>0.4</v>
      </c>
      <c r="D80" s="14">
        <f>SUBTOTAL(9,B79:B80)</f>
        <v>10</v>
      </c>
      <c r="F80" t="inlineStr">
        <is>
          <t>Extra 2 A</t>
        </is>
      </c>
      <c r="G80">
        <f>IF(OR(All_Questions_Q_EXTRA_2_CT="(None)",G$78=""),"",COUNTIFS(Q_EXTRA_2_data,"Extra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A",passes_workbook_filters_data,1,passes_workbook_custom_filters_data,1,All_Questions_passes_local_filters_data,1,All_Questions_Q_EXTRA_2_F_passes_per_q_filter_data,1,INDIRECT(XLOOKUP(All_Questions_Q_EXTRA_2_CT,All_Questions,All_Questions_Data_Names,"respondent_id_data")),G$78))</f>
        <v>0</v>
      </c>
      <c r="H80" s="7">
        <f>IFERROR(G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),0)</f>
        <v>0</v>
      </c>
      <c r="I80">
        <f>IF(OR(All_Questions_Q_EXTRA_2_CT="(None)",I$78=""),"",COUNTIFS(Q_EXTRA_2_data,"Extra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A",passes_workbook_filters_data,1,passes_workbook_custom_filters_data,1,All_Questions_passes_local_filters_data,1,All_Questions_Q_EXTRA_2_F_passes_per_q_filter_data,1,INDIRECT(XLOOKUP(All_Questions_Q_EXTRA_2_CT,All_Questions,All_Questions_Data_Names,"respondent_id_data")),I$78))</f>
        <v>0</v>
      </c>
      <c r="J80" s="7">
        <f>IFERROR(I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),0)</f>
        <v>0</v>
      </c>
      <c r="K80">
        <f>IF(OR(All_Questions_Q_EXTRA_2_CT="(None)",K$78=""),"",COUNTIFS(Q_EXTRA_2_data,"Extra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A",passes_workbook_filters_data,1,passes_workbook_custom_filters_data,1,All_Questions_passes_local_filters_data,1,All_Questions_Q_EXTRA_2_F_passes_per_q_filter_data,1,INDIRECT(XLOOKUP(All_Questions_Q_EXTRA_2_CT,All_Questions,All_Questions_Data_Names,"respondent_id_data")),K$78))</f>
        <v>0</v>
      </c>
      <c r="L80" s="7">
        <f>IFERROR(K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),0)</f>
        <v>0</v>
      </c>
      <c r="M80">
        <f>IF(OR(All_Questions_Q_EXTRA_2_CT="(None)",M$78=""),"",COUNTIFS(Q_EXTRA_2_data,"Extra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A",passes_workbook_filters_data,1,passes_workbook_custom_filters_data,1,All_Questions_passes_local_filters_data,1,All_Questions_Q_EXTRA_2_F_passes_per_q_filter_data,1,INDIRECT(XLOOKUP(All_Questions_Q_EXTRA_2_CT,All_Questions,All_Questions_Data_Names,"respondent_id_data")),M$78))</f>
        <v>0</v>
      </c>
      <c r="N80" s="7">
        <f>IFERROR(M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),0)</f>
        <v>0</v>
      </c>
      <c r="O80">
        <f>IF(OR(All_Questions_Q_EXTRA_2_CT="(None)",O$78=""),"",COUNTIFS(Q_EXTRA_2_data,"Extra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A",passes_workbook_filters_data,1,passes_workbook_custom_filters_data,1,All_Questions_passes_local_filters_data,1,All_Questions_Q_EXTRA_2_F_passes_per_q_filter_data,1,INDIRECT(XLOOKUP(All_Questions_Q_EXTRA_2_CT,All_Questions,All_Questions_Data_Names,"respondent_id_data")),O$78))</f>
        <v>0</v>
      </c>
      <c r="P80" s="7">
        <f>IFERROR(O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),0)</f>
        <v>0</v>
      </c>
      <c r="Q80">
        <f>IF(OR(All_Questions_Q_EXTRA_2_CT="(None)",Q$78=""),"",COUNTIFS(Q_EXTRA_2_data,"Extra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A",passes_workbook_filters_data,1,passes_workbook_custom_filters_data,1,All_Questions_passes_local_filters_data,1,All_Questions_Q_EXTRA_2_F_passes_per_q_filter_data,1,INDIRECT(XLOOKUP(All_Questions_Q_EXTRA_2_CT,All_Questions,All_Questions_Data_Names,"respondent_id_data")),Q$78))</f>
        <v>0</v>
      </c>
      <c r="R80" s="7">
        <f>IFERROR(Q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),0)</f>
        <v>0</v>
      </c>
      <c r="S80">
        <f>IF(OR(All_Questions_Q_EXTRA_2_CT="(None)",S$78=""),"",COUNTIFS(Q_EXTRA_2_data,"Extra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A",passes_workbook_filters_data,1,passes_workbook_custom_filters_data,1,All_Questions_passes_local_filters_data,1,All_Questions_Q_EXTRA_2_F_passes_per_q_filter_data,1,INDIRECT(XLOOKUP(All_Questions_Q_EXTRA_2_CT,All_Questions,All_Questions_Data_Names,"respondent_id_data")),S$78))</f>
        <v>0</v>
      </c>
      <c r="T80" s="7">
        <f>IFERROR(S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),0)</f>
        <v>0</v>
      </c>
      <c r="U80">
        <f>IF(OR(All_Questions_Q_EXTRA_2_CT="(None)",U$78=""),"",COUNTIFS(Q_EXTRA_2_data,"Extra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A",passes_workbook_filters_data,1,passes_workbook_custom_filters_data,1,All_Questions_passes_local_filters_data,1,All_Questions_Q_EXTRA_2_F_passes_per_q_filter_data,1,INDIRECT(XLOOKUP(All_Questions_Q_EXTRA_2_CT,All_Questions,All_Questions_Data_Names,"respondent_id_data")),U$78))</f>
        <v>0</v>
      </c>
      <c r="V80" s="7">
        <f>IFERROR(U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),0)</f>
        <v>0</v>
      </c>
      <c r="W80">
        <f>IF(OR(All_Questions_Q_EXTRA_2_CT="(None)",W$78=""),"",COUNTIFS(Q_EXTRA_2_data,"Extra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A",passes_workbook_filters_data,1,passes_workbook_custom_filters_data,1,All_Questions_passes_local_filters_data,1,All_Questions_Q_EXTRA_2_F_passes_per_q_filter_data,1,INDIRECT(XLOOKUP(All_Questions_Q_EXTRA_2_CT,All_Questions,All_Questions_Data_Names,"respondent_id_data")),W$78))</f>
        <v>0</v>
      </c>
      <c r="X80" s="7">
        <f>IFERROR(W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),0)</f>
        <v>0</v>
      </c>
      <c r="Y80">
        <f>IF(OR(All_Questions_Q_EXTRA_2_CT="(None)",Y$78=""),"",COUNTIFS(Q_EXTRA_2_data,"Extra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A",passes_workbook_filters_data,1,passes_workbook_custom_filters_data,1,All_Questions_passes_local_filters_data,1,All_Questions_Q_EXTRA_2_F_passes_per_q_filter_data,1,INDIRECT(XLOOKUP(All_Questions_Q_EXTRA_2_CT,All_Questions,All_Questions_Data_Names,"respondent_id_data")),Y$78))</f>
        <v>0</v>
      </c>
      <c r="Z80" s="7">
        <f>IFERROR(Y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),0)</f>
        <v>0</v>
      </c>
      <c r="AA80">
        <f>IF(OR(All_Questions_Q_EXTRA_2_CT="(None)",AA$78=""),"",COUNTIFS(Q_EXTRA_2_data,"Extra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AA$78))</f>
        <v>0</v>
      </c>
      <c r="AB80" s="7">
        <f>IFERROR(AA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0)</f>
        <v>0</v>
      </c>
      <c r="AC80">
        <f>IF(OR(All_Questions_Q_EXTRA_2_CT="(None)",AC$78=""),"",IF(AC$78="Other",COUNTIFS(Q_EXTRA_2_data,"Extra 2 A",passes_workbook_filters_data,1,passes_workbook_custom_filters_data,1,All_Questions_passes_local_filters_data,1,All_Questions_Q_EXTRA_2_F_passes_per_q_filter_data,1)-SUM(G80,I80,K80,M80,O80,Q80,S80,U80,W80,Y80,AA80),COUNTIFS(Q_EXTRA_2_data,"Extra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</f>
        <v>0</v>
      </c>
      <c r="AD80" s="7">
        <f>IFERROR(AC80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,0)</f>
        <v>0</v>
      </c>
      <c r="AE80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1">
      <c r="A81" s="15" t="inlineStr">
        <is>
          <t>Total respondents</t>
        </is>
      </c>
      <c r="B81" s="15" t="n">
        <v>10</v>
      </c>
      <c r="C81" s="15" t="n"/>
      <c r="D81" s="15" t="n"/>
      <c r="F81" t="inlineStr">
        <is>
          <t>Extra 2 B</t>
        </is>
      </c>
      <c r="G81">
        <f>IF(OR(All_Questions_Q_EXTRA_2_CT="(None)",G$78=""),"",COUNTIFS(Q_EXTRA_2_data,"Extra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B",passes_workbook_filters_data,1,passes_workbook_custom_filters_data,1,All_Questions_passes_local_filters_data,1,All_Questions_Q_EXTRA_2_F_passes_per_q_filter_data,1,INDIRECT(XLOOKUP(All_Questions_Q_EXTRA_2_CT,All_Questions,All_Questions_Data_Names,"respondent_id_data")),G$78))</f>
        <v>0</v>
      </c>
      <c r="H81" s="7">
        <f>IFERROR(G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),0)</f>
        <v>0</v>
      </c>
      <c r="I81">
        <f>IF(OR(All_Questions_Q_EXTRA_2_CT="(None)",I$78=""),"",COUNTIFS(Q_EXTRA_2_data,"Extra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B",passes_workbook_filters_data,1,passes_workbook_custom_filters_data,1,All_Questions_passes_local_filters_data,1,All_Questions_Q_EXTRA_2_F_passes_per_q_filter_data,1,INDIRECT(XLOOKUP(All_Questions_Q_EXTRA_2_CT,All_Questions,All_Questions_Data_Names,"respondent_id_data")),I$78))</f>
        <v>0</v>
      </c>
      <c r="J81" s="7">
        <f>IFERROR(I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),0)</f>
        <v>0</v>
      </c>
      <c r="K81">
        <f>IF(OR(All_Questions_Q_EXTRA_2_CT="(None)",K$78=""),"",COUNTIFS(Q_EXTRA_2_data,"Extra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B",passes_workbook_filters_data,1,passes_workbook_custom_filters_data,1,All_Questions_passes_local_filters_data,1,All_Questions_Q_EXTRA_2_F_passes_per_q_filter_data,1,INDIRECT(XLOOKUP(All_Questions_Q_EXTRA_2_CT,All_Questions,All_Questions_Data_Names,"respondent_id_data")),K$78))</f>
        <v>0</v>
      </c>
      <c r="L81" s="7">
        <f>IFERROR(K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),0)</f>
        <v>0</v>
      </c>
      <c r="M81">
        <f>IF(OR(All_Questions_Q_EXTRA_2_CT="(None)",M$78=""),"",COUNTIFS(Q_EXTRA_2_data,"Extra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B",passes_workbook_filters_data,1,passes_workbook_custom_filters_data,1,All_Questions_passes_local_filters_data,1,All_Questions_Q_EXTRA_2_F_passes_per_q_filter_data,1,INDIRECT(XLOOKUP(All_Questions_Q_EXTRA_2_CT,All_Questions,All_Questions_Data_Names,"respondent_id_data")),M$78))</f>
        <v>0</v>
      </c>
      <c r="N81" s="7">
        <f>IFERROR(M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),0)</f>
        <v>0</v>
      </c>
      <c r="O81">
        <f>IF(OR(All_Questions_Q_EXTRA_2_CT="(None)",O$78=""),"",COUNTIFS(Q_EXTRA_2_data,"Extra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B",passes_workbook_filters_data,1,passes_workbook_custom_filters_data,1,All_Questions_passes_local_filters_data,1,All_Questions_Q_EXTRA_2_F_passes_per_q_filter_data,1,INDIRECT(XLOOKUP(All_Questions_Q_EXTRA_2_CT,All_Questions,All_Questions_Data_Names,"respondent_id_data")),O$78))</f>
        <v>0</v>
      </c>
      <c r="P81" s="7">
        <f>IFERROR(O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),0)</f>
        <v>0</v>
      </c>
      <c r="Q81">
        <f>IF(OR(All_Questions_Q_EXTRA_2_CT="(None)",Q$78=""),"",COUNTIFS(Q_EXTRA_2_data,"Extra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B",passes_workbook_filters_data,1,passes_workbook_custom_filters_data,1,All_Questions_passes_local_filters_data,1,All_Questions_Q_EXTRA_2_F_passes_per_q_filter_data,1,INDIRECT(XLOOKUP(All_Questions_Q_EXTRA_2_CT,All_Questions,All_Questions_Data_Names,"respondent_id_data")),Q$78))</f>
        <v>0</v>
      </c>
      <c r="R81" s="7">
        <f>IFERROR(Q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),0)</f>
        <v>0</v>
      </c>
      <c r="S81">
        <f>IF(OR(All_Questions_Q_EXTRA_2_CT="(None)",S$78=""),"",COUNTIFS(Q_EXTRA_2_data,"Extra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B",passes_workbook_filters_data,1,passes_workbook_custom_filters_data,1,All_Questions_passes_local_filters_data,1,All_Questions_Q_EXTRA_2_F_passes_per_q_filter_data,1,INDIRECT(XLOOKUP(All_Questions_Q_EXTRA_2_CT,All_Questions,All_Questions_Data_Names,"respondent_id_data")),S$78))</f>
        <v>0</v>
      </c>
      <c r="T81" s="7">
        <f>IFERROR(S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),0)</f>
        <v>0</v>
      </c>
      <c r="U81">
        <f>IF(OR(All_Questions_Q_EXTRA_2_CT="(None)",U$78=""),"",COUNTIFS(Q_EXTRA_2_data,"Extra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B",passes_workbook_filters_data,1,passes_workbook_custom_filters_data,1,All_Questions_passes_local_filters_data,1,All_Questions_Q_EXTRA_2_F_passes_per_q_filter_data,1,INDIRECT(XLOOKUP(All_Questions_Q_EXTRA_2_CT,All_Questions,All_Questions_Data_Names,"respondent_id_data")),U$78))</f>
        <v>0</v>
      </c>
      <c r="V81" s="7">
        <f>IFERROR(U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),0)</f>
        <v>0</v>
      </c>
      <c r="W81">
        <f>IF(OR(All_Questions_Q_EXTRA_2_CT="(None)",W$78=""),"",COUNTIFS(Q_EXTRA_2_data,"Extra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B",passes_workbook_filters_data,1,passes_workbook_custom_filters_data,1,All_Questions_passes_local_filters_data,1,All_Questions_Q_EXTRA_2_F_passes_per_q_filter_data,1,INDIRECT(XLOOKUP(All_Questions_Q_EXTRA_2_CT,All_Questions,All_Questions_Data_Names,"respondent_id_data")),W$78))</f>
        <v>0</v>
      </c>
      <c r="X81" s="7">
        <f>IFERROR(W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),0)</f>
        <v>0</v>
      </c>
      <c r="Y81">
        <f>IF(OR(All_Questions_Q_EXTRA_2_CT="(None)",Y$78=""),"",COUNTIFS(Q_EXTRA_2_data,"Extra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B",passes_workbook_filters_data,1,passes_workbook_custom_filters_data,1,All_Questions_passes_local_filters_data,1,All_Questions_Q_EXTRA_2_F_passes_per_q_filter_data,1,INDIRECT(XLOOKUP(All_Questions_Q_EXTRA_2_CT,All_Questions,All_Questions_Data_Names,"respondent_id_data")),Y$78))</f>
        <v>0</v>
      </c>
      <c r="Z81" s="7">
        <f>IFERROR(Y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),0)</f>
        <v>0</v>
      </c>
      <c r="AA81">
        <f>IF(OR(All_Questions_Q_EXTRA_2_CT="(None)",AA$78=""),"",COUNTIFS(Q_EXTRA_2_data,"Extra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AA$78))</f>
        <v>0</v>
      </c>
      <c r="AB81" s="7">
        <f>IFERROR(AA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0)</f>
        <v>0</v>
      </c>
      <c r="AC81">
        <f>IF(OR(All_Questions_Q_EXTRA_2_CT="(None)",AC$78=""),"",IF(AC$78="Other",COUNTIFS(Q_EXTRA_2_data,"Extra 2 B",passes_workbook_filters_data,1,passes_workbook_custom_filters_data,1,All_Questions_passes_local_filters_data,1,All_Questions_Q_EXTRA_2_F_passes_per_q_filter_data,1)-SUM(G81,I81,K81,M81,O81,Q81,S81,U81,W81,Y81,AA81),COUNTIFS(Q_EXTRA_2_data,"Extra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</f>
        <v>0</v>
      </c>
      <c r="AD81" s="7">
        <f>IFERROR(AC81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,0)</f>
        <v>0</v>
      </c>
      <c r="AE81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2">
      <c r="F82" s="4" t="inlineStr">
        <is>
          <t>Total respondents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>
      <c r="A84" s="12" t="inlineStr">
        <is>
          <t>Q_EXTRA_3 - Extra mixed block question 3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</row>
    <row r="85">
      <c r="A85" s="13" t="inlineStr">
        <is>
          <t>Per-question filter</t>
        </is>
      </c>
      <c r="B85" t="inlineStr">
        <is>
          <t>Filter Q</t>
        </is>
      </c>
      <c r="C85" t="inlineStr">
        <is>
          <t>(None)</t>
        </is>
      </c>
      <c r="D85" t="inlineStr">
        <is>
          <t>Value</t>
        </is>
      </c>
      <c r="E85" t="inlineStr">
        <is>
          <t>(All)</t>
        </is>
      </c>
      <c r="F85" t="str">
        <f>XLOOKUP(All_Questions_Q_EXTRA_3_F_Q,All_Questions,All_Questions_Data_Names,"respondent_id_data")</f>
        <v>respondent_id_data</v>
      </c>
      <c r="G85" t="str">
        <f>"|" &amp; SUBSTITUTE(All_Questions_Q_EXTRA_3_F_V, ", ", "|") &amp; "|"</f>
        <v>|(All)|</v>
      </c>
    </row>
    <row r="86">
      <c r="A86" s="13" t="inlineStr">
        <is>
          <t>Cross-tab by</t>
        </is>
      </c>
      <c r="C86" t="inlineStr">
        <is>
          <t>(None)</t>
        </is>
      </c>
    </row>
    <row r="88">
      <c r="A88" s="4" t="inlineStr">
        <is>
          <t>Option</t>
        </is>
      </c>
      <c r="B88" s="4" t="inlineStr">
        <is>
          <t>Count</t>
        </is>
      </c>
      <c r="C88" s="4" t="inlineStr">
        <is>
          <t>%</t>
        </is>
      </c>
      <c r="D88" s="4" t="inlineStr">
        <is>
          <t>Denominator</t>
        </is>
      </c>
      <c r="F88" s="4" t="inlineStr">
        <is>
          <t>Option</t>
        </is>
      </c>
      <c r="G88" s="2" t="str">
        <f>IF(All_Questions_Q_EXTRA_3_CT="(None)","",IFERROR(INDEX(INDIRECT(XLOOKUP(All_Questions_Q_EXTRA_3_CT,All_Questions,All_Questions_Options_Names,"None_options")),2),""))</f>
        <v/>
      </c>
      <c r="H88" s="2" t="n"/>
      <c r="I88" s="2" t="str">
        <f>IF(All_Questions_Q_EXTRA_3_CT="(None)","",IFERROR(INDEX(INDIRECT(XLOOKUP(All_Questions_Q_EXTRA_3_CT,All_Questions,All_Questions_Options_Names,"None_options")),3),""))</f>
        <v/>
      </c>
      <c r="J88" s="2" t="n"/>
      <c r="K88" s="2" t="str">
        <f>IF(All_Questions_Q_EXTRA_3_CT="(None)","",IFERROR(INDEX(INDIRECT(XLOOKUP(All_Questions_Q_EXTRA_3_CT,All_Questions,All_Questions_Options_Names,"None_options")),4),""))</f>
        <v/>
      </c>
      <c r="L88" s="2" t="n"/>
      <c r="M88" s="2" t="str">
        <f>IF(All_Questions_Q_EXTRA_3_CT="(None)","",IFERROR(INDEX(INDIRECT(XLOOKUP(All_Questions_Q_EXTRA_3_CT,All_Questions,All_Questions_Options_Names,"None_options")),5),""))</f>
        <v/>
      </c>
      <c r="N88" s="2" t="n"/>
      <c r="O88" s="2" t="str">
        <f>IF(All_Questions_Q_EXTRA_3_CT="(None)","",IFERROR(INDEX(INDIRECT(XLOOKUP(All_Questions_Q_EXTRA_3_CT,All_Questions,All_Questions_Options_Names,"None_options")),6),""))</f>
        <v/>
      </c>
      <c r="P88" s="2" t="n"/>
      <c r="Q88" s="2" t="str">
        <f>IF(All_Questions_Q_EXTRA_3_CT="(None)","",IFERROR(INDEX(INDIRECT(XLOOKUP(All_Questions_Q_EXTRA_3_CT,All_Questions,All_Questions_Options_Names,"None_options")),7),""))</f>
        <v/>
      </c>
      <c r="R88" s="2" t="n"/>
      <c r="S88" s="2" t="str">
        <f>IF(All_Questions_Q_EXTRA_3_CT="(None)","",IFERROR(INDEX(INDIRECT(XLOOKUP(All_Questions_Q_EXTRA_3_CT,All_Questions,All_Questions_Options_Names,"None_options")),8),""))</f>
        <v/>
      </c>
      <c r="T88" s="2" t="n"/>
      <c r="U88" s="2" t="str">
        <f>IF(All_Questions_Q_EXTRA_3_CT="(None)","",IFERROR(INDEX(INDIRECT(XLOOKUP(All_Questions_Q_EXTRA_3_CT,All_Questions,All_Questions_Options_Names,"None_options")),9),""))</f>
        <v/>
      </c>
      <c r="V88" s="2" t="n"/>
      <c r="W88" s="2" t="str">
        <f>IF(All_Questions_Q_EXTRA_3_CT="(None)","",IFERROR(INDEX(INDIRECT(XLOOKUP(All_Questions_Q_EXTRA_3_CT,All_Questions,All_Questions_Options_Names,"None_options")),10),""))</f>
        <v/>
      </c>
      <c r="X88" s="2" t="n"/>
      <c r="Y88" s="2" t="str">
        <f>IF(All_Questions_Q_EXTRA_3_CT="(None)","",IFERROR(INDEX(INDIRECT(XLOOKUP(All_Questions_Q_EXTRA_3_CT,All_Questions,All_Questions_Options_Names,"None_options")),11),""))</f>
        <v/>
      </c>
      <c r="Z88" s="2" t="n"/>
      <c r="AA88" s="2" t="str">
        <f>IF(All_Questions_Q_EXTRA_3_CT="(None)","",IFERROR(INDEX(INDIRECT(XLOOKUP(All_Questions_Q_EXTRA_3_CT,All_Questions,All_Questions_Options_Names,"None_options")),12),""))</f>
        <v/>
      </c>
      <c r="AB88" s="2" t="n"/>
      <c r="AC88" s="2" t="str">
        <f>IF(All_Questions_Q_EXTRA_3_CT="(None)","",IF(COUNTA(INDIRECT(XLOOKUP(All_Questions_Q_EXTRA_3_CT,All_Questions,All_Questions_Options_Names,"None_options")))-1&gt;11,"Other",IFERROR(INDEX(INDIRECT(XLOOKUP(All_Questions_Q_EXTRA_3_CT,All_Questions,All_Questions_Options_Names,"None_options")),13),"")))</f>
        <v/>
      </c>
      <c r="AD88" s="2" t="n"/>
      <c r="AE88" s="4" t="inlineStr">
        <is>
          <t>Total</t>
        </is>
      </c>
    </row>
    <row r="89">
      <c r="A89" t="inlineStr">
        <is>
          <t>Extra 3 A</t>
        </is>
      </c>
      <c r="B89">
        <f>COUNTIFS(Q_EXTRA_3_data,"Extra 3 A",passes_workbook_filters_data,1,passes_workbook_custom_filters_data,1,All_Questions_passes_local_filters_data,1,All_Questions_Q_EXTRA_3_F_passes_per_q_filter_data,1)</f>
        <v>6</v>
      </c>
      <c r="C89" s="7">
        <f>IFERROR(B89/SUBTOTAL(9,B89:B90),0)</f>
        <v>0.6</v>
      </c>
      <c r="D89" s="14">
        <f>SUBTOTAL(9,B89:B90)</f>
        <v>10</v>
      </c>
      <c r="F89" s="4" t="inlineStr"/>
      <c r="G89" s="4" t="inlineStr">
        <is>
          <t># of resp</t>
        </is>
      </c>
      <c r="H89" s="4" t="inlineStr">
        <is>
          <t>% of resp</t>
        </is>
      </c>
      <c r="I89" s="4" t="inlineStr">
        <is>
          <t># of resp</t>
        </is>
      </c>
      <c r="J89" s="4" t="inlineStr">
        <is>
          <t>% of resp</t>
        </is>
      </c>
      <c r="K89" s="4" t="inlineStr">
        <is>
          <t># of resp</t>
        </is>
      </c>
      <c r="L89" s="4" t="inlineStr">
        <is>
          <t>% of resp</t>
        </is>
      </c>
      <c r="M89" s="4" t="inlineStr">
        <is>
          <t># of resp</t>
        </is>
      </c>
      <c r="N89" s="4" t="inlineStr">
        <is>
          <t>% of resp</t>
        </is>
      </c>
      <c r="O89" s="4" t="inlineStr">
        <is>
          <t># of resp</t>
        </is>
      </c>
      <c r="P89" s="4" t="inlineStr">
        <is>
          <t>% of resp</t>
        </is>
      </c>
      <c r="Q89" s="4" t="inlineStr">
        <is>
          <t># of resp</t>
        </is>
      </c>
      <c r="R89" s="4" t="inlineStr">
        <is>
          <t>% of resp</t>
        </is>
      </c>
      <c r="S89" s="4" t="inlineStr">
        <is>
          <t># of resp</t>
        </is>
      </c>
      <c r="T89" s="4" t="inlineStr">
        <is>
          <t>% of resp</t>
        </is>
      </c>
      <c r="U89" s="4" t="inlineStr">
        <is>
          <t># of resp</t>
        </is>
      </c>
      <c r="V89" s="4" t="inlineStr">
        <is>
          <t>% of resp</t>
        </is>
      </c>
      <c r="W89" s="4" t="inlineStr">
        <is>
          <t># of resp</t>
        </is>
      </c>
      <c r="X89" s="4" t="inlineStr">
        <is>
          <t>% of resp</t>
        </is>
      </c>
      <c r="Y89" s="4" t="inlineStr">
        <is>
          <t># of resp</t>
        </is>
      </c>
      <c r="Z89" s="4" t="inlineStr">
        <is>
          <t>% of resp</t>
        </is>
      </c>
      <c r="AA89" s="4" t="inlineStr">
        <is>
          <t># of resp</t>
        </is>
      </c>
      <c r="AB89" s="4" t="inlineStr">
        <is>
          <t>% of resp</t>
        </is>
      </c>
      <c r="AC89" s="4" t="inlineStr">
        <is>
          <t># of resp</t>
        </is>
      </c>
      <c r="AD89" s="4" t="inlineStr">
        <is>
          <t>% of resp</t>
        </is>
      </c>
      <c r="AE89" s="4" t="inlineStr">
        <is>
          <t># of resp</t>
        </is>
      </c>
    </row>
    <row r="90">
      <c r="A90" t="inlineStr">
        <is>
          <t>Extra 3 B</t>
        </is>
      </c>
      <c r="B90">
        <f>COUNTIFS(Q_EXTRA_3_data,"Extra 3 B",passes_workbook_filters_data,1,passes_workbook_custom_filters_data,1,All_Questions_passes_local_filters_data,1,All_Questions_Q_EXTRA_3_F_passes_per_q_filter_data,1)</f>
        <v>4</v>
      </c>
      <c r="C90" s="7">
        <f>IFERROR(B90/SUBTOTAL(9,B89:B90),0)</f>
        <v>0.4</v>
      </c>
      <c r="D90" s="14">
        <f>SUBTOTAL(9,B89:B90)</f>
        <v>10</v>
      </c>
      <c r="F90" t="inlineStr">
        <is>
          <t>Extra 3 A</t>
        </is>
      </c>
      <c r="G90">
        <f>IF(OR(All_Questions_Q_EXTRA_3_CT="(None)",G$88=""),"",COUNTIFS(Q_EXTRA_3_data,"Extra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A",passes_workbook_filters_data,1,passes_workbook_custom_filters_data,1,All_Questions_passes_local_filters_data,1,All_Questions_Q_EXTRA_3_F_passes_per_q_filter_data,1,INDIRECT(XLOOKUP(All_Questions_Q_EXTRA_3_CT,All_Questions,All_Questions_Data_Names,"respondent_id_data")),G$88))</f>
        <v>0</v>
      </c>
      <c r="H90" s="7">
        <f>IFERROR(G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),0)</f>
        <v>0</v>
      </c>
      <c r="I90">
        <f>IF(OR(All_Questions_Q_EXTRA_3_CT="(None)",I$88=""),"",COUNTIFS(Q_EXTRA_3_data,"Extra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A",passes_workbook_filters_data,1,passes_workbook_custom_filters_data,1,All_Questions_passes_local_filters_data,1,All_Questions_Q_EXTRA_3_F_passes_per_q_filter_data,1,INDIRECT(XLOOKUP(All_Questions_Q_EXTRA_3_CT,All_Questions,All_Questions_Data_Names,"respondent_id_data")),I$88))</f>
        <v>0</v>
      </c>
      <c r="J90" s="7">
        <f>IFERROR(I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),0)</f>
        <v>0</v>
      </c>
      <c r="K90">
        <f>IF(OR(All_Questions_Q_EXTRA_3_CT="(None)",K$88=""),"",COUNTIFS(Q_EXTRA_3_data,"Extra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A",passes_workbook_filters_data,1,passes_workbook_custom_filters_data,1,All_Questions_passes_local_filters_data,1,All_Questions_Q_EXTRA_3_F_passes_per_q_filter_data,1,INDIRECT(XLOOKUP(All_Questions_Q_EXTRA_3_CT,All_Questions,All_Questions_Data_Names,"respondent_id_data")),K$88))</f>
        <v>0</v>
      </c>
      <c r="L90" s="7">
        <f>IFERROR(K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),0)</f>
        <v>0</v>
      </c>
      <c r="M90">
        <f>IF(OR(All_Questions_Q_EXTRA_3_CT="(None)",M$88=""),"",COUNTIFS(Q_EXTRA_3_data,"Extra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A",passes_workbook_filters_data,1,passes_workbook_custom_filters_data,1,All_Questions_passes_local_filters_data,1,All_Questions_Q_EXTRA_3_F_passes_per_q_filter_data,1,INDIRECT(XLOOKUP(All_Questions_Q_EXTRA_3_CT,All_Questions,All_Questions_Data_Names,"respondent_id_data")),M$88))</f>
        <v>0</v>
      </c>
      <c r="N90" s="7">
        <f>IFERROR(M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),0)</f>
        <v>0</v>
      </c>
      <c r="O90">
        <f>IF(OR(All_Questions_Q_EXTRA_3_CT="(None)",O$88=""),"",COUNTIFS(Q_EXTRA_3_data,"Extra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A",passes_workbook_filters_data,1,passes_workbook_custom_filters_data,1,All_Questions_passes_local_filters_data,1,All_Questions_Q_EXTRA_3_F_passes_per_q_filter_data,1,INDIRECT(XLOOKUP(All_Questions_Q_EXTRA_3_CT,All_Questions,All_Questions_Data_Names,"respondent_id_data")),O$88))</f>
        <v>0</v>
      </c>
      <c r="P90" s="7">
        <f>IFERROR(O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),0)</f>
        <v>0</v>
      </c>
      <c r="Q90">
        <f>IF(OR(All_Questions_Q_EXTRA_3_CT="(None)",Q$88=""),"",COUNTIFS(Q_EXTRA_3_data,"Extra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A",passes_workbook_filters_data,1,passes_workbook_custom_filters_data,1,All_Questions_passes_local_filters_data,1,All_Questions_Q_EXTRA_3_F_passes_per_q_filter_data,1,INDIRECT(XLOOKUP(All_Questions_Q_EXTRA_3_CT,All_Questions,All_Questions_Data_Names,"respondent_id_data")),Q$88))</f>
        <v>0</v>
      </c>
      <c r="R90" s="7">
        <f>IFERROR(Q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),0)</f>
        <v>0</v>
      </c>
      <c r="S90">
        <f>IF(OR(All_Questions_Q_EXTRA_3_CT="(None)",S$88=""),"",COUNTIFS(Q_EXTRA_3_data,"Extra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A",passes_workbook_filters_data,1,passes_workbook_custom_filters_data,1,All_Questions_passes_local_filters_data,1,All_Questions_Q_EXTRA_3_F_passes_per_q_filter_data,1,INDIRECT(XLOOKUP(All_Questions_Q_EXTRA_3_CT,All_Questions,All_Questions_Data_Names,"respondent_id_data")),S$88))</f>
        <v>0</v>
      </c>
      <c r="T90" s="7">
        <f>IFERROR(S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),0)</f>
        <v>0</v>
      </c>
      <c r="U90">
        <f>IF(OR(All_Questions_Q_EXTRA_3_CT="(None)",U$88=""),"",COUNTIFS(Q_EXTRA_3_data,"Extra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A",passes_workbook_filters_data,1,passes_workbook_custom_filters_data,1,All_Questions_passes_local_filters_data,1,All_Questions_Q_EXTRA_3_F_passes_per_q_filter_data,1,INDIRECT(XLOOKUP(All_Questions_Q_EXTRA_3_CT,All_Questions,All_Questions_Data_Names,"respondent_id_data")),U$88))</f>
        <v>0</v>
      </c>
      <c r="V90" s="7">
        <f>IFERROR(U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),0)</f>
        <v>0</v>
      </c>
      <c r="W90">
        <f>IF(OR(All_Questions_Q_EXTRA_3_CT="(None)",W$88=""),"",COUNTIFS(Q_EXTRA_3_data,"Extra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A",passes_workbook_filters_data,1,passes_workbook_custom_filters_data,1,All_Questions_passes_local_filters_data,1,All_Questions_Q_EXTRA_3_F_passes_per_q_filter_data,1,INDIRECT(XLOOKUP(All_Questions_Q_EXTRA_3_CT,All_Questions,All_Questions_Data_Names,"respondent_id_data")),W$88))</f>
        <v>0</v>
      </c>
      <c r="X90" s="7">
        <f>IFERROR(W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),0)</f>
        <v>0</v>
      </c>
      <c r="Y90">
        <f>IF(OR(All_Questions_Q_EXTRA_3_CT="(None)",Y$88=""),"",COUNTIFS(Q_EXTRA_3_data,"Extra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A",passes_workbook_filters_data,1,passes_workbook_custom_filters_data,1,All_Questions_passes_local_filters_data,1,All_Questions_Q_EXTRA_3_F_passes_per_q_filter_data,1,INDIRECT(XLOOKUP(All_Questions_Q_EXTRA_3_CT,All_Questions,All_Questions_Data_Names,"respondent_id_data")),Y$88))</f>
        <v>0</v>
      </c>
      <c r="Z90" s="7">
        <f>IFERROR(Y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),0)</f>
        <v>0</v>
      </c>
      <c r="AA90">
        <f>IF(OR(All_Questions_Q_EXTRA_3_CT="(None)",AA$88=""),"",COUNTIFS(Q_EXTRA_3_data,"Extra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AA$88))</f>
        <v>0</v>
      </c>
      <c r="AB90" s="7">
        <f>IFERROR(AA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0)</f>
        <v>0</v>
      </c>
      <c r="AC90">
        <f>IF(OR(All_Questions_Q_EXTRA_3_CT="(None)",AC$88=""),"",IF(AC$88="Other",COUNTIFS(Q_EXTRA_3_data,"Extra 3 A",passes_workbook_filters_data,1,passes_workbook_custom_filters_data,1,All_Questions_passes_local_filters_data,1,All_Questions_Q_EXTRA_3_F_passes_per_q_filter_data,1)-SUM(G90,I90,K90,M90,O90,Q90,S90,U90,W90,Y90,AA90),COUNTIFS(Q_EXTRA_3_data,"Extra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</f>
        <v>0</v>
      </c>
      <c r="AD90" s="7">
        <f>IFERROR(AC90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,0)</f>
        <v>0</v>
      </c>
      <c r="AE90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1">
      <c r="A91" s="15" t="inlineStr">
        <is>
          <t>Total respondents</t>
        </is>
      </c>
      <c r="B91" s="15" t="n">
        <v>10</v>
      </c>
      <c r="C91" s="15" t="n"/>
      <c r="D91" s="15" t="n"/>
      <c r="F91" t="inlineStr">
        <is>
          <t>Extra 3 B</t>
        </is>
      </c>
      <c r="G91">
        <f>IF(OR(All_Questions_Q_EXTRA_3_CT="(None)",G$88=""),"",COUNTIFS(Q_EXTRA_3_data,"Extra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B",passes_workbook_filters_data,1,passes_workbook_custom_filters_data,1,All_Questions_passes_local_filters_data,1,All_Questions_Q_EXTRA_3_F_passes_per_q_filter_data,1,INDIRECT(XLOOKUP(All_Questions_Q_EXTRA_3_CT,All_Questions,All_Questions_Data_Names,"respondent_id_data")),G$88))</f>
        <v>0</v>
      </c>
      <c r="H91" s="7">
        <f>IFERROR(G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),0)</f>
        <v>0</v>
      </c>
      <c r="I91">
        <f>IF(OR(All_Questions_Q_EXTRA_3_CT="(None)",I$88=""),"",COUNTIFS(Q_EXTRA_3_data,"Extra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B",passes_workbook_filters_data,1,passes_workbook_custom_filters_data,1,All_Questions_passes_local_filters_data,1,All_Questions_Q_EXTRA_3_F_passes_per_q_filter_data,1,INDIRECT(XLOOKUP(All_Questions_Q_EXTRA_3_CT,All_Questions,All_Questions_Data_Names,"respondent_id_data")),I$88))</f>
        <v>0</v>
      </c>
      <c r="J91" s="7">
        <f>IFERROR(I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),0)</f>
        <v>0</v>
      </c>
      <c r="K91">
        <f>IF(OR(All_Questions_Q_EXTRA_3_CT="(None)",K$88=""),"",COUNTIFS(Q_EXTRA_3_data,"Extra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B",passes_workbook_filters_data,1,passes_workbook_custom_filters_data,1,All_Questions_passes_local_filters_data,1,All_Questions_Q_EXTRA_3_F_passes_per_q_filter_data,1,INDIRECT(XLOOKUP(All_Questions_Q_EXTRA_3_CT,All_Questions,All_Questions_Data_Names,"respondent_id_data")),K$88))</f>
        <v>0</v>
      </c>
      <c r="L91" s="7">
        <f>IFERROR(K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),0)</f>
        <v>0</v>
      </c>
      <c r="M91">
        <f>IF(OR(All_Questions_Q_EXTRA_3_CT="(None)",M$88=""),"",COUNTIFS(Q_EXTRA_3_data,"Extra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B",passes_workbook_filters_data,1,passes_workbook_custom_filters_data,1,All_Questions_passes_local_filters_data,1,All_Questions_Q_EXTRA_3_F_passes_per_q_filter_data,1,INDIRECT(XLOOKUP(All_Questions_Q_EXTRA_3_CT,All_Questions,All_Questions_Data_Names,"respondent_id_data")),M$88))</f>
        <v>0</v>
      </c>
      <c r="N91" s="7">
        <f>IFERROR(M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),0)</f>
        <v>0</v>
      </c>
      <c r="O91">
        <f>IF(OR(All_Questions_Q_EXTRA_3_CT="(None)",O$88=""),"",COUNTIFS(Q_EXTRA_3_data,"Extra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B",passes_workbook_filters_data,1,passes_workbook_custom_filters_data,1,All_Questions_passes_local_filters_data,1,All_Questions_Q_EXTRA_3_F_passes_per_q_filter_data,1,INDIRECT(XLOOKUP(All_Questions_Q_EXTRA_3_CT,All_Questions,All_Questions_Data_Names,"respondent_id_data")),O$88))</f>
        <v>0</v>
      </c>
      <c r="P91" s="7">
        <f>IFERROR(O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),0)</f>
        <v>0</v>
      </c>
      <c r="Q91">
        <f>IF(OR(All_Questions_Q_EXTRA_3_CT="(None)",Q$88=""),"",COUNTIFS(Q_EXTRA_3_data,"Extra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B",passes_workbook_filters_data,1,passes_workbook_custom_filters_data,1,All_Questions_passes_local_filters_data,1,All_Questions_Q_EXTRA_3_F_passes_per_q_filter_data,1,INDIRECT(XLOOKUP(All_Questions_Q_EXTRA_3_CT,All_Questions,All_Questions_Data_Names,"respondent_id_data")),Q$88))</f>
        <v>0</v>
      </c>
      <c r="R91" s="7">
        <f>IFERROR(Q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),0)</f>
        <v>0</v>
      </c>
      <c r="S91">
        <f>IF(OR(All_Questions_Q_EXTRA_3_CT="(None)",S$88=""),"",COUNTIFS(Q_EXTRA_3_data,"Extra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B",passes_workbook_filters_data,1,passes_workbook_custom_filters_data,1,All_Questions_passes_local_filters_data,1,All_Questions_Q_EXTRA_3_F_passes_per_q_filter_data,1,INDIRECT(XLOOKUP(All_Questions_Q_EXTRA_3_CT,All_Questions,All_Questions_Data_Names,"respondent_id_data")),S$88))</f>
        <v>0</v>
      </c>
      <c r="T91" s="7">
        <f>IFERROR(S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),0)</f>
        <v>0</v>
      </c>
      <c r="U91">
        <f>IF(OR(All_Questions_Q_EXTRA_3_CT="(None)",U$88=""),"",COUNTIFS(Q_EXTRA_3_data,"Extra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B",passes_workbook_filters_data,1,passes_workbook_custom_filters_data,1,All_Questions_passes_local_filters_data,1,All_Questions_Q_EXTRA_3_F_passes_per_q_filter_data,1,INDIRECT(XLOOKUP(All_Questions_Q_EXTRA_3_CT,All_Questions,All_Questions_Data_Names,"respondent_id_data")),U$88))</f>
        <v>0</v>
      </c>
      <c r="V91" s="7">
        <f>IFERROR(U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),0)</f>
        <v>0</v>
      </c>
      <c r="W91">
        <f>IF(OR(All_Questions_Q_EXTRA_3_CT="(None)",W$88=""),"",COUNTIFS(Q_EXTRA_3_data,"Extra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B",passes_workbook_filters_data,1,passes_workbook_custom_filters_data,1,All_Questions_passes_local_filters_data,1,All_Questions_Q_EXTRA_3_F_passes_per_q_filter_data,1,INDIRECT(XLOOKUP(All_Questions_Q_EXTRA_3_CT,All_Questions,All_Questions_Data_Names,"respondent_id_data")),W$88))</f>
        <v>0</v>
      </c>
      <c r="X91" s="7">
        <f>IFERROR(W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),0)</f>
        <v>0</v>
      </c>
      <c r="Y91">
        <f>IF(OR(All_Questions_Q_EXTRA_3_CT="(None)",Y$88=""),"",COUNTIFS(Q_EXTRA_3_data,"Extra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B",passes_workbook_filters_data,1,passes_workbook_custom_filters_data,1,All_Questions_passes_local_filters_data,1,All_Questions_Q_EXTRA_3_F_passes_per_q_filter_data,1,INDIRECT(XLOOKUP(All_Questions_Q_EXTRA_3_CT,All_Questions,All_Questions_Data_Names,"respondent_id_data")),Y$88))</f>
        <v>0</v>
      </c>
      <c r="Z91" s="7">
        <f>IFERROR(Y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),0)</f>
        <v>0</v>
      </c>
      <c r="AA91">
        <f>IF(OR(All_Questions_Q_EXTRA_3_CT="(None)",AA$88=""),"",COUNTIFS(Q_EXTRA_3_data,"Extra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AA$88))</f>
        <v>0</v>
      </c>
      <c r="AB91" s="7">
        <f>IFERROR(AA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0)</f>
        <v>0</v>
      </c>
      <c r="AC91">
        <f>IF(OR(All_Questions_Q_EXTRA_3_CT="(None)",AC$88=""),"",IF(AC$88="Other",COUNTIFS(Q_EXTRA_3_data,"Extra 3 B",passes_workbook_filters_data,1,passes_workbook_custom_filters_data,1,All_Questions_passes_local_filters_data,1,All_Questions_Q_EXTRA_3_F_passes_per_q_filter_data,1)-SUM(G91,I91,K91,M91,O91,Q91,S91,U91,W91,Y91,AA91),COUNTIFS(Q_EXTRA_3_data,"Extra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</f>
        <v>0</v>
      </c>
      <c r="AD91" s="7">
        <f>IFERROR(AC91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,0)</f>
        <v>0</v>
      </c>
      <c r="AE91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2">
      <c r="F92" s="4" t="inlineStr">
        <is>
          <t>Total respondents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85">
    <mergeCell ref="AC48:AD48"/>
    <mergeCell ref="O78:P78"/>
    <mergeCell ref="Y58:Z58"/>
    <mergeCell ref="I26:J26"/>
    <mergeCell ref="AA58:AB58"/>
    <mergeCell ref="K88:L88"/>
    <mergeCell ref="K26:L26"/>
    <mergeCell ref="M88:N88"/>
    <mergeCell ref="W26:X26"/>
    <mergeCell ref="I16:J16"/>
    <mergeCell ref="U16:V16"/>
    <mergeCell ref="O88:P88"/>
    <mergeCell ref="O26:P26"/>
    <mergeCell ref="Q88:R88"/>
    <mergeCell ref="Q26:R26"/>
    <mergeCell ref="I58:J58"/>
    <mergeCell ref="AA26:AB26"/>
    <mergeCell ref="M16:N16"/>
    <mergeCell ref="K58:L58"/>
    <mergeCell ref="AC26:AD26"/>
    <mergeCell ref="O16:P16"/>
    <mergeCell ref="AC88:AD88"/>
    <mergeCell ref="Y16:Z16"/>
    <mergeCell ref="G68:H68"/>
    <mergeCell ref="AA16:AB16"/>
    <mergeCell ref="AA68:AB68"/>
    <mergeCell ref="G58:H58"/>
    <mergeCell ref="K78:L78"/>
    <mergeCell ref="U78:V78"/>
    <mergeCell ref="W78:X78"/>
    <mergeCell ref="O68:P68"/>
    <mergeCell ref="Q68:R68"/>
    <mergeCell ref="G48:H48"/>
    <mergeCell ref="AC78:AD78"/>
    <mergeCell ref="S48:T48"/>
    <mergeCell ref="U48:V48"/>
    <mergeCell ref="Y88:Z88"/>
    <mergeCell ref="Y26:Z26"/>
    <mergeCell ref="AA88:AB88"/>
    <mergeCell ref="W16:X16"/>
    <mergeCell ref="U58:V58"/>
    <mergeCell ref="W58:X58"/>
    <mergeCell ref="G88:H88"/>
    <mergeCell ref="G26:H26"/>
    <mergeCell ref="O58:P58"/>
    <mergeCell ref="I88:J88"/>
    <mergeCell ref="G16:H16"/>
    <mergeCell ref="K16:L16"/>
    <mergeCell ref="K68:L68"/>
    <mergeCell ref="M68:N68"/>
    <mergeCell ref="W68:X68"/>
    <mergeCell ref="Y68:Z68"/>
    <mergeCell ref="M48:N48"/>
    <mergeCell ref="AC68:AD68"/>
    <mergeCell ref="AA48:AB48"/>
    <mergeCell ref="M78:N78"/>
    <mergeCell ref="AC58:AD58"/>
    <mergeCell ref="G78:H78"/>
    <mergeCell ref="Y78:Z78"/>
    <mergeCell ref="Q78:R78"/>
    <mergeCell ref="AA78:AB78"/>
    <mergeCell ref="S78:T78"/>
    <mergeCell ref="M26:N26"/>
    <mergeCell ref="O48:P48"/>
    <mergeCell ref="Q48:R48"/>
    <mergeCell ref="S88:T88"/>
    <mergeCell ref="S26:T26"/>
    <mergeCell ref="U88:V88"/>
    <mergeCell ref="U26:V26"/>
    <mergeCell ref="W88:X88"/>
    <mergeCell ref="M58:N58"/>
    <mergeCell ref="Q16:R16"/>
    <mergeCell ref="S16:T16"/>
    <mergeCell ref="AC16:AD16"/>
    <mergeCell ref="S58:T58"/>
    <mergeCell ref="Q58:R58"/>
    <mergeCell ref="A1:J1"/>
    <mergeCell ref="I68:J68"/>
    <mergeCell ref="S68:T68"/>
    <mergeCell ref="U68:V68"/>
    <mergeCell ref="I48:J48"/>
    <mergeCell ref="K48:L48"/>
    <mergeCell ref="W48:X48"/>
    <mergeCell ref="Y48:Z48"/>
    <mergeCell ref="I78:J7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0:H71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0:J71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0:L71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0:N71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0:P71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0:R71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70:T71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70:V71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70:X71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70:Z71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70:AB71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70:AD71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9:B80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9:C80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0:H81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0:J81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0:L81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0:N81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0:P81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0:R81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80:T81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80:V81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80:X81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80:Z81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80:AB81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80:AD81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9:B90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9:C90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0:H91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0:J91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0:L91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0:N91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0:P91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0:R91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90:T91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90:V91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90:X91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90:Z91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90:AB91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90:AD91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  <dataValidation sqref="C65" showDropDown="0" showInputMessage="0" showErrorMessage="0" allowBlank="1" type="list">
      <formula1>=All_Questions</formula1>
    </dataValidation>
    <dataValidation sqref="E65" showDropDown="0" showInputMessage="0" showErrorMessage="0" allowBlank="1" type="list">
      <formula1>=INDIRECT(XLOOKUP(All_Questions_Q_EXTRA_1_F_Q,All_Questions,All_Questions_Options_Names,"None_options"))</formula1>
    </dataValidation>
    <dataValidation sqref="C66" showDropDown="0" showInputMessage="0" showErrorMessage="0" allowBlank="1" type="list">
      <formula1>=All_Questions</formula1>
    </dataValidation>
    <dataValidation sqref="C75" showDropDown="0" showInputMessage="0" showErrorMessage="0" allowBlank="1" type="list">
      <formula1>=All_Questions</formula1>
    </dataValidation>
    <dataValidation sqref="E75" showDropDown="0" showInputMessage="0" showErrorMessage="0" allowBlank="1" type="list">
      <formula1>=INDIRECT(XLOOKUP(All_Questions_Q_EXTRA_2_F_Q,All_Questions,All_Questions_Options_Names,"None_options"))</formula1>
    </dataValidation>
    <dataValidation sqref="C76" showDropDown="0" showInputMessage="0" showErrorMessage="0" allowBlank="1" type="list">
      <formula1>=All_Questions</formula1>
    </dataValidation>
    <dataValidation sqref="C85" showDropDown="0" showInputMessage="0" showErrorMessage="0" allowBlank="1" type="list">
      <formula1>=All_Questions</formula1>
    </dataValidation>
    <dataValidation sqref="E85" showDropDown="0" showInputMessage="0" showErrorMessage="0" allowBlank="1" type="list">
      <formula1>=INDIRECT(XLOOKUP(All_Questions_Q_EXTRA_3_F_Q,All_Questions,All_Questions_Options_Names,"None_options"))</formula1>
    </dataValidation>
    <dataValidation sqref="C8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2026-05-18T10:51:52Z</dcterms:created>
  <dcterms:modified xmlns:dcterms="http://purl.org/dc/terms/" xmlns:xsi="http://www.w3.org/2001/XMLSchema-instance" xsi:type="dcterms:W3CDTF">2026-05-18T10:51:55Z</dcterms:modified>
</cp:coreProperties>
</file>