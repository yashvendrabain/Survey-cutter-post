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Questions'!$C$47</definedName>
    <definedName name="All_Questions_Q_GRID_EXPORT_F_V">'All Questions'!$E$47</definedName>
    <definedName name="All_Questions_Q_GRID_EXPORT_F_resolved_column">'All Questions'!$F$47</definedName>
    <definedName name="All_Questions_Q_GRID_EXPORT_F_wrapped">'All Questions'!$G$47</definedName>
    <definedName name="All_Questions_Q_GRID_EXPORT_F_passes_per_q_filter_data">'_RawData'!$Q$2:$Q$11</definedName>
    <definedName name="All_Questions_Q_GRID_EXPORT_CT">'All Questions'!$C$48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passes_per_q_filter_data">'_RawData'!$R$2:$R$11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F47" i="7"/>
  <c r="G47" i="7"/>
  <c r="C52" i="7"/>
  <c r="D52" i="7"/>
  <c r="E52" i="7"/>
  <c r="F52" i="7"/>
  <c r="C53" i="7"/>
  <c r="D53" i="7"/>
  <c r="E53" i="7"/>
  <c r="F53" i="7"/>
  <c r="F59" i="7"/>
  <c r="G59" i="7"/>
  <c r="G62" i="7"/>
  <c r="H62" i="7"/>
  <c r="I62" i="7"/>
  <c r="J62" i="7"/>
  <c r="K62" i="7"/>
  <c r="L62" i="7"/>
  <c r="M62" i="7"/>
  <c r="N62" i="7"/>
  <c r="O62" i="7"/>
  <c r="P62" i="7"/>
  <c r="Q62" i="7"/>
  <c r="R62" i="7"/>
  <c r="B63" i="7"/>
  <c r="C63" i="7"/>
  <c r="D63" i="7"/>
  <c r="B64" i="7"/>
  <c r="C64" i="7"/>
  <c r="D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1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No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No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5</v>
      </c>
      <c r="G2" t="n">
        <v>5</v>
      </c>
      <c r="H2" s="7" t="n">
        <v>0.5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5.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IF(All_Questions_Q_SS_EXPORT_CT="(None)","",IFERROR(INDEX(INDIRECT(IFERROR(INDEX(All_Questions_Options_Names,MATCH(All_Questions_Q_SS_EXPORT_CT,All_Questions,0)),"'_Options'!$E$2:$E$2")),2),""))</f>
        <v/>
      </c>
      <c r="H17" s="2" t="str">
        <f>IF(All_Questions_Q_SS_EXPORT_CT="(None)","",IFERROR(INDEX(INDIRECT(IFERROR(INDEX(All_Questions_Options_Names,MATCH(All_Questions_Q_SS_EXPORT_CT,All_Questions,0)),"'_Options'!$E$2:$E$2")),3),""))</f>
        <v/>
      </c>
      <c r="I17" s="2" t="str">
        <f>IF(All_Questions_Q_SS_EXPORT_CT="(None)","",IFERROR(INDEX(INDIRECT(IFERROR(INDEX(All_Questions_Options_Names,MATCH(All_Questions_Q_SS_EXPORT_CT,All_Questions,0)),"'_Options'!$E$2:$E$2")),4),""))</f>
        <v/>
      </c>
      <c r="J17" s="2" t="str">
        <f>IF(All_Questions_Q_SS_EXPORT_CT="(None)","",IFERROR(INDEX(INDIRECT(IFERROR(INDEX(All_Questions_Options_Names,MATCH(All_Questions_Q_SS_EXPORT_CT,All_Questions,0)),"'_Options'!$E$2:$E$2")),5),""))</f>
        <v/>
      </c>
      <c r="K17" s="2" t="str">
        <f>IF(All_Questions_Q_SS_EXPORT_CT="(None)","",IFERROR(INDEX(INDIRECT(IFERROR(INDEX(All_Questions_Options_Names,MATCH(All_Questions_Q_SS_EXPORT_CT,All_Questions,0)),"'_Options'!$E$2:$E$2")),6),""))</f>
        <v/>
      </c>
      <c r="L17" s="2" t="str">
        <f>IF(All_Questions_Q_SS_EXPORT_CT="(None)","",IFERROR(INDEX(INDIRECT(IFERROR(INDEX(All_Questions_Options_Names,MATCH(All_Questions_Q_SS_EXPORT_CT,All_Questions,0)),"'_Options'!$E$2:$E$2")),7),""))</f>
        <v/>
      </c>
      <c r="M17" s="2" t="str">
        <f>IF(All_Questions_Q_SS_EXPORT_CT="(None)","",IFERROR(INDEX(INDIRECT(IFERROR(INDEX(All_Questions_Options_Names,MATCH(All_Questions_Q_SS_EXPORT_CT,All_Questions,0)),"'_Options'!$E$2:$E$2")),8),""))</f>
        <v/>
      </c>
      <c r="N17" s="2" t="str">
        <f>IF(All_Questions_Q_SS_EXPORT_CT="(None)","",IFERROR(INDEX(INDIRECT(IFERROR(INDEX(All_Questions_Options_Names,MATCH(All_Questions_Q_SS_EXPORT_CT,All_Questions,0)),"'_Options'!$E$2:$E$2")),9),""))</f>
        <v/>
      </c>
      <c r="O17" s="2" t="str">
        <f>IF(All_Questions_Q_SS_EXPORT_CT="(None)","",IFERROR(INDEX(INDIRECT(IFERROR(INDEX(All_Questions_Options_Names,MATCH(All_Questions_Q_SS_EXPORT_CT,All_Questions,0)),"'_Options'!$E$2:$E$2")),10),""))</f>
        <v/>
      </c>
      <c r="P17" s="2" t="str">
        <f>IF(All_Questions_Q_SS_EXPORT_CT="(None)","",IFERROR(INDEX(INDIRECT(IFERROR(INDEX(All_Questions_Options_Names,MATCH(All_Questions_Q_SS_EXPORT_CT,All_Questions,0)),"'_Options'!$E$2:$E$2")),11),""))</f>
        <v/>
      </c>
      <c r="Q17" s="2" t="str">
        <f>IF(All_Questions_Q_SS_EXPORT_CT="(None)","",IFERROR(INDEX(INDIRECT(IFERROR(INDEX(All_Questions_Options_Names,MATCH(All_Questions_Q_SS_EXPORT_CT,All_Questions,0)),"'_Options'!$E$2:$E$2")),12),""))</f>
        <v/>
      </c>
      <c r="R17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COUNTIFS(Q_SS_EXPORT_data,"Yes",passes_workbook_filters_data,1,passes_workbook_custom_filters_data,1,All_Questions_passes_local_filters_data,1,All_Questions_Q_SS_EXPORT_F_passes_per_q_filter_data,1)</f>
        <v>3</v>
      </c>
      <c r="C18" s="7">
        <f>IFERROR(B18/SUBTOTAL(9,B18:B19),0)</f>
        <v>0.6</v>
      </c>
      <c r="D18" s="15">
        <f>SUBTOTAL(9,B18:B19)</f>
        <v>5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COUNTIFS(Q_SS_EXPORT_data,"No",passes_workbook_filters_data,1,passes_workbook_custom_filters_data,1,All_Questions_passes_local_filters_data,1,All_Questions_Q_SS_EXPORT_F_passes_per_q_filter_data,1)</f>
        <v>2</v>
      </c>
      <c r="C19" s="7">
        <f>IFERROR(B19/SUBTOTAL(9,B18:B19),0)</f>
        <v>0.4</v>
      </c>
      <c r="D19" s="15">
        <f>SUBTOTAL(9,B18:B19)</f>
        <v>5</v>
      </c>
      <c r="F19" t="inlineStr">
        <is>
          <t>Yes</t>
        </is>
      </c>
      <c r="G19">
        <f>IF(OR(All_Questions_Q_SS_EXPORT_CT="(None)",G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19">
        <f>IF(OR(All_Questions_Q_SS_EXPORT_CT="(None)",H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19">
        <f>IF(OR(All_Questions_Q_SS_EXPORT_CT="(None)",I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19">
        <f>IF(OR(All_Questions_Q_SS_EXPORT_CT="(None)",J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19">
        <f>IF(OR(All_Questions_Q_SS_EXPORT_CT="(None)",K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19">
        <f>IF(OR(All_Questions_Q_SS_EXPORT_CT="(None)",L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19">
        <f>IF(OR(All_Questions_Q_SS_EXPORT_CT="(None)",M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19">
        <f>IF(OR(All_Questions_Q_SS_EXPORT_CT="(None)",N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19">
        <f>IF(OR(All_Questions_Q_SS_EXPORT_CT="(None)",O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19">
        <f>IF(OR(All_Questions_Q_SS_EXPORT_CT="(None)",P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19">
        <f>IF(OR(All_Questions_Q_SS_EXPORT_CT="(None)",Q$17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19">
        <f>IF(OR(All_Questions_Q_SS_EXPORT_CT="(None)",R$17=""),"",IF(R$17="Other",COUNTIFS(Q_SS_EXPORT_data,"Yes",passes_workbook_filters_data,1,passes_workbook_custom_filters_data,1,All_Questions_passes_local_filters_data,1,All_Questions_Q_SS_EXPORT_F_passes_per_q_filter_data,1)-SUM(G19,H19,I19,J19,K19,L19,M19,N19,O19,P19,Q19)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19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0">
      <c r="A20" s="16" t="inlineStr">
        <is>
          <t>Total respondents</t>
        </is>
      </c>
      <c r="B20" s="16" t="n">
        <v>5</v>
      </c>
      <c r="C20" s="16" t="n"/>
      <c r="D20" s="16" t="n"/>
      <c r="F20" t="inlineStr">
        <is>
          <t>No</t>
        </is>
      </c>
      <c r="G20">
        <f>IF(OR(All_Questions_Q_SS_EXPORT_CT="(None)",G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$17))</f>
        <v>0</v>
      </c>
      <c r="H20">
        <f>IF(OR(All_Questions_Q_SS_EXPORT_CT="(None)",H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$17))</f>
        <v>0</v>
      </c>
      <c r="I20">
        <f>IF(OR(All_Questions_Q_SS_EXPORT_CT="(None)",I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$17))</f>
        <v>0</v>
      </c>
      <c r="J20">
        <f>IF(OR(All_Questions_Q_SS_EXPORT_CT="(None)",J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$17))</f>
        <v>0</v>
      </c>
      <c r="K20">
        <f>IF(OR(All_Questions_Q_SS_EXPORT_CT="(None)",K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$17))</f>
        <v>0</v>
      </c>
      <c r="L20">
        <f>IF(OR(All_Questions_Q_SS_EXPORT_CT="(None)",L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$17))</f>
        <v>0</v>
      </c>
      <c r="M20">
        <f>IF(OR(All_Questions_Q_SS_EXPORT_CT="(None)",M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$17))</f>
        <v>0</v>
      </c>
      <c r="N20">
        <f>IF(OR(All_Questions_Q_SS_EXPORT_CT="(None)",N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$17))</f>
        <v>0</v>
      </c>
      <c r="O20">
        <f>IF(OR(All_Questions_Q_SS_EXPORT_CT="(None)",O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$17))</f>
        <v>0</v>
      </c>
      <c r="P20">
        <f>IF(OR(All_Questions_Q_SS_EXPORT_CT="(None)",P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$17))</f>
        <v>0</v>
      </c>
      <c r="Q20">
        <f>IF(OR(All_Questions_Q_SS_EXPORT_CT="(None)",Q$17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$17))</f>
        <v>0</v>
      </c>
      <c r="R20">
        <f>IF(OR(All_Questions_Q_SS_EXPORT_CT="(None)",R$17=""),"",IF(R$17="Other",COUNTIFS(Q_SS_EXPORT_data,"No",passes_workbook_filters_data,1,passes_workbook_custom_filters_data,1,All_Questions_passes_local_filters_data,1,All_Questions_Q_SS_EXPORT_F_passes_per_q_filter_data,1)-SUM(G20,H20,I20,J20,K20,L20,M20,N20,O20,P20,Q20)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$17)))</f>
        <v>0</v>
      </c>
      <c r="S20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5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>
        <f>IF(OR(All_Questions_Q_MS_EXPORT_CT="(None)",G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29">
        <f>IF(OR(All_Questions_Q_MS_EXPORT_CT="(None)",H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29">
        <f>IF(OR(All_Questions_Q_MS_EXPORT_CT="(None)",I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29">
        <f>IF(OR(All_Questions_Q_MS_EXPORT_CT="(None)",J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29">
        <f>IF(OR(All_Questions_Q_MS_EXPORT_CT="(None)",K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29">
        <f>IF(OR(All_Questions_Q_MS_EXPORT_CT="(None)",L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29">
        <f>IF(OR(All_Questions_Q_MS_EXPORT_CT="(None)",M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29">
        <f>IF(OR(All_Questions_Q_MS_EXPORT_CT="(None)",N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29">
        <f>IF(OR(All_Questions_Q_MS_EXPORT_CT="(None)",O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29">
        <f>IF(OR(All_Questions_Q_MS_EXPORT_CT="(None)",P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29">
        <f>IF(OR(All_Questions_Q_MS_EXPORT_CT="(None)",Q$27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29">
        <f>IF(OR(All_Questions_Q_MS_EXPORT_CT="(None)",R$27=""),"",IF(R$27="Other",COUNTIFS(Q_MS_EXPORTr1_data,"Selected",passes_workbook_filters_data,1,passes_workbook_custom_filters_data,1,All_Questions_passes_local_filters_data,1,All_Questions_Q_MS_EXPORT_F_passes_per_q_filter_data,1)-SUM(G29,H29,I29,J29,K29,L29,M29,N29,O29,P29,Q29)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2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30">
      <c r="A30" s="16" t="inlineStr">
        <is>
          <t>Total respondents</t>
        </is>
      </c>
      <c r="B30" s="16" t="n">
        <v>10</v>
      </c>
      <c r="C30" s="16" t="n"/>
      <c r="D30" s="16" t="n"/>
      <c r="F30" t="inlineStr">
        <is>
          <t>Second</t>
        </is>
      </c>
      <c r="G30">
        <f>IF(OR(All_Questions_Q_MS_EXPORT_CT="(None)",G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)</f>
        <v>0</v>
      </c>
      <c r="H30">
        <f>IF(OR(All_Questions_Q_MS_EXPORT_CT="(None)",H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)</f>
        <v>0</v>
      </c>
      <c r="I30">
        <f>IF(OR(All_Questions_Q_MS_EXPORT_CT="(None)",I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)</f>
        <v>0</v>
      </c>
      <c r="J30">
        <f>IF(OR(All_Questions_Q_MS_EXPORT_CT="(None)",J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)</f>
        <v>0</v>
      </c>
      <c r="K30">
        <f>IF(OR(All_Questions_Q_MS_EXPORT_CT="(None)",K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)</f>
        <v>0</v>
      </c>
      <c r="L30">
        <f>IF(OR(All_Questions_Q_MS_EXPORT_CT="(None)",L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)</f>
        <v>0</v>
      </c>
      <c r="M30">
        <f>IF(OR(All_Questions_Q_MS_EXPORT_CT="(None)",M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)</f>
        <v>0</v>
      </c>
      <c r="N30">
        <f>IF(OR(All_Questions_Q_MS_EXPORT_CT="(None)",N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)</f>
        <v>0</v>
      </c>
      <c r="O30">
        <f>IF(OR(All_Questions_Q_MS_EXPORT_CT="(None)",O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)</f>
        <v>0</v>
      </c>
      <c r="P30">
        <f>IF(OR(All_Questions_Q_MS_EXPORT_CT="(None)",P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)</f>
        <v>0</v>
      </c>
      <c r="Q30">
        <f>IF(OR(All_Questions_Q_MS_EXPORT_CT="(None)",Q$27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)</f>
        <v>0</v>
      </c>
      <c r="R30">
        <f>IF(OR(All_Questions_Q_MS_EXPORT_CT="(None)",R$27=""),"",IF(R$27="Other",COUNTIFS(Q_MS_EXPORTr2_data,"Selected",passes_workbook_filters_data,1,passes_workbook_custom_filters_data,1,All_Questions_passes_local_filters_data,1,All_Questions_Q_MS_EXPORT_F_passes_per_q_filter_data,1)-SUM(G30,H30,I30,J30,K30,L30,M30,N30,O30,P30,Q30)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))</f>
        <v>0</v>
      </c>
      <c r="S3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7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7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7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7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7" t="n">
        <v>5.5</v>
      </c>
      <c r="C43" t="inlineStr">
        <is>
          <t>static baseline</t>
        </is>
      </c>
      <c r="D43" s="15" t="n">
        <v>10</v>
      </c>
    </row>
    <row r="44"/>
    <row r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A46" s="12" t="inlineStr">
        <is>
          <t>Q_GRID_EXPORT - Grid export question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</row>
    <row r="47">
      <c r="A47" s="13" t="inlineStr">
        <is>
          <t>Per-question filter</t>
        </is>
      </c>
      <c r="B47" t="inlineStr">
        <is>
          <t>Filter Q</t>
        </is>
      </c>
      <c r="C47" t="inlineStr">
        <is>
          <t>(None)</t>
        </is>
      </c>
      <c r="D47" t="inlineStr">
        <is>
          <t>Value</t>
        </is>
      </c>
      <c r="E47" t="inlineStr">
        <is>
          <t>(All)</t>
        </is>
      </c>
      <c r="F47" t="str">
        <f>IFERROR(INDEX(All_Questions_Data_Names,MATCH(All_Questions_Q_GRID_EXPORT_F_Q,All_Questions,0)),"'_RawData'!$A:$A")</f>
        <v>respondent_id_data</v>
      </c>
      <c r="G47" t="str">
        <f>"|" &amp; SUBSTITUTE(All_Questions_Q_GRID_EXPORT_F_V, ", ", "|") &amp; "|"</f>
        <v>|(All)|</v>
      </c>
    </row>
    <row r="48">
      <c r="A48" s="13" t="inlineStr">
        <is>
          <t>Cross-tab by</t>
        </is>
      </c>
      <c r="C48" t="inlineStr">
        <is>
          <t>(None)</t>
        </is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8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8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6" t="inlineStr">
        <is>
          <t>Total respondents</t>
        </is>
      </c>
      <c r="B54" s="16" t="n">
        <v>10</v>
      </c>
      <c r="C54" s="16" t="n"/>
      <c r="D54" s="16" t="n"/>
      <c r="E54" s="16" t="n"/>
      <c r="F54" s="16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IFERROR(INDEX(All_Questions_Data_Names,MATCH(All_Questions_Q_VERY_LONG_SINGLE_SELECT_EXPORT_NAME_F_Q,All_Questions,0)),"'_RawData'!$A:$A")</f>
        <v>respondent_id_data</v>
      </c>
      <c r="G59" t="str">
        <f>"|" &amp; SUBSTITUTE(All_Questions_Q_VERY_LONG_SINGLE_SELECT_EXPORT_NAME_F_V, ", ", "|") &amp; "|"</f>
        <v>|(All)|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  <c r="F62" s="4" t="inlineStr">
        <is>
          <t>Option</t>
        </is>
      </c>
      <c r="G6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2" s="4" t="inlineStr">
        <is>
          <t>Total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5">
        <f>SUBTOTAL(9,B63:B64)</f>
        <v>10</v>
      </c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5">
        <f>SUBTOTAL(9,B63:B64)</f>
        <v>10</v>
      </c>
      <c r="F64" t="inlineStr">
        <is>
          <t>A</t>
        </is>
      </c>
      <c r="G64">
        <f>IF(OR(All_Questions_Q_VERY_LONG_SINGLE_SELECT_EXPORT_NAME_CT="(None)",G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4">
        <f>IF(OR(All_Questions_Q_VERY_LONG_SINGLE_SELECT_EXPORT_NAME_CT="(None)",H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4">
        <f>IF(OR(All_Questions_Q_VERY_LONG_SINGLE_SELECT_EXPORT_NAME_CT="(None)",I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4">
        <f>IF(OR(All_Questions_Q_VERY_LONG_SINGLE_SELECT_EXPORT_NAME_CT="(None)",J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4">
        <f>IF(OR(All_Questions_Q_VERY_LONG_SINGLE_SELECT_EXPORT_NAME_CT="(None)",K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4">
        <f>IF(OR(All_Questions_Q_VERY_LONG_SINGLE_SELECT_EXPORT_NAME_CT="(None)",L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4">
        <f>IF(OR(All_Questions_Q_VERY_LONG_SINGLE_SELECT_EXPORT_NAME_CT="(None)",M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4">
        <f>IF(OR(All_Questions_Q_VERY_LONG_SINGLE_SELECT_EXPORT_NAME_CT="(None)",N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4">
        <f>IF(OR(All_Questions_Q_VERY_LONG_SINGLE_SELECT_EXPORT_NAME_CT="(None)",O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4">
        <f>IF(OR(All_Questions_Q_VERY_LONG_SINGLE_SELECT_EXPORT_NAME_CT="(None)",P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4">
        <f>IF(OR(All_Questions_Q_VERY_LONG_SINGLE_SELECT_EXPORT_NAME_CT="(None)",Q$62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4">
        <f>IF(OR(All_Questions_Q_VERY_LONG_SINGLE_SELECT_EXPORT_NAME_CT="(None)",R$62=""),"",IF(R$62="Other",COUNTIFS(Q_VERY_LONG_SINGLE_SELECT_EXPOR_data,"A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5">
      <c r="A65" s="16" t="inlineStr">
        <is>
          <t>Total respondents</t>
        </is>
      </c>
      <c r="B65" s="16" t="n">
        <v>10</v>
      </c>
      <c r="C65" s="16" t="n"/>
      <c r="D65" s="16" t="n"/>
      <c r="F65" t="inlineStr">
        <is>
          <t>B</t>
        </is>
      </c>
      <c r="G65">
        <f>IF(OR(All_Questions_Q_VERY_LONG_SINGLE_SELECT_EXPORT_NAME_CT="(None)",G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$62))</f>
        <v>0</v>
      </c>
      <c r="H65">
        <f>IF(OR(All_Questions_Q_VERY_LONG_SINGLE_SELECT_EXPORT_NAME_CT="(None)",H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$62))</f>
        <v>0</v>
      </c>
      <c r="I65">
        <f>IF(OR(All_Questions_Q_VERY_LONG_SINGLE_SELECT_EXPORT_NAME_CT="(None)",I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$62))</f>
        <v>0</v>
      </c>
      <c r="J65">
        <f>IF(OR(All_Questions_Q_VERY_LONG_SINGLE_SELECT_EXPORT_NAME_CT="(None)",J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$62))</f>
        <v>0</v>
      </c>
      <c r="K65">
        <f>IF(OR(All_Questions_Q_VERY_LONG_SINGLE_SELECT_EXPORT_NAME_CT="(None)",K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$62))</f>
        <v>0</v>
      </c>
      <c r="L65">
        <f>IF(OR(All_Questions_Q_VERY_LONG_SINGLE_SELECT_EXPORT_NAME_CT="(None)",L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$62))</f>
        <v>0</v>
      </c>
      <c r="M65">
        <f>IF(OR(All_Questions_Q_VERY_LONG_SINGLE_SELECT_EXPORT_NAME_CT="(None)",M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$62))</f>
        <v>0</v>
      </c>
      <c r="N65">
        <f>IF(OR(All_Questions_Q_VERY_LONG_SINGLE_SELECT_EXPORT_NAME_CT="(None)",N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$62))</f>
        <v>0</v>
      </c>
      <c r="O65">
        <f>IF(OR(All_Questions_Q_VERY_LONG_SINGLE_SELECT_EXPORT_NAME_CT="(None)",O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$62))</f>
        <v>0</v>
      </c>
      <c r="P65">
        <f>IF(OR(All_Questions_Q_VERY_LONG_SINGLE_SELECT_EXPORT_NAME_CT="(None)",P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$62))</f>
        <v>0</v>
      </c>
      <c r="Q65">
        <f>IF(OR(All_Questions_Q_VERY_LONG_SINGLE_SELECT_EXPORT_NAME_CT="(None)",Q$62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$62))</f>
        <v>0</v>
      </c>
      <c r="R65">
        <f>IF(OR(All_Questions_Q_VERY_LONG_SINGLE_SELECT_EXPORT_NAME_CT="(None)",R$62=""),"",IF(R$62="Other",COUNTIFS(Q_VERY_LONG_SINGLE_SELECT_EXPOR_data,"B",passes_workbook_filters_data,1,passes_workbook_custom_filters_data,1,All_Questions_passes_local_filters_data,1,All_Questions_Q_VERY_LONG_SINGLE_SELECT_EXPORT_NAME_F_passes_per_q_filter_data,1)-SUM(G65,H65,I65,J65,K65,L65,M65,N65,O65,P65,Q65)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$62)))</f>
        <v>0</v>
      </c>
      <c r="S6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47" showDropDown="0" showInputMessage="0" showErrorMessage="0" allowBlank="1" type="list">
      <formula1>=All_Questions</formula1>
    </dataValidation>
    <dataValidation sqref="E4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8" showDropDown="0" showInputMessage="0" showErrorMessage="0" allowBlank="1" type="list">
      <formula1>=All_Questions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2026-06-03T23:06:42Z</dcterms:created>
  <dcterms:modified xmlns:dcterms="http://purl.org/dc/terms/" xmlns:xsi="http://www.w3.org/2001/XMLSchema-instance" xsi:type="dcterms:W3CDTF">2026-06-03T23:06:42Z</dcterms:modified>
</cp:coreProperties>
</file>