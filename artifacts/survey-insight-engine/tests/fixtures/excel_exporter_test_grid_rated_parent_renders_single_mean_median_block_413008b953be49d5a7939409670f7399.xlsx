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Q_RATED - Q_Rated - Rate Each Vendor Attribute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Q_RATED - Q_Rated - Rate Each Vendor Attribute - Implementation speed 2</t>
        </is>
      </c>
      <c r="B4" t="inlineStr">
        <is>
          <t>Q_RATED - Q_Rated - Rate Each Vendor Attribute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A5" t="inlineStr">
        <is>
          <t>Q_RATED - Q_Rated - Rate Each Vendor Attribute - Integration fit</t>
        </is>
      </c>
      <c r="B5" t="inlineStr">
        <is>
          <t>Q_RATED - Q_Rated - Rate Each Vendor Attribute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  <row r="6">
      <c r="A6" t="inlineStr">
        <is>
          <t>Q_RATED - Q_Rated - Rate Each Vendor Attribute - Integration fit 2</t>
        </is>
      </c>
      <c r="B6" t="inlineStr">
        <is>
          <t>Q_RATED - Q_Rated - Rate Each Vendor Attribute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Q_RATED - Q_Rated - Rate Each Vendor Attribute - Efficiency gains</t>
        </is>
      </c>
      <c r="B7" t="inlineStr">
        <is>
          <t>Q_RATED - Q_Rated - Rate Each Vendor Attribute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Q_RATED - Q_Rated - Rate Each Vendor Attribute - Efficiency gains 2</t>
        </is>
      </c>
      <c r="B8" t="inlineStr">
        <is>
          <t>Q_RATED - Q_Rated - Rate Each Vendor Attribute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Q_RATED - Q_Rated - Rate Each Vendor Attribute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IF(All_Questions_Q_RATED_CT="(None)","",IFERROR(INDEX(INDIRECT(IFERROR(INDEX(All_Questions_Options_Names,MATCH(All_Questions_Q_RATED_CT,All_Questions,0)),"'_Options'!$E$2:$E$2")),2),""))</f>
        <v/>
      </c>
      <c r="H23" s="2" t="str">
        <f>IF(All_Questions_Q_RATED_CT="(None)","",IFERROR(INDEX(INDIRECT(IFERROR(INDEX(All_Questions_Options_Names,MATCH(All_Questions_Q_RATED_CT,All_Questions,0)),"'_Options'!$E$2:$E$2")),3),""))</f>
        <v/>
      </c>
      <c r="I23" s="2" t="str">
        <f>IF(All_Questions_Q_RATED_CT="(None)","",IFERROR(INDEX(INDIRECT(IFERROR(INDEX(All_Questions_Options_Names,MATCH(All_Questions_Q_RATED_CT,All_Questions,0)),"'_Options'!$E$2:$E$2")),4),""))</f>
        <v/>
      </c>
      <c r="J23" s="2" t="str">
        <f>IF(All_Questions_Q_RATED_CT="(None)","",IFERROR(INDEX(INDIRECT(IFERROR(INDEX(All_Questions_Options_Names,MATCH(All_Questions_Q_RATED_CT,All_Questions,0)),"'_Options'!$E$2:$E$2")),5),""))</f>
        <v/>
      </c>
      <c r="K23" s="2" t="str">
        <f>IF(All_Questions_Q_RATED_CT="(None)","",IFERROR(INDEX(INDIRECT(IFERROR(INDEX(All_Questions_Options_Names,MATCH(All_Questions_Q_RATED_CT,All_Questions,0)),"'_Options'!$E$2:$E$2")),6),""))</f>
        <v/>
      </c>
      <c r="L23" s="2" t="str">
        <f>IF(All_Questions_Q_RATED_CT="(None)","",IFERROR(INDEX(INDIRECT(IFERROR(INDEX(All_Questions_Options_Names,MATCH(All_Questions_Q_RATED_CT,All_Questions,0)),"'_Options'!$E$2:$E$2")),7),""))</f>
        <v/>
      </c>
      <c r="M23" s="2" t="str">
        <f>IF(All_Questions_Q_RATED_CT="(None)","",IFERROR(INDEX(INDIRECT(IFERROR(INDEX(All_Questions_Options_Names,MATCH(All_Questions_Q_RATED_CT,All_Questions,0)),"'_Options'!$E$2:$E$2")),8),""))</f>
        <v/>
      </c>
      <c r="N23" s="2" t="str">
        <f>IF(All_Questions_Q_RATED_CT="(None)","",IFERROR(INDEX(INDIRECT(IFERROR(INDEX(All_Questions_Options_Names,MATCH(All_Questions_Q_RATED_CT,All_Questions,0)),"'_Options'!$E$2:$E$2")),9),""))</f>
        <v/>
      </c>
      <c r="O23" s="2" t="str">
        <f>IF(All_Questions_Q_RATED_CT="(None)","",IFERROR(INDEX(INDIRECT(IFERROR(INDEX(All_Questions_Options_Names,MATCH(All_Questions_Q_RATED_CT,All_Questions,0)),"'_Options'!$E$2:$E$2")),10),""))</f>
        <v/>
      </c>
      <c r="P23" s="2" t="str">
        <f>IF(All_Questions_Q_RATED_CT="(None)","",IFERROR(INDEX(INDIRECT(IFERROR(INDEX(All_Questions_Options_Names,MATCH(All_Questions_Q_RATED_CT,All_Questions,0)),"'_Options'!$E$2:$E$2")),11),""))</f>
        <v/>
      </c>
      <c r="Q23" s="2" t="str">
        <f>IF(All_Questions_Q_RATED_CT="(None)","",IFERROR(INDEX(INDIRECT(IFERROR(INDEX(All_Questions_Options_Names,MATCH(All_Questions_Q_RATED_CT,All_Questions,0)),"'_Options'!$E$2:$E$2")),12),""))</f>
        <v/>
      </c>
      <c r="R23" s="2" t="str">
        <f>IF(All_Questions_Q_RATED_CT="(None)","",IF(COUNTA(INDIRECT(IFERROR(INDEX(All_Questions_Options_Names,MATCH(All_Questions_Q_RATED_CT,All_Questions,0)),"'_Options'!$E$2:$E$2")))-1&gt;11,"Other",IFERROR(INDEX(INDIRECT(IFERROR(INDEX(All_Questions_Options_Names,MATCH(All_Questions_Q_RATED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2026-06-08T09:15:53.789239+00:00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2026-06-08T09:15:53.789274+00:00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2026-06-08T09:15:53.789296+00:00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2026-06-08T09:15:53.789314+00:00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2026-06-08T09:15:53.789332+00:00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2026-06-08T09:15:53.789350+00:00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2026-06-08T09:15:53.789366+00:00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2026-06-08T09:15:53.789383+00:00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2026-06-08T09:15:53.789400+00:00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2026-06-08T09:15:53.789418+00:00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2026-06-08T09:15:53.789436+00:00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2026-06-08T09:15:53.789459+00:00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2026-06-08T09:15:53.789492+00:00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2026-06-08T09:15:53.789509+00:00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2026-06-08T09:15:53.789526+00:00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2026-06-08T09:15:53.789542+00:00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2026-06-08T09:15:53.789559+00:00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2026-06-08T09:15:53.789575+00:00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2026-06-08T09:15:53.789592+00:00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2026-06-08T09:15:53.789609+00:00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2026-06-08T09:15:53.789626+00:00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2026-06-08T09:15:53.789643+00:00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2026-06-08T09:15:53.789660+00:00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2026-06-08T09:15:53.789684+00:00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2026-06-08T09:15:53.789715+00:00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2026-06-08T09:15:53.789732+00:00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2026-06-08T09:15:53.789749+00:00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2026-06-08T09:15:53.789766+00:00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2026-06-08T09:15:53.789784+00:00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2026-06-08T09:15:53.789800+00:00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2026-06-08T09:15:53.789816+00:00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2026-06-08T09:15:53.789833+00:00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2026-06-08T09:15:53.789848+00:00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2026-06-08T09:15:53.789865+00:00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2026-06-08T09:15:53.789881+00:00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All_Questions_Data_Names,MATCH(All_Questions_Q_RATED_CT,All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2026-06-08T09:15:53.789904+00:00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2026-06-08T09:15:53Z</dcterms:created>
  <dcterms:modified xmlns:dcterms="http://purl.org/dc/terms/" xmlns:xsi="http://www.w3.org/2001/XMLSchema-instance" xsi:type="dcterms:W3CDTF">2026-06-08T09:15:53Z</dcterms:modified>
</cp:coreProperties>
</file>